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  <sheet name="Helper" sheetId="4" state="hidden" r:id="rId4"/>
    <sheet name="Charts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<sst xmlns="http://schemas.openxmlformats.org/spreadsheetml/2006/main" count="912" uniqueCount="231">
  <si>
    <t>./10-145162646848673</t>
  </si>
  <si>
    <t>./10-17630975493234</t>
  </si>
  <si>
    <t>./10-18708915822629</t>
  </si>
  <si>
    <t>./10-282093612040832</t>
  </si>
  <si>
    <t>./10-283712654672237</t>
  </si>
  <si>
    <t>./10-611399871496200</t>
  </si>
  <si>
    <t>./10-703945206928000</t>
  </si>
  <si>
    <t>./11-142936786347061</t>
  </si>
  <si>
    <t>./11-142992641884424</t>
  </si>
  <si>
    <t>./11-302094043054658</t>
  </si>
  <si>
    <t>./11-563345380114560</t>
  </si>
  <si>
    <t>./11-567405982269522</t>
  </si>
  <si>
    <t>./11-571385269453832</t>
  </si>
  <si>
    <t>./11-810374446711170</t>
  </si>
  <si>
    <t>./12-189666869380232</t>
  </si>
  <si>
    <t>./12-2519275178260</t>
  </si>
  <si>
    <t>./12-3790376017930</t>
  </si>
  <si>
    <t>./12-399125136932878</t>
  </si>
  <si>
    <t>./12-404725658288384</t>
  </si>
  <si>
    <t>./12-576148478132417</t>
  </si>
  <si>
    <t>./12-758051023945728</t>
  </si>
  <si>
    <t>./13-146097676099682</t>
  </si>
  <si>
    <t>./13-148984098980483</t>
  </si>
  <si>
    <t>./13-217846278128642</t>
  </si>
  <si>
    <t>./13-599247263146059</t>
  </si>
  <si>
    <t>./13-74777697989732</t>
  </si>
  <si>
    <t>./13-74809879310603</t>
  </si>
  <si>
    <t>./13-962351680519</t>
  </si>
  <si>
    <t>./14-38633264383335</t>
  </si>
  <si>
    <t>./14-392536406398272</t>
  </si>
  <si>
    <t>./14-43982080788289</t>
  </si>
  <si>
    <t>./14-58551330414606</t>
  </si>
  <si>
    <t>./14-635537048243893</t>
  </si>
  <si>
    <t>./14-637730811827716</t>
  </si>
  <si>
    <t>./14-92947393577832</t>
  </si>
  <si>
    <t>./2-1099780063232</t>
  </si>
  <si>
    <t>./2-141012366262272</t>
  </si>
  <si>
    <t>./2-281479271677952</t>
  </si>
  <si>
    <t>./2-34359738432</t>
  </si>
  <si>
    <t>./2-6291456</t>
  </si>
  <si>
    <t>./2-68719509504</t>
  </si>
  <si>
    <t>./2-70368744308736</t>
  </si>
  <si>
    <t>./3-1116708274176</t>
  </si>
  <si>
    <t>./3-141012634697728</t>
  </si>
  <si>
    <t>./3-17180131456</t>
  </si>
  <si>
    <t>./3-281474993520640</t>
  </si>
  <si>
    <t>./3-36507222017</t>
  </si>
  <si>
    <t>./3-562951027163138</t>
  </si>
  <si>
    <t>./3-570556416</t>
  </si>
  <si>
    <t>./4-140874927570948</t>
  </si>
  <si>
    <t>./4-21491613824</t>
  </si>
  <si>
    <t>./4-316659349192704</t>
  </si>
  <si>
    <t>./4-422229644935424</t>
  </si>
  <si>
    <t>./4-5498095017984</t>
  </si>
  <si>
    <t>./4-562949954011152</t>
  </si>
  <si>
    <t>./4-8796095184960</t>
  </si>
  <si>
    <t>./5-1100321132544</t>
  </si>
  <si>
    <t>./5-146029430784</t>
  </si>
  <si>
    <t>./5-17179942978</t>
  </si>
  <si>
    <t>./5-17592194703368</t>
  </si>
  <si>
    <t>./5-281474978818064</t>
  </si>
  <si>
    <t>./5-335552532</t>
  </si>
  <si>
    <t>./5-558345945090</t>
  </si>
  <si>
    <t>./6-137439054337</t>
  </si>
  <si>
    <t>./6-145208549310656</t>
  </si>
  <si>
    <t>./6-17609366438082</t>
  </si>
  <si>
    <t>./6-17626562560290</t>
  </si>
  <si>
    <t>./6-37418294050817</t>
  </si>
  <si>
    <t>./6-4471069344064</t>
  </si>
  <si>
    <t>./6-69634048</t>
  </si>
  <si>
    <t>./7-1101661749282</t>
  </si>
  <si>
    <t>./7-140879423602976</t>
  </si>
  <si>
    <t>./7-176755218333696</t>
  </si>
  <si>
    <t>./7-3298673296418</t>
  </si>
  <si>
    <t>./7-35193029141522</t>
  </si>
  <si>
    <t>./7-634486937100304</t>
  </si>
  <si>
    <t>./7-9363297141265</t>
  </si>
  <si>
    <t>./8-18143284056069</t>
  </si>
  <si>
    <t>./8-22011724181508</t>
  </si>
  <si>
    <t>./8-281560881349120</t>
  </si>
  <si>
    <t>./8-3299077136512</t>
  </si>
  <si>
    <t>./8-429530333232</t>
  </si>
  <si>
    <t>./8-43980600905824</t>
  </si>
  <si>
    <t>./8-71476980058116</t>
  </si>
  <si>
    <t>./9-24190161797122</t>
  </si>
  <si>
    <t>./9-313802227812</t>
  </si>
  <si>
    <t>./9-38839287850</t>
  </si>
  <si>
    <t>./9-44256467435520</t>
  </si>
  <si>
    <t>./9-563224877532256</t>
  </si>
  <si>
    <t>./9-633868588754948</t>
  </si>
  <si>
    <t>./9-829197649987</t>
  </si>
  <si>
    <t>./manifest</t>
  </si>
  <si>
    <t>./10-12095176376325</t>
  </si>
  <si>
    <t>./10-211381519384680</t>
  </si>
  <si>
    <t>./10-27701533474816</t>
  </si>
  <si>
    <t>./10-36422413369353</t>
  </si>
  <si>
    <t>./10-705062938634304</t>
  </si>
  <si>
    <t>./10-965302947872</t>
  </si>
  <si>
    <t>./10-96800086164480</t>
  </si>
  <si>
    <t>./11-125372243937282</t>
  </si>
  <si>
    <t>./11-14407736248321</t>
  </si>
  <si>
    <t>./11-301266764861509</t>
  </si>
  <si>
    <t>./11-308967885505792</t>
  </si>
  <si>
    <t>./11-521173078114305</t>
  </si>
  <si>
    <t>./11-585226086793220</t>
  </si>
  <si>
    <t>./11-601511243808962</t>
  </si>
  <si>
    <t>./12-1307154909512</t>
  </si>
  <si>
    <t>./12-138380204164</t>
  </si>
  <si>
    <t>./12-294809164120096</t>
  </si>
  <si>
    <t>./12-497260845073696</t>
  </si>
  <si>
    <t>./12-499885104168960</t>
  </si>
  <si>
    <t>./12-568580722672642</t>
  </si>
  <si>
    <t>./12-97103338540066</t>
  </si>
  <si>
    <t>./13-10445933511979</t>
  </si>
  <si>
    <t>./13-17953269646209</t>
  </si>
  <si>
    <t>./13-287666176284692</t>
  </si>
  <si>
    <t>./13-316871969866792</t>
  </si>
  <si>
    <t>./13-432112533545112</t>
  </si>
  <si>
    <t>./13-75973681422360</t>
  </si>
  <si>
    <t>./13-9904264112000</t>
  </si>
  <si>
    <t>./14-19818059991744</t>
  </si>
  <si>
    <t>./14-219947431432900</t>
  </si>
  <si>
    <t>./14-22265865573193</t>
  </si>
  <si>
    <t>./14-496981404822634</t>
  </si>
  <si>
    <t>./14-54976795726025</t>
  </si>
  <si>
    <t>./14-564101742892344</t>
  </si>
  <si>
    <t>./14-738887122419808</t>
  </si>
  <si>
    <t>./2-138512695296</t>
  </si>
  <si>
    <t>./2-140737488617472</t>
  </si>
  <si>
    <t>./2-274911461376</t>
  </si>
  <si>
    <t>./2-562949961809920</t>
  </si>
  <si>
    <t>./2-567347999932416</t>
  </si>
  <si>
    <t>./2-67117056</t>
  </si>
  <si>
    <t>./2-68719476738</t>
  </si>
  <si>
    <t>./3-17179877888</t>
  </si>
  <si>
    <t>./3-17448312832</t>
  </si>
  <si>
    <t>./3-201326600</t>
  </si>
  <si>
    <t>./3-35184376283392</t>
  </si>
  <si>
    <t>./3-4294984192</t>
  </si>
  <si>
    <t>./3-549764202624</t>
  </si>
  <si>
    <t>./3-67174912</t>
  </si>
  <si>
    <t>./4-137455731716</t>
  </si>
  <si>
    <t>./4-138412304</t>
  </si>
  <si>
    <t>./4-140737493602304</t>
  </si>
  <si>
    <t>./4-18416819765256</t>
  </si>
  <si>
    <t>./4-562984382365696</t>
  </si>
  <si>
    <t>./4-563018674999296</t>
  </si>
  <si>
    <t>./4-70369281048641</t>
  </si>
  <si>
    <t>./5-140739837169664</t>
  </si>
  <si>
    <t>./5-141287277725184</t>
  </si>
  <si>
    <t>./5-155692662784</t>
  </si>
  <si>
    <t>./5-26390560776192</t>
  </si>
  <si>
    <t>./5-290271071834128</t>
  </si>
  <si>
    <t>./5-70369298087944</t>
  </si>
  <si>
    <t>./5-88510971248640</t>
  </si>
  <si>
    <t>./6-105691092353280</t>
  </si>
  <si>
    <t>./6-140754685018625</t>
  </si>
  <si>
    <t>./6-17592189190213</t>
  </si>
  <si>
    <t>./6-275704184836</t>
  </si>
  <si>
    <t>./6-301334972628992</t>
  </si>
  <si>
    <t>./6-4488240826370</t>
  </si>
  <si>
    <t>./6-8798379474944</t>
  </si>
  <si>
    <t>./7-149542188515328</t>
  </si>
  <si>
    <t>./7-149686052716576</t>
  </si>
  <si>
    <t>./7-149877178778116</t>
  </si>
  <si>
    <t>./7-176211772833792</t>
  </si>
  <si>
    <t>./7-17622250856452</t>
  </si>
  <si>
    <t>./7-299687785660544</t>
  </si>
  <si>
    <t>./7-774056190157320</t>
  </si>
  <si>
    <t>./8-140806749487233</t>
  </si>
  <si>
    <t>./8-211244493570308</t>
  </si>
  <si>
    <t>./8-213305255985674</t>
  </si>
  <si>
    <t>./8-282162741905665</t>
  </si>
  <si>
    <t>./8-328565003584</t>
  </si>
  <si>
    <t>./8-554957012994</t>
  </si>
  <si>
    <t>./8-572879985181697</t>
  </si>
  <si>
    <t>./9-158527393890320</t>
  </si>
  <si>
    <t>./9-316665925534726</t>
  </si>
  <si>
    <t>./9-35736552346628</t>
  </si>
  <si>
    <t>./9-395828481230866</t>
  </si>
  <si>
    <t>./9-511547793212032</t>
  </si>
  <si>
    <t>./9-581882236633090</t>
  </si>
  <si>
    <t>./9-619079403908</t>
  </si>
  <si>
    <t>SUM</t>
  </si>
  <si>
    <t>AVG</t>
  </si>
  <si>
    <t>DEV</t>
  </si>
  <si>
    <t>DST</t>
  </si>
  <si>
    <t>BEST</t>
  </si>
  <si>
    <t>BETTER</t>
  </si>
  <si>
    <t>WORSE</t>
  </si>
  <si>
    <t>WORST</t>
  </si>
  <si>
    <t>clingo-dl-2.0.0/one-as</t>
  </si>
  <si>
    <t>choices</t>
  </si>
  <si>
    <t>conflicts</t>
  </si>
  <si>
    <t>constraints</t>
  </si>
  <si>
    <t>error</t>
  </si>
  <si>
    <t>mem</t>
  </si>
  <si>
    <t>memout</t>
  </si>
  <si>
    <t>models</t>
  </si>
  <si>
    <t>overall-time</t>
  </si>
  <si>
    <t>par2</t>
  </si>
  <si>
    <t>restarts</t>
  </si>
  <si>
    <t>rstatus</t>
  </si>
  <si>
    <t>signal(9)</t>
  </si>
  <si>
    <t>out of time</t>
  </si>
  <si>
    <t>ok</t>
  </si>
  <si>
    <t>rules</t>
  </si>
  <si>
    <t>solving-time</t>
  </si>
  <si>
    <t>status</t>
  </si>
  <si>
    <t>UNKNOWN</t>
  </si>
  <si>
    <t>SATISFIABLE</t>
  </si>
  <si>
    <t>time</t>
  </si>
  <si>
    <t>timeout</t>
  </si>
  <si>
    <t>variables</t>
  </si>
  <si>
    <t>min</t>
  </si>
  <si>
    <t>median</t>
  </si>
  <si>
    <t>max</t>
  </si>
  <si>
    <t>Merge criteria:</t>
  </si>
  <si>
    <t>.</t>
  </si>
  <si>
    <t>data</t>
  </si>
  <si>
    <t>index</t>
  </si>
  <si>
    <t>step</t>
  </si>
  <si>
    <t>sort</t>
  </si>
  <si>
    <t>clean</t>
  </si>
  <si>
    <t>values</t>
  </si>
  <si>
    <t>sorted</t>
  </si>
  <si>
    <t>aggregated</t>
  </si>
  <si>
    <t>plot</t>
  </si>
  <si>
    <t>Select merge criteria:</t>
  </si>
  <si>
    <t>none</t>
  </si>
  <si>
    <t>Select measure: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</si>
</sst>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Survivor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(Helper!T5:T373)</c:f>
            </c:numRef>
          </c:xVal>
          <c:yVal>
            <c:numRef>
              <c:f>(Helper!S5:S373)</c:f>
              <c:numCache>
                <c:formatCode>General</c:formatCode>
                <c:ptCount val="0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Cactus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(Helper!Q5:Q373)</c:f>
            </c:numRef>
          </c:xVal>
          <c:yVal>
            <c:numRef>
              <c:f>(Helper!R5:R373)</c:f>
              <c:numCache>
                <c:formatCode>General</c:formatCode>
                <c:ptCount val="0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 rot="-5400000" vert="horz"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CDF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(Helper!R5:R373)</c:f>
            </c:numRef>
          </c:xVal>
          <c:yVal>
            <c:numRef>
              <c:f>(Helper!Q5:Q373)</c:f>
              <c:numCache>
                <c:formatCode>General</c:formatCode>
                <c:ptCount val="0"/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304800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4</xdr:row>
      <xdr:rowOff>0</xdr:rowOff>
    </xdr:from>
    <xdr:to>
      <xdr:col>26</xdr:col>
      <xdr:colOff>304800</xdr:colOff>
      <xdr:row>18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K195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20.140625" customWidth="1"/>
    <col min="2" max="8" width="11.42578125" customWidth="1"/>
    <col min="9" max="9" width="12" customWidth="1"/>
    <col min="10" max="13" width="11.42578125" customWidth="1"/>
    <col min="14" max="14" width="12.140625" customWidth="1"/>
    <col min="15" max="15" width="11.7109375" customWidth="1"/>
    <col min="16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/>
      <c r="B1" s="1" t="s">
        <v>191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214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215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216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1"/>
      <c r="B2" s="1" t="s">
        <v>192</v>
      </c>
      <c r="C2" s="1" t="s">
        <v>193</v>
      </c>
      <c r="D2" s="1" t="s">
        <v>194</v>
      </c>
      <c r="E2" s="1" t="s">
        <v>195</v>
      </c>
      <c r="F2" s="1" t="s">
        <v>196</v>
      </c>
      <c r="G2" s="1" t="s">
        <v>197</v>
      </c>
      <c r="H2" s="1" t="s">
        <v>198</v>
      </c>
      <c r="I2" s="1" t="s">
        <v>199</v>
      </c>
      <c r="J2" s="1" t="s">
        <v>200</v>
      </c>
      <c r="K2" s="1" t="s">
        <v>201</v>
      </c>
      <c r="L2" s="1" t="s">
        <v>202</v>
      </c>
      <c r="M2" s="1" t="s">
        <v>206</v>
      </c>
      <c r="N2" s="1" t="s">
        <v>207</v>
      </c>
      <c r="O2" s="1" t="s">
        <v>208</v>
      </c>
      <c r="P2" s="1" t="s">
        <v>211</v>
      </c>
      <c r="Q2" s="1" t="s">
        <v>212</v>
      </c>
      <c r="R2" s="1" t="s">
        <v>213</v>
      </c>
      <c r="S2" s="1" t="s">
        <v>192</v>
      </c>
      <c r="T2" s="1" t="s">
        <v>193</v>
      </c>
      <c r="U2" s="1" t="s">
        <v>194</v>
      </c>
      <c r="V2" s="1" t="s">
        <v>195</v>
      </c>
      <c r="W2" s="1" t="s">
        <v>196</v>
      </c>
      <c r="X2" s="1" t="s">
        <v>197</v>
      </c>
      <c r="Y2" s="1" t="s">
        <v>198</v>
      </c>
      <c r="Z2" s="1" t="s">
        <v>199</v>
      </c>
      <c r="AA2" s="1" t="s">
        <v>200</v>
      </c>
      <c r="AB2" s="1" t="s">
        <v>201</v>
      </c>
      <c r="AC2" s="1" t="s">
        <v>206</v>
      </c>
      <c r="AD2" s="1" t="s">
        <v>207</v>
      </c>
      <c r="AE2" s="1" t="s">
        <v>211</v>
      </c>
      <c r="AF2" s="1" t="s">
        <v>212</v>
      </c>
      <c r="AG2" s="1" t="s">
        <v>213</v>
      </c>
      <c r="AH2" s="1" t="s">
        <v>192</v>
      </c>
      <c r="AI2" s="1" t="s">
        <v>193</v>
      </c>
      <c r="AJ2" s="1" t="s">
        <v>194</v>
      </c>
      <c r="AK2" s="1" t="s">
        <v>195</v>
      </c>
      <c r="AL2" s="1" t="s">
        <v>196</v>
      </c>
      <c r="AM2" s="1" t="s">
        <v>197</v>
      </c>
      <c r="AN2" s="1" t="s">
        <v>198</v>
      </c>
      <c r="AO2" s="1" t="s">
        <v>199</v>
      </c>
      <c r="AP2" s="1" t="s">
        <v>200</v>
      </c>
      <c r="AQ2" s="1" t="s">
        <v>201</v>
      </c>
      <c r="AR2" s="1" t="s">
        <v>206</v>
      </c>
      <c r="AS2" s="1" t="s">
        <v>207</v>
      </c>
      <c r="AT2" s="1" t="s">
        <v>211</v>
      </c>
      <c r="AU2" s="1" t="s">
        <v>212</v>
      </c>
      <c r="AV2" s="1" t="s">
        <v>213</v>
      </c>
      <c r="AW2" s="1" t="s">
        <v>192</v>
      </c>
      <c r="AX2" s="1" t="s">
        <v>193</v>
      </c>
      <c r="AY2" s="1" t="s">
        <v>194</v>
      </c>
      <c r="AZ2" s="1" t="s">
        <v>195</v>
      </c>
      <c r="BA2" s="1" t="s">
        <v>196</v>
      </c>
      <c r="BB2" s="1" t="s">
        <v>197</v>
      </c>
      <c r="BC2" s="1" t="s">
        <v>198</v>
      </c>
      <c r="BD2" s="1" t="s">
        <v>199</v>
      </c>
      <c r="BE2" s="1" t="s">
        <v>200</v>
      </c>
      <c r="BF2" s="1" t="s">
        <v>201</v>
      </c>
      <c r="BG2" s="1" t="s">
        <v>206</v>
      </c>
      <c r="BH2" s="1" t="s">
        <v>207</v>
      </c>
      <c r="BI2" s="1" t="s">
        <v>211</v>
      </c>
      <c r="BJ2" s="1" t="s">
        <v>212</v>
      </c>
      <c r="BK2" s="1" t="s">
        <v>213</v>
      </c>
    </row>
    <row r="3" spans="1:63">
      <c r="A3" s="1" t="s">
        <v>0</v>
      </c>
      <c r="B3" s="1"/>
      <c r="C3" s="1"/>
      <c r="D3" s="1"/>
      <c r="E3" s="1">
        <v>1</v>
      </c>
      <c r="F3" s="1">
        <v>22883</v>
      </c>
      <c r="G3" s="1">
        <v>0</v>
      </c>
      <c r="H3" s="1"/>
      <c r="I3" s="1"/>
      <c r="J3" s="1">
        <v>12000</v>
      </c>
      <c r="K3" s="1"/>
      <c r="L3" s="1" t="s">
        <v>203</v>
      </c>
      <c r="M3" s="1"/>
      <c r="N3" s="1"/>
      <c r="O3" s="1"/>
      <c r="P3" s="1">
        <v>6000</v>
      </c>
      <c r="Q3" s="1">
        <v>1</v>
      </c>
      <c r="R3" s="1"/>
      <c r="S3" s="1"/>
      <c r="T3" s="1"/>
      <c r="U3" s="1"/>
      <c r="V3" s="1">
        <f>MIN($E3)</f>
        <v>0</v>
      </c>
      <c r="W3" s="1">
        <f>MIN($F3)</f>
        <v>0</v>
      </c>
      <c r="X3" s="1">
        <f>MIN($G3)</f>
        <v>0</v>
      </c>
      <c r="Y3" s="1"/>
      <c r="Z3" s="1"/>
      <c r="AA3" s="1">
        <f>MIN($J3)</f>
        <v>0</v>
      </c>
      <c r="AB3" s="1"/>
      <c r="AC3" s="1"/>
      <c r="AD3" s="1"/>
      <c r="AE3" s="1">
        <f>MIN($P3)</f>
        <v>0</v>
      </c>
      <c r="AF3" s="1">
        <f>MIN($Q3)</f>
        <v>0</v>
      </c>
      <c r="AG3" s="1"/>
      <c r="AH3" s="1"/>
      <c r="AI3" s="1"/>
      <c r="AJ3" s="1"/>
      <c r="AK3" s="1">
        <f>MEDIAN($E3)</f>
        <v>0</v>
      </c>
      <c r="AL3" s="1">
        <f>MEDIAN($F3)</f>
        <v>0</v>
      </c>
      <c r="AM3" s="1">
        <f>MEDIAN($G3)</f>
        <v>0</v>
      </c>
      <c r="AN3" s="1"/>
      <c r="AO3" s="1"/>
      <c r="AP3" s="1">
        <f>MEDIAN($J3)</f>
        <v>0</v>
      </c>
      <c r="AQ3" s="1"/>
      <c r="AR3" s="1"/>
      <c r="AS3" s="1"/>
      <c r="AT3" s="1">
        <f>MEDIAN($P3)</f>
        <v>0</v>
      </c>
      <c r="AU3" s="1">
        <f>MEDIAN($Q3)</f>
        <v>0</v>
      </c>
      <c r="AV3" s="1"/>
      <c r="AW3" s="1"/>
      <c r="AX3" s="1"/>
      <c r="AY3" s="1"/>
      <c r="AZ3" s="1">
        <f>MAX($E3)</f>
        <v>0</v>
      </c>
      <c r="BA3" s="1">
        <f>MAX($F3)</f>
        <v>0</v>
      </c>
      <c r="BB3" s="1">
        <f>MAX($G3)</f>
        <v>0</v>
      </c>
      <c r="BC3" s="1"/>
      <c r="BD3" s="1"/>
      <c r="BE3" s="1">
        <f>MAX($J3)</f>
        <v>0</v>
      </c>
      <c r="BF3" s="1"/>
      <c r="BG3" s="1"/>
      <c r="BH3" s="1"/>
      <c r="BI3" s="1">
        <f>MAX($P3)</f>
        <v>0</v>
      </c>
      <c r="BJ3" s="1">
        <f>MAX($Q3)</f>
        <v>0</v>
      </c>
      <c r="BK3" s="1"/>
    </row>
    <row r="4" spans="1:63">
      <c r="A4" s="1" t="s">
        <v>1</v>
      </c>
      <c r="B4" s="1"/>
      <c r="C4" s="1"/>
      <c r="D4" s="1"/>
      <c r="E4" s="1">
        <v>1</v>
      </c>
      <c r="F4" s="1">
        <v>14103</v>
      </c>
      <c r="G4" s="1">
        <v>0</v>
      </c>
      <c r="H4" s="1"/>
      <c r="I4" s="1"/>
      <c r="J4" s="1">
        <v>12000</v>
      </c>
      <c r="K4" s="1"/>
      <c r="L4" s="1" t="s">
        <v>203</v>
      </c>
      <c r="M4" s="1"/>
      <c r="N4" s="1"/>
      <c r="O4" s="1"/>
      <c r="P4" s="1">
        <v>6000</v>
      </c>
      <c r="Q4" s="1">
        <v>1</v>
      </c>
      <c r="R4" s="1"/>
      <c r="S4" s="1"/>
      <c r="T4" s="1"/>
      <c r="U4" s="1"/>
      <c r="V4" s="1">
        <f>MIN($E4)</f>
        <v>0</v>
      </c>
      <c r="W4" s="1">
        <f>MIN($F4)</f>
        <v>0</v>
      </c>
      <c r="X4" s="1">
        <f>MIN($G4)</f>
        <v>0</v>
      </c>
      <c r="Y4" s="1"/>
      <c r="Z4" s="1"/>
      <c r="AA4" s="1">
        <f>MIN($J4)</f>
        <v>0</v>
      </c>
      <c r="AB4" s="1"/>
      <c r="AC4" s="1"/>
      <c r="AD4" s="1"/>
      <c r="AE4" s="1">
        <f>MIN($P4)</f>
        <v>0</v>
      </c>
      <c r="AF4" s="1">
        <f>MIN($Q4)</f>
        <v>0</v>
      </c>
      <c r="AG4" s="1"/>
      <c r="AH4" s="1"/>
      <c r="AI4" s="1"/>
      <c r="AJ4" s="1"/>
      <c r="AK4" s="1">
        <f>MEDIAN($E4)</f>
        <v>0</v>
      </c>
      <c r="AL4" s="1">
        <f>MEDIAN($F4)</f>
        <v>0</v>
      </c>
      <c r="AM4" s="1">
        <f>MEDIAN($G4)</f>
        <v>0</v>
      </c>
      <c r="AN4" s="1"/>
      <c r="AO4" s="1"/>
      <c r="AP4" s="1">
        <f>MEDIAN($J4)</f>
        <v>0</v>
      </c>
      <c r="AQ4" s="1"/>
      <c r="AR4" s="1"/>
      <c r="AS4" s="1"/>
      <c r="AT4" s="1">
        <f>MEDIAN($P4)</f>
        <v>0</v>
      </c>
      <c r="AU4" s="1">
        <f>MEDIAN($Q4)</f>
        <v>0</v>
      </c>
      <c r="AV4" s="1"/>
      <c r="AW4" s="1"/>
      <c r="AX4" s="1"/>
      <c r="AY4" s="1"/>
      <c r="AZ4" s="1">
        <f>MAX($E4)</f>
        <v>0</v>
      </c>
      <c r="BA4" s="1">
        <f>MAX($F4)</f>
        <v>0</v>
      </c>
      <c r="BB4" s="1">
        <f>MAX($G4)</f>
        <v>0</v>
      </c>
      <c r="BC4" s="1"/>
      <c r="BD4" s="1"/>
      <c r="BE4" s="1">
        <f>MAX($J4)</f>
        <v>0</v>
      </c>
      <c r="BF4" s="1"/>
      <c r="BG4" s="1"/>
      <c r="BH4" s="1"/>
      <c r="BI4" s="1">
        <f>MAX($P4)</f>
        <v>0</v>
      </c>
      <c r="BJ4" s="1">
        <f>MAX($Q4)</f>
        <v>0</v>
      </c>
      <c r="BK4" s="1"/>
    </row>
    <row r="5" spans="1:63">
      <c r="A5" s="1" t="s">
        <v>2</v>
      </c>
      <c r="B5" s="1"/>
      <c r="C5" s="1"/>
      <c r="D5" s="1"/>
      <c r="E5" s="1">
        <v>1</v>
      </c>
      <c r="F5" s="1">
        <v>16020</v>
      </c>
      <c r="G5" s="1">
        <v>0</v>
      </c>
      <c r="H5" s="1"/>
      <c r="I5" s="1"/>
      <c r="J5" s="1">
        <v>12000</v>
      </c>
      <c r="K5" s="1"/>
      <c r="L5" s="1" t="s">
        <v>203</v>
      </c>
      <c r="M5" s="1"/>
      <c r="N5" s="1"/>
      <c r="O5" s="1"/>
      <c r="P5" s="1">
        <v>6000</v>
      </c>
      <c r="Q5" s="1">
        <v>1</v>
      </c>
      <c r="R5" s="1"/>
      <c r="S5" s="1"/>
      <c r="T5" s="1"/>
      <c r="U5" s="1"/>
      <c r="V5" s="1">
        <f>MIN($E5)</f>
        <v>0</v>
      </c>
      <c r="W5" s="1">
        <f>MIN($F5)</f>
        <v>0</v>
      </c>
      <c r="X5" s="1">
        <f>MIN($G5)</f>
        <v>0</v>
      </c>
      <c r="Y5" s="1"/>
      <c r="Z5" s="1"/>
      <c r="AA5" s="1">
        <f>MIN($J5)</f>
        <v>0</v>
      </c>
      <c r="AB5" s="1"/>
      <c r="AC5" s="1"/>
      <c r="AD5" s="1"/>
      <c r="AE5" s="1">
        <f>MIN($P5)</f>
        <v>0</v>
      </c>
      <c r="AF5" s="1">
        <f>MIN($Q5)</f>
        <v>0</v>
      </c>
      <c r="AG5" s="1"/>
      <c r="AH5" s="1"/>
      <c r="AI5" s="1"/>
      <c r="AJ5" s="1"/>
      <c r="AK5" s="1">
        <f>MEDIAN($E5)</f>
        <v>0</v>
      </c>
      <c r="AL5" s="1">
        <f>MEDIAN($F5)</f>
        <v>0</v>
      </c>
      <c r="AM5" s="1">
        <f>MEDIAN($G5)</f>
        <v>0</v>
      </c>
      <c r="AN5" s="1"/>
      <c r="AO5" s="1"/>
      <c r="AP5" s="1">
        <f>MEDIAN($J5)</f>
        <v>0</v>
      </c>
      <c r="AQ5" s="1"/>
      <c r="AR5" s="1"/>
      <c r="AS5" s="1"/>
      <c r="AT5" s="1">
        <f>MEDIAN($P5)</f>
        <v>0</v>
      </c>
      <c r="AU5" s="1">
        <f>MEDIAN($Q5)</f>
        <v>0</v>
      </c>
      <c r="AV5" s="1"/>
      <c r="AW5" s="1"/>
      <c r="AX5" s="1"/>
      <c r="AY5" s="1"/>
      <c r="AZ5" s="1">
        <f>MAX($E5)</f>
        <v>0</v>
      </c>
      <c r="BA5" s="1">
        <f>MAX($F5)</f>
        <v>0</v>
      </c>
      <c r="BB5" s="1">
        <f>MAX($G5)</f>
        <v>0</v>
      </c>
      <c r="BC5" s="1"/>
      <c r="BD5" s="1"/>
      <c r="BE5" s="1">
        <f>MAX($J5)</f>
        <v>0</v>
      </c>
      <c r="BF5" s="1"/>
      <c r="BG5" s="1"/>
      <c r="BH5" s="1"/>
      <c r="BI5" s="1">
        <f>MAX($P5)</f>
        <v>0</v>
      </c>
      <c r="BJ5" s="1">
        <f>MAX($Q5)</f>
        <v>0</v>
      </c>
      <c r="BK5" s="1"/>
    </row>
    <row r="6" spans="1:63">
      <c r="A6" s="1" t="s">
        <v>3</v>
      </c>
      <c r="B6" s="1"/>
      <c r="C6" s="1"/>
      <c r="D6" s="1"/>
      <c r="E6" s="1">
        <v>1</v>
      </c>
      <c r="F6" s="1">
        <v>18628</v>
      </c>
      <c r="G6" s="1">
        <v>0</v>
      </c>
      <c r="H6" s="1"/>
      <c r="I6" s="1"/>
      <c r="J6" s="1">
        <v>12000</v>
      </c>
      <c r="K6" s="1"/>
      <c r="L6" s="1" t="s">
        <v>203</v>
      </c>
      <c r="M6" s="1"/>
      <c r="N6" s="1"/>
      <c r="O6" s="1"/>
      <c r="P6" s="1">
        <v>6000</v>
      </c>
      <c r="Q6" s="1">
        <v>1</v>
      </c>
      <c r="R6" s="1"/>
      <c r="S6" s="1"/>
      <c r="T6" s="1"/>
      <c r="U6" s="1"/>
      <c r="V6" s="1">
        <f>MIN($E6)</f>
        <v>0</v>
      </c>
      <c r="W6" s="1">
        <f>MIN($F6)</f>
        <v>0</v>
      </c>
      <c r="X6" s="1">
        <f>MIN($G6)</f>
        <v>0</v>
      </c>
      <c r="Y6" s="1"/>
      <c r="Z6" s="1"/>
      <c r="AA6" s="1">
        <f>MIN($J6)</f>
        <v>0</v>
      </c>
      <c r="AB6" s="1"/>
      <c r="AC6" s="1"/>
      <c r="AD6" s="1"/>
      <c r="AE6" s="1">
        <f>MIN($P6)</f>
        <v>0</v>
      </c>
      <c r="AF6" s="1">
        <f>MIN($Q6)</f>
        <v>0</v>
      </c>
      <c r="AG6" s="1"/>
      <c r="AH6" s="1"/>
      <c r="AI6" s="1"/>
      <c r="AJ6" s="1"/>
      <c r="AK6" s="1">
        <f>MEDIAN($E6)</f>
        <v>0</v>
      </c>
      <c r="AL6" s="1">
        <f>MEDIAN($F6)</f>
        <v>0</v>
      </c>
      <c r="AM6" s="1">
        <f>MEDIAN($G6)</f>
        <v>0</v>
      </c>
      <c r="AN6" s="1"/>
      <c r="AO6" s="1"/>
      <c r="AP6" s="1">
        <f>MEDIAN($J6)</f>
        <v>0</v>
      </c>
      <c r="AQ6" s="1"/>
      <c r="AR6" s="1"/>
      <c r="AS6" s="1"/>
      <c r="AT6" s="1">
        <f>MEDIAN($P6)</f>
        <v>0</v>
      </c>
      <c r="AU6" s="1">
        <f>MEDIAN($Q6)</f>
        <v>0</v>
      </c>
      <c r="AV6" s="1"/>
      <c r="AW6" s="1"/>
      <c r="AX6" s="1"/>
      <c r="AY6" s="1"/>
      <c r="AZ6" s="1">
        <f>MAX($E6)</f>
        <v>0</v>
      </c>
      <c r="BA6" s="1">
        <f>MAX($F6)</f>
        <v>0</v>
      </c>
      <c r="BB6" s="1">
        <f>MAX($G6)</f>
        <v>0</v>
      </c>
      <c r="BC6" s="1"/>
      <c r="BD6" s="1"/>
      <c r="BE6" s="1">
        <f>MAX($J6)</f>
        <v>0</v>
      </c>
      <c r="BF6" s="1"/>
      <c r="BG6" s="1"/>
      <c r="BH6" s="1"/>
      <c r="BI6" s="1">
        <f>MAX($P6)</f>
        <v>0</v>
      </c>
      <c r="BJ6" s="1">
        <f>MAX($Q6)</f>
        <v>0</v>
      </c>
      <c r="BK6" s="1"/>
    </row>
    <row r="7" spans="1:63">
      <c r="A7" s="1" t="s">
        <v>4</v>
      </c>
      <c r="B7" s="1">
        <v>0</v>
      </c>
      <c r="C7" s="1">
        <v>0</v>
      </c>
      <c r="D7" s="1">
        <v>0</v>
      </c>
      <c r="E7" s="1">
        <v>0</v>
      </c>
      <c r="F7" s="1">
        <v>21886</v>
      </c>
      <c r="G7" s="1">
        <v>0</v>
      </c>
      <c r="H7" s="1">
        <v>0</v>
      </c>
      <c r="I7" s="1">
        <v>6000.035</v>
      </c>
      <c r="J7" s="1">
        <v>12000</v>
      </c>
      <c r="K7" s="1">
        <v>0</v>
      </c>
      <c r="L7" s="1" t="s">
        <v>204</v>
      </c>
      <c r="M7" s="1">
        <v>0</v>
      </c>
      <c r="N7" s="1">
        <v>0</v>
      </c>
      <c r="O7" s="1" t="s">
        <v>209</v>
      </c>
      <c r="P7" s="1">
        <v>6000</v>
      </c>
      <c r="Q7" s="1">
        <v>1</v>
      </c>
      <c r="R7" s="1">
        <v>110892550</v>
      </c>
      <c r="S7" s="1">
        <f>MIN($B7)</f>
        <v>0</v>
      </c>
      <c r="T7" s="1">
        <f>MIN($C7)</f>
        <v>0</v>
      </c>
      <c r="U7" s="1">
        <f>MIN($D7)</f>
        <v>0</v>
      </c>
      <c r="V7" s="1">
        <f>MIN($E7)</f>
        <v>0</v>
      </c>
      <c r="W7" s="1">
        <f>MIN($F7)</f>
        <v>0</v>
      </c>
      <c r="X7" s="1">
        <f>MIN($G7)</f>
        <v>0</v>
      </c>
      <c r="Y7" s="1">
        <f>MIN($H7)</f>
        <v>0</v>
      </c>
      <c r="Z7" s="1">
        <f>MIN($I7)</f>
        <v>0</v>
      </c>
      <c r="AA7" s="1">
        <f>MIN($J7)</f>
        <v>0</v>
      </c>
      <c r="AB7" s="1">
        <f>MIN($K7)</f>
        <v>0</v>
      </c>
      <c r="AC7" s="1">
        <f>MIN($M7)</f>
        <v>0</v>
      </c>
      <c r="AD7" s="1">
        <f>MIN($N7)</f>
        <v>0</v>
      </c>
      <c r="AE7" s="1">
        <f>MIN($P7)</f>
        <v>0</v>
      </c>
      <c r="AF7" s="1">
        <f>MIN($Q7)</f>
        <v>0</v>
      </c>
      <c r="AG7" s="1">
        <f>MIN($R7)</f>
        <v>0</v>
      </c>
      <c r="AH7" s="1">
        <f>MEDIAN($B7)</f>
        <v>0</v>
      </c>
      <c r="AI7" s="1">
        <f>MEDIAN($C7)</f>
        <v>0</v>
      </c>
      <c r="AJ7" s="1">
        <f>MEDIAN($D7)</f>
        <v>0</v>
      </c>
      <c r="AK7" s="1">
        <f>MEDIAN($E7)</f>
        <v>0</v>
      </c>
      <c r="AL7" s="1">
        <f>MEDIAN($F7)</f>
        <v>0</v>
      </c>
      <c r="AM7" s="1">
        <f>MEDIAN($G7)</f>
        <v>0</v>
      </c>
      <c r="AN7" s="1">
        <f>MEDIAN($H7)</f>
        <v>0</v>
      </c>
      <c r="AO7" s="1">
        <f>MEDIAN($I7)</f>
        <v>0</v>
      </c>
      <c r="AP7" s="1">
        <f>MEDIAN($J7)</f>
        <v>0</v>
      </c>
      <c r="AQ7" s="1">
        <f>MEDIAN($K7)</f>
        <v>0</v>
      </c>
      <c r="AR7" s="1">
        <f>MEDIAN($M7)</f>
        <v>0</v>
      </c>
      <c r="AS7" s="1">
        <f>MEDIAN($N7)</f>
        <v>0</v>
      </c>
      <c r="AT7" s="1">
        <f>MEDIAN($P7)</f>
        <v>0</v>
      </c>
      <c r="AU7" s="1">
        <f>MEDIAN($Q7)</f>
        <v>0</v>
      </c>
      <c r="AV7" s="1">
        <f>MEDIAN($R7)</f>
        <v>0</v>
      </c>
      <c r="AW7" s="1">
        <f>MAX($B7)</f>
        <v>0</v>
      </c>
      <c r="AX7" s="1">
        <f>MAX($C7)</f>
        <v>0</v>
      </c>
      <c r="AY7" s="1">
        <f>MAX($D7)</f>
        <v>0</v>
      </c>
      <c r="AZ7" s="1">
        <f>MAX($E7)</f>
        <v>0</v>
      </c>
      <c r="BA7" s="1">
        <f>MAX($F7)</f>
        <v>0</v>
      </c>
      <c r="BB7" s="1">
        <f>MAX($G7)</f>
        <v>0</v>
      </c>
      <c r="BC7" s="1">
        <f>MAX($H7)</f>
        <v>0</v>
      </c>
      <c r="BD7" s="1">
        <f>MAX($I7)</f>
        <v>0</v>
      </c>
      <c r="BE7" s="1">
        <f>MAX($J7)</f>
        <v>0</v>
      </c>
      <c r="BF7" s="1">
        <f>MAX($K7)</f>
        <v>0</v>
      </c>
      <c r="BG7" s="1">
        <f>MAX($M7)</f>
        <v>0</v>
      </c>
      <c r="BH7" s="1">
        <f>MAX($N7)</f>
        <v>0</v>
      </c>
      <c r="BI7" s="1">
        <f>MAX($P7)</f>
        <v>0</v>
      </c>
      <c r="BJ7" s="1">
        <f>MAX($Q7)</f>
        <v>0</v>
      </c>
      <c r="BK7" s="1">
        <f>MAX($R7)</f>
        <v>0</v>
      </c>
    </row>
    <row r="8" spans="1:63">
      <c r="A8" s="1" t="s">
        <v>5</v>
      </c>
      <c r="B8" s="1"/>
      <c r="C8" s="1"/>
      <c r="D8" s="1"/>
      <c r="E8" s="1">
        <v>1</v>
      </c>
      <c r="F8" s="1">
        <v>15385</v>
      </c>
      <c r="G8" s="1">
        <v>0</v>
      </c>
      <c r="H8" s="1"/>
      <c r="I8" s="1"/>
      <c r="J8" s="1">
        <v>12000</v>
      </c>
      <c r="K8" s="1"/>
      <c r="L8" s="1" t="s">
        <v>203</v>
      </c>
      <c r="M8" s="1"/>
      <c r="N8" s="1"/>
      <c r="O8" s="1"/>
      <c r="P8" s="1">
        <v>6000</v>
      </c>
      <c r="Q8" s="1">
        <v>1</v>
      </c>
      <c r="R8" s="1"/>
      <c r="S8" s="1"/>
      <c r="T8" s="1"/>
      <c r="U8" s="1"/>
      <c r="V8" s="1">
        <f>MIN($E8)</f>
        <v>0</v>
      </c>
      <c r="W8" s="1">
        <f>MIN($F8)</f>
        <v>0</v>
      </c>
      <c r="X8" s="1">
        <f>MIN($G8)</f>
        <v>0</v>
      </c>
      <c r="Y8" s="1"/>
      <c r="Z8" s="1"/>
      <c r="AA8" s="1">
        <f>MIN($J8)</f>
        <v>0</v>
      </c>
      <c r="AB8" s="1"/>
      <c r="AC8" s="1"/>
      <c r="AD8" s="1"/>
      <c r="AE8" s="1">
        <f>MIN($P8)</f>
        <v>0</v>
      </c>
      <c r="AF8" s="1">
        <f>MIN($Q8)</f>
        <v>0</v>
      </c>
      <c r="AG8" s="1"/>
      <c r="AH8" s="1"/>
      <c r="AI8" s="1"/>
      <c r="AJ8" s="1"/>
      <c r="AK8" s="1">
        <f>MEDIAN($E8)</f>
        <v>0</v>
      </c>
      <c r="AL8" s="1">
        <f>MEDIAN($F8)</f>
        <v>0</v>
      </c>
      <c r="AM8" s="1">
        <f>MEDIAN($G8)</f>
        <v>0</v>
      </c>
      <c r="AN8" s="1"/>
      <c r="AO8" s="1"/>
      <c r="AP8" s="1">
        <f>MEDIAN($J8)</f>
        <v>0</v>
      </c>
      <c r="AQ8" s="1"/>
      <c r="AR8" s="1"/>
      <c r="AS8" s="1"/>
      <c r="AT8" s="1">
        <f>MEDIAN($P8)</f>
        <v>0</v>
      </c>
      <c r="AU8" s="1">
        <f>MEDIAN($Q8)</f>
        <v>0</v>
      </c>
      <c r="AV8" s="1"/>
      <c r="AW8" s="1"/>
      <c r="AX8" s="1"/>
      <c r="AY8" s="1"/>
      <c r="AZ8" s="1">
        <f>MAX($E8)</f>
        <v>0</v>
      </c>
      <c r="BA8" s="1">
        <f>MAX($F8)</f>
        <v>0</v>
      </c>
      <c r="BB8" s="1">
        <f>MAX($G8)</f>
        <v>0</v>
      </c>
      <c r="BC8" s="1"/>
      <c r="BD8" s="1"/>
      <c r="BE8" s="1">
        <f>MAX($J8)</f>
        <v>0</v>
      </c>
      <c r="BF8" s="1"/>
      <c r="BG8" s="1"/>
      <c r="BH8" s="1"/>
      <c r="BI8" s="1">
        <f>MAX($P8)</f>
        <v>0</v>
      </c>
      <c r="BJ8" s="1">
        <f>MAX($Q8)</f>
        <v>0</v>
      </c>
      <c r="BK8" s="1"/>
    </row>
    <row r="9" spans="1:63">
      <c r="A9" s="1" t="s">
        <v>6</v>
      </c>
      <c r="B9" s="1"/>
      <c r="C9" s="1"/>
      <c r="D9" s="1"/>
      <c r="E9" s="1">
        <v>1</v>
      </c>
      <c r="F9" s="1">
        <v>15458</v>
      </c>
      <c r="G9" s="1">
        <v>0</v>
      </c>
      <c r="H9" s="1"/>
      <c r="I9" s="1"/>
      <c r="J9" s="1">
        <v>12000</v>
      </c>
      <c r="K9" s="1"/>
      <c r="L9" s="1" t="s">
        <v>203</v>
      </c>
      <c r="M9" s="1"/>
      <c r="N9" s="1"/>
      <c r="O9" s="1"/>
      <c r="P9" s="1">
        <v>6000</v>
      </c>
      <c r="Q9" s="1">
        <v>1</v>
      </c>
      <c r="R9" s="1"/>
      <c r="S9" s="1"/>
      <c r="T9" s="1"/>
      <c r="U9" s="1"/>
      <c r="V9" s="1">
        <f>MIN($E9)</f>
        <v>0</v>
      </c>
      <c r="W9" s="1">
        <f>MIN($F9)</f>
        <v>0</v>
      </c>
      <c r="X9" s="1">
        <f>MIN($G9)</f>
        <v>0</v>
      </c>
      <c r="Y9" s="1"/>
      <c r="Z9" s="1"/>
      <c r="AA9" s="1">
        <f>MIN($J9)</f>
        <v>0</v>
      </c>
      <c r="AB9" s="1"/>
      <c r="AC9" s="1"/>
      <c r="AD9" s="1"/>
      <c r="AE9" s="1">
        <f>MIN($P9)</f>
        <v>0</v>
      </c>
      <c r="AF9" s="1">
        <f>MIN($Q9)</f>
        <v>0</v>
      </c>
      <c r="AG9" s="1"/>
      <c r="AH9" s="1"/>
      <c r="AI9" s="1"/>
      <c r="AJ9" s="1"/>
      <c r="AK9" s="1">
        <f>MEDIAN($E9)</f>
        <v>0</v>
      </c>
      <c r="AL9" s="1">
        <f>MEDIAN($F9)</f>
        <v>0</v>
      </c>
      <c r="AM9" s="1">
        <f>MEDIAN($G9)</f>
        <v>0</v>
      </c>
      <c r="AN9" s="1"/>
      <c r="AO9" s="1"/>
      <c r="AP9" s="1">
        <f>MEDIAN($J9)</f>
        <v>0</v>
      </c>
      <c r="AQ9" s="1"/>
      <c r="AR9" s="1"/>
      <c r="AS9" s="1"/>
      <c r="AT9" s="1">
        <f>MEDIAN($P9)</f>
        <v>0</v>
      </c>
      <c r="AU9" s="1">
        <f>MEDIAN($Q9)</f>
        <v>0</v>
      </c>
      <c r="AV9" s="1"/>
      <c r="AW9" s="1"/>
      <c r="AX9" s="1"/>
      <c r="AY9" s="1"/>
      <c r="AZ9" s="1">
        <f>MAX($E9)</f>
        <v>0</v>
      </c>
      <c r="BA9" s="1">
        <f>MAX($F9)</f>
        <v>0</v>
      </c>
      <c r="BB9" s="1">
        <f>MAX($G9)</f>
        <v>0</v>
      </c>
      <c r="BC9" s="1"/>
      <c r="BD9" s="1"/>
      <c r="BE9" s="1">
        <f>MAX($J9)</f>
        <v>0</v>
      </c>
      <c r="BF9" s="1"/>
      <c r="BG9" s="1"/>
      <c r="BH9" s="1"/>
      <c r="BI9" s="1">
        <f>MAX($P9)</f>
        <v>0</v>
      </c>
      <c r="BJ9" s="1">
        <f>MAX($Q9)</f>
        <v>0</v>
      </c>
      <c r="BK9" s="1"/>
    </row>
    <row r="10" spans="1:63">
      <c r="A10" s="1" t="s">
        <v>7</v>
      </c>
      <c r="B10" s="1"/>
      <c r="C10" s="1"/>
      <c r="D10" s="1"/>
      <c r="E10" s="1">
        <v>1</v>
      </c>
      <c r="F10" s="1">
        <v>19850</v>
      </c>
      <c r="G10" s="1">
        <v>0</v>
      </c>
      <c r="H10" s="1"/>
      <c r="I10" s="1"/>
      <c r="J10" s="1">
        <v>12000</v>
      </c>
      <c r="K10" s="1"/>
      <c r="L10" s="1" t="s">
        <v>203</v>
      </c>
      <c r="M10" s="1"/>
      <c r="N10" s="1"/>
      <c r="O10" s="1"/>
      <c r="P10" s="1">
        <v>6000</v>
      </c>
      <c r="Q10" s="1">
        <v>1</v>
      </c>
      <c r="R10" s="1"/>
      <c r="S10" s="1"/>
      <c r="T10" s="1"/>
      <c r="U10" s="1"/>
      <c r="V10" s="1">
        <f>MIN($E10)</f>
        <v>0</v>
      </c>
      <c r="W10" s="1">
        <f>MIN($F10)</f>
        <v>0</v>
      </c>
      <c r="X10" s="1">
        <f>MIN($G10)</f>
        <v>0</v>
      </c>
      <c r="Y10" s="1"/>
      <c r="Z10" s="1"/>
      <c r="AA10" s="1">
        <f>MIN($J10)</f>
        <v>0</v>
      </c>
      <c r="AB10" s="1"/>
      <c r="AC10" s="1"/>
      <c r="AD10" s="1"/>
      <c r="AE10" s="1">
        <f>MIN($P10)</f>
        <v>0</v>
      </c>
      <c r="AF10" s="1">
        <f>MIN($Q10)</f>
        <v>0</v>
      </c>
      <c r="AG10" s="1"/>
      <c r="AH10" s="1"/>
      <c r="AI10" s="1"/>
      <c r="AJ10" s="1"/>
      <c r="AK10" s="1">
        <f>MEDIAN($E10)</f>
        <v>0</v>
      </c>
      <c r="AL10" s="1">
        <f>MEDIAN($F10)</f>
        <v>0</v>
      </c>
      <c r="AM10" s="1">
        <f>MEDIAN($G10)</f>
        <v>0</v>
      </c>
      <c r="AN10" s="1"/>
      <c r="AO10" s="1"/>
      <c r="AP10" s="1">
        <f>MEDIAN($J10)</f>
        <v>0</v>
      </c>
      <c r="AQ10" s="1"/>
      <c r="AR10" s="1"/>
      <c r="AS10" s="1"/>
      <c r="AT10" s="1">
        <f>MEDIAN($P10)</f>
        <v>0</v>
      </c>
      <c r="AU10" s="1">
        <f>MEDIAN($Q10)</f>
        <v>0</v>
      </c>
      <c r="AV10" s="1"/>
      <c r="AW10" s="1"/>
      <c r="AX10" s="1"/>
      <c r="AY10" s="1"/>
      <c r="AZ10" s="1">
        <f>MAX($E10)</f>
        <v>0</v>
      </c>
      <c r="BA10" s="1">
        <f>MAX($F10)</f>
        <v>0</v>
      </c>
      <c r="BB10" s="1">
        <f>MAX($G10)</f>
        <v>0</v>
      </c>
      <c r="BC10" s="1"/>
      <c r="BD10" s="1"/>
      <c r="BE10" s="1">
        <f>MAX($J10)</f>
        <v>0</v>
      </c>
      <c r="BF10" s="1"/>
      <c r="BG10" s="1"/>
      <c r="BH10" s="1"/>
      <c r="BI10" s="1">
        <f>MAX($P10)</f>
        <v>0</v>
      </c>
      <c r="BJ10" s="1">
        <f>MAX($Q10)</f>
        <v>0</v>
      </c>
      <c r="BK10" s="1"/>
    </row>
    <row r="11" spans="1:63">
      <c r="A11" s="1" t="s">
        <v>8</v>
      </c>
      <c r="B11" s="1"/>
      <c r="C11" s="1"/>
      <c r="D11" s="1"/>
      <c r="E11" s="1">
        <v>1</v>
      </c>
      <c r="F11" s="1">
        <v>16309</v>
      </c>
      <c r="G11" s="1">
        <v>0</v>
      </c>
      <c r="H11" s="1"/>
      <c r="I11" s="1"/>
      <c r="J11" s="1">
        <v>12000</v>
      </c>
      <c r="K11" s="1"/>
      <c r="L11" s="1" t="s">
        <v>203</v>
      </c>
      <c r="M11" s="1"/>
      <c r="N11" s="1"/>
      <c r="O11" s="1"/>
      <c r="P11" s="1">
        <v>6000</v>
      </c>
      <c r="Q11" s="1">
        <v>1</v>
      </c>
      <c r="R11" s="1"/>
      <c r="S11" s="1"/>
      <c r="T11" s="1"/>
      <c r="U11" s="1"/>
      <c r="V11" s="1">
        <f>MIN($E11)</f>
        <v>0</v>
      </c>
      <c r="W11" s="1">
        <f>MIN($F11)</f>
        <v>0</v>
      </c>
      <c r="X11" s="1">
        <f>MIN($G11)</f>
        <v>0</v>
      </c>
      <c r="Y11" s="1"/>
      <c r="Z11" s="1"/>
      <c r="AA11" s="1">
        <f>MIN($J11)</f>
        <v>0</v>
      </c>
      <c r="AB11" s="1"/>
      <c r="AC11" s="1"/>
      <c r="AD11" s="1"/>
      <c r="AE11" s="1">
        <f>MIN($P11)</f>
        <v>0</v>
      </c>
      <c r="AF11" s="1">
        <f>MIN($Q11)</f>
        <v>0</v>
      </c>
      <c r="AG11" s="1"/>
      <c r="AH11" s="1"/>
      <c r="AI11" s="1"/>
      <c r="AJ11" s="1"/>
      <c r="AK11" s="1">
        <f>MEDIAN($E11)</f>
        <v>0</v>
      </c>
      <c r="AL11" s="1">
        <f>MEDIAN($F11)</f>
        <v>0</v>
      </c>
      <c r="AM11" s="1">
        <f>MEDIAN($G11)</f>
        <v>0</v>
      </c>
      <c r="AN11" s="1"/>
      <c r="AO11" s="1"/>
      <c r="AP11" s="1">
        <f>MEDIAN($J11)</f>
        <v>0</v>
      </c>
      <c r="AQ11" s="1"/>
      <c r="AR11" s="1"/>
      <c r="AS11" s="1"/>
      <c r="AT11" s="1">
        <f>MEDIAN($P11)</f>
        <v>0</v>
      </c>
      <c r="AU11" s="1">
        <f>MEDIAN($Q11)</f>
        <v>0</v>
      </c>
      <c r="AV11" s="1"/>
      <c r="AW11" s="1"/>
      <c r="AX11" s="1"/>
      <c r="AY11" s="1"/>
      <c r="AZ11" s="1">
        <f>MAX($E11)</f>
        <v>0</v>
      </c>
      <c r="BA11" s="1">
        <f>MAX($F11)</f>
        <v>0</v>
      </c>
      <c r="BB11" s="1">
        <f>MAX($G11)</f>
        <v>0</v>
      </c>
      <c r="BC11" s="1"/>
      <c r="BD11" s="1"/>
      <c r="BE11" s="1">
        <f>MAX($J11)</f>
        <v>0</v>
      </c>
      <c r="BF11" s="1"/>
      <c r="BG11" s="1"/>
      <c r="BH11" s="1"/>
      <c r="BI11" s="1">
        <f>MAX($P11)</f>
        <v>0</v>
      </c>
      <c r="BJ11" s="1">
        <f>MAX($Q11)</f>
        <v>0</v>
      </c>
      <c r="BK11" s="1"/>
    </row>
    <row r="12" spans="1:63">
      <c r="A12" s="1" t="s">
        <v>9</v>
      </c>
      <c r="B12" s="1"/>
      <c r="C12" s="1"/>
      <c r="D12" s="1"/>
      <c r="E12" s="1">
        <v>1</v>
      </c>
      <c r="F12" s="1">
        <v>14170</v>
      </c>
      <c r="G12" s="1">
        <v>0</v>
      </c>
      <c r="H12" s="1"/>
      <c r="I12" s="1"/>
      <c r="J12" s="1">
        <v>12000</v>
      </c>
      <c r="K12" s="1"/>
      <c r="L12" s="1" t="s">
        <v>203</v>
      </c>
      <c r="M12" s="1"/>
      <c r="N12" s="1"/>
      <c r="O12" s="1"/>
      <c r="P12" s="1">
        <v>6000</v>
      </c>
      <c r="Q12" s="1">
        <v>1</v>
      </c>
      <c r="R12" s="1"/>
      <c r="S12" s="1"/>
      <c r="T12" s="1"/>
      <c r="U12" s="1"/>
      <c r="V12" s="1">
        <f>MIN($E12)</f>
        <v>0</v>
      </c>
      <c r="W12" s="1">
        <f>MIN($F12)</f>
        <v>0</v>
      </c>
      <c r="X12" s="1">
        <f>MIN($G12)</f>
        <v>0</v>
      </c>
      <c r="Y12" s="1"/>
      <c r="Z12" s="1"/>
      <c r="AA12" s="1">
        <f>MIN($J12)</f>
        <v>0</v>
      </c>
      <c r="AB12" s="1"/>
      <c r="AC12" s="1"/>
      <c r="AD12" s="1"/>
      <c r="AE12" s="1">
        <f>MIN($P12)</f>
        <v>0</v>
      </c>
      <c r="AF12" s="1">
        <f>MIN($Q12)</f>
        <v>0</v>
      </c>
      <c r="AG12" s="1"/>
      <c r="AH12" s="1"/>
      <c r="AI12" s="1"/>
      <c r="AJ12" s="1"/>
      <c r="AK12" s="1">
        <f>MEDIAN($E12)</f>
        <v>0</v>
      </c>
      <c r="AL12" s="1">
        <f>MEDIAN($F12)</f>
        <v>0</v>
      </c>
      <c r="AM12" s="1">
        <f>MEDIAN($G12)</f>
        <v>0</v>
      </c>
      <c r="AN12" s="1"/>
      <c r="AO12" s="1"/>
      <c r="AP12" s="1">
        <f>MEDIAN($J12)</f>
        <v>0</v>
      </c>
      <c r="AQ12" s="1"/>
      <c r="AR12" s="1"/>
      <c r="AS12" s="1"/>
      <c r="AT12" s="1">
        <f>MEDIAN($P12)</f>
        <v>0</v>
      </c>
      <c r="AU12" s="1">
        <f>MEDIAN($Q12)</f>
        <v>0</v>
      </c>
      <c r="AV12" s="1"/>
      <c r="AW12" s="1"/>
      <c r="AX12" s="1"/>
      <c r="AY12" s="1"/>
      <c r="AZ12" s="1">
        <f>MAX($E12)</f>
        <v>0</v>
      </c>
      <c r="BA12" s="1">
        <f>MAX($F12)</f>
        <v>0</v>
      </c>
      <c r="BB12" s="1">
        <f>MAX($G12)</f>
        <v>0</v>
      </c>
      <c r="BC12" s="1"/>
      <c r="BD12" s="1"/>
      <c r="BE12" s="1">
        <f>MAX($J12)</f>
        <v>0</v>
      </c>
      <c r="BF12" s="1"/>
      <c r="BG12" s="1"/>
      <c r="BH12" s="1"/>
      <c r="BI12" s="1">
        <f>MAX($P12)</f>
        <v>0</v>
      </c>
      <c r="BJ12" s="1">
        <f>MAX($Q12)</f>
        <v>0</v>
      </c>
      <c r="BK12" s="1"/>
    </row>
    <row r="13" spans="1:63">
      <c r="A13" s="1" t="s">
        <v>10</v>
      </c>
      <c r="B13" s="1"/>
      <c r="C13" s="1"/>
      <c r="D13" s="1"/>
      <c r="E13" s="1">
        <v>1</v>
      </c>
      <c r="F13" s="1">
        <v>21802</v>
      </c>
      <c r="G13" s="1">
        <v>0</v>
      </c>
      <c r="H13" s="1"/>
      <c r="I13" s="1"/>
      <c r="J13" s="1">
        <v>12000</v>
      </c>
      <c r="K13" s="1"/>
      <c r="L13" s="1" t="s">
        <v>203</v>
      </c>
      <c r="M13" s="1"/>
      <c r="N13" s="1"/>
      <c r="O13" s="1"/>
      <c r="P13" s="1">
        <v>6000</v>
      </c>
      <c r="Q13" s="1">
        <v>1</v>
      </c>
      <c r="R13" s="1"/>
      <c r="S13" s="1"/>
      <c r="T13" s="1"/>
      <c r="U13" s="1"/>
      <c r="V13" s="1">
        <f>MIN($E13)</f>
        <v>0</v>
      </c>
      <c r="W13" s="1">
        <f>MIN($F13)</f>
        <v>0</v>
      </c>
      <c r="X13" s="1">
        <f>MIN($G13)</f>
        <v>0</v>
      </c>
      <c r="Y13" s="1"/>
      <c r="Z13" s="1"/>
      <c r="AA13" s="1">
        <f>MIN($J13)</f>
        <v>0</v>
      </c>
      <c r="AB13" s="1"/>
      <c r="AC13" s="1"/>
      <c r="AD13" s="1"/>
      <c r="AE13" s="1">
        <f>MIN($P13)</f>
        <v>0</v>
      </c>
      <c r="AF13" s="1">
        <f>MIN($Q13)</f>
        <v>0</v>
      </c>
      <c r="AG13" s="1"/>
      <c r="AH13" s="1"/>
      <c r="AI13" s="1"/>
      <c r="AJ13" s="1"/>
      <c r="AK13" s="1">
        <f>MEDIAN($E13)</f>
        <v>0</v>
      </c>
      <c r="AL13" s="1">
        <f>MEDIAN($F13)</f>
        <v>0</v>
      </c>
      <c r="AM13" s="1">
        <f>MEDIAN($G13)</f>
        <v>0</v>
      </c>
      <c r="AN13" s="1"/>
      <c r="AO13" s="1"/>
      <c r="AP13" s="1">
        <f>MEDIAN($J13)</f>
        <v>0</v>
      </c>
      <c r="AQ13" s="1"/>
      <c r="AR13" s="1"/>
      <c r="AS13" s="1"/>
      <c r="AT13" s="1">
        <f>MEDIAN($P13)</f>
        <v>0</v>
      </c>
      <c r="AU13" s="1">
        <f>MEDIAN($Q13)</f>
        <v>0</v>
      </c>
      <c r="AV13" s="1"/>
      <c r="AW13" s="1"/>
      <c r="AX13" s="1"/>
      <c r="AY13" s="1"/>
      <c r="AZ13" s="1">
        <f>MAX($E13)</f>
        <v>0</v>
      </c>
      <c r="BA13" s="1">
        <f>MAX($F13)</f>
        <v>0</v>
      </c>
      <c r="BB13" s="1">
        <f>MAX($G13)</f>
        <v>0</v>
      </c>
      <c r="BC13" s="1"/>
      <c r="BD13" s="1"/>
      <c r="BE13" s="1">
        <f>MAX($J13)</f>
        <v>0</v>
      </c>
      <c r="BF13" s="1"/>
      <c r="BG13" s="1"/>
      <c r="BH13" s="1"/>
      <c r="BI13" s="1">
        <f>MAX($P13)</f>
        <v>0</v>
      </c>
      <c r="BJ13" s="1">
        <f>MAX($Q13)</f>
        <v>0</v>
      </c>
      <c r="BK13" s="1"/>
    </row>
    <row r="14" spans="1:63">
      <c r="A14" s="1" t="s">
        <v>11</v>
      </c>
      <c r="B14" s="1"/>
      <c r="C14" s="1"/>
      <c r="D14" s="1"/>
      <c r="E14" s="1">
        <v>1</v>
      </c>
      <c r="F14" s="1">
        <v>24100</v>
      </c>
      <c r="G14" s="1">
        <v>0</v>
      </c>
      <c r="H14" s="1"/>
      <c r="I14" s="1"/>
      <c r="J14" s="1">
        <v>12000</v>
      </c>
      <c r="K14" s="1"/>
      <c r="L14" s="1" t="s">
        <v>203</v>
      </c>
      <c r="M14" s="1"/>
      <c r="N14" s="1"/>
      <c r="O14" s="1"/>
      <c r="P14" s="1">
        <v>6000</v>
      </c>
      <c r="Q14" s="1">
        <v>1</v>
      </c>
      <c r="R14" s="1"/>
      <c r="S14" s="1"/>
      <c r="T14" s="1"/>
      <c r="U14" s="1"/>
      <c r="V14" s="1">
        <f>MIN($E14)</f>
        <v>0</v>
      </c>
      <c r="W14" s="1">
        <f>MIN($F14)</f>
        <v>0</v>
      </c>
      <c r="X14" s="1">
        <f>MIN($G14)</f>
        <v>0</v>
      </c>
      <c r="Y14" s="1"/>
      <c r="Z14" s="1"/>
      <c r="AA14" s="1">
        <f>MIN($J14)</f>
        <v>0</v>
      </c>
      <c r="AB14" s="1"/>
      <c r="AC14" s="1"/>
      <c r="AD14" s="1"/>
      <c r="AE14" s="1">
        <f>MIN($P14)</f>
        <v>0</v>
      </c>
      <c r="AF14" s="1">
        <f>MIN($Q14)</f>
        <v>0</v>
      </c>
      <c r="AG14" s="1"/>
      <c r="AH14" s="1"/>
      <c r="AI14" s="1"/>
      <c r="AJ14" s="1"/>
      <c r="AK14" s="1">
        <f>MEDIAN($E14)</f>
        <v>0</v>
      </c>
      <c r="AL14" s="1">
        <f>MEDIAN($F14)</f>
        <v>0</v>
      </c>
      <c r="AM14" s="1">
        <f>MEDIAN($G14)</f>
        <v>0</v>
      </c>
      <c r="AN14" s="1"/>
      <c r="AO14" s="1"/>
      <c r="AP14" s="1">
        <f>MEDIAN($J14)</f>
        <v>0</v>
      </c>
      <c r="AQ14" s="1"/>
      <c r="AR14" s="1"/>
      <c r="AS14" s="1"/>
      <c r="AT14" s="1">
        <f>MEDIAN($P14)</f>
        <v>0</v>
      </c>
      <c r="AU14" s="1">
        <f>MEDIAN($Q14)</f>
        <v>0</v>
      </c>
      <c r="AV14" s="1"/>
      <c r="AW14" s="1"/>
      <c r="AX14" s="1"/>
      <c r="AY14" s="1"/>
      <c r="AZ14" s="1">
        <f>MAX($E14)</f>
        <v>0</v>
      </c>
      <c r="BA14" s="1">
        <f>MAX($F14)</f>
        <v>0</v>
      </c>
      <c r="BB14" s="1">
        <f>MAX($G14)</f>
        <v>0</v>
      </c>
      <c r="BC14" s="1"/>
      <c r="BD14" s="1"/>
      <c r="BE14" s="1">
        <f>MAX($J14)</f>
        <v>0</v>
      </c>
      <c r="BF14" s="1"/>
      <c r="BG14" s="1"/>
      <c r="BH14" s="1"/>
      <c r="BI14" s="1">
        <f>MAX($P14)</f>
        <v>0</v>
      </c>
      <c r="BJ14" s="1">
        <f>MAX($Q14)</f>
        <v>0</v>
      </c>
      <c r="BK14" s="1"/>
    </row>
    <row r="15" spans="1:63">
      <c r="A15" s="1" t="s">
        <v>12</v>
      </c>
      <c r="B15" s="1"/>
      <c r="C15" s="1"/>
      <c r="D15" s="1"/>
      <c r="E15" s="1">
        <v>1</v>
      </c>
      <c r="F15" s="1">
        <v>18449</v>
      </c>
      <c r="G15" s="1">
        <v>0</v>
      </c>
      <c r="H15" s="1"/>
      <c r="I15" s="1"/>
      <c r="J15" s="1">
        <v>12000</v>
      </c>
      <c r="K15" s="1"/>
      <c r="L15" s="1" t="s">
        <v>203</v>
      </c>
      <c r="M15" s="1"/>
      <c r="N15" s="1"/>
      <c r="O15" s="1"/>
      <c r="P15" s="1">
        <v>6000</v>
      </c>
      <c r="Q15" s="1">
        <v>1</v>
      </c>
      <c r="R15" s="1"/>
      <c r="S15" s="1"/>
      <c r="T15" s="1"/>
      <c r="U15" s="1"/>
      <c r="V15" s="1">
        <f>MIN($E15)</f>
        <v>0</v>
      </c>
      <c r="W15" s="1">
        <f>MIN($F15)</f>
        <v>0</v>
      </c>
      <c r="X15" s="1">
        <f>MIN($G15)</f>
        <v>0</v>
      </c>
      <c r="Y15" s="1"/>
      <c r="Z15" s="1"/>
      <c r="AA15" s="1">
        <f>MIN($J15)</f>
        <v>0</v>
      </c>
      <c r="AB15" s="1"/>
      <c r="AC15" s="1"/>
      <c r="AD15" s="1"/>
      <c r="AE15" s="1">
        <f>MIN($P15)</f>
        <v>0</v>
      </c>
      <c r="AF15" s="1">
        <f>MIN($Q15)</f>
        <v>0</v>
      </c>
      <c r="AG15" s="1"/>
      <c r="AH15" s="1"/>
      <c r="AI15" s="1"/>
      <c r="AJ15" s="1"/>
      <c r="AK15" s="1">
        <f>MEDIAN($E15)</f>
        <v>0</v>
      </c>
      <c r="AL15" s="1">
        <f>MEDIAN($F15)</f>
        <v>0</v>
      </c>
      <c r="AM15" s="1">
        <f>MEDIAN($G15)</f>
        <v>0</v>
      </c>
      <c r="AN15" s="1"/>
      <c r="AO15" s="1"/>
      <c r="AP15" s="1">
        <f>MEDIAN($J15)</f>
        <v>0</v>
      </c>
      <c r="AQ15" s="1"/>
      <c r="AR15" s="1"/>
      <c r="AS15" s="1"/>
      <c r="AT15" s="1">
        <f>MEDIAN($P15)</f>
        <v>0</v>
      </c>
      <c r="AU15" s="1">
        <f>MEDIAN($Q15)</f>
        <v>0</v>
      </c>
      <c r="AV15" s="1"/>
      <c r="AW15" s="1"/>
      <c r="AX15" s="1"/>
      <c r="AY15" s="1"/>
      <c r="AZ15" s="1">
        <f>MAX($E15)</f>
        <v>0</v>
      </c>
      <c r="BA15" s="1">
        <f>MAX($F15)</f>
        <v>0</v>
      </c>
      <c r="BB15" s="1">
        <f>MAX($G15)</f>
        <v>0</v>
      </c>
      <c r="BC15" s="1"/>
      <c r="BD15" s="1"/>
      <c r="BE15" s="1">
        <f>MAX($J15)</f>
        <v>0</v>
      </c>
      <c r="BF15" s="1"/>
      <c r="BG15" s="1"/>
      <c r="BH15" s="1"/>
      <c r="BI15" s="1">
        <f>MAX($P15)</f>
        <v>0</v>
      </c>
      <c r="BJ15" s="1">
        <f>MAX($Q15)</f>
        <v>0</v>
      </c>
      <c r="BK15" s="1"/>
    </row>
    <row r="16" spans="1:63">
      <c r="A16" s="1" t="s">
        <v>13</v>
      </c>
      <c r="B16" s="1"/>
      <c r="C16" s="1"/>
      <c r="D16" s="1"/>
      <c r="E16" s="1">
        <v>1</v>
      </c>
      <c r="F16" s="1">
        <v>22547</v>
      </c>
      <c r="G16" s="1">
        <v>0</v>
      </c>
      <c r="H16" s="1"/>
      <c r="I16" s="1"/>
      <c r="J16" s="1">
        <v>12000</v>
      </c>
      <c r="K16" s="1"/>
      <c r="L16" s="1" t="s">
        <v>203</v>
      </c>
      <c r="M16" s="1"/>
      <c r="N16" s="1"/>
      <c r="O16" s="1"/>
      <c r="P16" s="1">
        <v>6000</v>
      </c>
      <c r="Q16" s="1">
        <v>1</v>
      </c>
      <c r="R16" s="1"/>
      <c r="S16" s="1"/>
      <c r="T16" s="1"/>
      <c r="U16" s="1"/>
      <c r="V16" s="1">
        <f>MIN($E16)</f>
        <v>0</v>
      </c>
      <c r="W16" s="1">
        <f>MIN($F16)</f>
        <v>0</v>
      </c>
      <c r="X16" s="1">
        <f>MIN($G16)</f>
        <v>0</v>
      </c>
      <c r="Y16" s="1"/>
      <c r="Z16" s="1"/>
      <c r="AA16" s="1">
        <f>MIN($J16)</f>
        <v>0</v>
      </c>
      <c r="AB16" s="1"/>
      <c r="AC16" s="1"/>
      <c r="AD16" s="1"/>
      <c r="AE16" s="1">
        <f>MIN($P16)</f>
        <v>0</v>
      </c>
      <c r="AF16" s="1">
        <f>MIN($Q16)</f>
        <v>0</v>
      </c>
      <c r="AG16" s="1"/>
      <c r="AH16" s="1"/>
      <c r="AI16" s="1"/>
      <c r="AJ16" s="1"/>
      <c r="AK16" s="1">
        <f>MEDIAN($E16)</f>
        <v>0</v>
      </c>
      <c r="AL16" s="1">
        <f>MEDIAN($F16)</f>
        <v>0</v>
      </c>
      <c r="AM16" s="1">
        <f>MEDIAN($G16)</f>
        <v>0</v>
      </c>
      <c r="AN16" s="1"/>
      <c r="AO16" s="1"/>
      <c r="AP16" s="1">
        <f>MEDIAN($J16)</f>
        <v>0</v>
      </c>
      <c r="AQ16" s="1"/>
      <c r="AR16" s="1"/>
      <c r="AS16" s="1"/>
      <c r="AT16" s="1">
        <f>MEDIAN($P16)</f>
        <v>0</v>
      </c>
      <c r="AU16" s="1">
        <f>MEDIAN($Q16)</f>
        <v>0</v>
      </c>
      <c r="AV16" s="1"/>
      <c r="AW16" s="1"/>
      <c r="AX16" s="1"/>
      <c r="AY16" s="1"/>
      <c r="AZ16" s="1">
        <f>MAX($E16)</f>
        <v>0</v>
      </c>
      <c r="BA16" s="1">
        <f>MAX($F16)</f>
        <v>0</v>
      </c>
      <c r="BB16" s="1">
        <f>MAX($G16)</f>
        <v>0</v>
      </c>
      <c r="BC16" s="1"/>
      <c r="BD16" s="1"/>
      <c r="BE16" s="1">
        <f>MAX($J16)</f>
        <v>0</v>
      </c>
      <c r="BF16" s="1"/>
      <c r="BG16" s="1"/>
      <c r="BH16" s="1"/>
      <c r="BI16" s="1">
        <f>MAX($P16)</f>
        <v>0</v>
      </c>
      <c r="BJ16" s="1">
        <f>MAX($Q16)</f>
        <v>0</v>
      </c>
      <c r="BK16" s="1"/>
    </row>
    <row r="17" spans="1:63">
      <c r="A17" s="1" t="s">
        <v>14</v>
      </c>
      <c r="B17" s="1"/>
      <c r="C17" s="1"/>
      <c r="D17" s="1"/>
      <c r="E17" s="1">
        <v>1</v>
      </c>
      <c r="F17" s="1">
        <v>19685</v>
      </c>
      <c r="G17" s="1">
        <v>0</v>
      </c>
      <c r="H17" s="1"/>
      <c r="I17" s="1"/>
      <c r="J17" s="1">
        <v>12000</v>
      </c>
      <c r="K17" s="1"/>
      <c r="L17" s="1" t="s">
        <v>203</v>
      </c>
      <c r="M17" s="1"/>
      <c r="N17" s="1"/>
      <c r="O17" s="1"/>
      <c r="P17" s="1">
        <v>6000</v>
      </c>
      <c r="Q17" s="1">
        <v>1</v>
      </c>
      <c r="R17" s="1"/>
      <c r="S17" s="1"/>
      <c r="T17" s="1"/>
      <c r="U17" s="1"/>
      <c r="V17" s="1">
        <f>MIN($E17)</f>
        <v>0</v>
      </c>
      <c r="W17" s="1">
        <f>MIN($F17)</f>
        <v>0</v>
      </c>
      <c r="X17" s="1">
        <f>MIN($G17)</f>
        <v>0</v>
      </c>
      <c r="Y17" s="1"/>
      <c r="Z17" s="1"/>
      <c r="AA17" s="1">
        <f>MIN($J17)</f>
        <v>0</v>
      </c>
      <c r="AB17" s="1"/>
      <c r="AC17" s="1"/>
      <c r="AD17" s="1"/>
      <c r="AE17" s="1">
        <f>MIN($P17)</f>
        <v>0</v>
      </c>
      <c r="AF17" s="1">
        <f>MIN($Q17)</f>
        <v>0</v>
      </c>
      <c r="AG17" s="1"/>
      <c r="AH17" s="1"/>
      <c r="AI17" s="1"/>
      <c r="AJ17" s="1"/>
      <c r="AK17" s="1">
        <f>MEDIAN($E17)</f>
        <v>0</v>
      </c>
      <c r="AL17" s="1">
        <f>MEDIAN($F17)</f>
        <v>0</v>
      </c>
      <c r="AM17" s="1">
        <f>MEDIAN($G17)</f>
        <v>0</v>
      </c>
      <c r="AN17" s="1"/>
      <c r="AO17" s="1"/>
      <c r="AP17" s="1">
        <f>MEDIAN($J17)</f>
        <v>0</v>
      </c>
      <c r="AQ17" s="1"/>
      <c r="AR17" s="1"/>
      <c r="AS17" s="1"/>
      <c r="AT17" s="1">
        <f>MEDIAN($P17)</f>
        <v>0</v>
      </c>
      <c r="AU17" s="1">
        <f>MEDIAN($Q17)</f>
        <v>0</v>
      </c>
      <c r="AV17" s="1"/>
      <c r="AW17" s="1"/>
      <c r="AX17" s="1"/>
      <c r="AY17" s="1"/>
      <c r="AZ17" s="1">
        <f>MAX($E17)</f>
        <v>0</v>
      </c>
      <c r="BA17" s="1">
        <f>MAX($F17)</f>
        <v>0</v>
      </c>
      <c r="BB17" s="1">
        <f>MAX($G17)</f>
        <v>0</v>
      </c>
      <c r="BC17" s="1"/>
      <c r="BD17" s="1"/>
      <c r="BE17" s="1">
        <f>MAX($J17)</f>
        <v>0</v>
      </c>
      <c r="BF17" s="1"/>
      <c r="BG17" s="1"/>
      <c r="BH17" s="1"/>
      <c r="BI17" s="1">
        <f>MAX($P17)</f>
        <v>0</v>
      </c>
      <c r="BJ17" s="1">
        <f>MAX($Q17)</f>
        <v>0</v>
      </c>
      <c r="BK17" s="1"/>
    </row>
    <row r="18" spans="1:63">
      <c r="A18" s="1" t="s">
        <v>15</v>
      </c>
      <c r="B18" s="1"/>
      <c r="C18" s="1"/>
      <c r="D18" s="1"/>
      <c r="E18" s="1">
        <v>1</v>
      </c>
      <c r="F18" s="1">
        <v>14350</v>
      </c>
      <c r="G18" s="1">
        <v>0</v>
      </c>
      <c r="H18" s="1"/>
      <c r="I18" s="1"/>
      <c r="J18" s="1">
        <v>12000</v>
      </c>
      <c r="K18" s="1"/>
      <c r="L18" s="1" t="s">
        <v>203</v>
      </c>
      <c r="M18" s="1"/>
      <c r="N18" s="1"/>
      <c r="O18" s="1"/>
      <c r="P18" s="1">
        <v>6000</v>
      </c>
      <c r="Q18" s="1">
        <v>1</v>
      </c>
      <c r="R18" s="1"/>
      <c r="S18" s="1"/>
      <c r="T18" s="1"/>
      <c r="U18" s="1"/>
      <c r="V18" s="1">
        <f>MIN($E18)</f>
        <v>0</v>
      </c>
      <c r="W18" s="1">
        <f>MIN($F18)</f>
        <v>0</v>
      </c>
      <c r="X18" s="1">
        <f>MIN($G18)</f>
        <v>0</v>
      </c>
      <c r="Y18" s="1"/>
      <c r="Z18" s="1"/>
      <c r="AA18" s="1">
        <f>MIN($J18)</f>
        <v>0</v>
      </c>
      <c r="AB18" s="1"/>
      <c r="AC18" s="1"/>
      <c r="AD18" s="1"/>
      <c r="AE18" s="1">
        <f>MIN($P18)</f>
        <v>0</v>
      </c>
      <c r="AF18" s="1">
        <f>MIN($Q18)</f>
        <v>0</v>
      </c>
      <c r="AG18" s="1"/>
      <c r="AH18" s="1"/>
      <c r="AI18" s="1"/>
      <c r="AJ18" s="1"/>
      <c r="AK18" s="1">
        <f>MEDIAN($E18)</f>
        <v>0</v>
      </c>
      <c r="AL18" s="1">
        <f>MEDIAN($F18)</f>
        <v>0</v>
      </c>
      <c r="AM18" s="1">
        <f>MEDIAN($G18)</f>
        <v>0</v>
      </c>
      <c r="AN18" s="1"/>
      <c r="AO18" s="1"/>
      <c r="AP18" s="1">
        <f>MEDIAN($J18)</f>
        <v>0</v>
      </c>
      <c r="AQ18" s="1"/>
      <c r="AR18" s="1"/>
      <c r="AS18" s="1"/>
      <c r="AT18" s="1">
        <f>MEDIAN($P18)</f>
        <v>0</v>
      </c>
      <c r="AU18" s="1">
        <f>MEDIAN($Q18)</f>
        <v>0</v>
      </c>
      <c r="AV18" s="1"/>
      <c r="AW18" s="1"/>
      <c r="AX18" s="1"/>
      <c r="AY18" s="1"/>
      <c r="AZ18" s="1">
        <f>MAX($E18)</f>
        <v>0</v>
      </c>
      <c r="BA18" s="1">
        <f>MAX($F18)</f>
        <v>0</v>
      </c>
      <c r="BB18" s="1">
        <f>MAX($G18)</f>
        <v>0</v>
      </c>
      <c r="BC18" s="1"/>
      <c r="BD18" s="1"/>
      <c r="BE18" s="1">
        <f>MAX($J18)</f>
        <v>0</v>
      </c>
      <c r="BF18" s="1"/>
      <c r="BG18" s="1"/>
      <c r="BH18" s="1"/>
      <c r="BI18" s="1">
        <f>MAX($P18)</f>
        <v>0</v>
      </c>
      <c r="BJ18" s="1">
        <f>MAX($Q18)</f>
        <v>0</v>
      </c>
      <c r="BK18" s="1"/>
    </row>
    <row r="19" spans="1:63">
      <c r="A19" s="1" t="s">
        <v>16</v>
      </c>
      <c r="B19" s="1"/>
      <c r="C19" s="1"/>
      <c r="D19" s="1"/>
      <c r="E19" s="1">
        <v>1</v>
      </c>
      <c r="F19" s="1">
        <v>14978</v>
      </c>
      <c r="G19" s="1">
        <v>0</v>
      </c>
      <c r="H19" s="1"/>
      <c r="I19" s="1"/>
      <c r="J19" s="1">
        <v>12000</v>
      </c>
      <c r="K19" s="1"/>
      <c r="L19" s="1" t="s">
        <v>203</v>
      </c>
      <c r="M19" s="1"/>
      <c r="N19" s="1"/>
      <c r="O19" s="1"/>
      <c r="P19" s="1">
        <v>6000</v>
      </c>
      <c r="Q19" s="1">
        <v>1</v>
      </c>
      <c r="R19" s="1"/>
      <c r="S19" s="1"/>
      <c r="T19" s="1"/>
      <c r="U19" s="1"/>
      <c r="V19" s="1">
        <f>MIN($E19)</f>
        <v>0</v>
      </c>
      <c r="W19" s="1">
        <f>MIN($F19)</f>
        <v>0</v>
      </c>
      <c r="X19" s="1">
        <f>MIN($G19)</f>
        <v>0</v>
      </c>
      <c r="Y19" s="1"/>
      <c r="Z19" s="1"/>
      <c r="AA19" s="1">
        <f>MIN($J19)</f>
        <v>0</v>
      </c>
      <c r="AB19" s="1"/>
      <c r="AC19" s="1"/>
      <c r="AD19" s="1"/>
      <c r="AE19" s="1">
        <f>MIN($P19)</f>
        <v>0</v>
      </c>
      <c r="AF19" s="1">
        <f>MIN($Q19)</f>
        <v>0</v>
      </c>
      <c r="AG19" s="1"/>
      <c r="AH19" s="1"/>
      <c r="AI19" s="1"/>
      <c r="AJ19" s="1"/>
      <c r="AK19" s="1">
        <f>MEDIAN($E19)</f>
        <v>0</v>
      </c>
      <c r="AL19" s="1">
        <f>MEDIAN($F19)</f>
        <v>0</v>
      </c>
      <c r="AM19" s="1">
        <f>MEDIAN($G19)</f>
        <v>0</v>
      </c>
      <c r="AN19" s="1"/>
      <c r="AO19" s="1"/>
      <c r="AP19" s="1">
        <f>MEDIAN($J19)</f>
        <v>0</v>
      </c>
      <c r="AQ19" s="1"/>
      <c r="AR19" s="1"/>
      <c r="AS19" s="1"/>
      <c r="AT19" s="1">
        <f>MEDIAN($P19)</f>
        <v>0</v>
      </c>
      <c r="AU19" s="1">
        <f>MEDIAN($Q19)</f>
        <v>0</v>
      </c>
      <c r="AV19" s="1"/>
      <c r="AW19" s="1"/>
      <c r="AX19" s="1"/>
      <c r="AY19" s="1"/>
      <c r="AZ19" s="1">
        <f>MAX($E19)</f>
        <v>0</v>
      </c>
      <c r="BA19" s="1">
        <f>MAX($F19)</f>
        <v>0</v>
      </c>
      <c r="BB19" s="1">
        <f>MAX($G19)</f>
        <v>0</v>
      </c>
      <c r="BC19" s="1"/>
      <c r="BD19" s="1"/>
      <c r="BE19" s="1">
        <f>MAX($J19)</f>
        <v>0</v>
      </c>
      <c r="BF19" s="1"/>
      <c r="BG19" s="1"/>
      <c r="BH19" s="1"/>
      <c r="BI19" s="1">
        <f>MAX($P19)</f>
        <v>0</v>
      </c>
      <c r="BJ19" s="1">
        <f>MAX($Q19)</f>
        <v>0</v>
      </c>
      <c r="BK19" s="1"/>
    </row>
    <row r="20" spans="1:63">
      <c r="A20" s="1" t="s">
        <v>17</v>
      </c>
      <c r="B20" s="1"/>
      <c r="C20" s="1"/>
      <c r="D20" s="1"/>
      <c r="E20" s="1">
        <v>1</v>
      </c>
      <c r="F20" s="1">
        <v>16004</v>
      </c>
      <c r="G20" s="1">
        <v>0</v>
      </c>
      <c r="H20" s="1"/>
      <c r="I20" s="1"/>
      <c r="J20" s="1">
        <v>12000</v>
      </c>
      <c r="K20" s="1"/>
      <c r="L20" s="1" t="s">
        <v>203</v>
      </c>
      <c r="M20" s="1"/>
      <c r="N20" s="1"/>
      <c r="O20" s="1"/>
      <c r="P20" s="1">
        <v>6000</v>
      </c>
      <c r="Q20" s="1">
        <v>1</v>
      </c>
      <c r="R20" s="1"/>
      <c r="S20" s="1"/>
      <c r="T20" s="1"/>
      <c r="U20" s="1"/>
      <c r="V20" s="1">
        <f>MIN($E20)</f>
        <v>0</v>
      </c>
      <c r="W20" s="1">
        <f>MIN($F20)</f>
        <v>0</v>
      </c>
      <c r="X20" s="1">
        <f>MIN($G20)</f>
        <v>0</v>
      </c>
      <c r="Y20" s="1"/>
      <c r="Z20" s="1"/>
      <c r="AA20" s="1">
        <f>MIN($J20)</f>
        <v>0</v>
      </c>
      <c r="AB20" s="1"/>
      <c r="AC20" s="1"/>
      <c r="AD20" s="1"/>
      <c r="AE20" s="1">
        <f>MIN($P20)</f>
        <v>0</v>
      </c>
      <c r="AF20" s="1">
        <f>MIN($Q20)</f>
        <v>0</v>
      </c>
      <c r="AG20" s="1"/>
      <c r="AH20" s="1"/>
      <c r="AI20" s="1"/>
      <c r="AJ20" s="1"/>
      <c r="AK20" s="1">
        <f>MEDIAN($E20)</f>
        <v>0</v>
      </c>
      <c r="AL20" s="1">
        <f>MEDIAN($F20)</f>
        <v>0</v>
      </c>
      <c r="AM20" s="1">
        <f>MEDIAN($G20)</f>
        <v>0</v>
      </c>
      <c r="AN20" s="1"/>
      <c r="AO20" s="1"/>
      <c r="AP20" s="1">
        <f>MEDIAN($J20)</f>
        <v>0</v>
      </c>
      <c r="AQ20" s="1"/>
      <c r="AR20" s="1"/>
      <c r="AS20" s="1"/>
      <c r="AT20" s="1">
        <f>MEDIAN($P20)</f>
        <v>0</v>
      </c>
      <c r="AU20" s="1">
        <f>MEDIAN($Q20)</f>
        <v>0</v>
      </c>
      <c r="AV20" s="1"/>
      <c r="AW20" s="1"/>
      <c r="AX20" s="1"/>
      <c r="AY20" s="1"/>
      <c r="AZ20" s="1">
        <f>MAX($E20)</f>
        <v>0</v>
      </c>
      <c r="BA20" s="1">
        <f>MAX($F20)</f>
        <v>0</v>
      </c>
      <c r="BB20" s="1">
        <f>MAX($G20)</f>
        <v>0</v>
      </c>
      <c r="BC20" s="1"/>
      <c r="BD20" s="1"/>
      <c r="BE20" s="1">
        <f>MAX($J20)</f>
        <v>0</v>
      </c>
      <c r="BF20" s="1"/>
      <c r="BG20" s="1"/>
      <c r="BH20" s="1"/>
      <c r="BI20" s="1">
        <f>MAX($P20)</f>
        <v>0</v>
      </c>
      <c r="BJ20" s="1">
        <f>MAX($Q20)</f>
        <v>0</v>
      </c>
      <c r="BK20" s="1"/>
    </row>
    <row r="21" spans="1:63">
      <c r="A21" s="1" t="s">
        <v>18</v>
      </c>
      <c r="B21" s="1"/>
      <c r="C21" s="1"/>
      <c r="D21" s="1"/>
      <c r="E21" s="1">
        <v>1</v>
      </c>
      <c r="F21" s="1">
        <v>18667</v>
      </c>
      <c r="G21" s="1">
        <v>0</v>
      </c>
      <c r="H21" s="1"/>
      <c r="I21" s="1"/>
      <c r="J21" s="1">
        <v>12000</v>
      </c>
      <c r="K21" s="1"/>
      <c r="L21" s="1" t="s">
        <v>203</v>
      </c>
      <c r="M21" s="1"/>
      <c r="N21" s="1"/>
      <c r="O21" s="1"/>
      <c r="P21" s="1">
        <v>6000</v>
      </c>
      <c r="Q21" s="1">
        <v>1</v>
      </c>
      <c r="R21" s="1"/>
      <c r="S21" s="1"/>
      <c r="T21" s="1"/>
      <c r="U21" s="1"/>
      <c r="V21" s="1">
        <f>MIN($E21)</f>
        <v>0</v>
      </c>
      <c r="W21" s="1">
        <f>MIN($F21)</f>
        <v>0</v>
      </c>
      <c r="X21" s="1">
        <f>MIN($G21)</f>
        <v>0</v>
      </c>
      <c r="Y21" s="1"/>
      <c r="Z21" s="1"/>
      <c r="AA21" s="1">
        <f>MIN($J21)</f>
        <v>0</v>
      </c>
      <c r="AB21" s="1"/>
      <c r="AC21" s="1"/>
      <c r="AD21" s="1"/>
      <c r="AE21" s="1">
        <f>MIN($P21)</f>
        <v>0</v>
      </c>
      <c r="AF21" s="1">
        <f>MIN($Q21)</f>
        <v>0</v>
      </c>
      <c r="AG21" s="1"/>
      <c r="AH21" s="1"/>
      <c r="AI21" s="1"/>
      <c r="AJ21" s="1"/>
      <c r="AK21" s="1">
        <f>MEDIAN($E21)</f>
        <v>0</v>
      </c>
      <c r="AL21" s="1">
        <f>MEDIAN($F21)</f>
        <v>0</v>
      </c>
      <c r="AM21" s="1">
        <f>MEDIAN($G21)</f>
        <v>0</v>
      </c>
      <c r="AN21" s="1"/>
      <c r="AO21" s="1"/>
      <c r="AP21" s="1">
        <f>MEDIAN($J21)</f>
        <v>0</v>
      </c>
      <c r="AQ21" s="1"/>
      <c r="AR21" s="1"/>
      <c r="AS21" s="1"/>
      <c r="AT21" s="1">
        <f>MEDIAN($P21)</f>
        <v>0</v>
      </c>
      <c r="AU21" s="1">
        <f>MEDIAN($Q21)</f>
        <v>0</v>
      </c>
      <c r="AV21" s="1"/>
      <c r="AW21" s="1"/>
      <c r="AX21" s="1"/>
      <c r="AY21" s="1"/>
      <c r="AZ21" s="1">
        <f>MAX($E21)</f>
        <v>0</v>
      </c>
      <c r="BA21" s="1">
        <f>MAX($F21)</f>
        <v>0</v>
      </c>
      <c r="BB21" s="1">
        <f>MAX($G21)</f>
        <v>0</v>
      </c>
      <c r="BC21" s="1"/>
      <c r="BD21" s="1"/>
      <c r="BE21" s="1">
        <f>MAX($J21)</f>
        <v>0</v>
      </c>
      <c r="BF21" s="1"/>
      <c r="BG21" s="1"/>
      <c r="BH21" s="1"/>
      <c r="BI21" s="1">
        <f>MAX($P21)</f>
        <v>0</v>
      </c>
      <c r="BJ21" s="1">
        <f>MAX($Q21)</f>
        <v>0</v>
      </c>
      <c r="BK21" s="1"/>
    </row>
    <row r="22" spans="1:63">
      <c r="A22" s="1" t="s">
        <v>19</v>
      </c>
      <c r="B22" s="1"/>
      <c r="C22" s="1"/>
      <c r="D22" s="1"/>
      <c r="E22" s="1">
        <v>1</v>
      </c>
      <c r="F22" s="1">
        <v>21452</v>
      </c>
      <c r="G22" s="1">
        <v>0</v>
      </c>
      <c r="H22" s="1"/>
      <c r="I22" s="1"/>
      <c r="J22" s="1">
        <v>12000</v>
      </c>
      <c r="K22" s="1"/>
      <c r="L22" s="1" t="s">
        <v>203</v>
      </c>
      <c r="M22" s="1"/>
      <c r="N22" s="1"/>
      <c r="O22" s="1"/>
      <c r="P22" s="1">
        <v>6000</v>
      </c>
      <c r="Q22" s="1">
        <v>1</v>
      </c>
      <c r="R22" s="1"/>
      <c r="S22" s="1"/>
      <c r="T22" s="1"/>
      <c r="U22" s="1"/>
      <c r="V22" s="1">
        <f>MIN($E22)</f>
        <v>0</v>
      </c>
      <c r="W22" s="1">
        <f>MIN($F22)</f>
        <v>0</v>
      </c>
      <c r="X22" s="1">
        <f>MIN($G22)</f>
        <v>0</v>
      </c>
      <c r="Y22" s="1"/>
      <c r="Z22" s="1"/>
      <c r="AA22" s="1">
        <f>MIN($J22)</f>
        <v>0</v>
      </c>
      <c r="AB22" s="1"/>
      <c r="AC22" s="1"/>
      <c r="AD22" s="1"/>
      <c r="AE22" s="1">
        <f>MIN($P22)</f>
        <v>0</v>
      </c>
      <c r="AF22" s="1">
        <f>MIN($Q22)</f>
        <v>0</v>
      </c>
      <c r="AG22" s="1"/>
      <c r="AH22" s="1"/>
      <c r="AI22" s="1"/>
      <c r="AJ22" s="1"/>
      <c r="AK22" s="1">
        <f>MEDIAN($E22)</f>
        <v>0</v>
      </c>
      <c r="AL22" s="1">
        <f>MEDIAN($F22)</f>
        <v>0</v>
      </c>
      <c r="AM22" s="1">
        <f>MEDIAN($G22)</f>
        <v>0</v>
      </c>
      <c r="AN22" s="1"/>
      <c r="AO22" s="1"/>
      <c r="AP22" s="1">
        <f>MEDIAN($J22)</f>
        <v>0</v>
      </c>
      <c r="AQ22" s="1"/>
      <c r="AR22" s="1"/>
      <c r="AS22" s="1"/>
      <c r="AT22" s="1">
        <f>MEDIAN($P22)</f>
        <v>0</v>
      </c>
      <c r="AU22" s="1">
        <f>MEDIAN($Q22)</f>
        <v>0</v>
      </c>
      <c r="AV22" s="1"/>
      <c r="AW22" s="1"/>
      <c r="AX22" s="1"/>
      <c r="AY22" s="1"/>
      <c r="AZ22" s="1">
        <f>MAX($E22)</f>
        <v>0</v>
      </c>
      <c r="BA22" s="1">
        <f>MAX($F22)</f>
        <v>0</v>
      </c>
      <c r="BB22" s="1">
        <f>MAX($G22)</f>
        <v>0</v>
      </c>
      <c r="BC22" s="1"/>
      <c r="BD22" s="1"/>
      <c r="BE22" s="1">
        <f>MAX($J22)</f>
        <v>0</v>
      </c>
      <c r="BF22" s="1"/>
      <c r="BG22" s="1"/>
      <c r="BH22" s="1"/>
      <c r="BI22" s="1">
        <f>MAX($P22)</f>
        <v>0</v>
      </c>
      <c r="BJ22" s="1">
        <f>MAX($Q22)</f>
        <v>0</v>
      </c>
      <c r="BK22" s="1"/>
    </row>
    <row r="23" spans="1:63">
      <c r="A23" s="1" t="s">
        <v>20</v>
      </c>
      <c r="B23" s="1"/>
      <c r="C23" s="1"/>
      <c r="D23" s="1"/>
      <c r="E23" s="1">
        <v>1</v>
      </c>
      <c r="F23" s="1">
        <v>17527</v>
      </c>
      <c r="G23" s="1">
        <v>0</v>
      </c>
      <c r="H23" s="1"/>
      <c r="I23" s="1"/>
      <c r="J23" s="1">
        <v>12000</v>
      </c>
      <c r="K23" s="1"/>
      <c r="L23" s="1" t="s">
        <v>203</v>
      </c>
      <c r="M23" s="1"/>
      <c r="N23" s="1"/>
      <c r="O23" s="1"/>
      <c r="P23" s="1">
        <v>6000</v>
      </c>
      <c r="Q23" s="1">
        <v>1</v>
      </c>
      <c r="R23" s="1"/>
      <c r="S23" s="1"/>
      <c r="T23" s="1"/>
      <c r="U23" s="1"/>
      <c r="V23" s="1">
        <f>MIN($E23)</f>
        <v>0</v>
      </c>
      <c r="W23" s="1">
        <f>MIN($F23)</f>
        <v>0</v>
      </c>
      <c r="X23" s="1">
        <f>MIN($G23)</f>
        <v>0</v>
      </c>
      <c r="Y23" s="1"/>
      <c r="Z23" s="1"/>
      <c r="AA23" s="1">
        <f>MIN($J23)</f>
        <v>0</v>
      </c>
      <c r="AB23" s="1"/>
      <c r="AC23" s="1"/>
      <c r="AD23" s="1"/>
      <c r="AE23" s="1">
        <f>MIN($P23)</f>
        <v>0</v>
      </c>
      <c r="AF23" s="1">
        <f>MIN($Q23)</f>
        <v>0</v>
      </c>
      <c r="AG23" s="1"/>
      <c r="AH23" s="1"/>
      <c r="AI23" s="1"/>
      <c r="AJ23" s="1"/>
      <c r="AK23" s="1">
        <f>MEDIAN($E23)</f>
        <v>0</v>
      </c>
      <c r="AL23" s="1">
        <f>MEDIAN($F23)</f>
        <v>0</v>
      </c>
      <c r="AM23" s="1">
        <f>MEDIAN($G23)</f>
        <v>0</v>
      </c>
      <c r="AN23" s="1"/>
      <c r="AO23" s="1"/>
      <c r="AP23" s="1">
        <f>MEDIAN($J23)</f>
        <v>0</v>
      </c>
      <c r="AQ23" s="1"/>
      <c r="AR23" s="1"/>
      <c r="AS23" s="1"/>
      <c r="AT23" s="1">
        <f>MEDIAN($P23)</f>
        <v>0</v>
      </c>
      <c r="AU23" s="1">
        <f>MEDIAN($Q23)</f>
        <v>0</v>
      </c>
      <c r="AV23" s="1"/>
      <c r="AW23" s="1"/>
      <c r="AX23" s="1"/>
      <c r="AY23" s="1"/>
      <c r="AZ23" s="1">
        <f>MAX($E23)</f>
        <v>0</v>
      </c>
      <c r="BA23" s="1">
        <f>MAX($F23)</f>
        <v>0</v>
      </c>
      <c r="BB23" s="1">
        <f>MAX($G23)</f>
        <v>0</v>
      </c>
      <c r="BC23" s="1"/>
      <c r="BD23" s="1"/>
      <c r="BE23" s="1">
        <f>MAX($J23)</f>
        <v>0</v>
      </c>
      <c r="BF23" s="1"/>
      <c r="BG23" s="1"/>
      <c r="BH23" s="1"/>
      <c r="BI23" s="1">
        <f>MAX($P23)</f>
        <v>0</v>
      </c>
      <c r="BJ23" s="1">
        <f>MAX($Q23)</f>
        <v>0</v>
      </c>
      <c r="BK23" s="1"/>
    </row>
    <row r="24" spans="1:63">
      <c r="A24" s="1" t="s">
        <v>21</v>
      </c>
      <c r="B24" s="1"/>
      <c r="C24" s="1"/>
      <c r="D24" s="1"/>
      <c r="E24" s="1">
        <v>1</v>
      </c>
      <c r="F24" s="1">
        <v>18175</v>
      </c>
      <c r="G24" s="1">
        <v>0</v>
      </c>
      <c r="H24" s="1"/>
      <c r="I24" s="1"/>
      <c r="J24" s="1">
        <v>12000</v>
      </c>
      <c r="K24" s="1"/>
      <c r="L24" s="1" t="s">
        <v>203</v>
      </c>
      <c r="M24" s="1"/>
      <c r="N24" s="1"/>
      <c r="O24" s="1"/>
      <c r="P24" s="1">
        <v>6000</v>
      </c>
      <c r="Q24" s="1">
        <v>1</v>
      </c>
      <c r="R24" s="1"/>
      <c r="S24" s="1"/>
      <c r="T24" s="1"/>
      <c r="U24" s="1"/>
      <c r="V24" s="1">
        <f>MIN($E24)</f>
        <v>0</v>
      </c>
      <c r="W24" s="1">
        <f>MIN($F24)</f>
        <v>0</v>
      </c>
      <c r="X24" s="1">
        <f>MIN($G24)</f>
        <v>0</v>
      </c>
      <c r="Y24" s="1"/>
      <c r="Z24" s="1"/>
      <c r="AA24" s="1">
        <f>MIN($J24)</f>
        <v>0</v>
      </c>
      <c r="AB24" s="1"/>
      <c r="AC24" s="1"/>
      <c r="AD24" s="1"/>
      <c r="AE24" s="1">
        <f>MIN($P24)</f>
        <v>0</v>
      </c>
      <c r="AF24" s="1">
        <f>MIN($Q24)</f>
        <v>0</v>
      </c>
      <c r="AG24" s="1"/>
      <c r="AH24" s="1"/>
      <c r="AI24" s="1"/>
      <c r="AJ24" s="1"/>
      <c r="AK24" s="1">
        <f>MEDIAN($E24)</f>
        <v>0</v>
      </c>
      <c r="AL24" s="1">
        <f>MEDIAN($F24)</f>
        <v>0</v>
      </c>
      <c r="AM24" s="1">
        <f>MEDIAN($G24)</f>
        <v>0</v>
      </c>
      <c r="AN24" s="1"/>
      <c r="AO24" s="1"/>
      <c r="AP24" s="1">
        <f>MEDIAN($J24)</f>
        <v>0</v>
      </c>
      <c r="AQ24" s="1"/>
      <c r="AR24" s="1"/>
      <c r="AS24" s="1"/>
      <c r="AT24" s="1">
        <f>MEDIAN($P24)</f>
        <v>0</v>
      </c>
      <c r="AU24" s="1">
        <f>MEDIAN($Q24)</f>
        <v>0</v>
      </c>
      <c r="AV24" s="1"/>
      <c r="AW24" s="1"/>
      <c r="AX24" s="1"/>
      <c r="AY24" s="1"/>
      <c r="AZ24" s="1">
        <f>MAX($E24)</f>
        <v>0</v>
      </c>
      <c r="BA24" s="1">
        <f>MAX($F24)</f>
        <v>0</v>
      </c>
      <c r="BB24" s="1">
        <f>MAX($G24)</f>
        <v>0</v>
      </c>
      <c r="BC24" s="1"/>
      <c r="BD24" s="1"/>
      <c r="BE24" s="1">
        <f>MAX($J24)</f>
        <v>0</v>
      </c>
      <c r="BF24" s="1"/>
      <c r="BG24" s="1"/>
      <c r="BH24" s="1"/>
      <c r="BI24" s="1">
        <f>MAX($P24)</f>
        <v>0</v>
      </c>
      <c r="BJ24" s="1">
        <f>MAX($Q24)</f>
        <v>0</v>
      </c>
      <c r="BK24" s="1"/>
    </row>
    <row r="25" spans="1:63">
      <c r="A25" s="1" t="s">
        <v>22</v>
      </c>
      <c r="B25" s="1"/>
      <c r="C25" s="1"/>
      <c r="D25" s="1"/>
      <c r="E25" s="1">
        <v>1</v>
      </c>
      <c r="F25" s="1">
        <v>17894</v>
      </c>
      <c r="G25" s="1">
        <v>0</v>
      </c>
      <c r="H25" s="1"/>
      <c r="I25" s="1"/>
      <c r="J25" s="1">
        <v>12000</v>
      </c>
      <c r="K25" s="1"/>
      <c r="L25" s="1" t="s">
        <v>203</v>
      </c>
      <c r="M25" s="1"/>
      <c r="N25" s="1"/>
      <c r="O25" s="1"/>
      <c r="P25" s="1">
        <v>6000</v>
      </c>
      <c r="Q25" s="1">
        <v>1</v>
      </c>
      <c r="R25" s="1"/>
      <c r="S25" s="1"/>
      <c r="T25" s="1"/>
      <c r="U25" s="1"/>
      <c r="V25" s="1">
        <f>MIN($E25)</f>
        <v>0</v>
      </c>
      <c r="W25" s="1">
        <f>MIN($F25)</f>
        <v>0</v>
      </c>
      <c r="X25" s="1">
        <f>MIN($G25)</f>
        <v>0</v>
      </c>
      <c r="Y25" s="1"/>
      <c r="Z25" s="1"/>
      <c r="AA25" s="1">
        <f>MIN($J25)</f>
        <v>0</v>
      </c>
      <c r="AB25" s="1"/>
      <c r="AC25" s="1"/>
      <c r="AD25" s="1"/>
      <c r="AE25" s="1">
        <f>MIN($P25)</f>
        <v>0</v>
      </c>
      <c r="AF25" s="1">
        <f>MIN($Q25)</f>
        <v>0</v>
      </c>
      <c r="AG25" s="1"/>
      <c r="AH25" s="1"/>
      <c r="AI25" s="1"/>
      <c r="AJ25" s="1"/>
      <c r="AK25" s="1">
        <f>MEDIAN($E25)</f>
        <v>0</v>
      </c>
      <c r="AL25" s="1">
        <f>MEDIAN($F25)</f>
        <v>0</v>
      </c>
      <c r="AM25" s="1">
        <f>MEDIAN($G25)</f>
        <v>0</v>
      </c>
      <c r="AN25" s="1"/>
      <c r="AO25" s="1"/>
      <c r="AP25" s="1">
        <f>MEDIAN($J25)</f>
        <v>0</v>
      </c>
      <c r="AQ25" s="1"/>
      <c r="AR25" s="1"/>
      <c r="AS25" s="1"/>
      <c r="AT25" s="1">
        <f>MEDIAN($P25)</f>
        <v>0</v>
      </c>
      <c r="AU25" s="1">
        <f>MEDIAN($Q25)</f>
        <v>0</v>
      </c>
      <c r="AV25" s="1"/>
      <c r="AW25" s="1"/>
      <c r="AX25" s="1"/>
      <c r="AY25" s="1"/>
      <c r="AZ25" s="1">
        <f>MAX($E25)</f>
        <v>0</v>
      </c>
      <c r="BA25" s="1">
        <f>MAX($F25)</f>
        <v>0</v>
      </c>
      <c r="BB25" s="1">
        <f>MAX($G25)</f>
        <v>0</v>
      </c>
      <c r="BC25" s="1"/>
      <c r="BD25" s="1"/>
      <c r="BE25" s="1">
        <f>MAX($J25)</f>
        <v>0</v>
      </c>
      <c r="BF25" s="1"/>
      <c r="BG25" s="1"/>
      <c r="BH25" s="1"/>
      <c r="BI25" s="1">
        <f>MAX($P25)</f>
        <v>0</v>
      </c>
      <c r="BJ25" s="1">
        <f>MAX($Q25)</f>
        <v>0</v>
      </c>
      <c r="BK25" s="1"/>
    </row>
    <row r="26" spans="1:63">
      <c r="A26" s="1" t="s">
        <v>23</v>
      </c>
      <c r="B26" s="1"/>
      <c r="C26" s="1"/>
      <c r="D26" s="1"/>
      <c r="E26" s="1">
        <v>1</v>
      </c>
      <c r="F26" s="1">
        <v>20328</v>
      </c>
      <c r="G26" s="1">
        <v>0</v>
      </c>
      <c r="H26" s="1"/>
      <c r="I26" s="1"/>
      <c r="J26" s="1">
        <v>12000</v>
      </c>
      <c r="K26" s="1"/>
      <c r="L26" s="1" t="s">
        <v>203</v>
      </c>
      <c r="M26" s="1"/>
      <c r="N26" s="1"/>
      <c r="O26" s="1"/>
      <c r="P26" s="1">
        <v>6000</v>
      </c>
      <c r="Q26" s="1">
        <v>1</v>
      </c>
      <c r="R26" s="1"/>
      <c r="S26" s="1"/>
      <c r="T26" s="1"/>
      <c r="U26" s="1"/>
      <c r="V26" s="1">
        <f>MIN($E26)</f>
        <v>0</v>
      </c>
      <c r="W26" s="1">
        <f>MIN($F26)</f>
        <v>0</v>
      </c>
      <c r="X26" s="1">
        <f>MIN($G26)</f>
        <v>0</v>
      </c>
      <c r="Y26" s="1"/>
      <c r="Z26" s="1"/>
      <c r="AA26" s="1">
        <f>MIN($J26)</f>
        <v>0</v>
      </c>
      <c r="AB26" s="1"/>
      <c r="AC26" s="1"/>
      <c r="AD26" s="1"/>
      <c r="AE26" s="1">
        <f>MIN($P26)</f>
        <v>0</v>
      </c>
      <c r="AF26" s="1">
        <f>MIN($Q26)</f>
        <v>0</v>
      </c>
      <c r="AG26" s="1"/>
      <c r="AH26" s="1"/>
      <c r="AI26" s="1"/>
      <c r="AJ26" s="1"/>
      <c r="AK26" s="1">
        <f>MEDIAN($E26)</f>
        <v>0</v>
      </c>
      <c r="AL26" s="1">
        <f>MEDIAN($F26)</f>
        <v>0</v>
      </c>
      <c r="AM26" s="1">
        <f>MEDIAN($G26)</f>
        <v>0</v>
      </c>
      <c r="AN26" s="1"/>
      <c r="AO26" s="1"/>
      <c r="AP26" s="1">
        <f>MEDIAN($J26)</f>
        <v>0</v>
      </c>
      <c r="AQ26" s="1"/>
      <c r="AR26" s="1"/>
      <c r="AS26" s="1"/>
      <c r="AT26" s="1">
        <f>MEDIAN($P26)</f>
        <v>0</v>
      </c>
      <c r="AU26" s="1">
        <f>MEDIAN($Q26)</f>
        <v>0</v>
      </c>
      <c r="AV26" s="1"/>
      <c r="AW26" s="1"/>
      <c r="AX26" s="1"/>
      <c r="AY26" s="1"/>
      <c r="AZ26" s="1">
        <f>MAX($E26)</f>
        <v>0</v>
      </c>
      <c r="BA26" s="1">
        <f>MAX($F26)</f>
        <v>0</v>
      </c>
      <c r="BB26" s="1">
        <f>MAX($G26)</f>
        <v>0</v>
      </c>
      <c r="BC26" s="1"/>
      <c r="BD26" s="1"/>
      <c r="BE26" s="1">
        <f>MAX($J26)</f>
        <v>0</v>
      </c>
      <c r="BF26" s="1"/>
      <c r="BG26" s="1"/>
      <c r="BH26" s="1"/>
      <c r="BI26" s="1">
        <f>MAX($P26)</f>
        <v>0</v>
      </c>
      <c r="BJ26" s="1">
        <f>MAX($Q26)</f>
        <v>0</v>
      </c>
      <c r="BK26" s="1"/>
    </row>
    <row r="27" spans="1:63">
      <c r="A27" s="1" t="s">
        <v>24</v>
      </c>
      <c r="B27" s="1"/>
      <c r="C27" s="1"/>
      <c r="D27" s="1"/>
      <c r="E27" s="1">
        <v>1</v>
      </c>
      <c r="F27" s="1">
        <v>15403</v>
      </c>
      <c r="G27" s="1">
        <v>0</v>
      </c>
      <c r="H27" s="1"/>
      <c r="I27" s="1"/>
      <c r="J27" s="1">
        <v>12000</v>
      </c>
      <c r="K27" s="1"/>
      <c r="L27" s="1" t="s">
        <v>203</v>
      </c>
      <c r="M27" s="1"/>
      <c r="N27" s="1"/>
      <c r="O27" s="1"/>
      <c r="P27" s="1">
        <v>6000</v>
      </c>
      <c r="Q27" s="1">
        <v>1</v>
      </c>
      <c r="R27" s="1"/>
      <c r="S27" s="1"/>
      <c r="T27" s="1"/>
      <c r="U27" s="1"/>
      <c r="V27" s="1">
        <f>MIN($E27)</f>
        <v>0</v>
      </c>
      <c r="W27" s="1">
        <f>MIN($F27)</f>
        <v>0</v>
      </c>
      <c r="X27" s="1">
        <f>MIN($G27)</f>
        <v>0</v>
      </c>
      <c r="Y27" s="1"/>
      <c r="Z27" s="1"/>
      <c r="AA27" s="1">
        <f>MIN($J27)</f>
        <v>0</v>
      </c>
      <c r="AB27" s="1"/>
      <c r="AC27" s="1"/>
      <c r="AD27" s="1"/>
      <c r="AE27" s="1">
        <f>MIN($P27)</f>
        <v>0</v>
      </c>
      <c r="AF27" s="1">
        <f>MIN($Q27)</f>
        <v>0</v>
      </c>
      <c r="AG27" s="1"/>
      <c r="AH27" s="1"/>
      <c r="AI27" s="1"/>
      <c r="AJ27" s="1"/>
      <c r="AK27" s="1">
        <f>MEDIAN($E27)</f>
        <v>0</v>
      </c>
      <c r="AL27" s="1">
        <f>MEDIAN($F27)</f>
        <v>0</v>
      </c>
      <c r="AM27" s="1">
        <f>MEDIAN($G27)</f>
        <v>0</v>
      </c>
      <c r="AN27" s="1"/>
      <c r="AO27" s="1"/>
      <c r="AP27" s="1">
        <f>MEDIAN($J27)</f>
        <v>0</v>
      </c>
      <c r="AQ27" s="1"/>
      <c r="AR27" s="1"/>
      <c r="AS27" s="1"/>
      <c r="AT27" s="1">
        <f>MEDIAN($P27)</f>
        <v>0</v>
      </c>
      <c r="AU27" s="1">
        <f>MEDIAN($Q27)</f>
        <v>0</v>
      </c>
      <c r="AV27" s="1"/>
      <c r="AW27" s="1"/>
      <c r="AX27" s="1"/>
      <c r="AY27" s="1"/>
      <c r="AZ27" s="1">
        <f>MAX($E27)</f>
        <v>0</v>
      </c>
      <c r="BA27" s="1">
        <f>MAX($F27)</f>
        <v>0</v>
      </c>
      <c r="BB27" s="1">
        <f>MAX($G27)</f>
        <v>0</v>
      </c>
      <c r="BC27" s="1"/>
      <c r="BD27" s="1"/>
      <c r="BE27" s="1">
        <f>MAX($J27)</f>
        <v>0</v>
      </c>
      <c r="BF27" s="1"/>
      <c r="BG27" s="1"/>
      <c r="BH27" s="1"/>
      <c r="BI27" s="1">
        <f>MAX($P27)</f>
        <v>0</v>
      </c>
      <c r="BJ27" s="1">
        <f>MAX($Q27)</f>
        <v>0</v>
      </c>
      <c r="BK27" s="1"/>
    </row>
    <row r="28" spans="1:63">
      <c r="A28" s="1" t="s">
        <v>25</v>
      </c>
      <c r="B28" s="1"/>
      <c r="C28" s="1"/>
      <c r="D28" s="1"/>
      <c r="E28" s="1">
        <v>1</v>
      </c>
      <c r="F28" s="1">
        <v>17610</v>
      </c>
      <c r="G28" s="1">
        <v>0</v>
      </c>
      <c r="H28" s="1"/>
      <c r="I28" s="1"/>
      <c r="J28" s="1">
        <v>12000</v>
      </c>
      <c r="K28" s="1"/>
      <c r="L28" s="1" t="s">
        <v>203</v>
      </c>
      <c r="M28" s="1"/>
      <c r="N28" s="1"/>
      <c r="O28" s="1"/>
      <c r="P28" s="1">
        <v>6000</v>
      </c>
      <c r="Q28" s="1">
        <v>1</v>
      </c>
      <c r="R28" s="1"/>
      <c r="S28" s="1"/>
      <c r="T28" s="1"/>
      <c r="U28" s="1"/>
      <c r="V28" s="1">
        <f>MIN($E28)</f>
        <v>0</v>
      </c>
      <c r="W28" s="1">
        <f>MIN($F28)</f>
        <v>0</v>
      </c>
      <c r="X28" s="1">
        <f>MIN($G28)</f>
        <v>0</v>
      </c>
      <c r="Y28" s="1"/>
      <c r="Z28" s="1"/>
      <c r="AA28" s="1">
        <f>MIN($J28)</f>
        <v>0</v>
      </c>
      <c r="AB28" s="1"/>
      <c r="AC28" s="1"/>
      <c r="AD28" s="1"/>
      <c r="AE28" s="1">
        <f>MIN($P28)</f>
        <v>0</v>
      </c>
      <c r="AF28" s="1">
        <f>MIN($Q28)</f>
        <v>0</v>
      </c>
      <c r="AG28" s="1"/>
      <c r="AH28" s="1"/>
      <c r="AI28" s="1"/>
      <c r="AJ28" s="1"/>
      <c r="AK28" s="1">
        <f>MEDIAN($E28)</f>
        <v>0</v>
      </c>
      <c r="AL28" s="1">
        <f>MEDIAN($F28)</f>
        <v>0</v>
      </c>
      <c r="AM28" s="1">
        <f>MEDIAN($G28)</f>
        <v>0</v>
      </c>
      <c r="AN28" s="1"/>
      <c r="AO28" s="1"/>
      <c r="AP28" s="1">
        <f>MEDIAN($J28)</f>
        <v>0</v>
      </c>
      <c r="AQ28" s="1"/>
      <c r="AR28" s="1"/>
      <c r="AS28" s="1"/>
      <c r="AT28" s="1">
        <f>MEDIAN($P28)</f>
        <v>0</v>
      </c>
      <c r="AU28" s="1">
        <f>MEDIAN($Q28)</f>
        <v>0</v>
      </c>
      <c r="AV28" s="1"/>
      <c r="AW28" s="1"/>
      <c r="AX28" s="1"/>
      <c r="AY28" s="1"/>
      <c r="AZ28" s="1">
        <f>MAX($E28)</f>
        <v>0</v>
      </c>
      <c r="BA28" s="1">
        <f>MAX($F28)</f>
        <v>0</v>
      </c>
      <c r="BB28" s="1">
        <f>MAX($G28)</f>
        <v>0</v>
      </c>
      <c r="BC28" s="1"/>
      <c r="BD28" s="1"/>
      <c r="BE28" s="1">
        <f>MAX($J28)</f>
        <v>0</v>
      </c>
      <c r="BF28" s="1"/>
      <c r="BG28" s="1"/>
      <c r="BH28" s="1"/>
      <c r="BI28" s="1">
        <f>MAX($P28)</f>
        <v>0</v>
      </c>
      <c r="BJ28" s="1">
        <f>MAX($Q28)</f>
        <v>0</v>
      </c>
      <c r="BK28" s="1"/>
    </row>
    <row r="29" spans="1:63">
      <c r="A29" s="1" t="s">
        <v>26</v>
      </c>
      <c r="B29" s="1"/>
      <c r="C29" s="1"/>
      <c r="D29" s="1"/>
      <c r="E29" s="1">
        <v>1</v>
      </c>
      <c r="F29" s="1">
        <v>22560</v>
      </c>
      <c r="G29" s="1">
        <v>0</v>
      </c>
      <c r="H29" s="1"/>
      <c r="I29" s="1"/>
      <c r="J29" s="1">
        <v>12000</v>
      </c>
      <c r="K29" s="1"/>
      <c r="L29" s="1" t="s">
        <v>203</v>
      </c>
      <c r="M29" s="1"/>
      <c r="N29" s="1"/>
      <c r="O29" s="1"/>
      <c r="P29" s="1">
        <v>6000</v>
      </c>
      <c r="Q29" s="1">
        <v>1</v>
      </c>
      <c r="R29" s="1"/>
      <c r="S29" s="1"/>
      <c r="T29" s="1"/>
      <c r="U29" s="1"/>
      <c r="V29" s="1">
        <f>MIN($E29)</f>
        <v>0</v>
      </c>
      <c r="W29" s="1">
        <f>MIN($F29)</f>
        <v>0</v>
      </c>
      <c r="X29" s="1">
        <f>MIN($G29)</f>
        <v>0</v>
      </c>
      <c r="Y29" s="1"/>
      <c r="Z29" s="1"/>
      <c r="AA29" s="1">
        <f>MIN($J29)</f>
        <v>0</v>
      </c>
      <c r="AB29" s="1"/>
      <c r="AC29" s="1"/>
      <c r="AD29" s="1"/>
      <c r="AE29" s="1">
        <f>MIN($P29)</f>
        <v>0</v>
      </c>
      <c r="AF29" s="1">
        <f>MIN($Q29)</f>
        <v>0</v>
      </c>
      <c r="AG29" s="1"/>
      <c r="AH29" s="1"/>
      <c r="AI29" s="1"/>
      <c r="AJ29" s="1"/>
      <c r="AK29" s="1">
        <f>MEDIAN($E29)</f>
        <v>0</v>
      </c>
      <c r="AL29" s="1">
        <f>MEDIAN($F29)</f>
        <v>0</v>
      </c>
      <c r="AM29" s="1">
        <f>MEDIAN($G29)</f>
        <v>0</v>
      </c>
      <c r="AN29" s="1"/>
      <c r="AO29" s="1"/>
      <c r="AP29" s="1">
        <f>MEDIAN($J29)</f>
        <v>0</v>
      </c>
      <c r="AQ29" s="1"/>
      <c r="AR29" s="1"/>
      <c r="AS29" s="1"/>
      <c r="AT29" s="1">
        <f>MEDIAN($P29)</f>
        <v>0</v>
      </c>
      <c r="AU29" s="1">
        <f>MEDIAN($Q29)</f>
        <v>0</v>
      </c>
      <c r="AV29" s="1"/>
      <c r="AW29" s="1"/>
      <c r="AX29" s="1"/>
      <c r="AY29" s="1"/>
      <c r="AZ29" s="1">
        <f>MAX($E29)</f>
        <v>0</v>
      </c>
      <c r="BA29" s="1">
        <f>MAX($F29)</f>
        <v>0</v>
      </c>
      <c r="BB29" s="1">
        <f>MAX($G29)</f>
        <v>0</v>
      </c>
      <c r="BC29" s="1"/>
      <c r="BD29" s="1"/>
      <c r="BE29" s="1">
        <f>MAX($J29)</f>
        <v>0</v>
      </c>
      <c r="BF29" s="1"/>
      <c r="BG29" s="1"/>
      <c r="BH29" s="1"/>
      <c r="BI29" s="1">
        <f>MAX($P29)</f>
        <v>0</v>
      </c>
      <c r="BJ29" s="1">
        <f>MAX($Q29)</f>
        <v>0</v>
      </c>
      <c r="BK29" s="1"/>
    </row>
    <row r="30" spans="1:63">
      <c r="A30" s="1" t="s">
        <v>27</v>
      </c>
      <c r="B30" s="1"/>
      <c r="C30" s="1"/>
      <c r="D30" s="1"/>
      <c r="E30" s="1">
        <v>1</v>
      </c>
      <c r="F30" s="1">
        <v>19054</v>
      </c>
      <c r="G30" s="1">
        <v>0</v>
      </c>
      <c r="H30" s="1"/>
      <c r="I30" s="1"/>
      <c r="J30" s="1">
        <v>12000</v>
      </c>
      <c r="K30" s="1"/>
      <c r="L30" s="1" t="s">
        <v>203</v>
      </c>
      <c r="M30" s="1"/>
      <c r="N30" s="1"/>
      <c r="O30" s="1"/>
      <c r="P30" s="1">
        <v>6000</v>
      </c>
      <c r="Q30" s="1">
        <v>1</v>
      </c>
      <c r="R30" s="1"/>
      <c r="S30" s="1"/>
      <c r="T30" s="1"/>
      <c r="U30" s="1"/>
      <c r="V30" s="1">
        <f>MIN($E30)</f>
        <v>0</v>
      </c>
      <c r="W30" s="1">
        <f>MIN($F30)</f>
        <v>0</v>
      </c>
      <c r="X30" s="1">
        <f>MIN($G30)</f>
        <v>0</v>
      </c>
      <c r="Y30" s="1"/>
      <c r="Z30" s="1"/>
      <c r="AA30" s="1">
        <f>MIN($J30)</f>
        <v>0</v>
      </c>
      <c r="AB30" s="1"/>
      <c r="AC30" s="1"/>
      <c r="AD30" s="1"/>
      <c r="AE30" s="1">
        <f>MIN($P30)</f>
        <v>0</v>
      </c>
      <c r="AF30" s="1">
        <f>MIN($Q30)</f>
        <v>0</v>
      </c>
      <c r="AG30" s="1"/>
      <c r="AH30" s="1"/>
      <c r="AI30" s="1"/>
      <c r="AJ30" s="1"/>
      <c r="AK30" s="1">
        <f>MEDIAN($E30)</f>
        <v>0</v>
      </c>
      <c r="AL30" s="1">
        <f>MEDIAN($F30)</f>
        <v>0</v>
      </c>
      <c r="AM30" s="1">
        <f>MEDIAN($G30)</f>
        <v>0</v>
      </c>
      <c r="AN30" s="1"/>
      <c r="AO30" s="1"/>
      <c r="AP30" s="1">
        <f>MEDIAN($J30)</f>
        <v>0</v>
      </c>
      <c r="AQ30" s="1"/>
      <c r="AR30" s="1"/>
      <c r="AS30" s="1"/>
      <c r="AT30" s="1">
        <f>MEDIAN($P30)</f>
        <v>0</v>
      </c>
      <c r="AU30" s="1">
        <f>MEDIAN($Q30)</f>
        <v>0</v>
      </c>
      <c r="AV30" s="1"/>
      <c r="AW30" s="1"/>
      <c r="AX30" s="1"/>
      <c r="AY30" s="1"/>
      <c r="AZ30" s="1">
        <f>MAX($E30)</f>
        <v>0</v>
      </c>
      <c r="BA30" s="1">
        <f>MAX($F30)</f>
        <v>0</v>
      </c>
      <c r="BB30" s="1">
        <f>MAX($G30)</f>
        <v>0</v>
      </c>
      <c r="BC30" s="1"/>
      <c r="BD30" s="1"/>
      <c r="BE30" s="1">
        <f>MAX($J30)</f>
        <v>0</v>
      </c>
      <c r="BF30" s="1"/>
      <c r="BG30" s="1"/>
      <c r="BH30" s="1"/>
      <c r="BI30" s="1">
        <f>MAX($P30)</f>
        <v>0</v>
      </c>
      <c r="BJ30" s="1">
        <f>MAX($Q30)</f>
        <v>0</v>
      </c>
      <c r="BK30" s="1"/>
    </row>
    <row r="31" spans="1:63">
      <c r="A31" s="1" t="s">
        <v>28</v>
      </c>
      <c r="B31" s="1"/>
      <c r="C31" s="1"/>
      <c r="D31" s="1"/>
      <c r="E31" s="1">
        <v>1</v>
      </c>
      <c r="F31" s="1">
        <v>16266</v>
      </c>
      <c r="G31" s="1">
        <v>0</v>
      </c>
      <c r="H31" s="1"/>
      <c r="I31" s="1"/>
      <c r="J31" s="1">
        <v>12000</v>
      </c>
      <c r="K31" s="1"/>
      <c r="L31" s="1" t="s">
        <v>203</v>
      </c>
      <c r="M31" s="1"/>
      <c r="N31" s="1"/>
      <c r="O31" s="1"/>
      <c r="P31" s="1">
        <v>6000</v>
      </c>
      <c r="Q31" s="1">
        <v>1</v>
      </c>
      <c r="R31" s="1"/>
      <c r="S31" s="1"/>
      <c r="T31" s="1"/>
      <c r="U31" s="1"/>
      <c r="V31" s="1">
        <f>MIN($E31)</f>
        <v>0</v>
      </c>
      <c r="W31" s="1">
        <f>MIN($F31)</f>
        <v>0</v>
      </c>
      <c r="X31" s="1">
        <f>MIN($G31)</f>
        <v>0</v>
      </c>
      <c r="Y31" s="1"/>
      <c r="Z31" s="1"/>
      <c r="AA31" s="1">
        <f>MIN($J31)</f>
        <v>0</v>
      </c>
      <c r="AB31" s="1"/>
      <c r="AC31" s="1"/>
      <c r="AD31" s="1"/>
      <c r="AE31" s="1">
        <f>MIN($P31)</f>
        <v>0</v>
      </c>
      <c r="AF31" s="1">
        <f>MIN($Q31)</f>
        <v>0</v>
      </c>
      <c r="AG31" s="1"/>
      <c r="AH31" s="1"/>
      <c r="AI31" s="1"/>
      <c r="AJ31" s="1"/>
      <c r="AK31" s="1">
        <f>MEDIAN($E31)</f>
        <v>0</v>
      </c>
      <c r="AL31" s="1">
        <f>MEDIAN($F31)</f>
        <v>0</v>
      </c>
      <c r="AM31" s="1">
        <f>MEDIAN($G31)</f>
        <v>0</v>
      </c>
      <c r="AN31" s="1"/>
      <c r="AO31" s="1"/>
      <c r="AP31" s="1">
        <f>MEDIAN($J31)</f>
        <v>0</v>
      </c>
      <c r="AQ31" s="1"/>
      <c r="AR31" s="1"/>
      <c r="AS31" s="1"/>
      <c r="AT31" s="1">
        <f>MEDIAN($P31)</f>
        <v>0</v>
      </c>
      <c r="AU31" s="1">
        <f>MEDIAN($Q31)</f>
        <v>0</v>
      </c>
      <c r="AV31" s="1"/>
      <c r="AW31" s="1"/>
      <c r="AX31" s="1"/>
      <c r="AY31" s="1"/>
      <c r="AZ31" s="1">
        <f>MAX($E31)</f>
        <v>0</v>
      </c>
      <c r="BA31" s="1">
        <f>MAX($F31)</f>
        <v>0</v>
      </c>
      <c r="BB31" s="1">
        <f>MAX($G31)</f>
        <v>0</v>
      </c>
      <c r="BC31" s="1"/>
      <c r="BD31" s="1"/>
      <c r="BE31" s="1">
        <f>MAX($J31)</f>
        <v>0</v>
      </c>
      <c r="BF31" s="1"/>
      <c r="BG31" s="1"/>
      <c r="BH31" s="1"/>
      <c r="BI31" s="1">
        <f>MAX($P31)</f>
        <v>0</v>
      </c>
      <c r="BJ31" s="1">
        <f>MAX($Q31)</f>
        <v>0</v>
      </c>
      <c r="BK31" s="1"/>
    </row>
    <row r="32" spans="1:63">
      <c r="A32" s="1" t="s">
        <v>29</v>
      </c>
      <c r="B32" s="1">
        <v>0</v>
      </c>
      <c r="C32" s="1">
        <v>0</v>
      </c>
      <c r="D32" s="1">
        <v>0</v>
      </c>
      <c r="E32" s="1">
        <v>0</v>
      </c>
      <c r="F32" s="1">
        <v>32183</v>
      </c>
      <c r="G32" s="1">
        <v>0</v>
      </c>
      <c r="H32" s="1">
        <v>0</v>
      </c>
      <c r="I32" s="1">
        <v>1128.406</v>
      </c>
      <c r="J32" s="1">
        <v>12000</v>
      </c>
      <c r="K32" s="1">
        <v>0</v>
      </c>
      <c r="L32" s="1" t="s">
        <v>205</v>
      </c>
      <c r="M32" s="1">
        <v>0</v>
      </c>
      <c r="N32" s="1">
        <v>0</v>
      </c>
      <c r="O32" s="1" t="s">
        <v>209</v>
      </c>
      <c r="P32" s="1">
        <v>6000</v>
      </c>
      <c r="Q32" s="1">
        <v>1</v>
      </c>
      <c r="R32" s="1">
        <v>0</v>
      </c>
      <c r="S32" s="1">
        <f>MIN($B32)</f>
        <v>0</v>
      </c>
      <c r="T32" s="1">
        <f>MIN($C32)</f>
        <v>0</v>
      </c>
      <c r="U32" s="1">
        <f>MIN($D32)</f>
        <v>0</v>
      </c>
      <c r="V32" s="1">
        <f>MIN($E32)</f>
        <v>0</v>
      </c>
      <c r="W32" s="1">
        <f>MIN($F32)</f>
        <v>0</v>
      </c>
      <c r="X32" s="1">
        <f>MIN($G32)</f>
        <v>0</v>
      </c>
      <c r="Y32" s="1">
        <f>MIN($H32)</f>
        <v>0</v>
      </c>
      <c r="Z32" s="1">
        <f>MIN($I32)</f>
        <v>0</v>
      </c>
      <c r="AA32" s="1">
        <f>MIN($J32)</f>
        <v>0</v>
      </c>
      <c r="AB32" s="1">
        <f>MIN($K32)</f>
        <v>0</v>
      </c>
      <c r="AC32" s="1">
        <f>MIN($M32)</f>
        <v>0</v>
      </c>
      <c r="AD32" s="1">
        <f>MIN($N32)</f>
        <v>0</v>
      </c>
      <c r="AE32" s="1">
        <f>MIN($P32)</f>
        <v>0</v>
      </c>
      <c r="AF32" s="1">
        <f>MIN($Q32)</f>
        <v>0</v>
      </c>
      <c r="AG32" s="1">
        <f>MIN($R32)</f>
        <v>0</v>
      </c>
      <c r="AH32" s="1">
        <f>MEDIAN($B32)</f>
        <v>0</v>
      </c>
      <c r="AI32" s="1">
        <f>MEDIAN($C32)</f>
        <v>0</v>
      </c>
      <c r="AJ32" s="1">
        <f>MEDIAN($D32)</f>
        <v>0</v>
      </c>
      <c r="AK32" s="1">
        <f>MEDIAN($E32)</f>
        <v>0</v>
      </c>
      <c r="AL32" s="1">
        <f>MEDIAN($F32)</f>
        <v>0</v>
      </c>
      <c r="AM32" s="1">
        <f>MEDIAN($G32)</f>
        <v>0</v>
      </c>
      <c r="AN32" s="1">
        <f>MEDIAN($H32)</f>
        <v>0</v>
      </c>
      <c r="AO32" s="1">
        <f>MEDIAN($I32)</f>
        <v>0</v>
      </c>
      <c r="AP32" s="1">
        <f>MEDIAN($J32)</f>
        <v>0</v>
      </c>
      <c r="AQ32" s="1">
        <f>MEDIAN($K32)</f>
        <v>0</v>
      </c>
      <c r="AR32" s="1">
        <f>MEDIAN($M32)</f>
        <v>0</v>
      </c>
      <c r="AS32" s="1">
        <f>MEDIAN($N32)</f>
        <v>0</v>
      </c>
      <c r="AT32" s="1">
        <f>MEDIAN($P32)</f>
        <v>0</v>
      </c>
      <c r="AU32" s="1">
        <f>MEDIAN($Q32)</f>
        <v>0</v>
      </c>
      <c r="AV32" s="1">
        <f>MEDIAN($R32)</f>
        <v>0</v>
      </c>
      <c r="AW32" s="1">
        <f>MAX($B32)</f>
        <v>0</v>
      </c>
      <c r="AX32" s="1">
        <f>MAX($C32)</f>
        <v>0</v>
      </c>
      <c r="AY32" s="1">
        <f>MAX($D32)</f>
        <v>0</v>
      </c>
      <c r="AZ32" s="1">
        <f>MAX($E32)</f>
        <v>0</v>
      </c>
      <c r="BA32" s="1">
        <f>MAX($F32)</f>
        <v>0</v>
      </c>
      <c r="BB32" s="1">
        <f>MAX($G32)</f>
        <v>0</v>
      </c>
      <c r="BC32" s="1">
        <f>MAX($H32)</f>
        <v>0</v>
      </c>
      <c r="BD32" s="1">
        <f>MAX($I32)</f>
        <v>0</v>
      </c>
      <c r="BE32" s="1">
        <f>MAX($J32)</f>
        <v>0</v>
      </c>
      <c r="BF32" s="1">
        <f>MAX($K32)</f>
        <v>0</v>
      </c>
      <c r="BG32" s="1">
        <f>MAX($M32)</f>
        <v>0</v>
      </c>
      <c r="BH32" s="1">
        <f>MAX($N32)</f>
        <v>0</v>
      </c>
      <c r="BI32" s="1">
        <f>MAX($P32)</f>
        <v>0</v>
      </c>
      <c r="BJ32" s="1">
        <f>MAX($Q32)</f>
        <v>0</v>
      </c>
      <c r="BK32" s="1">
        <f>MAX($R32)</f>
        <v>0</v>
      </c>
    </row>
    <row r="33" spans="1:63">
      <c r="A33" s="1" t="s">
        <v>30</v>
      </c>
      <c r="B33" s="1"/>
      <c r="C33" s="1"/>
      <c r="D33" s="1"/>
      <c r="E33" s="1">
        <v>1</v>
      </c>
      <c r="F33" s="1">
        <v>16708</v>
      </c>
      <c r="G33" s="1">
        <v>0</v>
      </c>
      <c r="H33" s="1"/>
      <c r="I33" s="1"/>
      <c r="J33" s="1">
        <v>12000</v>
      </c>
      <c r="K33" s="1"/>
      <c r="L33" s="1" t="s">
        <v>203</v>
      </c>
      <c r="M33" s="1"/>
      <c r="N33" s="1"/>
      <c r="O33" s="1"/>
      <c r="P33" s="1">
        <v>6000</v>
      </c>
      <c r="Q33" s="1">
        <v>1</v>
      </c>
      <c r="R33" s="1"/>
      <c r="S33" s="1"/>
      <c r="T33" s="1"/>
      <c r="U33" s="1"/>
      <c r="V33" s="1">
        <f>MIN($E33)</f>
        <v>0</v>
      </c>
      <c r="W33" s="1">
        <f>MIN($F33)</f>
        <v>0</v>
      </c>
      <c r="X33" s="1">
        <f>MIN($G33)</f>
        <v>0</v>
      </c>
      <c r="Y33" s="1"/>
      <c r="Z33" s="1"/>
      <c r="AA33" s="1">
        <f>MIN($J33)</f>
        <v>0</v>
      </c>
      <c r="AB33" s="1"/>
      <c r="AC33" s="1"/>
      <c r="AD33" s="1"/>
      <c r="AE33" s="1">
        <f>MIN($P33)</f>
        <v>0</v>
      </c>
      <c r="AF33" s="1">
        <f>MIN($Q33)</f>
        <v>0</v>
      </c>
      <c r="AG33" s="1"/>
      <c r="AH33" s="1"/>
      <c r="AI33" s="1"/>
      <c r="AJ33" s="1"/>
      <c r="AK33" s="1">
        <f>MEDIAN($E33)</f>
        <v>0</v>
      </c>
      <c r="AL33" s="1">
        <f>MEDIAN($F33)</f>
        <v>0</v>
      </c>
      <c r="AM33" s="1">
        <f>MEDIAN($G33)</f>
        <v>0</v>
      </c>
      <c r="AN33" s="1"/>
      <c r="AO33" s="1"/>
      <c r="AP33" s="1">
        <f>MEDIAN($J33)</f>
        <v>0</v>
      </c>
      <c r="AQ33" s="1"/>
      <c r="AR33" s="1"/>
      <c r="AS33" s="1"/>
      <c r="AT33" s="1">
        <f>MEDIAN($P33)</f>
        <v>0</v>
      </c>
      <c r="AU33" s="1">
        <f>MEDIAN($Q33)</f>
        <v>0</v>
      </c>
      <c r="AV33" s="1"/>
      <c r="AW33" s="1"/>
      <c r="AX33" s="1"/>
      <c r="AY33" s="1"/>
      <c r="AZ33" s="1">
        <f>MAX($E33)</f>
        <v>0</v>
      </c>
      <c r="BA33" s="1">
        <f>MAX($F33)</f>
        <v>0</v>
      </c>
      <c r="BB33" s="1">
        <f>MAX($G33)</f>
        <v>0</v>
      </c>
      <c r="BC33" s="1"/>
      <c r="BD33" s="1"/>
      <c r="BE33" s="1">
        <f>MAX($J33)</f>
        <v>0</v>
      </c>
      <c r="BF33" s="1"/>
      <c r="BG33" s="1"/>
      <c r="BH33" s="1"/>
      <c r="BI33" s="1">
        <f>MAX($P33)</f>
        <v>0</v>
      </c>
      <c r="BJ33" s="1">
        <f>MAX($Q33)</f>
        <v>0</v>
      </c>
      <c r="BK33" s="1"/>
    </row>
    <row r="34" spans="1:63">
      <c r="A34" s="1" t="s">
        <v>31</v>
      </c>
      <c r="B34" s="1"/>
      <c r="C34" s="1"/>
      <c r="D34" s="1"/>
      <c r="E34" s="1">
        <v>1</v>
      </c>
      <c r="F34" s="1">
        <v>16103</v>
      </c>
      <c r="G34" s="1">
        <v>0</v>
      </c>
      <c r="H34" s="1"/>
      <c r="I34" s="1"/>
      <c r="J34" s="1">
        <v>12000</v>
      </c>
      <c r="K34" s="1"/>
      <c r="L34" s="1" t="s">
        <v>203</v>
      </c>
      <c r="M34" s="1"/>
      <c r="N34" s="1"/>
      <c r="O34" s="1"/>
      <c r="P34" s="1">
        <v>6000</v>
      </c>
      <c r="Q34" s="1">
        <v>1</v>
      </c>
      <c r="R34" s="1"/>
      <c r="S34" s="1"/>
      <c r="T34" s="1"/>
      <c r="U34" s="1"/>
      <c r="V34" s="1">
        <f>MIN($E34)</f>
        <v>0</v>
      </c>
      <c r="W34" s="1">
        <f>MIN($F34)</f>
        <v>0</v>
      </c>
      <c r="X34" s="1">
        <f>MIN($G34)</f>
        <v>0</v>
      </c>
      <c r="Y34" s="1"/>
      <c r="Z34" s="1"/>
      <c r="AA34" s="1">
        <f>MIN($J34)</f>
        <v>0</v>
      </c>
      <c r="AB34" s="1"/>
      <c r="AC34" s="1"/>
      <c r="AD34" s="1"/>
      <c r="AE34" s="1">
        <f>MIN($P34)</f>
        <v>0</v>
      </c>
      <c r="AF34" s="1">
        <f>MIN($Q34)</f>
        <v>0</v>
      </c>
      <c r="AG34" s="1"/>
      <c r="AH34" s="1"/>
      <c r="AI34" s="1"/>
      <c r="AJ34" s="1"/>
      <c r="AK34" s="1">
        <f>MEDIAN($E34)</f>
        <v>0</v>
      </c>
      <c r="AL34" s="1">
        <f>MEDIAN($F34)</f>
        <v>0</v>
      </c>
      <c r="AM34" s="1">
        <f>MEDIAN($G34)</f>
        <v>0</v>
      </c>
      <c r="AN34" s="1"/>
      <c r="AO34" s="1"/>
      <c r="AP34" s="1">
        <f>MEDIAN($J34)</f>
        <v>0</v>
      </c>
      <c r="AQ34" s="1"/>
      <c r="AR34" s="1"/>
      <c r="AS34" s="1"/>
      <c r="AT34" s="1">
        <f>MEDIAN($P34)</f>
        <v>0</v>
      </c>
      <c r="AU34" s="1">
        <f>MEDIAN($Q34)</f>
        <v>0</v>
      </c>
      <c r="AV34" s="1"/>
      <c r="AW34" s="1"/>
      <c r="AX34" s="1"/>
      <c r="AY34" s="1"/>
      <c r="AZ34" s="1">
        <f>MAX($E34)</f>
        <v>0</v>
      </c>
      <c r="BA34" s="1">
        <f>MAX($F34)</f>
        <v>0</v>
      </c>
      <c r="BB34" s="1">
        <f>MAX($G34)</f>
        <v>0</v>
      </c>
      <c r="BC34" s="1"/>
      <c r="BD34" s="1"/>
      <c r="BE34" s="1">
        <f>MAX($J34)</f>
        <v>0</v>
      </c>
      <c r="BF34" s="1"/>
      <c r="BG34" s="1"/>
      <c r="BH34" s="1"/>
      <c r="BI34" s="1">
        <f>MAX($P34)</f>
        <v>0</v>
      </c>
      <c r="BJ34" s="1">
        <f>MAX($Q34)</f>
        <v>0</v>
      </c>
      <c r="BK34" s="1"/>
    </row>
    <row r="35" spans="1:63">
      <c r="A35" s="1" t="s">
        <v>32</v>
      </c>
      <c r="B35" s="1"/>
      <c r="C35" s="1"/>
      <c r="D35" s="1"/>
      <c r="E35" s="1">
        <v>1</v>
      </c>
      <c r="F35" s="1">
        <v>32887</v>
      </c>
      <c r="G35" s="1">
        <v>0</v>
      </c>
      <c r="H35" s="1"/>
      <c r="I35" s="1"/>
      <c r="J35" s="1">
        <v>12000</v>
      </c>
      <c r="K35" s="1"/>
      <c r="L35" s="1" t="s">
        <v>203</v>
      </c>
      <c r="M35" s="1"/>
      <c r="N35" s="1"/>
      <c r="O35" s="1"/>
      <c r="P35" s="1">
        <v>6000</v>
      </c>
      <c r="Q35" s="1">
        <v>1</v>
      </c>
      <c r="R35" s="1"/>
      <c r="S35" s="1"/>
      <c r="T35" s="1"/>
      <c r="U35" s="1"/>
      <c r="V35" s="1">
        <f>MIN($E35)</f>
        <v>0</v>
      </c>
      <c r="W35" s="1">
        <f>MIN($F35)</f>
        <v>0</v>
      </c>
      <c r="X35" s="1">
        <f>MIN($G35)</f>
        <v>0</v>
      </c>
      <c r="Y35" s="1"/>
      <c r="Z35" s="1"/>
      <c r="AA35" s="1">
        <f>MIN($J35)</f>
        <v>0</v>
      </c>
      <c r="AB35" s="1"/>
      <c r="AC35" s="1"/>
      <c r="AD35" s="1"/>
      <c r="AE35" s="1">
        <f>MIN($P35)</f>
        <v>0</v>
      </c>
      <c r="AF35" s="1">
        <f>MIN($Q35)</f>
        <v>0</v>
      </c>
      <c r="AG35" s="1"/>
      <c r="AH35" s="1"/>
      <c r="AI35" s="1"/>
      <c r="AJ35" s="1"/>
      <c r="AK35" s="1">
        <f>MEDIAN($E35)</f>
        <v>0</v>
      </c>
      <c r="AL35" s="1">
        <f>MEDIAN($F35)</f>
        <v>0</v>
      </c>
      <c r="AM35" s="1">
        <f>MEDIAN($G35)</f>
        <v>0</v>
      </c>
      <c r="AN35" s="1"/>
      <c r="AO35" s="1"/>
      <c r="AP35" s="1">
        <f>MEDIAN($J35)</f>
        <v>0</v>
      </c>
      <c r="AQ35" s="1"/>
      <c r="AR35" s="1"/>
      <c r="AS35" s="1"/>
      <c r="AT35" s="1">
        <f>MEDIAN($P35)</f>
        <v>0</v>
      </c>
      <c r="AU35" s="1">
        <f>MEDIAN($Q35)</f>
        <v>0</v>
      </c>
      <c r="AV35" s="1"/>
      <c r="AW35" s="1"/>
      <c r="AX35" s="1"/>
      <c r="AY35" s="1"/>
      <c r="AZ35" s="1">
        <f>MAX($E35)</f>
        <v>0</v>
      </c>
      <c r="BA35" s="1">
        <f>MAX($F35)</f>
        <v>0</v>
      </c>
      <c r="BB35" s="1">
        <f>MAX($G35)</f>
        <v>0</v>
      </c>
      <c r="BC35" s="1"/>
      <c r="BD35" s="1"/>
      <c r="BE35" s="1">
        <f>MAX($J35)</f>
        <v>0</v>
      </c>
      <c r="BF35" s="1"/>
      <c r="BG35" s="1"/>
      <c r="BH35" s="1"/>
      <c r="BI35" s="1">
        <f>MAX($P35)</f>
        <v>0</v>
      </c>
      <c r="BJ35" s="1">
        <f>MAX($Q35)</f>
        <v>0</v>
      </c>
      <c r="BK35" s="1"/>
    </row>
    <row r="36" spans="1:63">
      <c r="A36" s="1" t="s">
        <v>33</v>
      </c>
      <c r="B36" s="1"/>
      <c r="C36" s="1"/>
      <c r="D36" s="1"/>
      <c r="E36" s="1">
        <v>1</v>
      </c>
      <c r="F36" s="1">
        <v>17625</v>
      </c>
      <c r="G36" s="1">
        <v>0</v>
      </c>
      <c r="H36" s="1"/>
      <c r="I36" s="1"/>
      <c r="J36" s="1">
        <v>12000</v>
      </c>
      <c r="K36" s="1"/>
      <c r="L36" s="1" t="s">
        <v>203</v>
      </c>
      <c r="M36" s="1"/>
      <c r="N36" s="1"/>
      <c r="O36" s="1"/>
      <c r="P36" s="1">
        <v>6000</v>
      </c>
      <c r="Q36" s="1">
        <v>1</v>
      </c>
      <c r="R36" s="1"/>
      <c r="S36" s="1"/>
      <c r="T36" s="1"/>
      <c r="U36" s="1"/>
      <c r="V36" s="1">
        <f>MIN($E36)</f>
        <v>0</v>
      </c>
      <c r="W36" s="1">
        <f>MIN($F36)</f>
        <v>0</v>
      </c>
      <c r="X36" s="1">
        <f>MIN($G36)</f>
        <v>0</v>
      </c>
      <c r="Y36" s="1"/>
      <c r="Z36" s="1"/>
      <c r="AA36" s="1">
        <f>MIN($J36)</f>
        <v>0</v>
      </c>
      <c r="AB36" s="1"/>
      <c r="AC36" s="1"/>
      <c r="AD36" s="1"/>
      <c r="AE36" s="1">
        <f>MIN($P36)</f>
        <v>0</v>
      </c>
      <c r="AF36" s="1">
        <f>MIN($Q36)</f>
        <v>0</v>
      </c>
      <c r="AG36" s="1"/>
      <c r="AH36" s="1"/>
      <c r="AI36" s="1"/>
      <c r="AJ36" s="1"/>
      <c r="AK36" s="1">
        <f>MEDIAN($E36)</f>
        <v>0</v>
      </c>
      <c r="AL36" s="1">
        <f>MEDIAN($F36)</f>
        <v>0</v>
      </c>
      <c r="AM36" s="1">
        <f>MEDIAN($G36)</f>
        <v>0</v>
      </c>
      <c r="AN36" s="1"/>
      <c r="AO36" s="1"/>
      <c r="AP36" s="1">
        <f>MEDIAN($J36)</f>
        <v>0</v>
      </c>
      <c r="AQ36" s="1"/>
      <c r="AR36" s="1"/>
      <c r="AS36" s="1"/>
      <c r="AT36" s="1">
        <f>MEDIAN($P36)</f>
        <v>0</v>
      </c>
      <c r="AU36" s="1">
        <f>MEDIAN($Q36)</f>
        <v>0</v>
      </c>
      <c r="AV36" s="1"/>
      <c r="AW36" s="1"/>
      <c r="AX36" s="1"/>
      <c r="AY36" s="1"/>
      <c r="AZ36" s="1">
        <f>MAX($E36)</f>
        <v>0</v>
      </c>
      <c r="BA36" s="1">
        <f>MAX($F36)</f>
        <v>0</v>
      </c>
      <c r="BB36" s="1">
        <f>MAX($G36)</f>
        <v>0</v>
      </c>
      <c r="BC36" s="1"/>
      <c r="BD36" s="1"/>
      <c r="BE36" s="1">
        <f>MAX($J36)</f>
        <v>0</v>
      </c>
      <c r="BF36" s="1"/>
      <c r="BG36" s="1"/>
      <c r="BH36" s="1"/>
      <c r="BI36" s="1">
        <f>MAX($P36)</f>
        <v>0</v>
      </c>
      <c r="BJ36" s="1">
        <f>MAX($Q36)</f>
        <v>0</v>
      </c>
      <c r="BK36" s="1"/>
    </row>
    <row r="37" spans="1:63">
      <c r="A37" s="1" t="s">
        <v>34</v>
      </c>
      <c r="B37" s="1"/>
      <c r="C37" s="1"/>
      <c r="D37" s="1"/>
      <c r="E37" s="1">
        <v>1</v>
      </c>
      <c r="F37" s="1">
        <v>22702</v>
      </c>
      <c r="G37" s="1">
        <v>0</v>
      </c>
      <c r="H37" s="1"/>
      <c r="I37" s="1"/>
      <c r="J37" s="1">
        <v>12000</v>
      </c>
      <c r="K37" s="1"/>
      <c r="L37" s="1" t="s">
        <v>203</v>
      </c>
      <c r="M37" s="1"/>
      <c r="N37" s="1"/>
      <c r="O37" s="1"/>
      <c r="P37" s="1">
        <v>6000</v>
      </c>
      <c r="Q37" s="1">
        <v>1</v>
      </c>
      <c r="R37" s="1"/>
      <c r="S37" s="1"/>
      <c r="T37" s="1"/>
      <c r="U37" s="1"/>
      <c r="V37" s="1">
        <f>MIN($E37)</f>
        <v>0</v>
      </c>
      <c r="W37" s="1">
        <f>MIN($F37)</f>
        <v>0</v>
      </c>
      <c r="X37" s="1">
        <f>MIN($G37)</f>
        <v>0</v>
      </c>
      <c r="Y37" s="1"/>
      <c r="Z37" s="1"/>
      <c r="AA37" s="1">
        <f>MIN($J37)</f>
        <v>0</v>
      </c>
      <c r="AB37" s="1"/>
      <c r="AC37" s="1"/>
      <c r="AD37" s="1"/>
      <c r="AE37" s="1">
        <f>MIN($P37)</f>
        <v>0</v>
      </c>
      <c r="AF37" s="1">
        <f>MIN($Q37)</f>
        <v>0</v>
      </c>
      <c r="AG37" s="1"/>
      <c r="AH37" s="1"/>
      <c r="AI37" s="1"/>
      <c r="AJ37" s="1"/>
      <c r="AK37" s="1">
        <f>MEDIAN($E37)</f>
        <v>0</v>
      </c>
      <c r="AL37" s="1">
        <f>MEDIAN($F37)</f>
        <v>0</v>
      </c>
      <c r="AM37" s="1">
        <f>MEDIAN($G37)</f>
        <v>0</v>
      </c>
      <c r="AN37" s="1"/>
      <c r="AO37" s="1"/>
      <c r="AP37" s="1">
        <f>MEDIAN($J37)</f>
        <v>0</v>
      </c>
      <c r="AQ37" s="1"/>
      <c r="AR37" s="1"/>
      <c r="AS37" s="1"/>
      <c r="AT37" s="1">
        <f>MEDIAN($P37)</f>
        <v>0</v>
      </c>
      <c r="AU37" s="1">
        <f>MEDIAN($Q37)</f>
        <v>0</v>
      </c>
      <c r="AV37" s="1"/>
      <c r="AW37" s="1"/>
      <c r="AX37" s="1"/>
      <c r="AY37" s="1"/>
      <c r="AZ37" s="1">
        <f>MAX($E37)</f>
        <v>0</v>
      </c>
      <c r="BA37" s="1">
        <f>MAX($F37)</f>
        <v>0</v>
      </c>
      <c r="BB37" s="1">
        <f>MAX($G37)</f>
        <v>0</v>
      </c>
      <c r="BC37" s="1"/>
      <c r="BD37" s="1"/>
      <c r="BE37" s="1">
        <f>MAX($J37)</f>
        <v>0</v>
      </c>
      <c r="BF37" s="1"/>
      <c r="BG37" s="1"/>
      <c r="BH37" s="1"/>
      <c r="BI37" s="1">
        <f>MAX($P37)</f>
        <v>0</v>
      </c>
      <c r="BJ37" s="1">
        <f>MAX($Q37)</f>
        <v>0</v>
      </c>
      <c r="BK37" s="1"/>
    </row>
    <row r="38" spans="1:63">
      <c r="A38" s="1" t="s">
        <v>35</v>
      </c>
      <c r="B38" s="1">
        <v>310</v>
      </c>
      <c r="C38" s="1">
        <v>3</v>
      </c>
      <c r="D38" s="1">
        <v>7102198</v>
      </c>
      <c r="E38" s="1">
        <v>0</v>
      </c>
      <c r="F38" s="1">
        <v>937</v>
      </c>
      <c r="G38" s="1">
        <v>0</v>
      </c>
      <c r="H38" s="1">
        <v>1</v>
      </c>
      <c r="I38" s="1">
        <v>12.773</v>
      </c>
      <c r="J38" s="1">
        <v>13.22</v>
      </c>
      <c r="K38" s="1">
        <v>0</v>
      </c>
      <c r="L38" s="1" t="s">
        <v>205</v>
      </c>
      <c r="M38" s="1">
        <v>2226748</v>
      </c>
      <c r="N38" s="1">
        <v>0.38</v>
      </c>
      <c r="O38" s="1" t="s">
        <v>210</v>
      </c>
      <c r="P38" s="1">
        <v>13.22</v>
      </c>
      <c r="Q38" s="1">
        <v>0</v>
      </c>
      <c r="R38" s="1">
        <v>1928913</v>
      </c>
      <c r="S38" s="1">
        <f>MIN($B38)</f>
        <v>0</v>
      </c>
      <c r="T38" s="1">
        <f>MIN($C38)</f>
        <v>0</v>
      </c>
      <c r="U38" s="1">
        <f>MIN($D38)</f>
        <v>0</v>
      </c>
      <c r="V38" s="1">
        <f>MIN($E38)</f>
        <v>0</v>
      </c>
      <c r="W38" s="1">
        <f>MIN($F38)</f>
        <v>0</v>
      </c>
      <c r="X38" s="1">
        <f>MIN($G38)</f>
        <v>0</v>
      </c>
      <c r="Y38" s="1">
        <f>MIN($H38)</f>
        <v>0</v>
      </c>
      <c r="Z38" s="1">
        <f>MIN($I38)</f>
        <v>0</v>
      </c>
      <c r="AA38" s="1">
        <f>MIN($J38)</f>
        <v>0</v>
      </c>
      <c r="AB38" s="1">
        <f>MIN($K38)</f>
        <v>0</v>
      </c>
      <c r="AC38" s="1">
        <f>MIN($M38)</f>
        <v>0</v>
      </c>
      <c r="AD38" s="1">
        <f>MIN($N38)</f>
        <v>0</v>
      </c>
      <c r="AE38" s="1">
        <f>MIN($P38)</f>
        <v>0</v>
      </c>
      <c r="AF38" s="1">
        <f>MIN($Q38)</f>
        <v>0</v>
      </c>
      <c r="AG38" s="1">
        <f>MIN($R38)</f>
        <v>0</v>
      </c>
      <c r="AH38" s="1">
        <f>MEDIAN($B38)</f>
        <v>0</v>
      </c>
      <c r="AI38" s="1">
        <f>MEDIAN($C38)</f>
        <v>0</v>
      </c>
      <c r="AJ38" s="1">
        <f>MEDIAN($D38)</f>
        <v>0</v>
      </c>
      <c r="AK38" s="1">
        <f>MEDIAN($E38)</f>
        <v>0</v>
      </c>
      <c r="AL38" s="1">
        <f>MEDIAN($F38)</f>
        <v>0</v>
      </c>
      <c r="AM38" s="1">
        <f>MEDIAN($G38)</f>
        <v>0</v>
      </c>
      <c r="AN38" s="1">
        <f>MEDIAN($H38)</f>
        <v>0</v>
      </c>
      <c r="AO38" s="1">
        <f>MEDIAN($I38)</f>
        <v>0</v>
      </c>
      <c r="AP38" s="1">
        <f>MEDIAN($J38)</f>
        <v>0</v>
      </c>
      <c r="AQ38" s="1">
        <f>MEDIAN($K38)</f>
        <v>0</v>
      </c>
      <c r="AR38" s="1">
        <f>MEDIAN($M38)</f>
        <v>0</v>
      </c>
      <c r="AS38" s="1">
        <f>MEDIAN($N38)</f>
        <v>0</v>
      </c>
      <c r="AT38" s="1">
        <f>MEDIAN($P38)</f>
        <v>0</v>
      </c>
      <c r="AU38" s="1">
        <f>MEDIAN($Q38)</f>
        <v>0</v>
      </c>
      <c r="AV38" s="1">
        <f>MEDIAN($R38)</f>
        <v>0</v>
      </c>
      <c r="AW38" s="1">
        <f>MAX($B38)</f>
        <v>0</v>
      </c>
      <c r="AX38" s="1">
        <f>MAX($C38)</f>
        <v>0</v>
      </c>
      <c r="AY38" s="1">
        <f>MAX($D38)</f>
        <v>0</v>
      </c>
      <c r="AZ38" s="1">
        <f>MAX($E38)</f>
        <v>0</v>
      </c>
      <c r="BA38" s="1">
        <f>MAX($F38)</f>
        <v>0</v>
      </c>
      <c r="BB38" s="1">
        <f>MAX($G38)</f>
        <v>0</v>
      </c>
      <c r="BC38" s="1">
        <f>MAX($H38)</f>
        <v>0</v>
      </c>
      <c r="BD38" s="1">
        <f>MAX($I38)</f>
        <v>0</v>
      </c>
      <c r="BE38" s="1">
        <f>MAX($J38)</f>
        <v>0</v>
      </c>
      <c r="BF38" s="1">
        <f>MAX($K38)</f>
        <v>0</v>
      </c>
      <c r="BG38" s="1">
        <f>MAX($M38)</f>
        <v>0</v>
      </c>
      <c r="BH38" s="1">
        <f>MAX($N38)</f>
        <v>0</v>
      </c>
      <c r="BI38" s="1">
        <f>MAX($P38)</f>
        <v>0</v>
      </c>
      <c r="BJ38" s="1">
        <f>MAX($Q38)</f>
        <v>0</v>
      </c>
      <c r="BK38" s="1">
        <f>MAX($R38)</f>
        <v>0</v>
      </c>
    </row>
    <row r="39" spans="1:63">
      <c r="A39" s="1" t="s">
        <v>36</v>
      </c>
      <c r="B39" s="1">
        <v>111</v>
      </c>
      <c r="C39" s="1">
        <v>1</v>
      </c>
      <c r="D39" s="1">
        <v>8543417</v>
      </c>
      <c r="E39" s="1">
        <v>0</v>
      </c>
      <c r="F39" s="1">
        <v>1078</v>
      </c>
      <c r="G39" s="1">
        <v>0</v>
      </c>
      <c r="H39" s="1">
        <v>1</v>
      </c>
      <c r="I39" s="1">
        <v>14.003</v>
      </c>
      <c r="J39" s="1">
        <v>14.39</v>
      </c>
      <c r="K39" s="1">
        <v>0</v>
      </c>
      <c r="L39" s="1" t="s">
        <v>205</v>
      </c>
      <c r="M39" s="1">
        <v>2647983</v>
      </c>
      <c r="N39" s="1">
        <v>0.32</v>
      </c>
      <c r="O39" s="1" t="s">
        <v>210</v>
      </c>
      <c r="P39" s="1">
        <v>14.39</v>
      </c>
      <c r="Q39" s="1">
        <v>0</v>
      </c>
      <c r="R39" s="1">
        <v>2316712</v>
      </c>
      <c r="S39" s="1">
        <f>MIN($B39)</f>
        <v>0</v>
      </c>
      <c r="T39" s="1">
        <f>MIN($C39)</f>
        <v>0</v>
      </c>
      <c r="U39" s="1">
        <f>MIN($D39)</f>
        <v>0</v>
      </c>
      <c r="V39" s="1">
        <f>MIN($E39)</f>
        <v>0</v>
      </c>
      <c r="W39" s="1">
        <f>MIN($F39)</f>
        <v>0</v>
      </c>
      <c r="X39" s="1">
        <f>MIN($G39)</f>
        <v>0</v>
      </c>
      <c r="Y39" s="1">
        <f>MIN($H39)</f>
        <v>0</v>
      </c>
      <c r="Z39" s="1">
        <f>MIN($I39)</f>
        <v>0</v>
      </c>
      <c r="AA39" s="1">
        <f>MIN($J39)</f>
        <v>0</v>
      </c>
      <c r="AB39" s="1">
        <f>MIN($K39)</f>
        <v>0</v>
      </c>
      <c r="AC39" s="1">
        <f>MIN($M39)</f>
        <v>0</v>
      </c>
      <c r="AD39" s="1">
        <f>MIN($N39)</f>
        <v>0</v>
      </c>
      <c r="AE39" s="1">
        <f>MIN($P39)</f>
        <v>0</v>
      </c>
      <c r="AF39" s="1">
        <f>MIN($Q39)</f>
        <v>0</v>
      </c>
      <c r="AG39" s="1">
        <f>MIN($R39)</f>
        <v>0</v>
      </c>
      <c r="AH39" s="1">
        <f>MEDIAN($B39)</f>
        <v>0</v>
      </c>
      <c r="AI39" s="1">
        <f>MEDIAN($C39)</f>
        <v>0</v>
      </c>
      <c r="AJ39" s="1">
        <f>MEDIAN($D39)</f>
        <v>0</v>
      </c>
      <c r="AK39" s="1">
        <f>MEDIAN($E39)</f>
        <v>0</v>
      </c>
      <c r="AL39" s="1">
        <f>MEDIAN($F39)</f>
        <v>0</v>
      </c>
      <c r="AM39" s="1">
        <f>MEDIAN($G39)</f>
        <v>0</v>
      </c>
      <c r="AN39" s="1">
        <f>MEDIAN($H39)</f>
        <v>0</v>
      </c>
      <c r="AO39" s="1">
        <f>MEDIAN($I39)</f>
        <v>0</v>
      </c>
      <c r="AP39" s="1">
        <f>MEDIAN($J39)</f>
        <v>0</v>
      </c>
      <c r="AQ39" s="1">
        <f>MEDIAN($K39)</f>
        <v>0</v>
      </c>
      <c r="AR39" s="1">
        <f>MEDIAN($M39)</f>
        <v>0</v>
      </c>
      <c r="AS39" s="1">
        <f>MEDIAN($N39)</f>
        <v>0</v>
      </c>
      <c r="AT39" s="1">
        <f>MEDIAN($P39)</f>
        <v>0</v>
      </c>
      <c r="AU39" s="1">
        <f>MEDIAN($Q39)</f>
        <v>0</v>
      </c>
      <c r="AV39" s="1">
        <f>MEDIAN($R39)</f>
        <v>0</v>
      </c>
      <c r="AW39" s="1">
        <f>MAX($B39)</f>
        <v>0</v>
      </c>
      <c r="AX39" s="1">
        <f>MAX($C39)</f>
        <v>0</v>
      </c>
      <c r="AY39" s="1">
        <f>MAX($D39)</f>
        <v>0</v>
      </c>
      <c r="AZ39" s="1">
        <f>MAX($E39)</f>
        <v>0</v>
      </c>
      <c r="BA39" s="1">
        <f>MAX($F39)</f>
        <v>0</v>
      </c>
      <c r="BB39" s="1">
        <f>MAX($G39)</f>
        <v>0</v>
      </c>
      <c r="BC39" s="1">
        <f>MAX($H39)</f>
        <v>0</v>
      </c>
      <c r="BD39" s="1">
        <f>MAX($I39)</f>
        <v>0</v>
      </c>
      <c r="BE39" s="1">
        <f>MAX($J39)</f>
        <v>0</v>
      </c>
      <c r="BF39" s="1">
        <f>MAX($K39)</f>
        <v>0</v>
      </c>
      <c r="BG39" s="1">
        <f>MAX($M39)</f>
        <v>0</v>
      </c>
      <c r="BH39" s="1">
        <f>MAX($N39)</f>
        <v>0</v>
      </c>
      <c r="BI39" s="1">
        <f>MAX($P39)</f>
        <v>0</v>
      </c>
      <c r="BJ39" s="1">
        <f>MAX($Q39)</f>
        <v>0</v>
      </c>
      <c r="BK39" s="1">
        <f>MAX($R39)</f>
        <v>0</v>
      </c>
    </row>
    <row r="40" spans="1:63">
      <c r="A40" s="1" t="s">
        <v>37</v>
      </c>
      <c r="B40" s="1">
        <v>204</v>
      </c>
      <c r="C40" s="1">
        <v>0</v>
      </c>
      <c r="D40" s="1">
        <v>6899956</v>
      </c>
      <c r="E40" s="1">
        <v>0</v>
      </c>
      <c r="F40" s="1">
        <v>887</v>
      </c>
      <c r="G40" s="1">
        <v>0</v>
      </c>
      <c r="H40" s="1">
        <v>1</v>
      </c>
      <c r="I40" s="1">
        <v>12.29</v>
      </c>
      <c r="J40" s="1">
        <v>12.69</v>
      </c>
      <c r="K40" s="1">
        <v>0</v>
      </c>
      <c r="L40" s="1" t="s">
        <v>205</v>
      </c>
      <c r="M40" s="1">
        <v>2159094</v>
      </c>
      <c r="N40" s="1">
        <v>0.28</v>
      </c>
      <c r="O40" s="1" t="s">
        <v>210</v>
      </c>
      <c r="P40" s="1">
        <v>12.69</v>
      </c>
      <c r="Q40" s="1">
        <v>0</v>
      </c>
      <c r="R40" s="1">
        <v>1874437</v>
      </c>
      <c r="S40" s="1">
        <f>MIN($B40)</f>
        <v>0</v>
      </c>
      <c r="T40" s="1">
        <f>MIN($C40)</f>
        <v>0</v>
      </c>
      <c r="U40" s="1">
        <f>MIN($D40)</f>
        <v>0</v>
      </c>
      <c r="V40" s="1">
        <f>MIN($E40)</f>
        <v>0</v>
      </c>
      <c r="W40" s="1">
        <f>MIN($F40)</f>
        <v>0</v>
      </c>
      <c r="X40" s="1">
        <f>MIN($G40)</f>
        <v>0</v>
      </c>
      <c r="Y40" s="1">
        <f>MIN($H40)</f>
        <v>0</v>
      </c>
      <c r="Z40" s="1">
        <f>MIN($I40)</f>
        <v>0</v>
      </c>
      <c r="AA40" s="1">
        <f>MIN($J40)</f>
        <v>0</v>
      </c>
      <c r="AB40" s="1">
        <f>MIN($K40)</f>
        <v>0</v>
      </c>
      <c r="AC40" s="1">
        <f>MIN($M40)</f>
        <v>0</v>
      </c>
      <c r="AD40" s="1">
        <f>MIN($N40)</f>
        <v>0</v>
      </c>
      <c r="AE40" s="1">
        <f>MIN($P40)</f>
        <v>0</v>
      </c>
      <c r="AF40" s="1">
        <f>MIN($Q40)</f>
        <v>0</v>
      </c>
      <c r="AG40" s="1">
        <f>MIN($R40)</f>
        <v>0</v>
      </c>
      <c r="AH40" s="1">
        <f>MEDIAN($B40)</f>
        <v>0</v>
      </c>
      <c r="AI40" s="1">
        <f>MEDIAN($C40)</f>
        <v>0</v>
      </c>
      <c r="AJ40" s="1">
        <f>MEDIAN($D40)</f>
        <v>0</v>
      </c>
      <c r="AK40" s="1">
        <f>MEDIAN($E40)</f>
        <v>0</v>
      </c>
      <c r="AL40" s="1">
        <f>MEDIAN($F40)</f>
        <v>0</v>
      </c>
      <c r="AM40" s="1">
        <f>MEDIAN($G40)</f>
        <v>0</v>
      </c>
      <c r="AN40" s="1">
        <f>MEDIAN($H40)</f>
        <v>0</v>
      </c>
      <c r="AO40" s="1">
        <f>MEDIAN($I40)</f>
        <v>0</v>
      </c>
      <c r="AP40" s="1">
        <f>MEDIAN($J40)</f>
        <v>0</v>
      </c>
      <c r="AQ40" s="1">
        <f>MEDIAN($K40)</f>
        <v>0</v>
      </c>
      <c r="AR40" s="1">
        <f>MEDIAN($M40)</f>
        <v>0</v>
      </c>
      <c r="AS40" s="1">
        <f>MEDIAN($N40)</f>
        <v>0</v>
      </c>
      <c r="AT40" s="1">
        <f>MEDIAN($P40)</f>
        <v>0</v>
      </c>
      <c r="AU40" s="1">
        <f>MEDIAN($Q40)</f>
        <v>0</v>
      </c>
      <c r="AV40" s="1">
        <f>MEDIAN($R40)</f>
        <v>0</v>
      </c>
      <c r="AW40" s="1">
        <f>MAX($B40)</f>
        <v>0</v>
      </c>
      <c r="AX40" s="1">
        <f>MAX($C40)</f>
        <v>0</v>
      </c>
      <c r="AY40" s="1">
        <f>MAX($D40)</f>
        <v>0</v>
      </c>
      <c r="AZ40" s="1">
        <f>MAX($E40)</f>
        <v>0</v>
      </c>
      <c r="BA40" s="1">
        <f>MAX($F40)</f>
        <v>0</v>
      </c>
      <c r="BB40" s="1">
        <f>MAX($G40)</f>
        <v>0</v>
      </c>
      <c r="BC40" s="1">
        <f>MAX($H40)</f>
        <v>0</v>
      </c>
      <c r="BD40" s="1">
        <f>MAX($I40)</f>
        <v>0</v>
      </c>
      <c r="BE40" s="1">
        <f>MAX($J40)</f>
        <v>0</v>
      </c>
      <c r="BF40" s="1">
        <f>MAX($K40)</f>
        <v>0</v>
      </c>
      <c r="BG40" s="1">
        <f>MAX($M40)</f>
        <v>0</v>
      </c>
      <c r="BH40" s="1">
        <f>MAX($N40)</f>
        <v>0</v>
      </c>
      <c r="BI40" s="1">
        <f>MAX($P40)</f>
        <v>0</v>
      </c>
      <c r="BJ40" s="1">
        <f>MAX($Q40)</f>
        <v>0</v>
      </c>
      <c r="BK40" s="1">
        <f>MAX($R40)</f>
        <v>0</v>
      </c>
    </row>
    <row r="41" spans="1:63">
      <c r="A41" s="1" t="s">
        <v>38</v>
      </c>
      <c r="B41" s="1">
        <v>136</v>
      </c>
      <c r="C41" s="1">
        <v>1</v>
      </c>
      <c r="D41" s="1">
        <v>3463930</v>
      </c>
      <c r="E41" s="1">
        <v>0</v>
      </c>
      <c r="F41" s="1">
        <v>483</v>
      </c>
      <c r="G41" s="1">
        <v>0</v>
      </c>
      <c r="H41" s="1">
        <v>1</v>
      </c>
      <c r="I41" s="1">
        <v>6.197</v>
      </c>
      <c r="J41" s="1">
        <v>6.4</v>
      </c>
      <c r="K41" s="1">
        <v>0</v>
      </c>
      <c r="L41" s="1" t="s">
        <v>205</v>
      </c>
      <c r="M41" s="1">
        <v>1153167</v>
      </c>
      <c r="N41" s="1">
        <v>0.15</v>
      </c>
      <c r="O41" s="1" t="s">
        <v>210</v>
      </c>
      <c r="P41" s="1">
        <v>6.4</v>
      </c>
      <c r="Q41" s="1">
        <v>0</v>
      </c>
      <c r="R41" s="1">
        <v>959645</v>
      </c>
      <c r="S41" s="1">
        <f>MIN($B41)</f>
        <v>0</v>
      </c>
      <c r="T41" s="1">
        <f>MIN($C41)</f>
        <v>0</v>
      </c>
      <c r="U41" s="1">
        <f>MIN($D41)</f>
        <v>0</v>
      </c>
      <c r="V41" s="1">
        <f>MIN($E41)</f>
        <v>0</v>
      </c>
      <c r="W41" s="1">
        <f>MIN($F41)</f>
        <v>0</v>
      </c>
      <c r="X41" s="1">
        <f>MIN($G41)</f>
        <v>0</v>
      </c>
      <c r="Y41" s="1">
        <f>MIN($H41)</f>
        <v>0</v>
      </c>
      <c r="Z41" s="1">
        <f>MIN($I41)</f>
        <v>0</v>
      </c>
      <c r="AA41" s="1">
        <f>MIN($J41)</f>
        <v>0</v>
      </c>
      <c r="AB41" s="1">
        <f>MIN($K41)</f>
        <v>0</v>
      </c>
      <c r="AC41" s="1">
        <f>MIN($M41)</f>
        <v>0</v>
      </c>
      <c r="AD41" s="1">
        <f>MIN($N41)</f>
        <v>0</v>
      </c>
      <c r="AE41" s="1">
        <f>MIN($P41)</f>
        <v>0</v>
      </c>
      <c r="AF41" s="1">
        <f>MIN($Q41)</f>
        <v>0</v>
      </c>
      <c r="AG41" s="1">
        <f>MIN($R41)</f>
        <v>0</v>
      </c>
      <c r="AH41" s="1">
        <f>MEDIAN($B41)</f>
        <v>0</v>
      </c>
      <c r="AI41" s="1">
        <f>MEDIAN($C41)</f>
        <v>0</v>
      </c>
      <c r="AJ41" s="1">
        <f>MEDIAN($D41)</f>
        <v>0</v>
      </c>
      <c r="AK41" s="1">
        <f>MEDIAN($E41)</f>
        <v>0</v>
      </c>
      <c r="AL41" s="1">
        <f>MEDIAN($F41)</f>
        <v>0</v>
      </c>
      <c r="AM41" s="1">
        <f>MEDIAN($G41)</f>
        <v>0</v>
      </c>
      <c r="AN41" s="1">
        <f>MEDIAN($H41)</f>
        <v>0</v>
      </c>
      <c r="AO41" s="1">
        <f>MEDIAN($I41)</f>
        <v>0</v>
      </c>
      <c r="AP41" s="1">
        <f>MEDIAN($J41)</f>
        <v>0</v>
      </c>
      <c r="AQ41" s="1">
        <f>MEDIAN($K41)</f>
        <v>0</v>
      </c>
      <c r="AR41" s="1">
        <f>MEDIAN($M41)</f>
        <v>0</v>
      </c>
      <c r="AS41" s="1">
        <f>MEDIAN($N41)</f>
        <v>0</v>
      </c>
      <c r="AT41" s="1">
        <f>MEDIAN($P41)</f>
        <v>0</v>
      </c>
      <c r="AU41" s="1">
        <f>MEDIAN($Q41)</f>
        <v>0</v>
      </c>
      <c r="AV41" s="1">
        <f>MEDIAN($R41)</f>
        <v>0</v>
      </c>
      <c r="AW41" s="1">
        <f>MAX($B41)</f>
        <v>0</v>
      </c>
      <c r="AX41" s="1">
        <f>MAX($C41)</f>
        <v>0</v>
      </c>
      <c r="AY41" s="1">
        <f>MAX($D41)</f>
        <v>0</v>
      </c>
      <c r="AZ41" s="1">
        <f>MAX($E41)</f>
        <v>0</v>
      </c>
      <c r="BA41" s="1">
        <f>MAX($F41)</f>
        <v>0</v>
      </c>
      <c r="BB41" s="1">
        <f>MAX($G41)</f>
        <v>0</v>
      </c>
      <c r="BC41" s="1">
        <f>MAX($H41)</f>
        <v>0</v>
      </c>
      <c r="BD41" s="1">
        <f>MAX($I41)</f>
        <v>0</v>
      </c>
      <c r="BE41" s="1">
        <f>MAX($J41)</f>
        <v>0</v>
      </c>
      <c r="BF41" s="1">
        <f>MAX($K41)</f>
        <v>0</v>
      </c>
      <c r="BG41" s="1">
        <f>MAX($M41)</f>
        <v>0</v>
      </c>
      <c r="BH41" s="1">
        <f>MAX($N41)</f>
        <v>0</v>
      </c>
      <c r="BI41" s="1">
        <f>MAX($P41)</f>
        <v>0</v>
      </c>
      <c r="BJ41" s="1">
        <f>MAX($Q41)</f>
        <v>0</v>
      </c>
      <c r="BK41" s="1">
        <f>MAX($R41)</f>
        <v>0</v>
      </c>
    </row>
    <row r="42" spans="1:63">
      <c r="A42" s="1" t="s">
        <v>39</v>
      </c>
      <c r="B42" s="1">
        <v>182</v>
      </c>
      <c r="C42" s="1">
        <v>0</v>
      </c>
      <c r="D42" s="1">
        <v>5668059</v>
      </c>
      <c r="E42" s="1">
        <v>0</v>
      </c>
      <c r="F42" s="1">
        <v>761</v>
      </c>
      <c r="G42" s="1">
        <v>0</v>
      </c>
      <c r="H42" s="1">
        <v>1</v>
      </c>
      <c r="I42" s="1">
        <v>10.33</v>
      </c>
      <c r="J42" s="1">
        <v>10.68</v>
      </c>
      <c r="K42" s="1">
        <v>0</v>
      </c>
      <c r="L42" s="1" t="s">
        <v>205</v>
      </c>
      <c r="M42" s="1">
        <v>1802362</v>
      </c>
      <c r="N42" s="1">
        <v>0.28</v>
      </c>
      <c r="O42" s="1" t="s">
        <v>210</v>
      </c>
      <c r="P42" s="1">
        <v>10.68</v>
      </c>
      <c r="Q42" s="1">
        <v>0</v>
      </c>
      <c r="R42" s="1">
        <v>1550342</v>
      </c>
      <c r="S42" s="1">
        <f>MIN($B42)</f>
        <v>0</v>
      </c>
      <c r="T42" s="1">
        <f>MIN($C42)</f>
        <v>0</v>
      </c>
      <c r="U42" s="1">
        <f>MIN($D42)</f>
        <v>0</v>
      </c>
      <c r="V42" s="1">
        <f>MIN($E42)</f>
        <v>0</v>
      </c>
      <c r="W42" s="1">
        <f>MIN($F42)</f>
        <v>0</v>
      </c>
      <c r="X42" s="1">
        <f>MIN($G42)</f>
        <v>0</v>
      </c>
      <c r="Y42" s="1">
        <f>MIN($H42)</f>
        <v>0</v>
      </c>
      <c r="Z42" s="1">
        <f>MIN($I42)</f>
        <v>0</v>
      </c>
      <c r="AA42" s="1">
        <f>MIN($J42)</f>
        <v>0</v>
      </c>
      <c r="AB42" s="1">
        <f>MIN($K42)</f>
        <v>0</v>
      </c>
      <c r="AC42" s="1">
        <f>MIN($M42)</f>
        <v>0</v>
      </c>
      <c r="AD42" s="1">
        <f>MIN($N42)</f>
        <v>0</v>
      </c>
      <c r="AE42" s="1">
        <f>MIN($P42)</f>
        <v>0</v>
      </c>
      <c r="AF42" s="1">
        <f>MIN($Q42)</f>
        <v>0</v>
      </c>
      <c r="AG42" s="1">
        <f>MIN($R42)</f>
        <v>0</v>
      </c>
      <c r="AH42" s="1">
        <f>MEDIAN($B42)</f>
        <v>0</v>
      </c>
      <c r="AI42" s="1">
        <f>MEDIAN($C42)</f>
        <v>0</v>
      </c>
      <c r="AJ42" s="1">
        <f>MEDIAN($D42)</f>
        <v>0</v>
      </c>
      <c r="AK42" s="1">
        <f>MEDIAN($E42)</f>
        <v>0</v>
      </c>
      <c r="AL42" s="1">
        <f>MEDIAN($F42)</f>
        <v>0</v>
      </c>
      <c r="AM42" s="1">
        <f>MEDIAN($G42)</f>
        <v>0</v>
      </c>
      <c r="AN42" s="1">
        <f>MEDIAN($H42)</f>
        <v>0</v>
      </c>
      <c r="AO42" s="1">
        <f>MEDIAN($I42)</f>
        <v>0</v>
      </c>
      <c r="AP42" s="1">
        <f>MEDIAN($J42)</f>
        <v>0</v>
      </c>
      <c r="AQ42" s="1">
        <f>MEDIAN($K42)</f>
        <v>0</v>
      </c>
      <c r="AR42" s="1">
        <f>MEDIAN($M42)</f>
        <v>0</v>
      </c>
      <c r="AS42" s="1">
        <f>MEDIAN($N42)</f>
        <v>0</v>
      </c>
      <c r="AT42" s="1">
        <f>MEDIAN($P42)</f>
        <v>0</v>
      </c>
      <c r="AU42" s="1">
        <f>MEDIAN($Q42)</f>
        <v>0</v>
      </c>
      <c r="AV42" s="1">
        <f>MEDIAN($R42)</f>
        <v>0</v>
      </c>
      <c r="AW42" s="1">
        <f>MAX($B42)</f>
        <v>0</v>
      </c>
      <c r="AX42" s="1">
        <f>MAX($C42)</f>
        <v>0</v>
      </c>
      <c r="AY42" s="1">
        <f>MAX($D42)</f>
        <v>0</v>
      </c>
      <c r="AZ42" s="1">
        <f>MAX($E42)</f>
        <v>0</v>
      </c>
      <c r="BA42" s="1">
        <f>MAX($F42)</f>
        <v>0</v>
      </c>
      <c r="BB42" s="1">
        <f>MAX($G42)</f>
        <v>0</v>
      </c>
      <c r="BC42" s="1">
        <f>MAX($H42)</f>
        <v>0</v>
      </c>
      <c r="BD42" s="1">
        <f>MAX($I42)</f>
        <v>0</v>
      </c>
      <c r="BE42" s="1">
        <f>MAX($J42)</f>
        <v>0</v>
      </c>
      <c r="BF42" s="1">
        <f>MAX($K42)</f>
        <v>0</v>
      </c>
      <c r="BG42" s="1">
        <f>MAX($M42)</f>
        <v>0</v>
      </c>
      <c r="BH42" s="1">
        <f>MAX($N42)</f>
        <v>0</v>
      </c>
      <c r="BI42" s="1">
        <f>MAX($P42)</f>
        <v>0</v>
      </c>
      <c r="BJ42" s="1">
        <f>MAX($Q42)</f>
        <v>0</v>
      </c>
      <c r="BK42" s="1">
        <f>MAX($R42)</f>
        <v>0</v>
      </c>
    </row>
    <row r="43" spans="1:63">
      <c r="A43" s="1" t="s">
        <v>40</v>
      </c>
      <c r="B43" s="1">
        <v>140</v>
      </c>
      <c r="C43" s="1">
        <v>2</v>
      </c>
      <c r="D43" s="1">
        <v>14828108</v>
      </c>
      <c r="E43" s="1">
        <v>0</v>
      </c>
      <c r="F43" s="1">
        <v>1710</v>
      </c>
      <c r="G43" s="1">
        <v>0</v>
      </c>
      <c r="H43" s="1">
        <v>1</v>
      </c>
      <c r="I43" s="1">
        <v>22.798</v>
      </c>
      <c r="J43" s="1">
        <v>23.48</v>
      </c>
      <c r="K43" s="1">
        <v>0</v>
      </c>
      <c r="L43" s="1" t="s">
        <v>205</v>
      </c>
      <c r="M43" s="1">
        <v>4323317</v>
      </c>
      <c r="N43" s="1">
        <v>0.62</v>
      </c>
      <c r="O43" s="1" t="s">
        <v>210</v>
      </c>
      <c r="P43" s="1">
        <v>23.48</v>
      </c>
      <c r="Q43" s="1">
        <v>0</v>
      </c>
      <c r="R43" s="1">
        <v>3919577</v>
      </c>
      <c r="S43" s="1">
        <f>MIN($B43)</f>
        <v>0</v>
      </c>
      <c r="T43" s="1">
        <f>MIN($C43)</f>
        <v>0</v>
      </c>
      <c r="U43" s="1">
        <f>MIN($D43)</f>
        <v>0</v>
      </c>
      <c r="V43" s="1">
        <f>MIN($E43)</f>
        <v>0</v>
      </c>
      <c r="W43" s="1">
        <f>MIN($F43)</f>
        <v>0</v>
      </c>
      <c r="X43" s="1">
        <f>MIN($G43)</f>
        <v>0</v>
      </c>
      <c r="Y43" s="1">
        <f>MIN($H43)</f>
        <v>0</v>
      </c>
      <c r="Z43" s="1">
        <f>MIN($I43)</f>
        <v>0</v>
      </c>
      <c r="AA43" s="1">
        <f>MIN($J43)</f>
        <v>0</v>
      </c>
      <c r="AB43" s="1">
        <f>MIN($K43)</f>
        <v>0</v>
      </c>
      <c r="AC43" s="1">
        <f>MIN($M43)</f>
        <v>0</v>
      </c>
      <c r="AD43" s="1">
        <f>MIN($N43)</f>
        <v>0</v>
      </c>
      <c r="AE43" s="1">
        <f>MIN($P43)</f>
        <v>0</v>
      </c>
      <c r="AF43" s="1">
        <f>MIN($Q43)</f>
        <v>0</v>
      </c>
      <c r="AG43" s="1">
        <f>MIN($R43)</f>
        <v>0</v>
      </c>
      <c r="AH43" s="1">
        <f>MEDIAN($B43)</f>
        <v>0</v>
      </c>
      <c r="AI43" s="1">
        <f>MEDIAN($C43)</f>
        <v>0</v>
      </c>
      <c r="AJ43" s="1">
        <f>MEDIAN($D43)</f>
        <v>0</v>
      </c>
      <c r="AK43" s="1">
        <f>MEDIAN($E43)</f>
        <v>0</v>
      </c>
      <c r="AL43" s="1">
        <f>MEDIAN($F43)</f>
        <v>0</v>
      </c>
      <c r="AM43" s="1">
        <f>MEDIAN($G43)</f>
        <v>0</v>
      </c>
      <c r="AN43" s="1">
        <f>MEDIAN($H43)</f>
        <v>0</v>
      </c>
      <c r="AO43" s="1">
        <f>MEDIAN($I43)</f>
        <v>0</v>
      </c>
      <c r="AP43" s="1">
        <f>MEDIAN($J43)</f>
        <v>0</v>
      </c>
      <c r="AQ43" s="1">
        <f>MEDIAN($K43)</f>
        <v>0</v>
      </c>
      <c r="AR43" s="1">
        <f>MEDIAN($M43)</f>
        <v>0</v>
      </c>
      <c r="AS43" s="1">
        <f>MEDIAN($N43)</f>
        <v>0</v>
      </c>
      <c r="AT43" s="1">
        <f>MEDIAN($P43)</f>
        <v>0</v>
      </c>
      <c r="AU43" s="1">
        <f>MEDIAN($Q43)</f>
        <v>0</v>
      </c>
      <c r="AV43" s="1">
        <f>MEDIAN($R43)</f>
        <v>0</v>
      </c>
      <c r="AW43" s="1">
        <f>MAX($B43)</f>
        <v>0</v>
      </c>
      <c r="AX43" s="1">
        <f>MAX($C43)</f>
        <v>0</v>
      </c>
      <c r="AY43" s="1">
        <f>MAX($D43)</f>
        <v>0</v>
      </c>
      <c r="AZ43" s="1">
        <f>MAX($E43)</f>
        <v>0</v>
      </c>
      <c r="BA43" s="1">
        <f>MAX($F43)</f>
        <v>0</v>
      </c>
      <c r="BB43" s="1">
        <f>MAX($G43)</f>
        <v>0</v>
      </c>
      <c r="BC43" s="1">
        <f>MAX($H43)</f>
        <v>0</v>
      </c>
      <c r="BD43" s="1">
        <f>MAX($I43)</f>
        <v>0</v>
      </c>
      <c r="BE43" s="1">
        <f>MAX($J43)</f>
        <v>0</v>
      </c>
      <c r="BF43" s="1">
        <f>MAX($K43)</f>
        <v>0</v>
      </c>
      <c r="BG43" s="1">
        <f>MAX($M43)</f>
        <v>0</v>
      </c>
      <c r="BH43" s="1">
        <f>MAX($N43)</f>
        <v>0</v>
      </c>
      <c r="BI43" s="1">
        <f>MAX($P43)</f>
        <v>0</v>
      </c>
      <c r="BJ43" s="1">
        <f>MAX($Q43)</f>
        <v>0</v>
      </c>
      <c r="BK43" s="1">
        <f>MAX($R43)</f>
        <v>0</v>
      </c>
    </row>
    <row r="44" spans="1:63">
      <c r="A44" s="1" t="s">
        <v>41</v>
      </c>
      <c r="B44" s="1">
        <v>87</v>
      </c>
      <c r="C44" s="1">
        <v>0</v>
      </c>
      <c r="D44" s="1">
        <v>12722180</v>
      </c>
      <c r="E44" s="1">
        <v>0</v>
      </c>
      <c r="F44" s="1">
        <v>1526</v>
      </c>
      <c r="G44" s="1">
        <v>0</v>
      </c>
      <c r="H44" s="1">
        <v>1</v>
      </c>
      <c r="I44" s="1">
        <v>19.434</v>
      </c>
      <c r="J44" s="1">
        <v>20.05</v>
      </c>
      <c r="K44" s="1">
        <v>0</v>
      </c>
      <c r="L44" s="1" t="s">
        <v>205</v>
      </c>
      <c r="M44" s="1">
        <v>3759469</v>
      </c>
      <c r="N44" s="1">
        <v>0.5</v>
      </c>
      <c r="O44" s="1" t="s">
        <v>210</v>
      </c>
      <c r="P44" s="1">
        <v>20.05</v>
      </c>
      <c r="Q44" s="1">
        <v>0</v>
      </c>
      <c r="R44" s="1">
        <v>3380712</v>
      </c>
      <c r="S44" s="1">
        <f>MIN($B44)</f>
        <v>0</v>
      </c>
      <c r="T44" s="1">
        <f>MIN($C44)</f>
        <v>0</v>
      </c>
      <c r="U44" s="1">
        <f>MIN($D44)</f>
        <v>0</v>
      </c>
      <c r="V44" s="1">
        <f>MIN($E44)</f>
        <v>0</v>
      </c>
      <c r="W44" s="1">
        <f>MIN($F44)</f>
        <v>0</v>
      </c>
      <c r="X44" s="1">
        <f>MIN($G44)</f>
        <v>0</v>
      </c>
      <c r="Y44" s="1">
        <f>MIN($H44)</f>
        <v>0</v>
      </c>
      <c r="Z44" s="1">
        <f>MIN($I44)</f>
        <v>0</v>
      </c>
      <c r="AA44" s="1">
        <f>MIN($J44)</f>
        <v>0</v>
      </c>
      <c r="AB44" s="1">
        <f>MIN($K44)</f>
        <v>0</v>
      </c>
      <c r="AC44" s="1">
        <f>MIN($M44)</f>
        <v>0</v>
      </c>
      <c r="AD44" s="1">
        <f>MIN($N44)</f>
        <v>0</v>
      </c>
      <c r="AE44" s="1">
        <f>MIN($P44)</f>
        <v>0</v>
      </c>
      <c r="AF44" s="1">
        <f>MIN($Q44)</f>
        <v>0</v>
      </c>
      <c r="AG44" s="1">
        <f>MIN($R44)</f>
        <v>0</v>
      </c>
      <c r="AH44" s="1">
        <f>MEDIAN($B44)</f>
        <v>0</v>
      </c>
      <c r="AI44" s="1">
        <f>MEDIAN($C44)</f>
        <v>0</v>
      </c>
      <c r="AJ44" s="1">
        <f>MEDIAN($D44)</f>
        <v>0</v>
      </c>
      <c r="AK44" s="1">
        <f>MEDIAN($E44)</f>
        <v>0</v>
      </c>
      <c r="AL44" s="1">
        <f>MEDIAN($F44)</f>
        <v>0</v>
      </c>
      <c r="AM44" s="1">
        <f>MEDIAN($G44)</f>
        <v>0</v>
      </c>
      <c r="AN44" s="1">
        <f>MEDIAN($H44)</f>
        <v>0</v>
      </c>
      <c r="AO44" s="1">
        <f>MEDIAN($I44)</f>
        <v>0</v>
      </c>
      <c r="AP44" s="1">
        <f>MEDIAN($J44)</f>
        <v>0</v>
      </c>
      <c r="AQ44" s="1">
        <f>MEDIAN($K44)</f>
        <v>0</v>
      </c>
      <c r="AR44" s="1">
        <f>MEDIAN($M44)</f>
        <v>0</v>
      </c>
      <c r="AS44" s="1">
        <f>MEDIAN($N44)</f>
        <v>0</v>
      </c>
      <c r="AT44" s="1">
        <f>MEDIAN($P44)</f>
        <v>0</v>
      </c>
      <c r="AU44" s="1">
        <f>MEDIAN($Q44)</f>
        <v>0</v>
      </c>
      <c r="AV44" s="1">
        <f>MEDIAN($R44)</f>
        <v>0</v>
      </c>
      <c r="AW44" s="1">
        <f>MAX($B44)</f>
        <v>0</v>
      </c>
      <c r="AX44" s="1">
        <f>MAX($C44)</f>
        <v>0</v>
      </c>
      <c r="AY44" s="1">
        <f>MAX($D44)</f>
        <v>0</v>
      </c>
      <c r="AZ44" s="1">
        <f>MAX($E44)</f>
        <v>0</v>
      </c>
      <c r="BA44" s="1">
        <f>MAX($F44)</f>
        <v>0</v>
      </c>
      <c r="BB44" s="1">
        <f>MAX($G44)</f>
        <v>0</v>
      </c>
      <c r="BC44" s="1">
        <f>MAX($H44)</f>
        <v>0</v>
      </c>
      <c r="BD44" s="1">
        <f>MAX($I44)</f>
        <v>0</v>
      </c>
      <c r="BE44" s="1">
        <f>MAX($J44)</f>
        <v>0</v>
      </c>
      <c r="BF44" s="1">
        <f>MAX($K44)</f>
        <v>0</v>
      </c>
      <c r="BG44" s="1">
        <f>MAX($M44)</f>
        <v>0</v>
      </c>
      <c r="BH44" s="1">
        <f>MAX($N44)</f>
        <v>0</v>
      </c>
      <c r="BI44" s="1">
        <f>MAX($P44)</f>
        <v>0</v>
      </c>
      <c r="BJ44" s="1">
        <f>MAX($Q44)</f>
        <v>0</v>
      </c>
      <c r="BK44" s="1">
        <f>MAX($R44)</f>
        <v>0</v>
      </c>
    </row>
    <row r="45" spans="1:63">
      <c r="A45" s="1" t="s">
        <v>42</v>
      </c>
      <c r="B45" s="1">
        <v>192</v>
      </c>
      <c r="C45" s="1">
        <v>0</v>
      </c>
      <c r="D45" s="1">
        <v>44526840</v>
      </c>
      <c r="E45" s="1">
        <v>0</v>
      </c>
      <c r="F45" s="1">
        <v>4845</v>
      </c>
      <c r="G45" s="1">
        <v>0</v>
      </c>
      <c r="H45" s="1">
        <v>1</v>
      </c>
      <c r="I45" s="1">
        <v>70.015</v>
      </c>
      <c r="J45" s="1">
        <v>71.54000000000001</v>
      </c>
      <c r="K45" s="1">
        <v>0</v>
      </c>
      <c r="L45" s="1" t="s">
        <v>205</v>
      </c>
      <c r="M45" s="1">
        <v>12615265</v>
      </c>
      <c r="N45" s="1">
        <v>2.03</v>
      </c>
      <c r="O45" s="1" t="s">
        <v>210</v>
      </c>
      <c r="P45" s="1">
        <v>71.54000000000001</v>
      </c>
      <c r="Q45" s="1">
        <v>0</v>
      </c>
      <c r="R45" s="1">
        <v>11683245</v>
      </c>
      <c r="S45" s="1">
        <f>MIN($B45)</f>
        <v>0</v>
      </c>
      <c r="T45" s="1">
        <f>MIN($C45)</f>
        <v>0</v>
      </c>
      <c r="U45" s="1">
        <f>MIN($D45)</f>
        <v>0</v>
      </c>
      <c r="V45" s="1">
        <f>MIN($E45)</f>
        <v>0</v>
      </c>
      <c r="W45" s="1">
        <f>MIN($F45)</f>
        <v>0</v>
      </c>
      <c r="X45" s="1">
        <f>MIN($G45)</f>
        <v>0</v>
      </c>
      <c r="Y45" s="1">
        <f>MIN($H45)</f>
        <v>0</v>
      </c>
      <c r="Z45" s="1">
        <f>MIN($I45)</f>
        <v>0</v>
      </c>
      <c r="AA45" s="1">
        <f>MIN($J45)</f>
        <v>0</v>
      </c>
      <c r="AB45" s="1">
        <f>MIN($K45)</f>
        <v>0</v>
      </c>
      <c r="AC45" s="1">
        <f>MIN($M45)</f>
        <v>0</v>
      </c>
      <c r="AD45" s="1">
        <f>MIN($N45)</f>
        <v>0</v>
      </c>
      <c r="AE45" s="1">
        <f>MIN($P45)</f>
        <v>0</v>
      </c>
      <c r="AF45" s="1">
        <f>MIN($Q45)</f>
        <v>0</v>
      </c>
      <c r="AG45" s="1">
        <f>MIN($R45)</f>
        <v>0</v>
      </c>
      <c r="AH45" s="1">
        <f>MEDIAN($B45)</f>
        <v>0</v>
      </c>
      <c r="AI45" s="1">
        <f>MEDIAN($C45)</f>
        <v>0</v>
      </c>
      <c r="AJ45" s="1">
        <f>MEDIAN($D45)</f>
        <v>0</v>
      </c>
      <c r="AK45" s="1">
        <f>MEDIAN($E45)</f>
        <v>0</v>
      </c>
      <c r="AL45" s="1">
        <f>MEDIAN($F45)</f>
        <v>0</v>
      </c>
      <c r="AM45" s="1">
        <f>MEDIAN($G45)</f>
        <v>0</v>
      </c>
      <c r="AN45" s="1">
        <f>MEDIAN($H45)</f>
        <v>0</v>
      </c>
      <c r="AO45" s="1">
        <f>MEDIAN($I45)</f>
        <v>0</v>
      </c>
      <c r="AP45" s="1">
        <f>MEDIAN($J45)</f>
        <v>0</v>
      </c>
      <c r="AQ45" s="1">
        <f>MEDIAN($K45)</f>
        <v>0</v>
      </c>
      <c r="AR45" s="1">
        <f>MEDIAN($M45)</f>
        <v>0</v>
      </c>
      <c r="AS45" s="1">
        <f>MEDIAN($N45)</f>
        <v>0</v>
      </c>
      <c r="AT45" s="1">
        <f>MEDIAN($P45)</f>
        <v>0</v>
      </c>
      <c r="AU45" s="1">
        <f>MEDIAN($Q45)</f>
        <v>0</v>
      </c>
      <c r="AV45" s="1">
        <f>MEDIAN($R45)</f>
        <v>0</v>
      </c>
      <c r="AW45" s="1">
        <f>MAX($B45)</f>
        <v>0</v>
      </c>
      <c r="AX45" s="1">
        <f>MAX($C45)</f>
        <v>0</v>
      </c>
      <c r="AY45" s="1">
        <f>MAX($D45)</f>
        <v>0</v>
      </c>
      <c r="AZ45" s="1">
        <f>MAX($E45)</f>
        <v>0</v>
      </c>
      <c r="BA45" s="1">
        <f>MAX($F45)</f>
        <v>0</v>
      </c>
      <c r="BB45" s="1">
        <f>MAX($G45)</f>
        <v>0</v>
      </c>
      <c r="BC45" s="1">
        <f>MAX($H45)</f>
        <v>0</v>
      </c>
      <c r="BD45" s="1">
        <f>MAX($I45)</f>
        <v>0</v>
      </c>
      <c r="BE45" s="1">
        <f>MAX($J45)</f>
        <v>0</v>
      </c>
      <c r="BF45" s="1">
        <f>MAX($K45)</f>
        <v>0</v>
      </c>
      <c r="BG45" s="1">
        <f>MAX($M45)</f>
        <v>0</v>
      </c>
      <c r="BH45" s="1">
        <f>MAX($N45)</f>
        <v>0</v>
      </c>
      <c r="BI45" s="1">
        <f>MAX($P45)</f>
        <v>0</v>
      </c>
      <c r="BJ45" s="1">
        <f>MAX($Q45)</f>
        <v>0</v>
      </c>
      <c r="BK45" s="1">
        <f>MAX($R45)</f>
        <v>0</v>
      </c>
    </row>
    <row r="46" spans="1:63">
      <c r="A46" s="1" t="s">
        <v>43</v>
      </c>
      <c r="B46" s="1">
        <v>206</v>
      </c>
      <c r="C46" s="1">
        <v>4</v>
      </c>
      <c r="D46" s="1">
        <v>24670337</v>
      </c>
      <c r="E46" s="1">
        <v>0</v>
      </c>
      <c r="F46" s="1">
        <v>2962</v>
      </c>
      <c r="G46" s="1">
        <v>0</v>
      </c>
      <c r="H46" s="1">
        <v>1</v>
      </c>
      <c r="I46" s="1">
        <v>42.499</v>
      </c>
      <c r="J46" s="1">
        <v>43.6</v>
      </c>
      <c r="K46" s="1">
        <v>0</v>
      </c>
      <c r="L46" s="1" t="s">
        <v>205</v>
      </c>
      <c r="M46" s="1">
        <v>7329976</v>
      </c>
      <c r="N46" s="1">
        <v>1.33</v>
      </c>
      <c r="O46" s="1" t="s">
        <v>210</v>
      </c>
      <c r="P46" s="1">
        <v>43.6</v>
      </c>
      <c r="Q46" s="1">
        <v>0</v>
      </c>
      <c r="R46" s="1">
        <v>6617919</v>
      </c>
      <c r="S46" s="1">
        <f>MIN($B46)</f>
        <v>0</v>
      </c>
      <c r="T46" s="1">
        <f>MIN($C46)</f>
        <v>0</v>
      </c>
      <c r="U46" s="1">
        <f>MIN($D46)</f>
        <v>0</v>
      </c>
      <c r="V46" s="1">
        <f>MIN($E46)</f>
        <v>0</v>
      </c>
      <c r="W46" s="1">
        <f>MIN($F46)</f>
        <v>0</v>
      </c>
      <c r="X46" s="1">
        <f>MIN($G46)</f>
        <v>0</v>
      </c>
      <c r="Y46" s="1">
        <f>MIN($H46)</f>
        <v>0</v>
      </c>
      <c r="Z46" s="1">
        <f>MIN($I46)</f>
        <v>0</v>
      </c>
      <c r="AA46" s="1">
        <f>MIN($J46)</f>
        <v>0</v>
      </c>
      <c r="AB46" s="1">
        <f>MIN($K46)</f>
        <v>0</v>
      </c>
      <c r="AC46" s="1">
        <f>MIN($M46)</f>
        <v>0</v>
      </c>
      <c r="AD46" s="1">
        <f>MIN($N46)</f>
        <v>0</v>
      </c>
      <c r="AE46" s="1">
        <f>MIN($P46)</f>
        <v>0</v>
      </c>
      <c r="AF46" s="1">
        <f>MIN($Q46)</f>
        <v>0</v>
      </c>
      <c r="AG46" s="1">
        <f>MIN($R46)</f>
        <v>0</v>
      </c>
      <c r="AH46" s="1">
        <f>MEDIAN($B46)</f>
        <v>0</v>
      </c>
      <c r="AI46" s="1">
        <f>MEDIAN($C46)</f>
        <v>0</v>
      </c>
      <c r="AJ46" s="1">
        <f>MEDIAN($D46)</f>
        <v>0</v>
      </c>
      <c r="AK46" s="1">
        <f>MEDIAN($E46)</f>
        <v>0</v>
      </c>
      <c r="AL46" s="1">
        <f>MEDIAN($F46)</f>
        <v>0</v>
      </c>
      <c r="AM46" s="1">
        <f>MEDIAN($G46)</f>
        <v>0</v>
      </c>
      <c r="AN46" s="1">
        <f>MEDIAN($H46)</f>
        <v>0</v>
      </c>
      <c r="AO46" s="1">
        <f>MEDIAN($I46)</f>
        <v>0</v>
      </c>
      <c r="AP46" s="1">
        <f>MEDIAN($J46)</f>
        <v>0</v>
      </c>
      <c r="AQ46" s="1">
        <f>MEDIAN($K46)</f>
        <v>0</v>
      </c>
      <c r="AR46" s="1">
        <f>MEDIAN($M46)</f>
        <v>0</v>
      </c>
      <c r="AS46" s="1">
        <f>MEDIAN($N46)</f>
        <v>0</v>
      </c>
      <c r="AT46" s="1">
        <f>MEDIAN($P46)</f>
        <v>0</v>
      </c>
      <c r="AU46" s="1">
        <f>MEDIAN($Q46)</f>
        <v>0</v>
      </c>
      <c r="AV46" s="1">
        <f>MEDIAN($R46)</f>
        <v>0</v>
      </c>
      <c r="AW46" s="1">
        <f>MAX($B46)</f>
        <v>0</v>
      </c>
      <c r="AX46" s="1">
        <f>MAX($C46)</f>
        <v>0</v>
      </c>
      <c r="AY46" s="1">
        <f>MAX($D46)</f>
        <v>0</v>
      </c>
      <c r="AZ46" s="1">
        <f>MAX($E46)</f>
        <v>0</v>
      </c>
      <c r="BA46" s="1">
        <f>MAX($F46)</f>
        <v>0</v>
      </c>
      <c r="BB46" s="1">
        <f>MAX($G46)</f>
        <v>0</v>
      </c>
      <c r="BC46" s="1">
        <f>MAX($H46)</f>
        <v>0</v>
      </c>
      <c r="BD46" s="1">
        <f>MAX($I46)</f>
        <v>0</v>
      </c>
      <c r="BE46" s="1">
        <f>MAX($J46)</f>
        <v>0</v>
      </c>
      <c r="BF46" s="1">
        <f>MAX($K46)</f>
        <v>0</v>
      </c>
      <c r="BG46" s="1">
        <f>MAX($M46)</f>
        <v>0</v>
      </c>
      <c r="BH46" s="1">
        <f>MAX($N46)</f>
        <v>0</v>
      </c>
      <c r="BI46" s="1">
        <f>MAX($P46)</f>
        <v>0</v>
      </c>
      <c r="BJ46" s="1">
        <f>MAX($Q46)</f>
        <v>0</v>
      </c>
      <c r="BK46" s="1">
        <f>MAX($R46)</f>
        <v>0</v>
      </c>
    </row>
    <row r="47" spans="1:63">
      <c r="A47" s="1" t="s">
        <v>44</v>
      </c>
      <c r="B47" s="1">
        <v>196</v>
      </c>
      <c r="C47" s="1">
        <v>6</v>
      </c>
      <c r="D47" s="1">
        <v>16178995</v>
      </c>
      <c r="E47" s="1">
        <v>0</v>
      </c>
      <c r="F47" s="1">
        <v>1994</v>
      </c>
      <c r="G47" s="1">
        <v>0</v>
      </c>
      <c r="H47" s="1">
        <v>1</v>
      </c>
      <c r="I47" s="1">
        <v>30.168</v>
      </c>
      <c r="J47" s="1">
        <v>31.13</v>
      </c>
      <c r="K47" s="1">
        <v>0</v>
      </c>
      <c r="L47" s="1" t="s">
        <v>205</v>
      </c>
      <c r="M47" s="1">
        <v>4919209</v>
      </c>
      <c r="N47" s="1">
        <v>1.49</v>
      </c>
      <c r="O47" s="1" t="s">
        <v>210</v>
      </c>
      <c r="P47" s="1">
        <v>31.13</v>
      </c>
      <c r="Q47" s="1">
        <v>0</v>
      </c>
      <c r="R47" s="1">
        <v>4372811</v>
      </c>
      <c r="S47" s="1">
        <f>MIN($B47)</f>
        <v>0</v>
      </c>
      <c r="T47" s="1">
        <f>MIN($C47)</f>
        <v>0</v>
      </c>
      <c r="U47" s="1">
        <f>MIN($D47)</f>
        <v>0</v>
      </c>
      <c r="V47" s="1">
        <f>MIN($E47)</f>
        <v>0</v>
      </c>
      <c r="W47" s="1">
        <f>MIN($F47)</f>
        <v>0</v>
      </c>
      <c r="X47" s="1">
        <f>MIN($G47)</f>
        <v>0</v>
      </c>
      <c r="Y47" s="1">
        <f>MIN($H47)</f>
        <v>0</v>
      </c>
      <c r="Z47" s="1">
        <f>MIN($I47)</f>
        <v>0</v>
      </c>
      <c r="AA47" s="1">
        <f>MIN($J47)</f>
        <v>0</v>
      </c>
      <c r="AB47" s="1">
        <f>MIN($K47)</f>
        <v>0</v>
      </c>
      <c r="AC47" s="1">
        <f>MIN($M47)</f>
        <v>0</v>
      </c>
      <c r="AD47" s="1">
        <f>MIN($N47)</f>
        <v>0</v>
      </c>
      <c r="AE47" s="1">
        <f>MIN($P47)</f>
        <v>0</v>
      </c>
      <c r="AF47" s="1">
        <f>MIN($Q47)</f>
        <v>0</v>
      </c>
      <c r="AG47" s="1">
        <f>MIN($R47)</f>
        <v>0</v>
      </c>
      <c r="AH47" s="1">
        <f>MEDIAN($B47)</f>
        <v>0</v>
      </c>
      <c r="AI47" s="1">
        <f>MEDIAN($C47)</f>
        <v>0</v>
      </c>
      <c r="AJ47" s="1">
        <f>MEDIAN($D47)</f>
        <v>0</v>
      </c>
      <c r="AK47" s="1">
        <f>MEDIAN($E47)</f>
        <v>0</v>
      </c>
      <c r="AL47" s="1">
        <f>MEDIAN($F47)</f>
        <v>0</v>
      </c>
      <c r="AM47" s="1">
        <f>MEDIAN($G47)</f>
        <v>0</v>
      </c>
      <c r="AN47" s="1">
        <f>MEDIAN($H47)</f>
        <v>0</v>
      </c>
      <c r="AO47" s="1">
        <f>MEDIAN($I47)</f>
        <v>0</v>
      </c>
      <c r="AP47" s="1">
        <f>MEDIAN($J47)</f>
        <v>0</v>
      </c>
      <c r="AQ47" s="1">
        <f>MEDIAN($K47)</f>
        <v>0</v>
      </c>
      <c r="AR47" s="1">
        <f>MEDIAN($M47)</f>
        <v>0</v>
      </c>
      <c r="AS47" s="1">
        <f>MEDIAN($N47)</f>
        <v>0</v>
      </c>
      <c r="AT47" s="1">
        <f>MEDIAN($P47)</f>
        <v>0</v>
      </c>
      <c r="AU47" s="1">
        <f>MEDIAN($Q47)</f>
        <v>0</v>
      </c>
      <c r="AV47" s="1">
        <f>MEDIAN($R47)</f>
        <v>0</v>
      </c>
      <c r="AW47" s="1">
        <f>MAX($B47)</f>
        <v>0</v>
      </c>
      <c r="AX47" s="1">
        <f>MAX($C47)</f>
        <v>0</v>
      </c>
      <c r="AY47" s="1">
        <f>MAX($D47)</f>
        <v>0</v>
      </c>
      <c r="AZ47" s="1">
        <f>MAX($E47)</f>
        <v>0</v>
      </c>
      <c r="BA47" s="1">
        <f>MAX($F47)</f>
        <v>0</v>
      </c>
      <c r="BB47" s="1">
        <f>MAX($G47)</f>
        <v>0</v>
      </c>
      <c r="BC47" s="1">
        <f>MAX($H47)</f>
        <v>0</v>
      </c>
      <c r="BD47" s="1">
        <f>MAX($I47)</f>
        <v>0</v>
      </c>
      <c r="BE47" s="1">
        <f>MAX($J47)</f>
        <v>0</v>
      </c>
      <c r="BF47" s="1">
        <f>MAX($K47)</f>
        <v>0</v>
      </c>
      <c r="BG47" s="1">
        <f>MAX($M47)</f>
        <v>0</v>
      </c>
      <c r="BH47" s="1">
        <f>MAX($N47)</f>
        <v>0</v>
      </c>
      <c r="BI47" s="1">
        <f>MAX($P47)</f>
        <v>0</v>
      </c>
      <c r="BJ47" s="1">
        <f>MAX($Q47)</f>
        <v>0</v>
      </c>
      <c r="BK47" s="1">
        <f>MAX($R47)</f>
        <v>0</v>
      </c>
    </row>
    <row r="48" spans="1:63">
      <c r="A48" s="1" t="s">
        <v>45</v>
      </c>
      <c r="B48" s="1">
        <v>169</v>
      </c>
      <c r="C48" s="1">
        <v>0</v>
      </c>
      <c r="D48" s="1">
        <v>44660901</v>
      </c>
      <c r="E48" s="1">
        <v>0</v>
      </c>
      <c r="F48" s="1">
        <v>4846</v>
      </c>
      <c r="G48" s="1">
        <v>0</v>
      </c>
      <c r="H48" s="1">
        <v>1</v>
      </c>
      <c r="I48" s="1">
        <v>120.798</v>
      </c>
      <c r="J48" s="1">
        <v>122.32</v>
      </c>
      <c r="K48" s="1">
        <v>0</v>
      </c>
      <c r="L48" s="1" t="s">
        <v>205</v>
      </c>
      <c r="M48" s="1">
        <v>12615247</v>
      </c>
      <c r="N48" s="1">
        <v>1.95</v>
      </c>
      <c r="O48" s="1" t="s">
        <v>210</v>
      </c>
      <c r="P48" s="1">
        <v>122.32</v>
      </c>
      <c r="Q48" s="1">
        <v>0</v>
      </c>
      <c r="R48" s="1">
        <v>11717037</v>
      </c>
      <c r="S48" s="1">
        <f>MIN($B48)</f>
        <v>0</v>
      </c>
      <c r="T48" s="1">
        <f>MIN($C48)</f>
        <v>0</v>
      </c>
      <c r="U48" s="1">
        <f>MIN($D48)</f>
        <v>0</v>
      </c>
      <c r="V48" s="1">
        <f>MIN($E48)</f>
        <v>0</v>
      </c>
      <c r="W48" s="1">
        <f>MIN($F48)</f>
        <v>0</v>
      </c>
      <c r="X48" s="1">
        <f>MIN($G48)</f>
        <v>0</v>
      </c>
      <c r="Y48" s="1">
        <f>MIN($H48)</f>
        <v>0</v>
      </c>
      <c r="Z48" s="1">
        <f>MIN($I48)</f>
        <v>0</v>
      </c>
      <c r="AA48" s="1">
        <f>MIN($J48)</f>
        <v>0</v>
      </c>
      <c r="AB48" s="1">
        <f>MIN($K48)</f>
        <v>0</v>
      </c>
      <c r="AC48" s="1">
        <f>MIN($M48)</f>
        <v>0</v>
      </c>
      <c r="AD48" s="1">
        <f>MIN($N48)</f>
        <v>0</v>
      </c>
      <c r="AE48" s="1">
        <f>MIN($P48)</f>
        <v>0</v>
      </c>
      <c r="AF48" s="1">
        <f>MIN($Q48)</f>
        <v>0</v>
      </c>
      <c r="AG48" s="1">
        <f>MIN($R48)</f>
        <v>0</v>
      </c>
      <c r="AH48" s="1">
        <f>MEDIAN($B48)</f>
        <v>0</v>
      </c>
      <c r="AI48" s="1">
        <f>MEDIAN($C48)</f>
        <v>0</v>
      </c>
      <c r="AJ48" s="1">
        <f>MEDIAN($D48)</f>
        <v>0</v>
      </c>
      <c r="AK48" s="1">
        <f>MEDIAN($E48)</f>
        <v>0</v>
      </c>
      <c r="AL48" s="1">
        <f>MEDIAN($F48)</f>
        <v>0</v>
      </c>
      <c r="AM48" s="1">
        <f>MEDIAN($G48)</f>
        <v>0</v>
      </c>
      <c r="AN48" s="1">
        <f>MEDIAN($H48)</f>
        <v>0</v>
      </c>
      <c r="AO48" s="1">
        <f>MEDIAN($I48)</f>
        <v>0</v>
      </c>
      <c r="AP48" s="1">
        <f>MEDIAN($J48)</f>
        <v>0</v>
      </c>
      <c r="AQ48" s="1">
        <f>MEDIAN($K48)</f>
        <v>0</v>
      </c>
      <c r="AR48" s="1">
        <f>MEDIAN($M48)</f>
        <v>0</v>
      </c>
      <c r="AS48" s="1">
        <f>MEDIAN($N48)</f>
        <v>0</v>
      </c>
      <c r="AT48" s="1">
        <f>MEDIAN($P48)</f>
        <v>0</v>
      </c>
      <c r="AU48" s="1">
        <f>MEDIAN($Q48)</f>
        <v>0</v>
      </c>
      <c r="AV48" s="1">
        <f>MEDIAN($R48)</f>
        <v>0</v>
      </c>
      <c r="AW48" s="1">
        <f>MAX($B48)</f>
        <v>0</v>
      </c>
      <c r="AX48" s="1">
        <f>MAX($C48)</f>
        <v>0</v>
      </c>
      <c r="AY48" s="1">
        <f>MAX($D48)</f>
        <v>0</v>
      </c>
      <c r="AZ48" s="1">
        <f>MAX($E48)</f>
        <v>0</v>
      </c>
      <c r="BA48" s="1">
        <f>MAX($F48)</f>
        <v>0</v>
      </c>
      <c r="BB48" s="1">
        <f>MAX($G48)</f>
        <v>0</v>
      </c>
      <c r="BC48" s="1">
        <f>MAX($H48)</f>
        <v>0</v>
      </c>
      <c r="BD48" s="1">
        <f>MAX($I48)</f>
        <v>0</v>
      </c>
      <c r="BE48" s="1">
        <f>MAX($J48)</f>
        <v>0</v>
      </c>
      <c r="BF48" s="1">
        <f>MAX($K48)</f>
        <v>0</v>
      </c>
      <c r="BG48" s="1">
        <f>MAX($M48)</f>
        <v>0</v>
      </c>
      <c r="BH48" s="1">
        <f>MAX($N48)</f>
        <v>0</v>
      </c>
      <c r="BI48" s="1">
        <f>MAX($P48)</f>
        <v>0</v>
      </c>
      <c r="BJ48" s="1">
        <f>MAX($Q48)</f>
        <v>0</v>
      </c>
      <c r="BK48" s="1">
        <f>MAX($R48)</f>
        <v>0</v>
      </c>
    </row>
    <row r="49" spans="1:63">
      <c r="A49" s="1" t="s">
        <v>46</v>
      </c>
      <c r="B49" s="1">
        <v>104</v>
      </c>
      <c r="C49" s="1">
        <v>0</v>
      </c>
      <c r="D49" s="1">
        <v>25911207</v>
      </c>
      <c r="E49" s="1">
        <v>0</v>
      </c>
      <c r="F49" s="1">
        <v>3086</v>
      </c>
      <c r="G49" s="1">
        <v>0</v>
      </c>
      <c r="H49" s="1">
        <v>1</v>
      </c>
      <c r="I49" s="1">
        <v>46.432</v>
      </c>
      <c r="J49" s="1">
        <v>47.61</v>
      </c>
      <c r="K49" s="1">
        <v>0</v>
      </c>
      <c r="L49" s="1" t="s">
        <v>205</v>
      </c>
      <c r="M49" s="1">
        <v>7612698</v>
      </c>
      <c r="N49" s="1">
        <v>1.45</v>
      </c>
      <c r="O49" s="1" t="s">
        <v>210</v>
      </c>
      <c r="P49" s="1">
        <v>47.61</v>
      </c>
      <c r="Q49" s="1">
        <v>0</v>
      </c>
      <c r="R49" s="1">
        <v>6920624</v>
      </c>
      <c r="S49" s="1">
        <f>MIN($B49)</f>
        <v>0</v>
      </c>
      <c r="T49" s="1">
        <f>MIN($C49)</f>
        <v>0</v>
      </c>
      <c r="U49" s="1">
        <f>MIN($D49)</f>
        <v>0</v>
      </c>
      <c r="V49" s="1">
        <f>MIN($E49)</f>
        <v>0</v>
      </c>
      <c r="W49" s="1">
        <f>MIN($F49)</f>
        <v>0</v>
      </c>
      <c r="X49" s="1">
        <f>MIN($G49)</f>
        <v>0</v>
      </c>
      <c r="Y49" s="1">
        <f>MIN($H49)</f>
        <v>0</v>
      </c>
      <c r="Z49" s="1">
        <f>MIN($I49)</f>
        <v>0</v>
      </c>
      <c r="AA49" s="1">
        <f>MIN($J49)</f>
        <v>0</v>
      </c>
      <c r="AB49" s="1">
        <f>MIN($K49)</f>
        <v>0</v>
      </c>
      <c r="AC49" s="1">
        <f>MIN($M49)</f>
        <v>0</v>
      </c>
      <c r="AD49" s="1">
        <f>MIN($N49)</f>
        <v>0</v>
      </c>
      <c r="AE49" s="1">
        <f>MIN($P49)</f>
        <v>0</v>
      </c>
      <c r="AF49" s="1">
        <f>MIN($Q49)</f>
        <v>0</v>
      </c>
      <c r="AG49" s="1">
        <f>MIN($R49)</f>
        <v>0</v>
      </c>
      <c r="AH49" s="1">
        <f>MEDIAN($B49)</f>
        <v>0</v>
      </c>
      <c r="AI49" s="1">
        <f>MEDIAN($C49)</f>
        <v>0</v>
      </c>
      <c r="AJ49" s="1">
        <f>MEDIAN($D49)</f>
        <v>0</v>
      </c>
      <c r="AK49" s="1">
        <f>MEDIAN($E49)</f>
        <v>0</v>
      </c>
      <c r="AL49" s="1">
        <f>MEDIAN($F49)</f>
        <v>0</v>
      </c>
      <c r="AM49" s="1">
        <f>MEDIAN($G49)</f>
        <v>0</v>
      </c>
      <c r="AN49" s="1">
        <f>MEDIAN($H49)</f>
        <v>0</v>
      </c>
      <c r="AO49" s="1">
        <f>MEDIAN($I49)</f>
        <v>0</v>
      </c>
      <c r="AP49" s="1">
        <f>MEDIAN($J49)</f>
        <v>0</v>
      </c>
      <c r="AQ49" s="1">
        <f>MEDIAN($K49)</f>
        <v>0</v>
      </c>
      <c r="AR49" s="1">
        <f>MEDIAN($M49)</f>
        <v>0</v>
      </c>
      <c r="AS49" s="1">
        <f>MEDIAN($N49)</f>
        <v>0</v>
      </c>
      <c r="AT49" s="1">
        <f>MEDIAN($P49)</f>
        <v>0</v>
      </c>
      <c r="AU49" s="1">
        <f>MEDIAN($Q49)</f>
        <v>0</v>
      </c>
      <c r="AV49" s="1">
        <f>MEDIAN($R49)</f>
        <v>0</v>
      </c>
      <c r="AW49" s="1">
        <f>MAX($B49)</f>
        <v>0</v>
      </c>
      <c r="AX49" s="1">
        <f>MAX($C49)</f>
        <v>0</v>
      </c>
      <c r="AY49" s="1">
        <f>MAX($D49)</f>
        <v>0</v>
      </c>
      <c r="AZ49" s="1">
        <f>MAX($E49)</f>
        <v>0</v>
      </c>
      <c r="BA49" s="1">
        <f>MAX($F49)</f>
        <v>0</v>
      </c>
      <c r="BB49" s="1">
        <f>MAX($G49)</f>
        <v>0</v>
      </c>
      <c r="BC49" s="1">
        <f>MAX($H49)</f>
        <v>0</v>
      </c>
      <c r="BD49" s="1">
        <f>MAX($I49)</f>
        <v>0</v>
      </c>
      <c r="BE49" s="1">
        <f>MAX($J49)</f>
        <v>0</v>
      </c>
      <c r="BF49" s="1">
        <f>MAX($K49)</f>
        <v>0</v>
      </c>
      <c r="BG49" s="1">
        <f>MAX($M49)</f>
        <v>0</v>
      </c>
      <c r="BH49" s="1">
        <f>MAX($N49)</f>
        <v>0</v>
      </c>
      <c r="BI49" s="1">
        <f>MAX($P49)</f>
        <v>0</v>
      </c>
      <c r="BJ49" s="1">
        <f>MAX($Q49)</f>
        <v>0</v>
      </c>
      <c r="BK49" s="1">
        <f>MAX($R49)</f>
        <v>0</v>
      </c>
    </row>
    <row r="50" spans="1:63">
      <c r="A50" s="1" t="s">
        <v>47</v>
      </c>
      <c r="B50" s="1">
        <v>207</v>
      </c>
      <c r="C50" s="1">
        <v>0</v>
      </c>
      <c r="D50" s="1">
        <v>27846664</v>
      </c>
      <c r="E50" s="1">
        <v>0</v>
      </c>
      <c r="F50" s="1">
        <v>3247</v>
      </c>
      <c r="G50" s="1">
        <v>0</v>
      </c>
      <c r="H50" s="1">
        <v>1</v>
      </c>
      <c r="I50" s="1">
        <v>46.902</v>
      </c>
      <c r="J50" s="1">
        <v>48.01</v>
      </c>
      <c r="K50" s="1">
        <v>0</v>
      </c>
      <c r="L50" s="1" t="s">
        <v>205</v>
      </c>
      <c r="M50" s="1">
        <v>8148365</v>
      </c>
      <c r="N50" s="1">
        <v>1.18</v>
      </c>
      <c r="O50" s="1" t="s">
        <v>210</v>
      </c>
      <c r="P50" s="1">
        <v>48.01</v>
      </c>
      <c r="Q50" s="1">
        <v>0</v>
      </c>
      <c r="R50" s="1">
        <v>7399909</v>
      </c>
      <c r="S50" s="1">
        <f>MIN($B50)</f>
        <v>0</v>
      </c>
      <c r="T50" s="1">
        <f>MIN($C50)</f>
        <v>0</v>
      </c>
      <c r="U50" s="1">
        <f>MIN($D50)</f>
        <v>0</v>
      </c>
      <c r="V50" s="1">
        <f>MIN($E50)</f>
        <v>0</v>
      </c>
      <c r="W50" s="1">
        <f>MIN($F50)</f>
        <v>0</v>
      </c>
      <c r="X50" s="1">
        <f>MIN($G50)</f>
        <v>0</v>
      </c>
      <c r="Y50" s="1">
        <f>MIN($H50)</f>
        <v>0</v>
      </c>
      <c r="Z50" s="1">
        <f>MIN($I50)</f>
        <v>0</v>
      </c>
      <c r="AA50" s="1">
        <f>MIN($J50)</f>
        <v>0</v>
      </c>
      <c r="AB50" s="1">
        <f>MIN($K50)</f>
        <v>0</v>
      </c>
      <c r="AC50" s="1">
        <f>MIN($M50)</f>
        <v>0</v>
      </c>
      <c r="AD50" s="1">
        <f>MIN($N50)</f>
        <v>0</v>
      </c>
      <c r="AE50" s="1">
        <f>MIN($P50)</f>
        <v>0</v>
      </c>
      <c r="AF50" s="1">
        <f>MIN($Q50)</f>
        <v>0</v>
      </c>
      <c r="AG50" s="1">
        <f>MIN($R50)</f>
        <v>0</v>
      </c>
      <c r="AH50" s="1">
        <f>MEDIAN($B50)</f>
        <v>0</v>
      </c>
      <c r="AI50" s="1">
        <f>MEDIAN($C50)</f>
        <v>0</v>
      </c>
      <c r="AJ50" s="1">
        <f>MEDIAN($D50)</f>
        <v>0</v>
      </c>
      <c r="AK50" s="1">
        <f>MEDIAN($E50)</f>
        <v>0</v>
      </c>
      <c r="AL50" s="1">
        <f>MEDIAN($F50)</f>
        <v>0</v>
      </c>
      <c r="AM50" s="1">
        <f>MEDIAN($G50)</f>
        <v>0</v>
      </c>
      <c r="AN50" s="1">
        <f>MEDIAN($H50)</f>
        <v>0</v>
      </c>
      <c r="AO50" s="1">
        <f>MEDIAN($I50)</f>
        <v>0</v>
      </c>
      <c r="AP50" s="1">
        <f>MEDIAN($J50)</f>
        <v>0</v>
      </c>
      <c r="AQ50" s="1">
        <f>MEDIAN($K50)</f>
        <v>0</v>
      </c>
      <c r="AR50" s="1">
        <f>MEDIAN($M50)</f>
        <v>0</v>
      </c>
      <c r="AS50" s="1">
        <f>MEDIAN($N50)</f>
        <v>0</v>
      </c>
      <c r="AT50" s="1">
        <f>MEDIAN($P50)</f>
        <v>0</v>
      </c>
      <c r="AU50" s="1">
        <f>MEDIAN($Q50)</f>
        <v>0</v>
      </c>
      <c r="AV50" s="1">
        <f>MEDIAN($R50)</f>
        <v>0</v>
      </c>
      <c r="AW50" s="1">
        <f>MAX($B50)</f>
        <v>0</v>
      </c>
      <c r="AX50" s="1">
        <f>MAX($C50)</f>
        <v>0</v>
      </c>
      <c r="AY50" s="1">
        <f>MAX($D50)</f>
        <v>0</v>
      </c>
      <c r="AZ50" s="1">
        <f>MAX($E50)</f>
        <v>0</v>
      </c>
      <c r="BA50" s="1">
        <f>MAX($F50)</f>
        <v>0</v>
      </c>
      <c r="BB50" s="1">
        <f>MAX($G50)</f>
        <v>0</v>
      </c>
      <c r="BC50" s="1">
        <f>MAX($H50)</f>
        <v>0</v>
      </c>
      <c r="BD50" s="1">
        <f>MAX($I50)</f>
        <v>0</v>
      </c>
      <c r="BE50" s="1">
        <f>MAX($J50)</f>
        <v>0</v>
      </c>
      <c r="BF50" s="1">
        <f>MAX($K50)</f>
        <v>0</v>
      </c>
      <c r="BG50" s="1">
        <f>MAX($M50)</f>
        <v>0</v>
      </c>
      <c r="BH50" s="1">
        <f>MAX($N50)</f>
        <v>0</v>
      </c>
      <c r="BI50" s="1">
        <f>MAX($P50)</f>
        <v>0</v>
      </c>
      <c r="BJ50" s="1">
        <f>MAX($Q50)</f>
        <v>0</v>
      </c>
      <c r="BK50" s="1">
        <f>MAX($R50)</f>
        <v>0</v>
      </c>
    </row>
    <row r="51" spans="1:63">
      <c r="A51" s="1" t="s">
        <v>48</v>
      </c>
      <c r="B51" s="1">
        <v>240</v>
      </c>
      <c r="C51" s="1">
        <v>1</v>
      </c>
      <c r="D51" s="1">
        <v>35991185</v>
      </c>
      <c r="E51" s="1">
        <v>0</v>
      </c>
      <c r="F51" s="1">
        <v>4036</v>
      </c>
      <c r="G51" s="1">
        <v>0</v>
      </c>
      <c r="H51" s="1">
        <v>1</v>
      </c>
      <c r="I51" s="1">
        <v>58.807</v>
      </c>
      <c r="J51" s="1">
        <v>60.15</v>
      </c>
      <c r="K51" s="1">
        <v>0</v>
      </c>
      <c r="L51" s="1" t="s">
        <v>205</v>
      </c>
      <c r="M51" s="1">
        <v>10470913</v>
      </c>
      <c r="N51" s="1">
        <v>1.57</v>
      </c>
      <c r="O51" s="1" t="s">
        <v>210</v>
      </c>
      <c r="P51" s="1">
        <v>60.15</v>
      </c>
      <c r="Q51" s="1">
        <v>0</v>
      </c>
      <c r="R51" s="1">
        <v>9567026</v>
      </c>
      <c r="S51" s="1">
        <f>MIN($B51)</f>
        <v>0</v>
      </c>
      <c r="T51" s="1">
        <f>MIN($C51)</f>
        <v>0</v>
      </c>
      <c r="U51" s="1">
        <f>MIN($D51)</f>
        <v>0</v>
      </c>
      <c r="V51" s="1">
        <f>MIN($E51)</f>
        <v>0</v>
      </c>
      <c r="W51" s="1">
        <f>MIN($F51)</f>
        <v>0</v>
      </c>
      <c r="X51" s="1">
        <f>MIN($G51)</f>
        <v>0</v>
      </c>
      <c r="Y51" s="1">
        <f>MIN($H51)</f>
        <v>0</v>
      </c>
      <c r="Z51" s="1">
        <f>MIN($I51)</f>
        <v>0</v>
      </c>
      <c r="AA51" s="1">
        <f>MIN($J51)</f>
        <v>0</v>
      </c>
      <c r="AB51" s="1">
        <f>MIN($K51)</f>
        <v>0</v>
      </c>
      <c r="AC51" s="1">
        <f>MIN($M51)</f>
        <v>0</v>
      </c>
      <c r="AD51" s="1">
        <f>MIN($N51)</f>
        <v>0</v>
      </c>
      <c r="AE51" s="1">
        <f>MIN($P51)</f>
        <v>0</v>
      </c>
      <c r="AF51" s="1">
        <f>MIN($Q51)</f>
        <v>0</v>
      </c>
      <c r="AG51" s="1">
        <f>MIN($R51)</f>
        <v>0</v>
      </c>
      <c r="AH51" s="1">
        <f>MEDIAN($B51)</f>
        <v>0</v>
      </c>
      <c r="AI51" s="1">
        <f>MEDIAN($C51)</f>
        <v>0</v>
      </c>
      <c r="AJ51" s="1">
        <f>MEDIAN($D51)</f>
        <v>0</v>
      </c>
      <c r="AK51" s="1">
        <f>MEDIAN($E51)</f>
        <v>0</v>
      </c>
      <c r="AL51" s="1">
        <f>MEDIAN($F51)</f>
        <v>0</v>
      </c>
      <c r="AM51" s="1">
        <f>MEDIAN($G51)</f>
        <v>0</v>
      </c>
      <c r="AN51" s="1">
        <f>MEDIAN($H51)</f>
        <v>0</v>
      </c>
      <c r="AO51" s="1">
        <f>MEDIAN($I51)</f>
        <v>0</v>
      </c>
      <c r="AP51" s="1">
        <f>MEDIAN($J51)</f>
        <v>0</v>
      </c>
      <c r="AQ51" s="1">
        <f>MEDIAN($K51)</f>
        <v>0</v>
      </c>
      <c r="AR51" s="1">
        <f>MEDIAN($M51)</f>
        <v>0</v>
      </c>
      <c r="AS51" s="1">
        <f>MEDIAN($N51)</f>
        <v>0</v>
      </c>
      <c r="AT51" s="1">
        <f>MEDIAN($P51)</f>
        <v>0</v>
      </c>
      <c r="AU51" s="1">
        <f>MEDIAN($Q51)</f>
        <v>0</v>
      </c>
      <c r="AV51" s="1">
        <f>MEDIAN($R51)</f>
        <v>0</v>
      </c>
      <c r="AW51" s="1">
        <f>MAX($B51)</f>
        <v>0</v>
      </c>
      <c r="AX51" s="1">
        <f>MAX($C51)</f>
        <v>0</v>
      </c>
      <c r="AY51" s="1">
        <f>MAX($D51)</f>
        <v>0</v>
      </c>
      <c r="AZ51" s="1">
        <f>MAX($E51)</f>
        <v>0</v>
      </c>
      <c r="BA51" s="1">
        <f>MAX($F51)</f>
        <v>0</v>
      </c>
      <c r="BB51" s="1">
        <f>MAX($G51)</f>
        <v>0</v>
      </c>
      <c r="BC51" s="1">
        <f>MAX($H51)</f>
        <v>0</v>
      </c>
      <c r="BD51" s="1">
        <f>MAX($I51)</f>
        <v>0</v>
      </c>
      <c r="BE51" s="1">
        <f>MAX($J51)</f>
        <v>0</v>
      </c>
      <c r="BF51" s="1">
        <f>MAX($K51)</f>
        <v>0</v>
      </c>
      <c r="BG51" s="1">
        <f>MAX($M51)</f>
        <v>0</v>
      </c>
      <c r="BH51" s="1">
        <f>MAX($N51)</f>
        <v>0</v>
      </c>
      <c r="BI51" s="1">
        <f>MAX($P51)</f>
        <v>0</v>
      </c>
      <c r="BJ51" s="1">
        <f>MAX($Q51)</f>
        <v>0</v>
      </c>
      <c r="BK51" s="1">
        <f>MAX($R51)</f>
        <v>0</v>
      </c>
    </row>
    <row r="52" spans="1:63">
      <c r="A52" s="1" t="s">
        <v>49</v>
      </c>
      <c r="B52" s="1">
        <v>474</v>
      </c>
      <c r="C52" s="1">
        <v>3</v>
      </c>
      <c r="D52" s="1">
        <v>63248031</v>
      </c>
      <c r="E52" s="1">
        <v>0</v>
      </c>
      <c r="F52" s="1">
        <v>7114</v>
      </c>
      <c r="G52" s="1">
        <v>0</v>
      </c>
      <c r="H52" s="1">
        <v>1</v>
      </c>
      <c r="I52" s="1">
        <v>119.804</v>
      </c>
      <c r="J52" s="1">
        <v>122.6</v>
      </c>
      <c r="K52" s="1">
        <v>0</v>
      </c>
      <c r="L52" s="1" t="s">
        <v>205</v>
      </c>
      <c r="M52" s="1">
        <v>18321660</v>
      </c>
      <c r="N52" s="1">
        <v>3.77</v>
      </c>
      <c r="O52" s="1" t="s">
        <v>210</v>
      </c>
      <c r="P52" s="1">
        <v>122.6</v>
      </c>
      <c r="Q52" s="1">
        <v>0</v>
      </c>
      <c r="R52" s="1">
        <v>16807123</v>
      </c>
      <c r="S52" s="1">
        <f>MIN($B52)</f>
        <v>0</v>
      </c>
      <c r="T52" s="1">
        <f>MIN($C52)</f>
        <v>0</v>
      </c>
      <c r="U52" s="1">
        <f>MIN($D52)</f>
        <v>0</v>
      </c>
      <c r="V52" s="1">
        <f>MIN($E52)</f>
        <v>0</v>
      </c>
      <c r="W52" s="1">
        <f>MIN($F52)</f>
        <v>0</v>
      </c>
      <c r="X52" s="1">
        <f>MIN($G52)</f>
        <v>0</v>
      </c>
      <c r="Y52" s="1">
        <f>MIN($H52)</f>
        <v>0</v>
      </c>
      <c r="Z52" s="1">
        <f>MIN($I52)</f>
        <v>0</v>
      </c>
      <c r="AA52" s="1">
        <f>MIN($J52)</f>
        <v>0</v>
      </c>
      <c r="AB52" s="1">
        <f>MIN($K52)</f>
        <v>0</v>
      </c>
      <c r="AC52" s="1">
        <f>MIN($M52)</f>
        <v>0</v>
      </c>
      <c r="AD52" s="1">
        <f>MIN($N52)</f>
        <v>0</v>
      </c>
      <c r="AE52" s="1">
        <f>MIN($P52)</f>
        <v>0</v>
      </c>
      <c r="AF52" s="1">
        <f>MIN($Q52)</f>
        <v>0</v>
      </c>
      <c r="AG52" s="1">
        <f>MIN($R52)</f>
        <v>0</v>
      </c>
      <c r="AH52" s="1">
        <f>MEDIAN($B52)</f>
        <v>0</v>
      </c>
      <c r="AI52" s="1">
        <f>MEDIAN($C52)</f>
        <v>0</v>
      </c>
      <c r="AJ52" s="1">
        <f>MEDIAN($D52)</f>
        <v>0</v>
      </c>
      <c r="AK52" s="1">
        <f>MEDIAN($E52)</f>
        <v>0</v>
      </c>
      <c r="AL52" s="1">
        <f>MEDIAN($F52)</f>
        <v>0</v>
      </c>
      <c r="AM52" s="1">
        <f>MEDIAN($G52)</f>
        <v>0</v>
      </c>
      <c r="AN52" s="1">
        <f>MEDIAN($H52)</f>
        <v>0</v>
      </c>
      <c r="AO52" s="1">
        <f>MEDIAN($I52)</f>
        <v>0</v>
      </c>
      <c r="AP52" s="1">
        <f>MEDIAN($J52)</f>
        <v>0</v>
      </c>
      <c r="AQ52" s="1">
        <f>MEDIAN($K52)</f>
        <v>0</v>
      </c>
      <c r="AR52" s="1">
        <f>MEDIAN($M52)</f>
        <v>0</v>
      </c>
      <c r="AS52" s="1">
        <f>MEDIAN($N52)</f>
        <v>0</v>
      </c>
      <c r="AT52" s="1">
        <f>MEDIAN($P52)</f>
        <v>0</v>
      </c>
      <c r="AU52" s="1">
        <f>MEDIAN($Q52)</f>
        <v>0</v>
      </c>
      <c r="AV52" s="1">
        <f>MEDIAN($R52)</f>
        <v>0</v>
      </c>
      <c r="AW52" s="1">
        <f>MAX($B52)</f>
        <v>0</v>
      </c>
      <c r="AX52" s="1">
        <f>MAX($C52)</f>
        <v>0</v>
      </c>
      <c r="AY52" s="1">
        <f>MAX($D52)</f>
        <v>0</v>
      </c>
      <c r="AZ52" s="1">
        <f>MAX($E52)</f>
        <v>0</v>
      </c>
      <c r="BA52" s="1">
        <f>MAX($F52)</f>
        <v>0</v>
      </c>
      <c r="BB52" s="1">
        <f>MAX($G52)</f>
        <v>0</v>
      </c>
      <c r="BC52" s="1">
        <f>MAX($H52)</f>
        <v>0</v>
      </c>
      <c r="BD52" s="1">
        <f>MAX($I52)</f>
        <v>0</v>
      </c>
      <c r="BE52" s="1">
        <f>MAX($J52)</f>
        <v>0</v>
      </c>
      <c r="BF52" s="1">
        <f>MAX($K52)</f>
        <v>0</v>
      </c>
      <c r="BG52" s="1">
        <f>MAX($M52)</f>
        <v>0</v>
      </c>
      <c r="BH52" s="1">
        <f>MAX($N52)</f>
        <v>0</v>
      </c>
      <c r="BI52" s="1">
        <f>MAX($P52)</f>
        <v>0</v>
      </c>
      <c r="BJ52" s="1">
        <f>MAX($Q52)</f>
        <v>0</v>
      </c>
      <c r="BK52" s="1">
        <f>MAX($R52)</f>
        <v>0</v>
      </c>
    </row>
    <row r="53" spans="1:63">
      <c r="A53" s="1" t="s">
        <v>50</v>
      </c>
      <c r="B53" s="1">
        <v>4961</v>
      </c>
      <c r="C53" s="1">
        <v>1</v>
      </c>
      <c r="D53" s="1">
        <v>58526146</v>
      </c>
      <c r="E53" s="1">
        <v>0</v>
      </c>
      <c r="F53" s="1">
        <v>6626</v>
      </c>
      <c r="G53" s="1">
        <v>0</v>
      </c>
      <c r="H53" s="1">
        <v>1</v>
      </c>
      <c r="I53" s="1">
        <v>108.139</v>
      </c>
      <c r="J53" s="1">
        <v>110.64</v>
      </c>
      <c r="K53" s="1">
        <v>0</v>
      </c>
      <c r="L53" s="1" t="s">
        <v>205</v>
      </c>
      <c r="M53" s="1">
        <v>16994122</v>
      </c>
      <c r="N53" s="1">
        <v>3.93</v>
      </c>
      <c r="O53" s="1" t="s">
        <v>210</v>
      </c>
      <c r="P53" s="1">
        <v>110.64</v>
      </c>
      <c r="Q53" s="1">
        <v>0</v>
      </c>
      <c r="R53" s="1">
        <v>15561735</v>
      </c>
      <c r="S53" s="1">
        <f>MIN($B53)</f>
        <v>0</v>
      </c>
      <c r="T53" s="1">
        <f>MIN($C53)</f>
        <v>0</v>
      </c>
      <c r="U53" s="1">
        <f>MIN($D53)</f>
        <v>0</v>
      </c>
      <c r="V53" s="1">
        <f>MIN($E53)</f>
        <v>0</v>
      </c>
      <c r="W53" s="1">
        <f>MIN($F53)</f>
        <v>0</v>
      </c>
      <c r="X53" s="1">
        <f>MIN($G53)</f>
        <v>0</v>
      </c>
      <c r="Y53" s="1">
        <f>MIN($H53)</f>
        <v>0</v>
      </c>
      <c r="Z53" s="1">
        <f>MIN($I53)</f>
        <v>0</v>
      </c>
      <c r="AA53" s="1">
        <f>MIN($J53)</f>
        <v>0</v>
      </c>
      <c r="AB53" s="1">
        <f>MIN($K53)</f>
        <v>0</v>
      </c>
      <c r="AC53" s="1">
        <f>MIN($M53)</f>
        <v>0</v>
      </c>
      <c r="AD53" s="1">
        <f>MIN($N53)</f>
        <v>0</v>
      </c>
      <c r="AE53" s="1">
        <f>MIN($P53)</f>
        <v>0</v>
      </c>
      <c r="AF53" s="1">
        <f>MIN($Q53)</f>
        <v>0</v>
      </c>
      <c r="AG53" s="1">
        <f>MIN($R53)</f>
        <v>0</v>
      </c>
      <c r="AH53" s="1">
        <f>MEDIAN($B53)</f>
        <v>0</v>
      </c>
      <c r="AI53" s="1">
        <f>MEDIAN($C53)</f>
        <v>0</v>
      </c>
      <c r="AJ53" s="1">
        <f>MEDIAN($D53)</f>
        <v>0</v>
      </c>
      <c r="AK53" s="1">
        <f>MEDIAN($E53)</f>
        <v>0</v>
      </c>
      <c r="AL53" s="1">
        <f>MEDIAN($F53)</f>
        <v>0</v>
      </c>
      <c r="AM53" s="1">
        <f>MEDIAN($G53)</f>
        <v>0</v>
      </c>
      <c r="AN53" s="1">
        <f>MEDIAN($H53)</f>
        <v>0</v>
      </c>
      <c r="AO53" s="1">
        <f>MEDIAN($I53)</f>
        <v>0</v>
      </c>
      <c r="AP53" s="1">
        <f>MEDIAN($J53)</f>
        <v>0</v>
      </c>
      <c r="AQ53" s="1">
        <f>MEDIAN($K53)</f>
        <v>0</v>
      </c>
      <c r="AR53" s="1">
        <f>MEDIAN($M53)</f>
        <v>0</v>
      </c>
      <c r="AS53" s="1">
        <f>MEDIAN($N53)</f>
        <v>0</v>
      </c>
      <c r="AT53" s="1">
        <f>MEDIAN($P53)</f>
        <v>0</v>
      </c>
      <c r="AU53" s="1">
        <f>MEDIAN($Q53)</f>
        <v>0</v>
      </c>
      <c r="AV53" s="1">
        <f>MEDIAN($R53)</f>
        <v>0</v>
      </c>
      <c r="AW53" s="1">
        <f>MAX($B53)</f>
        <v>0</v>
      </c>
      <c r="AX53" s="1">
        <f>MAX($C53)</f>
        <v>0</v>
      </c>
      <c r="AY53" s="1">
        <f>MAX($D53)</f>
        <v>0</v>
      </c>
      <c r="AZ53" s="1">
        <f>MAX($E53)</f>
        <v>0</v>
      </c>
      <c r="BA53" s="1">
        <f>MAX($F53)</f>
        <v>0</v>
      </c>
      <c r="BB53" s="1">
        <f>MAX($G53)</f>
        <v>0</v>
      </c>
      <c r="BC53" s="1">
        <f>MAX($H53)</f>
        <v>0</v>
      </c>
      <c r="BD53" s="1">
        <f>MAX($I53)</f>
        <v>0</v>
      </c>
      <c r="BE53" s="1">
        <f>MAX($J53)</f>
        <v>0</v>
      </c>
      <c r="BF53" s="1">
        <f>MAX($K53)</f>
        <v>0</v>
      </c>
      <c r="BG53" s="1">
        <f>MAX($M53)</f>
        <v>0</v>
      </c>
      <c r="BH53" s="1">
        <f>MAX($N53)</f>
        <v>0</v>
      </c>
      <c r="BI53" s="1">
        <f>MAX($P53)</f>
        <v>0</v>
      </c>
      <c r="BJ53" s="1">
        <f>MAX($Q53)</f>
        <v>0</v>
      </c>
      <c r="BK53" s="1">
        <f>MAX($R53)</f>
        <v>0</v>
      </c>
    </row>
    <row r="54" spans="1:63">
      <c r="A54" s="1" t="s">
        <v>51</v>
      </c>
      <c r="B54" s="1">
        <v>323</v>
      </c>
      <c r="C54" s="1">
        <v>1</v>
      </c>
      <c r="D54" s="1">
        <v>63375810</v>
      </c>
      <c r="E54" s="1">
        <v>0</v>
      </c>
      <c r="F54" s="1">
        <v>6938</v>
      </c>
      <c r="G54" s="1">
        <v>0</v>
      </c>
      <c r="H54" s="1">
        <v>1</v>
      </c>
      <c r="I54" s="1">
        <v>120.7</v>
      </c>
      <c r="J54" s="1">
        <v>123.38</v>
      </c>
      <c r="K54" s="1">
        <v>0</v>
      </c>
      <c r="L54" s="1" t="s">
        <v>205</v>
      </c>
      <c r="M54" s="1">
        <v>18083720</v>
      </c>
      <c r="N54" s="1">
        <v>4.23</v>
      </c>
      <c r="O54" s="1" t="s">
        <v>210</v>
      </c>
      <c r="P54" s="1">
        <v>123.38</v>
      </c>
      <c r="Q54" s="1">
        <v>0</v>
      </c>
      <c r="R54" s="1">
        <v>16730596</v>
      </c>
      <c r="S54" s="1">
        <f>MIN($B54)</f>
        <v>0</v>
      </c>
      <c r="T54" s="1">
        <f>MIN($C54)</f>
        <v>0</v>
      </c>
      <c r="U54" s="1">
        <f>MIN($D54)</f>
        <v>0</v>
      </c>
      <c r="V54" s="1">
        <f>MIN($E54)</f>
        <v>0</v>
      </c>
      <c r="W54" s="1">
        <f>MIN($F54)</f>
        <v>0</v>
      </c>
      <c r="X54" s="1">
        <f>MIN($G54)</f>
        <v>0</v>
      </c>
      <c r="Y54" s="1">
        <f>MIN($H54)</f>
        <v>0</v>
      </c>
      <c r="Z54" s="1">
        <f>MIN($I54)</f>
        <v>0</v>
      </c>
      <c r="AA54" s="1">
        <f>MIN($J54)</f>
        <v>0</v>
      </c>
      <c r="AB54" s="1">
        <f>MIN($K54)</f>
        <v>0</v>
      </c>
      <c r="AC54" s="1">
        <f>MIN($M54)</f>
        <v>0</v>
      </c>
      <c r="AD54" s="1">
        <f>MIN($N54)</f>
        <v>0</v>
      </c>
      <c r="AE54" s="1">
        <f>MIN($P54)</f>
        <v>0</v>
      </c>
      <c r="AF54" s="1">
        <f>MIN($Q54)</f>
        <v>0</v>
      </c>
      <c r="AG54" s="1">
        <f>MIN($R54)</f>
        <v>0</v>
      </c>
      <c r="AH54" s="1">
        <f>MEDIAN($B54)</f>
        <v>0</v>
      </c>
      <c r="AI54" s="1">
        <f>MEDIAN($C54)</f>
        <v>0</v>
      </c>
      <c r="AJ54" s="1">
        <f>MEDIAN($D54)</f>
        <v>0</v>
      </c>
      <c r="AK54" s="1">
        <f>MEDIAN($E54)</f>
        <v>0</v>
      </c>
      <c r="AL54" s="1">
        <f>MEDIAN($F54)</f>
        <v>0</v>
      </c>
      <c r="AM54" s="1">
        <f>MEDIAN($G54)</f>
        <v>0</v>
      </c>
      <c r="AN54" s="1">
        <f>MEDIAN($H54)</f>
        <v>0</v>
      </c>
      <c r="AO54" s="1">
        <f>MEDIAN($I54)</f>
        <v>0</v>
      </c>
      <c r="AP54" s="1">
        <f>MEDIAN($J54)</f>
        <v>0</v>
      </c>
      <c r="AQ54" s="1">
        <f>MEDIAN($K54)</f>
        <v>0</v>
      </c>
      <c r="AR54" s="1">
        <f>MEDIAN($M54)</f>
        <v>0</v>
      </c>
      <c r="AS54" s="1">
        <f>MEDIAN($N54)</f>
        <v>0</v>
      </c>
      <c r="AT54" s="1">
        <f>MEDIAN($P54)</f>
        <v>0</v>
      </c>
      <c r="AU54" s="1">
        <f>MEDIAN($Q54)</f>
        <v>0</v>
      </c>
      <c r="AV54" s="1">
        <f>MEDIAN($R54)</f>
        <v>0</v>
      </c>
      <c r="AW54" s="1">
        <f>MAX($B54)</f>
        <v>0</v>
      </c>
      <c r="AX54" s="1">
        <f>MAX($C54)</f>
        <v>0</v>
      </c>
      <c r="AY54" s="1">
        <f>MAX($D54)</f>
        <v>0</v>
      </c>
      <c r="AZ54" s="1">
        <f>MAX($E54)</f>
        <v>0</v>
      </c>
      <c r="BA54" s="1">
        <f>MAX($F54)</f>
        <v>0</v>
      </c>
      <c r="BB54" s="1">
        <f>MAX($G54)</f>
        <v>0</v>
      </c>
      <c r="BC54" s="1">
        <f>MAX($H54)</f>
        <v>0</v>
      </c>
      <c r="BD54" s="1">
        <f>MAX($I54)</f>
        <v>0</v>
      </c>
      <c r="BE54" s="1">
        <f>MAX($J54)</f>
        <v>0</v>
      </c>
      <c r="BF54" s="1">
        <f>MAX($K54)</f>
        <v>0</v>
      </c>
      <c r="BG54" s="1">
        <f>MAX($M54)</f>
        <v>0</v>
      </c>
      <c r="BH54" s="1">
        <f>MAX($N54)</f>
        <v>0</v>
      </c>
      <c r="BI54" s="1">
        <f>MAX($P54)</f>
        <v>0</v>
      </c>
      <c r="BJ54" s="1">
        <f>MAX($Q54)</f>
        <v>0</v>
      </c>
      <c r="BK54" s="1">
        <f>MAX($R54)</f>
        <v>0</v>
      </c>
    </row>
    <row r="55" spans="1:63">
      <c r="A55" s="1" t="s">
        <v>52</v>
      </c>
      <c r="B55" s="1">
        <v>2333</v>
      </c>
      <c r="C55" s="1">
        <v>2</v>
      </c>
      <c r="D55" s="1">
        <v>74629183</v>
      </c>
      <c r="E55" s="1">
        <v>0</v>
      </c>
      <c r="F55" s="1">
        <v>7959</v>
      </c>
      <c r="G55" s="1">
        <v>0</v>
      </c>
      <c r="H55" s="1">
        <v>1</v>
      </c>
      <c r="I55" s="1">
        <v>236.838</v>
      </c>
      <c r="J55" s="1">
        <v>240.39</v>
      </c>
      <c r="K55" s="1">
        <v>0</v>
      </c>
      <c r="L55" s="1" t="s">
        <v>205</v>
      </c>
      <c r="M55" s="1">
        <v>21181395</v>
      </c>
      <c r="N55" s="1">
        <v>9.44</v>
      </c>
      <c r="O55" s="1" t="s">
        <v>210</v>
      </c>
      <c r="P55" s="1">
        <v>240.39</v>
      </c>
      <c r="Q55" s="1">
        <v>0</v>
      </c>
      <c r="R55" s="1">
        <v>19653746</v>
      </c>
      <c r="S55" s="1">
        <f>MIN($B55)</f>
        <v>0</v>
      </c>
      <c r="T55" s="1">
        <f>MIN($C55)</f>
        <v>0</v>
      </c>
      <c r="U55" s="1">
        <f>MIN($D55)</f>
        <v>0</v>
      </c>
      <c r="V55" s="1">
        <f>MIN($E55)</f>
        <v>0</v>
      </c>
      <c r="W55" s="1">
        <f>MIN($F55)</f>
        <v>0</v>
      </c>
      <c r="X55" s="1">
        <f>MIN($G55)</f>
        <v>0</v>
      </c>
      <c r="Y55" s="1">
        <f>MIN($H55)</f>
        <v>0</v>
      </c>
      <c r="Z55" s="1">
        <f>MIN($I55)</f>
        <v>0</v>
      </c>
      <c r="AA55" s="1">
        <f>MIN($J55)</f>
        <v>0</v>
      </c>
      <c r="AB55" s="1">
        <f>MIN($K55)</f>
        <v>0</v>
      </c>
      <c r="AC55" s="1">
        <f>MIN($M55)</f>
        <v>0</v>
      </c>
      <c r="AD55" s="1">
        <f>MIN($N55)</f>
        <v>0</v>
      </c>
      <c r="AE55" s="1">
        <f>MIN($P55)</f>
        <v>0</v>
      </c>
      <c r="AF55" s="1">
        <f>MIN($Q55)</f>
        <v>0</v>
      </c>
      <c r="AG55" s="1">
        <f>MIN($R55)</f>
        <v>0</v>
      </c>
      <c r="AH55" s="1">
        <f>MEDIAN($B55)</f>
        <v>0</v>
      </c>
      <c r="AI55" s="1">
        <f>MEDIAN($C55)</f>
        <v>0</v>
      </c>
      <c r="AJ55" s="1">
        <f>MEDIAN($D55)</f>
        <v>0</v>
      </c>
      <c r="AK55" s="1">
        <f>MEDIAN($E55)</f>
        <v>0</v>
      </c>
      <c r="AL55" s="1">
        <f>MEDIAN($F55)</f>
        <v>0</v>
      </c>
      <c r="AM55" s="1">
        <f>MEDIAN($G55)</f>
        <v>0</v>
      </c>
      <c r="AN55" s="1">
        <f>MEDIAN($H55)</f>
        <v>0</v>
      </c>
      <c r="AO55" s="1">
        <f>MEDIAN($I55)</f>
        <v>0</v>
      </c>
      <c r="AP55" s="1">
        <f>MEDIAN($J55)</f>
        <v>0</v>
      </c>
      <c r="AQ55" s="1">
        <f>MEDIAN($K55)</f>
        <v>0</v>
      </c>
      <c r="AR55" s="1">
        <f>MEDIAN($M55)</f>
        <v>0</v>
      </c>
      <c r="AS55" s="1">
        <f>MEDIAN($N55)</f>
        <v>0</v>
      </c>
      <c r="AT55" s="1">
        <f>MEDIAN($P55)</f>
        <v>0</v>
      </c>
      <c r="AU55" s="1">
        <f>MEDIAN($Q55)</f>
        <v>0</v>
      </c>
      <c r="AV55" s="1">
        <f>MEDIAN($R55)</f>
        <v>0</v>
      </c>
      <c r="AW55" s="1">
        <f>MAX($B55)</f>
        <v>0</v>
      </c>
      <c r="AX55" s="1">
        <f>MAX($C55)</f>
        <v>0</v>
      </c>
      <c r="AY55" s="1">
        <f>MAX($D55)</f>
        <v>0</v>
      </c>
      <c r="AZ55" s="1">
        <f>MAX($E55)</f>
        <v>0</v>
      </c>
      <c r="BA55" s="1">
        <f>MAX($F55)</f>
        <v>0</v>
      </c>
      <c r="BB55" s="1">
        <f>MAX($G55)</f>
        <v>0</v>
      </c>
      <c r="BC55" s="1">
        <f>MAX($H55)</f>
        <v>0</v>
      </c>
      <c r="BD55" s="1">
        <f>MAX($I55)</f>
        <v>0</v>
      </c>
      <c r="BE55" s="1">
        <f>MAX($J55)</f>
        <v>0</v>
      </c>
      <c r="BF55" s="1">
        <f>MAX($K55)</f>
        <v>0</v>
      </c>
      <c r="BG55" s="1">
        <f>MAX($M55)</f>
        <v>0</v>
      </c>
      <c r="BH55" s="1">
        <f>MAX($N55)</f>
        <v>0</v>
      </c>
      <c r="BI55" s="1">
        <f>MAX($P55)</f>
        <v>0</v>
      </c>
      <c r="BJ55" s="1">
        <f>MAX($Q55)</f>
        <v>0</v>
      </c>
      <c r="BK55" s="1">
        <f>MAX($R55)</f>
        <v>0</v>
      </c>
    </row>
    <row r="56" spans="1:63">
      <c r="A56" s="1" t="s">
        <v>53</v>
      </c>
      <c r="B56" s="1">
        <v>3029</v>
      </c>
      <c r="C56" s="1">
        <v>2</v>
      </c>
      <c r="D56" s="1">
        <v>26261215</v>
      </c>
      <c r="E56" s="1">
        <v>0</v>
      </c>
      <c r="F56" s="1">
        <v>3101</v>
      </c>
      <c r="G56" s="1">
        <v>0</v>
      </c>
      <c r="H56" s="1">
        <v>1</v>
      </c>
      <c r="I56" s="1">
        <v>43.198</v>
      </c>
      <c r="J56" s="1">
        <v>44.37</v>
      </c>
      <c r="K56" s="1">
        <v>0</v>
      </c>
      <c r="L56" s="1" t="s">
        <v>205</v>
      </c>
      <c r="M56" s="1">
        <v>7820924</v>
      </c>
      <c r="N56" s="1">
        <v>2.63</v>
      </c>
      <c r="O56" s="1" t="s">
        <v>210</v>
      </c>
      <c r="P56" s="1">
        <v>44.37</v>
      </c>
      <c r="Q56" s="1">
        <v>0</v>
      </c>
      <c r="R56" s="1">
        <v>7028699</v>
      </c>
      <c r="S56" s="1">
        <f>MIN($B56)</f>
        <v>0</v>
      </c>
      <c r="T56" s="1">
        <f>MIN($C56)</f>
        <v>0</v>
      </c>
      <c r="U56" s="1">
        <f>MIN($D56)</f>
        <v>0</v>
      </c>
      <c r="V56" s="1">
        <f>MIN($E56)</f>
        <v>0</v>
      </c>
      <c r="W56" s="1">
        <f>MIN($F56)</f>
        <v>0</v>
      </c>
      <c r="X56" s="1">
        <f>MIN($G56)</f>
        <v>0</v>
      </c>
      <c r="Y56" s="1">
        <f>MIN($H56)</f>
        <v>0</v>
      </c>
      <c r="Z56" s="1">
        <f>MIN($I56)</f>
        <v>0</v>
      </c>
      <c r="AA56" s="1">
        <f>MIN($J56)</f>
        <v>0</v>
      </c>
      <c r="AB56" s="1">
        <f>MIN($K56)</f>
        <v>0</v>
      </c>
      <c r="AC56" s="1">
        <f>MIN($M56)</f>
        <v>0</v>
      </c>
      <c r="AD56" s="1">
        <f>MIN($N56)</f>
        <v>0</v>
      </c>
      <c r="AE56" s="1">
        <f>MIN($P56)</f>
        <v>0</v>
      </c>
      <c r="AF56" s="1">
        <f>MIN($Q56)</f>
        <v>0</v>
      </c>
      <c r="AG56" s="1">
        <f>MIN($R56)</f>
        <v>0</v>
      </c>
      <c r="AH56" s="1">
        <f>MEDIAN($B56)</f>
        <v>0</v>
      </c>
      <c r="AI56" s="1">
        <f>MEDIAN($C56)</f>
        <v>0</v>
      </c>
      <c r="AJ56" s="1">
        <f>MEDIAN($D56)</f>
        <v>0</v>
      </c>
      <c r="AK56" s="1">
        <f>MEDIAN($E56)</f>
        <v>0</v>
      </c>
      <c r="AL56" s="1">
        <f>MEDIAN($F56)</f>
        <v>0</v>
      </c>
      <c r="AM56" s="1">
        <f>MEDIAN($G56)</f>
        <v>0</v>
      </c>
      <c r="AN56" s="1">
        <f>MEDIAN($H56)</f>
        <v>0</v>
      </c>
      <c r="AO56" s="1">
        <f>MEDIAN($I56)</f>
        <v>0</v>
      </c>
      <c r="AP56" s="1">
        <f>MEDIAN($J56)</f>
        <v>0</v>
      </c>
      <c r="AQ56" s="1">
        <f>MEDIAN($K56)</f>
        <v>0</v>
      </c>
      <c r="AR56" s="1">
        <f>MEDIAN($M56)</f>
        <v>0</v>
      </c>
      <c r="AS56" s="1">
        <f>MEDIAN($N56)</f>
        <v>0</v>
      </c>
      <c r="AT56" s="1">
        <f>MEDIAN($P56)</f>
        <v>0</v>
      </c>
      <c r="AU56" s="1">
        <f>MEDIAN($Q56)</f>
        <v>0</v>
      </c>
      <c r="AV56" s="1">
        <f>MEDIAN($R56)</f>
        <v>0</v>
      </c>
      <c r="AW56" s="1">
        <f>MAX($B56)</f>
        <v>0</v>
      </c>
      <c r="AX56" s="1">
        <f>MAX($C56)</f>
        <v>0</v>
      </c>
      <c r="AY56" s="1">
        <f>MAX($D56)</f>
        <v>0</v>
      </c>
      <c r="AZ56" s="1">
        <f>MAX($E56)</f>
        <v>0</v>
      </c>
      <c r="BA56" s="1">
        <f>MAX($F56)</f>
        <v>0</v>
      </c>
      <c r="BB56" s="1">
        <f>MAX($G56)</f>
        <v>0</v>
      </c>
      <c r="BC56" s="1">
        <f>MAX($H56)</f>
        <v>0</v>
      </c>
      <c r="BD56" s="1">
        <f>MAX($I56)</f>
        <v>0</v>
      </c>
      <c r="BE56" s="1">
        <f>MAX($J56)</f>
        <v>0</v>
      </c>
      <c r="BF56" s="1">
        <f>MAX($K56)</f>
        <v>0</v>
      </c>
      <c r="BG56" s="1">
        <f>MAX($M56)</f>
        <v>0</v>
      </c>
      <c r="BH56" s="1">
        <f>MAX($N56)</f>
        <v>0</v>
      </c>
      <c r="BI56" s="1">
        <f>MAX($P56)</f>
        <v>0</v>
      </c>
      <c r="BJ56" s="1">
        <f>MAX($Q56)</f>
        <v>0</v>
      </c>
      <c r="BK56" s="1">
        <f>MAX($R56)</f>
        <v>0</v>
      </c>
    </row>
    <row r="57" spans="1:63">
      <c r="A57" s="1" t="s">
        <v>54</v>
      </c>
      <c r="B57" s="1">
        <v>1607</v>
      </c>
      <c r="C57" s="1">
        <v>1</v>
      </c>
      <c r="D57" s="1">
        <v>29361960</v>
      </c>
      <c r="E57" s="1">
        <v>0</v>
      </c>
      <c r="F57" s="1">
        <v>3523</v>
      </c>
      <c r="G57" s="1">
        <v>0</v>
      </c>
      <c r="H57" s="1">
        <v>1</v>
      </c>
      <c r="I57" s="1">
        <v>54.005</v>
      </c>
      <c r="J57" s="1">
        <v>55.45</v>
      </c>
      <c r="K57" s="1">
        <v>0</v>
      </c>
      <c r="L57" s="1" t="s">
        <v>205</v>
      </c>
      <c r="M57" s="1">
        <v>8787911</v>
      </c>
      <c r="N57" s="1">
        <v>2.28</v>
      </c>
      <c r="O57" s="1" t="s">
        <v>210</v>
      </c>
      <c r="P57" s="1">
        <v>55.45</v>
      </c>
      <c r="Q57" s="1">
        <v>0</v>
      </c>
      <c r="R57" s="1">
        <v>7906886</v>
      </c>
      <c r="S57" s="1">
        <f>MIN($B57)</f>
        <v>0</v>
      </c>
      <c r="T57" s="1">
        <f>MIN($C57)</f>
        <v>0</v>
      </c>
      <c r="U57" s="1">
        <f>MIN($D57)</f>
        <v>0</v>
      </c>
      <c r="V57" s="1">
        <f>MIN($E57)</f>
        <v>0</v>
      </c>
      <c r="W57" s="1">
        <f>MIN($F57)</f>
        <v>0</v>
      </c>
      <c r="X57" s="1">
        <f>MIN($G57)</f>
        <v>0</v>
      </c>
      <c r="Y57" s="1">
        <f>MIN($H57)</f>
        <v>0</v>
      </c>
      <c r="Z57" s="1">
        <f>MIN($I57)</f>
        <v>0</v>
      </c>
      <c r="AA57" s="1">
        <f>MIN($J57)</f>
        <v>0</v>
      </c>
      <c r="AB57" s="1">
        <f>MIN($K57)</f>
        <v>0</v>
      </c>
      <c r="AC57" s="1">
        <f>MIN($M57)</f>
        <v>0</v>
      </c>
      <c r="AD57" s="1">
        <f>MIN($N57)</f>
        <v>0</v>
      </c>
      <c r="AE57" s="1">
        <f>MIN($P57)</f>
        <v>0</v>
      </c>
      <c r="AF57" s="1">
        <f>MIN($Q57)</f>
        <v>0</v>
      </c>
      <c r="AG57" s="1">
        <f>MIN($R57)</f>
        <v>0</v>
      </c>
      <c r="AH57" s="1">
        <f>MEDIAN($B57)</f>
        <v>0</v>
      </c>
      <c r="AI57" s="1">
        <f>MEDIAN($C57)</f>
        <v>0</v>
      </c>
      <c r="AJ57" s="1">
        <f>MEDIAN($D57)</f>
        <v>0</v>
      </c>
      <c r="AK57" s="1">
        <f>MEDIAN($E57)</f>
        <v>0</v>
      </c>
      <c r="AL57" s="1">
        <f>MEDIAN($F57)</f>
        <v>0</v>
      </c>
      <c r="AM57" s="1">
        <f>MEDIAN($G57)</f>
        <v>0</v>
      </c>
      <c r="AN57" s="1">
        <f>MEDIAN($H57)</f>
        <v>0</v>
      </c>
      <c r="AO57" s="1">
        <f>MEDIAN($I57)</f>
        <v>0</v>
      </c>
      <c r="AP57" s="1">
        <f>MEDIAN($J57)</f>
        <v>0</v>
      </c>
      <c r="AQ57" s="1">
        <f>MEDIAN($K57)</f>
        <v>0</v>
      </c>
      <c r="AR57" s="1">
        <f>MEDIAN($M57)</f>
        <v>0</v>
      </c>
      <c r="AS57" s="1">
        <f>MEDIAN($N57)</f>
        <v>0</v>
      </c>
      <c r="AT57" s="1">
        <f>MEDIAN($P57)</f>
        <v>0</v>
      </c>
      <c r="AU57" s="1">
        <f>MEDIAN($Q57)</f>
        <v>0</v>
      </c>
      <c r="AV57" s="1">
        <f>MEDIAN($R57)</f>
        <v>0</v>
      </c>
      <c r="AW57" s="1">
        <f>MAX($B57)</f>
        <v>0</v>
      </c>
      <c r="AX57" s="1">
        <f>MAX($C57)</f>
        <v>0</v>
      </c>
      <c r="AY57" s="1">
        <f>MAX($D57)</f>
        <v>0</v>
      </c>
      <c r="AZ57" s="1">
        <f>MAX($E57)</f>
        <v>0</v>
      </c>
      <c r="BA57" s="1">
        <f>MAX($F57)</f>
        <v>0</v>
      </c>
      <c r="BB57" s="1">
        <f>MAX($G57)</f>
        <v>0</v>
      </c>
      <c r="BC57" s="1">
        <f>MAX($H57)</f>
        <v>0</v>
      </c>
      <c r="BD57" s="1">
        <f>MAX($I57)</f>
        <v>0</v>
      </c>
      <c r="BE57" s="1">
        <f>MAX($J57)</f>
        <v>0</v>
      </c>
      <c r="BF57" s="1">
        <f>MAX($K57)</f>
        <v>0</v>
      </c>
      <c r="BG57" s="1">
        <f>MAX($M57)</f>
        <v>0</v>
      </c>
      <c r="BH57" s="1">
        <f>MAX($N57)</f>
        <v>0</v>
      </c>
      <c r="BI57" s="1">
        <f>MAX($P57)</f>
        <v>0</v>
      </c>
      <c r="BJ57" s="1">
        <f>MAX($Q57)</f>
        <v>0</v>
      </c>
      <c r="BK57" s="1">
        <f>MAX($R57)</f>
        <v>0</v>
      </c>
    </row>
    <row r="58" spans="1:63">
      <c r="A58" s="1" t="s">
        <v>55</v>
      </c>
      <c r="B58" s="1">
        <v>1150</v>
      </c>
      <c r="C58" s="1">
        <v>1</v>
      </c>
      <c r="D58" s="1">
        <v>35990259</v>
      </c>
      <c r="E58" s="1">
        <v>0</v>
      </c>
      <c r="F58" s="1">
        <v>4190</v>
      </c>
      <c r="G58" s="1">
        <v>0</v>
      </c>
      <c r="H58" s="1">
        <v>1</v>
      </c>
      <c r="I58" s="1">
        <v>62.897</v>
      </c>
      <c r="J58" s="1">
        <v>64.5</v>
      </c>
      <c r="K58" s="1">
        <v>0</v>
      </c>
      <c r="L58" s="1" t="s">
        <v>205</v>
      </c>
      <c r="M58" s="1">
        <v>10683962</v>
      </c>
      <c r="N58" s="1">
        <v>2.23</v>
      </c>
      <c r="O58" s="1" t="s">
        <v>210</v>
      </c>
      <c r="P58" s="1">
        <v>64.5</v>
      </c>
      <c r="Q58" s="1">
        <v>0</v>
      </c>
      <c r="R58" s="1">
        <v>9645336</v>
      </c>
      <c r="S58" s="1">
        <f>MIN($B58)</f>
        <v>0</v>
      </c>
      <c r="T58" s="1">
        <f>MIN($C58)</f>
        <v>0</v>
      </c>
      <c r="U58" s="1">
        <f>MIN($D58)</f>
        <v>0</v>
      </c>
      <c r="V58" s="1">
        <f>MIN($E58)</f>
        <v>0</v>
      </c>
      <c r="W58" s="1">
        <f>MIN($F58)</f>
        <v>0</v>
      </c>
      <c r="X58" s="1">
        <f>MIN($G58)</f>
        <v>0</v>
      </c>
      <c r="Y58" s="1">
        <f>MIN($H58)</f>
        <v>0</v>
      </c>
      <c r="Z58" s="1">
        <f>MIN($I58)</f>
        <v>0</v>
      </c>
      <c r="AA58" s="1">
        <f>MIN($J58)</f>
        <v>0</v>
      </c>
      <c r="AB58" s="1">
        <f>MIN($K58)</f>
        <v>0</v>
      </c>
      <c r="AC58" s="1">
        <f>MIN($M58)</f>
        <v>0</v>
      </c>
      <c r="AD58" s="1">
        <f>MIN($N58)</f>
        <v>0</v>
      </c>
      <c r="AE58" s="1">
        <f>MIN($P58)</f>
        <v>0</v>
      </c>
      <c r="AF58" s="1">
        <f>MIN($Q58)</f>
        <v>0</v>
      </c>
      <c r="AG58" s="1">
        <f>MIN($R58)</f>
        <v>0</v>
      </c>
      <c r="AH58" s="1">
        <f>MEDIAN($B58)</f>
        <v>0</v>
      </c>
      <c r="AI58" s="1">
        <f>MEDIAN($C58)</f>
        <v>0</v>
      </c>
      <c r="AJ58" s="1">
        <f>MEDIAN($D58)</f>
        <v>0</v>
      </c>
      <c r="AK58" s="1">
        <f>MEDIAN($E58)</f>
        <v>0</v>
      </c>
      <c r="AL58" s="1">
        <f>MEDIAN($F58)</f>
        <v>0</v>
      </c>
      <c r="AM58" s="1">
        <f>MEDIAN($G58)</f>
        <v>0</v>
      </c>
      <c r="AN58" s="1">
        <f>MEDIAN($H58)</f>
        <v>0</v>
      </c>
      <c r="AO58" s="1">
        <f>MEDIAN($I58)</f>
        <v>0</v>
      </c>
      <c r="AP58" s="1">
        <f>MEDIAN($J58)</f>
        <v>0</v>
      </c>
      <c r="AQ58" s="1">
        <f>MEDIAN($K58)</f>
        <v>0</v>
      </c>
      <c r="AR58" s="1">
        <f>MEDIAN($M58)</f>
        <v>0</v>
      </c>
      <c r="AS58" s="1">
        <f>MEDIAN($N58)</f>
        <v>0</v>
      </c>
      <c r="AT58" s="1">
        <f>MEDIAN($P58)</f>
        <v>0</v>
      </c>
      <c r="AU58" s="1">
        <f>MEDIAN($Q58)</f>
        <v>0</v>
      </c>
      <c r="AV58" s="1">
        <f>MEDIAN($R58)</f>
        <v>0</v>
      </c>
      <c r="AW58" s="1">
        <f>MAX($B58)</f>
        <v>0</v>
      </c>
      <c r="AX58" s="1">
        <f>MAX($C58)</f>
        <v>0</v>
      </c>
      <c r="AY58" s="1">
        <f>MAX($D58)</f>
        <v>0</v>
      </c>
      <c r="AZ58" s="1">
        <f>MAX($E58)</f>
        <v>0</v>
      </c>
      <c r="BA58" s="1">
        <f>MAX($F58)</f>
        <v>0</v>
      </c>
      <c r="BB58" s="1">
        <f>MAX($G58)</f>
        <v>0</v>
      </c>
      <c r="BC58" s="1">
        <f>MAX($H58)</f>
        <v>0</v>
      </c>
      <c r="BD58" s="1">
        <f>MAX($I58)</f>
        <v>0</v>
      </c>
      <c r="BE58" s="1">
        <f>MAX($J58)</f>
        <v>0</v>
      </c>
      <c r="BF58" s="1">
        <f>MAX($K58)</f>
        <v>0</v>
      </c>
      <c r="BG58" s="1">
        <f>MAX($M58)</f>
        <v>0</v>
      </c>
      <c r="BH58" s="1">
        <f>MAX($N58)</f>
        <v>0</v>
      </c>
      <c r="BI58" s="1">
        <f>MAX($P58)</f>
        <v>0</v>
      </c>
      <c r="BJ58" s="1">
        <f>MAX($Q58)</f>
        <v>0</v>
      </c>
      <c r="BK58" s="1">
        <f>MAX($R58)</f>
        <v>0</v>
      </c>
    </row>
    <row r="59" spans="1:63">
      <c r="A59" s="1" t="s">
        <v>56</v>
      </c>
      <c r="B59" s="1">
        <v>1932</v>
      </c>
      <c r="C59" s="1">
        <v>3</v>
      </c>
      <c r="D59" s="1">
        <v>65954434</v>
      </c>
      <c r="E59" s="1">
        <v>0</v>
      </c>
      <c r="F59" s="1">
        <v>7600</v>
      </c>
      <c r="G59" s="1">
        <v>0</v>
      </c>
      <c r="H59" s="1">
        <v>1</v>
      </c>
      <c r="I59" s="1">
        <v>220.976</v>
      </c>
      <c r="J59" s="1">
        <v>224.19</v>
      </c>
      <c r="K59" s="1">
        <v>0</v>
      </c>
      <c r="L59" s="1" t="s">
        <v>205</v>
      </c>
      <c r="M59" s="1">
        <v>19398220</v>
      </c>
      <c r="N59" s="1">
        <v>7.47</v>
      </c>
      <c r="O59" s="1" t="s">
        <v>210</v>
      </c>
      <c r="P59" s="1">
        <v>224.19</v>
      </c>
      <c r="Q59" s="1">
        <v>0</v>
      </c>
      <c r="R59" s="1">
        <v>17645690</v>
      </c>
      <c r="S59" s="1">
        <f>MIN($B59)</f>
        <v>0</v>
      </c>
      <c r="T59" s="1">
        <f>MIN($C59)</f>
        <v>0</v>
      </c>
      <c r="U59" s="1">
        <f>MIN($D59)</f>
        <v>0</v>
      </c>
      <c r="V59" s="1">
        <f>MIN($E59)</f>
        <v>0</v>
      </c>
      <c r="W59" s="1">
        <f>MIN($F59)</f>
        <v>0</v>
      </c>
      <c r="X59" s="1">
        <f>MIN($G59)</f>
        <v>0</v>
      </c>
      <c r="Y59" s="1">
        <f>MIN($H59)</f>
        <v>0</v>
      </c>
      <c r="Z59" s="1">
        <f>MIN($I59)</f>
        <v>0</v>
      </c>
      <c r="AA59" s="1">
        <f>MIN($J59)</f>
        <v>0</v>
      </c>
      <c r="AB59" s="1">
        <f>MIN($K59)</f>
        <v>0</v>
      </c>
      <c r="AC59" s="1">
        <f>MIN($M59)</f>
        <v>0</v>
      </c>
      <c r="AD59" s="1">
        <f>MIN($N59)</f>
        <v>0</v>
      </c>
      <c r="AE59" s="1">
        <f>MIN($P59)</f>
        <v>0</v>
      </c>
      <c r="AF59" s="1">
        <f>MIN($Q59)</f>
        <v>0</v>
      </c>
      <c r="AG59" s="1">
        <f>MIN($R59)</f>
        <v>0</v>
      </c>
      <c r="AH59" s="1">
        <f>MEDIAN($B59)</f>
        <v>0</v>
      </c>
      <c r="AI59" s="1">
        <f>MEDIAN($C59)</f>
        <v>0</v>
      </c>
      <c r="AJ59" s="1">
        <f>MEDIAN($D59)</f>
        <v>0</v>
      </c>
      <c r="AK59" s="1">
        <f>MEDIAN($E59)</f>
        <v>0</v>
      </c>
      <c r="AL59" s="1">
        <f>MEDIAN($F59)</f>
        <v>0</v>
      </c>
      <c r="AM59" s="1">
        <f>MEDIAN($G59)</f>
        <v>0</v>
      </c>
      <c r="AN59" s="1">
        <f>MEDIAN($H59)</f>
        <v>0</v>
      </c>
      <c r="AO59" s="1">
        <f>MEDIAN($I59)</f>
        <v>0</v>
      </c>
      <c r="AP59" s="1">
        <f>MEDIAN($J59)</f>
        <v>0</v>
      </c>
      <c r="AQ59" s="1">
        <f>MEDIAN($K59)</f>
        <v>0</v>
      </c>
      <c r="AR59" s="1">
        <f>MEDIAN($M59)</f>
        <v>0</v>
      </c>
      <c r="AS59" s="1">
        <f>MEDIAN($N59)</f>
        <v>0</v>
      </c>
      <c r="AT59" s="1">
        <f>MEDIAN($P59)</f>
        <v>0</v>
      </c>
      <c r="AU59" s="1">
        <f>MEDIAN($Q59)</f>
        <v>0</v>
      </c>
      <c r="AV59" s="1">
        <f>MEDIAN($R59)</f>
        <v>0</v>
      </c>
      <c r="AW59" s="1">
        <f>MAX($B59)</f>
        <v>0</v>
      </c>
      <c r="AX59" s="1">
        <f>MAX($C59)</f>
        <v>0</v>
      </c>
      <c r="AY59" s="1">
        <f>MAX($D59)</f>
        <v>0</v>
      </c>
      <c r="AZ59" s="1">
        <f>MAX($E59)</f>
        <v>0</v>
      </c>
      <c r="BA59" s="1">
        <f>MAX($F59)</f>
        <v>0</v>
      </c>
      <c r="BB59" s="1">
        <f>MAX($G59)</f>
        <v>0</v>
      </c>
      <c r="BC59" s="1">
        <f>MAX($H59)</f>
        <v>0</v>
      </c>
      <c r="BD59" s="1">
        <f>MAX($I59)</f>
        <v>0</v>
      </c>
      <c r="BE59" s="1">
        <f>MAX($J59)</f>
        <v>0</v>
      </c>
      <c r="BF59" s="1">
        <f>MAX($K59)</f>
        <v>0</v>
      </c>
      <c r="BG59" s="1">
        <f>MAX($M59)</f>
        <v>0</v>
      </c>
      <c r="BH59" s="1">
        <f>MAX($N59)</f>
        <v>0</v>
      </c>
      <c r="BI59" s="1">
        <f>MAX($P59)</f>
        <v>0</v>
      </c>
      <c r="BJ59" s="1">
        <f>MAX($Q59)</f>
        <v>0</v>
      </c>
      <c r="BK59" s="1">
        <f>MAX($R59)</f>
        <v>0</v>
      </c>
    </row>
    <row r="60" spans="1:63">
      <c r="A60" s="1" t="s">
        <v>57</v>
      </c>
      <c r="B60" s="1">
        <v>10505</v>
      </c>
      <c r="C60" s="1">
        <v>3</v>
      </c>
      <c r="D60" s="1">
        <v>93441396</v>
      </c>
      <c r="E60" s="1">
        <v>0</v>
      </c>
      <c r="F60" s="1"/>
      <c r="G60" s="1">
        <v>0</v>
      </c>
      <c r="H60" s="1">
        <v>1</v>
      </c>
      <c r="I60" s="1">
        <v>232.832</v>
      </c>
      <c r="J60" s="1">
        <v>12000</v>
      </c>
      <c r="K60" s="1">
        <v>0</v>
      </c>
      <c r="L60" s="1"/>
      <c r="M60" s="1">
        <v>27269305</v>
      </c>
      <c r="N60" s="1">
        <v>9.56</v>
      </c>
      <c r="O60" s="1" t="s">
        <v>210</v>
      </c>
      <c r="P60" s="1">
        <v>6000</v>
      </c>
      <c r="Q60" s="1">
        <v>1</v>
      </c>
      <c r="R60" s="1">
        <v>24934230</v>
      </c>
      <c r="S60" s="1">
        <f>MIN($B60)</f>
        <v>0</v>
      </c>
      <c r="T60" s="1">
        <f>MIN($C60)</f>
        <v>0</v>
      </c>
      <c r="U60" s="1">
        <f>MIN($D60)</f>
        <v>0</v>
      </c>
      <c r="V60" s="1">
        <f>MIN($E60)</f>
        <v>0</v>
      </c>
      <c r="W60" s="1"/>
      <c r="X60" s="1">
        <f>MIN($G60)</f>
        <v>0</v>
      </c>
      <c r="Y60" s="1">
        <f>MIN($H60)</f>
        <v>0</v>
      </c>
      <c r="Z60" s="1">
        <f>MIN($I60)</f>
        <v>0</v>
      </c>
      <c r="AA60" s="1">
        <f>MIN($J60)</f>
        <v>0</v>
      </c>
      <c r="AB60" s="1">
        <f>MIN($K60)</f>
        <v>0</v>
      </c>
      <c r="AC60" s="1">
        <f>MIN($M60)</f>
        <v>0</v>
      </c>
      <c r="AD60" s="1">
        <f>MIN($N60)</f>
        <v>0</v>
      </c>
      <c r="AE60" s="1">
        <f>MIN($P60)</f>
        <v>0</v>
      </c>
      <c r="AF60" s="1">
        <f>MIN($Q60)</f>
        <v>0</v>
      </c>
      <c r="AG60" s="1">
        <f>MIN($R60)</f>
        <v>0</v>
      </c>
      <c r="AH60" s="1">
        <f>MEDIAN($B60)</f>
        <v>0</v>
      </c>
      <c r="AI60" s="1">
        <f>MEDIAN($C60)</f>
        <v>0</v>
      </c>
      <c r="AJ60" s="1">
        <f>MEDIAN($D60)</f>
        <v>0</v>
      </c>
      <c r="AK60" s="1">
        <f>MEDIAN($E60)</f>
        <v>0</v>
      </c>
      <c r="AL60" s="1"/>
      <c r="AM60" s="1">
        <f>MEDIAN($G60)</f>
        <v>0</v>
      </c>
      <c r="AN60" s="1">
        <f>MEDIAN($H60)</f>
        <v>0</v>
      </c>
      <c r="AO60" s="1">
        <f>MEDIAN($I60)</f>
        <v>0</v>
      </c>
      <c r="AP60" s="1">
        <f>MEDIAN($J60)</f>
        <v>0</v>
      </c>
      <c r="AQ60" s="1">
        <f>MEDIAN($K60)</f>
        <v>0</v>
      </c>
      <c r="AR60" s="1">
        <f>MEDIAN($M60)</f>
        <v>0</v>
      </c>
      <c r="AS60" s="1">
        <f>MEDIAN($N60)</f>
        <v>0</v>
      </c>
      <c r="AT60" s="1">
        <f>MEDIAN($P60)</f>
        <v>0</v>
      </c>
      <c r="AU60" s="1">
        <f>MEDIAN($Q60)</f>
        <v>0</v>
      </c>
      <c r="AV60" s="1">
        <f>MEDIAN($R60)</f>
        <v>0</v>
      </c>
      <c r="AW60" s="1">
        <f>MAX($B60)</f>
        <v>0</v>
      </c>
      <c r="AX60" s="1">
        <f>MAX($C60)</f>
        <v>0</v>
      </c>
      <c r="AY60" s="1">
        <f>MAX($D60)</f>
        <v>0</v>
      </c>
      <c r="AZ60" s="1">
        <f>MAX($E60)</f>
        <v>0</v>
      </c>
      <c r="BA60" s="1"/>
      <c r="BB60" s="1">
        <f>MAX($G60)</f>
        <v>0</v>
      </c>
      <c r="BC60" s="1">
        <f>MAX($H60)</f>
        <v>0</v>
      </c>
      <c r="BD60" s="1">
        <f>MAX($I60)</f>
        <v>0</v>
      </c>
      <c r="BE60" s="1">
        <f>MAX($J60)</f>
        <v>0</v>
      </c>
      <c r="BF60" s="1">
        <f>MAX($K60)</f>
        <v>0</v>
      </c>
      <c r="BG60" s="1">
        <f>MAX($M60)</f>
        <v>0</v>
      </c>
      <c r="BH60" s="1">
        <f>MAX($N60)</f>
        <v>0</v>
      </c>
      <c r="BI60" s="1">
        <f>MAX($P60)</f>
        <v>0</v>
      </c>
      <c r="BJ60" s="1">
        <f>MAX($Q60)</f>
        <v>0</v>
      </c>
      <c r="BK60" s="1">
        <f>MAX($R60)</f>
        <v>0</v>
      </c>
    </row>
    <row r="61" spans="1:63">
      <c r="A61" s="1" t="s">
        <v>58</v>
      </c>
      <c r="B61" s="1">
        <v>449</v>
      </c>
      <c r="C61" s="1">
        <v>1</v>
      </c>
      <c r="D61" s="1">
        <v>70841545</v>
      </c>
      <c r="E61" s="1">
        <v>0</v>
      </c>
      <c r="F61" s="1">
        <v>7764</v>
      </c>
      <c r="G61" s="1">
        <v>0</v>
      </c>
      <c r="H61" s="1">
        <v>1</v>
      </c>
      <c r="I61" s="1">
        <v>2092.732</v>
      </c>
      <c r="J61" s="1">
        <v>2164.62</v>
      </c>
      <c r="K61" s="1">
        <v>0</v>
      </c>
      <c r="L61" s="1" t="s">
        <v>205</v>
      </c>
      <c r="M61" s="1">
        <v>20528292</v>
      </c>
      <c r="N61" s="1">
        <v>1913.59</v>
      </c>
      <c r="O61" s="1" t="s">
        <v>210</v>
      </c>
      <c r="P61" s="1">
        <v>2164.62</v>
      </c>
      <c r="Q61" s="1">
        <v>0</v>
      </c>
      <c r="R61" s="1">
        <v>18798822</v>
      </c>
      <c r="S61" s="1">
        <f>MIN($B61)</f>
        <v>0</v>
      </c>
      <c r="T61" s="1">
        <f>MIN($C61)</f>
        <v>0</v>
      </c>
      <c r="U61" s="1">
        <f>MIN($D61)</f>
        <v>0</v>
      </c>
      <c r="V61" s="1">
        <f>MIN($E61)</f>
        <v>0</v>
      </c>
      <c r="W61" s="1">
        <f>MIN($F61)</f>
        <v>0</v>
      </c>
      <c r="X61" s="1">
        <f>MIN($G61)</f>
        <v>0</v>
      </c>
      <c r="Y61" s="1">
        <f>MIN($H61)</f>
        <v>0</v>
      </c>
      <c r="Z61" s="1">
        <f>MIN($I61)</f>
        <v>0</v>
      </c>
      <c r="AA61" s="1">
        <f>MIN($J61)</f>
        <v>0</v>
      </c>
      <c r="AB61" s="1">
        <f>MIN($K61)</f>
        <v>0</v>
      </c>
      <c r="AC61" s="1">
        <f>MIN($M61)</f>
        <v>0</v>
      </c>
      <c r="AD61" s="1">
        <f>MIN($N61)</f>
        <v>0</v>
      </c>
      <c r="AE61" s="1">
        <f>MIN($P61)</f>
        <v>0</v>
      </c>
      <c r="AF61" s="1">
        <f>MIN($Q61)</f>
        <v>0</v>
      </c>
      <c r="AG61" s="1">
        <f>MIN($R61)</f>
        <v>0</v>
      </c>
      <c r="AH61" s="1">
        <f>MEDIAN($B61)</f>
        <v>0</v>
      </c>
      <c r="AI61" s="1">
        <f>MEDIAN($C61)</f>
        <v>0</v>
      </c>
      <c r="AJ61" s="1">
        <f>MEDIAN($D61)</f>
        <v>0</v>
      </c>
      <c r="AK61" s="1">
        <f>MEDIAN($E61)</f>
        <v>0</v>
      </c>
      <c r="AL61" s="1">
        <f>MEDIAN($F61)</f>
        <v>0</v>
      </c>
      <c r="AM61" s="1">
        <f>MEDIAN($G61)</f>
        <v>0</v>
      </c>
      <c r="AN61" s="1">
        <f>MEDIAN($H61)</f>
        <v>0</v>
      </c>
      <c r="AO61" s="1">
        <f>MEDIAN($I61)</f>
        <v>0</v>
      </c>
      <c r="AP61" s="1">
        <f>MEDIAN($J61)</f>
        <v>0</v>
      </c>
      <c r="AQ61" s="1">
        <f>MEDIAN($K61)</f>
        <v>0</v>
      </c>
      <c r="AR61" s="1">
        <f>MEDIAN($M61)</f>
        <v>0</v>
      </c>
      <c r="AS61" s="1">
        <f>MEDIAN($N61)</f>
        <v>0</v>
      </c>
      <c r="AT61" s="1">
        <f>MEDIAN($P61)</f>
        <v>0</v>
      </c>
      <c r="AU61" s="1">
        <f>MEDIAN($Q61)</f>
        <v>0</v>
      </c>
      <c r="AV61" s="1">
        <f>MEDIAN($R61)</f>
        <v>0</v>
      </c>
      <c r="AW61" s="1">
        <f>MAX($B61)</f>
        <v>0</v>
      </c>
      <c r="AX61" s="1">
        <f>MAX($C61)</f>
        <v>0</v>
      </c>
      <c r="AY61" s="1">
        <f>MAX($D61)</f>
        <v>0</v>
      </c>
      <c r="AZ61" s="1">
        <f>MAX($E61)</f>
        <v>0</v>
      </c>
      <c r="BA61" s="1">
        <f>MAX($F61)</f>
        <v>0</v>
      </c>
      <c r="BB61" s="1">
        <f>MAX($G61)</f>
        <v>0</v>
      </c>
      <c r="BC61" s="1">
        <f>MAX($H61)</f>
        <v>0</v>
      </c>
      <c r="BD61" s="1">
        <f>MAX($I61)</f>
        <v>0</v>
      </c>
      <c r="BE61" s="1">
        <f>MAX($J61)</f>
        <v>0</v>
      </c>
      <c r="BF61" s="1">
        <f>MAX($K61)</f>
        <v>0</v>
      </c>
      <c r="BG61" s="1">
        <f>MAX($M61)</f>
        <v>0</v>
      </c>
      <c r="BH61" s="1">
        <f>MAX($N61)</f>
        <v>0</v>
      </c>
      <c r="BI61" s="1">
        <f>MAX($P61)</f>
        <v>0</v>
      </c>
      <c r="BJ61" s="1">
        <f>MAX($Q61)</f>
        <v>0</v>
      </c>
      <c r="BK61" s="1">
        <f>MAX($R61)</f>
        <v>0</v>
      </c>
    </row>
    <row r="62" spans="1:63">
      <c r="A62" s="1" t="s">
        <v>59</v>
      </c>
      <c r="B62" s="1">
        <v>1723</v>
      </c>
      <c r="C62" s="1">
        <v>4</v>
      </c>
      <c r="D62" s="1">
        <v>126563063</v>
      </c>
      <c r="E62" s="1">
        <v>0</v>
      </c>
      <c r="F62" s="1">
        <v>13910</v>
      </c>
      <c r="G62" s="1">
        <v>0</v>
      </c>
      <c r="H62" s="1">
        <v>1</v>
      </c>
      <c r="I62" s="1">
        <v>319.029</v>
      </c>
      <c r="J62" s="1">
        <v>324.64</v>
      </c>
      <c r="K62" s="1">
        <v>0</v>
      </c>
      <c r="L62" s="1" t="s">
        <v>205</v>
      </c>
      <c r="M62" s="1">
        <v>36032572</v>
      </c>
      <c r="N62" s="1">
        <v>19.2</v>
      </c>
      <c r="O62" s="1" t="s">
        <v>210</v>
      </c>
      <c r="P62" s="1">
        <v>324.64</v>
      </c>
      <c r="Q62" s="1">
        <v>0</v>
      </c>
      <c r="R62" s="1">
        <v>33391391</v>
      </c>
      <c r="S62" s="1">
        <f>MIN($B62)</f>
        <v>0</v>
      </c>
      <c r="T62" s="1">
        <f>MIN($C62)</f>
        <v>0</v>
      </c>
      <c r="U62" s="1">
        <f>MIN($D62)</f>
        <v>0</v>
      </c>
      <c r="V62" s="1">
        <f>MIN($E62)</f>
        <v>0</v>
      </c>
      <c r="W62" s="1">
        <f>MIN($F62)</f>
        <v>0</v>
      </c>
      <c r="X62" s="1">
        <f>MIN($G62)</f>
        <v>0</v>
      </c>
      <c r="Y62" s="1">
        <f>MIN($H62)</f>
        <v>0</v>
      </c>
      <c r="Z62" s="1">
        <f>MIN($I62)</f>
        <v>0</v>
      </c>
      <c r="AA62" s="1">
        <f>MIN($J62)</f>
        <v>0</v>
      </c>
      <c r="AB62" s="1">
        <f>MIN($K62)</f>
        <v>0</v>
      </c>
      <c r="AC62" s="1">
        <f>MIN($M62)</f>
        <v>0</v>
      </c>
      <c r="AD62" s="1">
        <f>MIN($N62)</f>
        <v>0</v>
      </c>
      <c r="AE62" s="1">
        <f>MIN($P62)</f>
        <v>0</v>
      </c>
      <c r="AF62" s="1">
        <f>MIN($Q62)</f>
        <v>0</v>
      </c>
      <c r="AG62" s="1">
        <f>MIN($R62)</f>
        <v>0</v>
      </c>
      <c r="AH62" s="1">
        <f>MEDIAN($B62)</f>
        <v>0</v>
      </c>
      <c r="AI62" s="1">
        <f>MEDIAN($C62)</f>
        <v>0</v>
      </c>
      <c r="AJ62" s="1">
        <f>MEDIAN($D62)</f>
        <v>0</v>
      </c>
      <c r="AK62" s="1">
        <f>MEDIAN($E62)</f>
        <v>0</v>
      </c>
      <c r="AL62" s="1">
        <f>MEDIAN($F62)</f>
        <v>0</v>
      </c>
      <c r="AM62" s="1">
        <f>MEDIAN($G62)</f>
        <v>0</v>
      </c>
      <c r="AN62" s="1">
        <f>MEDIAN($H62)</f>
        <v>0</v>
      </c>
      <c r="AO62" s="1">
        <f>MEDIAN($I62)</f>
        <v>0</v>
      </c>
      <c r="AP62" s="1">
        <f>MEDIAN($J62)</f>
        <v>0</v>
      </c>
      <c r="AQ62" s="1">
        <f>MEDIAN($K62)</f>
        <v>0</v>
      </c>
      <c r="AR62" s="1">
        <f>MEDIAN($M62)</f>
        <v>0</v>
      </c>
      <c r="AS62" s="1">
        <f>MEDIAN($N62)</f>
        <v>0</v>
      </c>
      <c r="AT62" s="1">
        <f>MEDIAN($P62)</f>
        <v>0</v>
      </c>
      <c r="AU62" s="1">
        <f>MEDIAN($Q62)</f>
        <v>0</v>
      </c>
      <c r="AV62" s="1">
        <f>MEDIAN($R62)</f>
        <v>0</v>
      </c>
      <c r="AW62" s="1">
        <f>MAX($B62)</f>
        <v>0</v>
      </c>
      <c r="AX62" s="1">
        <f>MAX($C62)</f>
        <v>0</v>
      </c>
      <c r="AY62" s="1">
        <f>MAX($D62)</f>
        <v>0</v>
      </c>
      <c r="AZ62" s="1">
        <f>MAX($E62)</f>
        <v>0</v>
      </c>
      <c r="BA62" s="1">
        <f>MAX($F62)</f>
        <v>0</v>
      </c>
      <c r="BB62" s="1">
        <f>MAX($G62)</f>
        <v>0</v>
      </c>
      <c r="BC62" s="1">
        <f>MAX($H62)</f>
        <v>0</v>
      </c>
      <c r="BD62" s="1">
        <f>MAX($I62)</f>
        <v>0</v>
      </c>
      <c r="BE62" s="1">
        <f>MAX($J62)</f>
        <v>0</v>
      </c>
      <c r="BF62" s="1">
        <f>MAX($K62)</f>
        <v>0</v>
      </c>
      <c r="BG62" s="1">
        <f>MAX($M62)</f>
        <v>0</v>
      </c>
      <c r="BH62" s="1">
        <f>MAX($N62)</f>
        <v>0</v>
      </c>
      <c r="BI62" s="1">
        <f>MAX($P62)</f>
        <v>0</v>
      </c>
      <c r="BJ62" s="1">
        <f>MAX($Q62)</f>
        <v>0</v>
      </c>
      <c r="BK62" s="1">
        <f>MAX($R62)</f>
        <v>0</v>
      </c>
    </row>
    <row r="63" spans="1:63">
      <c r="A63" s="1" t="s">
        <v>60</v>
      </c>
      <c r="B63" s="1">
        <v>294</v>
      </c>
      <c r="C63" s="1">
        <v>0</v>
      </c>
      <c r="D63" s="1">
        <v>70170996</v>
      </c>
      <c r="E63" s="1">
        <v>0</v>
      </c>
      <c r="F63" s="1">
        <v>7887</v>
      </c>
      <c r="G63" s="1">
        <v>0</v>
      </c>
      <c r="H63" s="1">
        <v>1</v>
      </c>
      <c r="I63" s="1">
        <v>160.566</v>
      </c>
      <c r="J63" s="1">
        <v>170.49</v>
      </c>
      <c r="K63" s="1">
        <v>0</v>
      </c>
      <c r="L63" s="1" t="s">
        <v>205</v>
      </c>
      <c r="M63" s="1">
        <v>20319857</v>
      </c>
      <c r="N63" s="1">
        <v>26.74</v>
      </c>
      <c r="O63" s="1" t="s">
        <v>210</v>
      </c>
      <c r="P63" s="1">
        <v>170.49</v>
      </c>
      <c r="Q63" s="1">
        <v>0</v>
      </c>
      <c r="R63" s="1">
        <v>18654528</v>
      </c>
      <c r="S63" s="1">
        <f>MIN($B63)</f>
        <v>0</v>
      </c>
      <c r="T63" s="1">
        <f>MIN($C63)</f>
        <v>0</v>
      </c>
      <c r="U63" s="1">
        <f>MIN($D63)</f>
        <v>0</v>
      </c>
      <c r="V63" s="1">
        <f>MIN($E63)</f>
        <v>0</v>
      </c>
      <c r="W63" s="1">
        <f>MIN($F63)</f>
        <v>0</v>
      </c>
      <c r="X63" s="1">
        <f>MIN($G63)</f>
        <v>0</v>
      </c>
      <c r="Y63" s="1">
        <f>MIN($H63)</f>
        <v>0</v>
      </c>
      <c r="Z63" s="1">
        <f>MIN($I63)</f>
        <v>0</v>
      </c>
      <c r="AA63" s="1">
        <f>MIN($J63)</f>
        <v>0</v>
      </c>
      <c r="AB63" s="1">
        <f>MIN($K63)</f>
        <v>0</v>
      </c>
      <c r="AC63" s="1">
        <f>MIN($M63)</f>
        <v>0</v>
      </c>
      <c r="AD63" s="1">
        <f>MIN($N63)</f>
        <v>0</v>
      </c>
      <c r="AE63" s="1">
        <f>MIN($P63)</f>
        <v>0</v>
      </c>
      <c r="AF63" s="1">
        <f>MIN($Q63)</f>
        <v>0</v>
      </c>
      <c r="AG63" s="1">
        <f>MIN($R63)</f>
        <v>0</v>
      </c>
      <c r="AH63" s="1">
        <f>MEDIAN($B63)</f>
        <v>0</v>
      </c>
      <c r="AI63" s="1">
        <f>MEDIAN($C63)</f>
        <v>0</v>
      </c>
      <c r="AJ63" s="1">
        <f>MEDIAN($D63)</f>
        <v>0</v>
      </c>
      <c r="AK63" s="1">
        <f>MEDIAN($E63)</f>
        <v>0</v>
      </c>
      <c r="AL63" s="1">
        <f>MEDIAN($F63)</f>
        <v>0</v>
      </c>
      <c r="AM63" s="1">
        <f>MEDIAN($G63)</f>
        <v>0</v>
      </c>
      <c r="AN63" s="1">
        <f>MEDIAN($H63)</f>
        <v>0</v>
      </c>
      <c r="AO63" s="1">
        <f>MEDIAN($I63)</f>
        <v>0</v>
      </c>
      <c r="AP63" s="1">
        <f>MEDIAN($J63)</f>
        <v>0</v>
      </c>
      <c r="AQ63" s="1">
        <f>MEDIAN($K63)</f>
        <v>0</v>
      </c>
      <c r="AR63" s="1">
        <f>MEDIAN($M63)</f>
        <v>0</v>
      </c>
      <c r="AS63" s="1">
        <f>MEDIAN($N63)</f>
        <v>0</v>
      </c>
      <c r="AT63" s="1">
        <f>MEDIAN($P63)</f>
        <v>0</v>
      </c>
      <c r="AU63" s="1">
        <f>MEDIAN($Q63)</f>
        <v>0</v>
      </c>
      <c r="AV63" s="1">
        <f>MEDIAN($R63)</f>
        <v>0</v>
      </c>
      <c r="AW63" s="1">
        <f>MAX($B63)</f>
        <v>0</v>
      </c>
      <c r="AX63" s="1">
        <f>MAX($C63)</f>
        <v>0</v>
      </c>
      <c r="AY63" s="1">
        <f>MAX($D63)</f>
        <v>0</v>
      </c>
      <c r="AZ63" s="1">
        <f>MAX($E63)</f>
        <v>0</v>
      </c>
      <c r="BA63" s="1">
        <f>MAX($F63)</f>
        <v>0</v>
      </c>
      <c r="BB63" s="1">
        <f>MAX($G63)</f>
        <v>0</v>
      </c>
      <c r="BC63" s="1">
        <f>MAX($H63)</f>
        <v>0</v>
      </c>
      <c r="BD63" s="1">
        <f>MAX($I63)</f>
        <v>0</v>
      </c>
      <c r="BE63" s="1">
        <f>MAX($J63)</f>
        <v>0</v>
      </c>
      <c r="BF63" s="1">
        <f>MAX($K63)</f>
        <v>0</v>
      </c>
      <c r="BG63" s="1">
        <f>MAX($M63)</f>
        <v>0</v>
      </c>
      <c r="BH63" s="1">
        <f>MAX($N63)</f>
        <v>0</v>
      </c>
      <c r="BI63" s="1">
        <f>MAX($P63)</f>
        <v>0</v>
      </c>
      <c r="BJ63" s="1">
        <f>MAX($Q63)</f>
        <v>0</v>
      </c>
      <c r="BK63" s="1">
        <f>MAX($R63)</f>
        <v>0</v>
      </c>
    </row>
    <row r="64" spans="1:63">
      <c r="A64" s="1" t="s">
        <v>61</v>
      </c>
      <c r="B64" s="1">
        <v>14496</v>
      </c>
      <c r="C64" s="1">
        <v>3</v>
      </c>
      <c r="D64" s="1">
        <v>102367154</v>
      </c>
      <c r="E64" s="1">
        <v>0</v>
      </c>
      <c r="F64" s="1">
        <v>11679</v>
      </c>
      <c r="G64" s="1">
        <v>0</v>
      </c>
      <c r="H64" s="1">
        <v>1</v>
      </c>
      <c r="I64" s="1">
        <v>276.782</v>
      </c>
      <c r="J64" s="1">
        <v>281.15</v>
      </c>
      <c r="K64" s="1">
        <v>0</v>
      </c>
      <c r="L64" s="1" t="s">
        <v>205</v>
      </c>
      <c r="M64" s="1">
        <v>29509930</v>
      </c>
      <c r="N64" s="1">
        <v>17.37</v>
      </c>
      <c r="O64" s="1" t="s">
        <v>210</v>
      </c>
      <c r="P64" s="1">
        <v>281.15</v>
      </c>
      <c r="Q64" s="1">
        <v>0</v>
      </c>
      <c r="R64" s="1">
        <v>27169744</v>
      </c>
      <c r="S64" s="1">
        <f>MIN($B64)</f>
        <v>0</v>
      </c>
      <c r="T64" s="1">
        <f>MIN($C64)</f>
        <v>0</v>
      </c>
      <c r="U64" s="1">
        <f>MIN($D64)</f>
        <v>0</v>
      </c>
      <c r="V64" s="1">
        <f>MIN($E64)</f>
        <v>0</v>
      </c>
      <c r="W64" s="1">
        <f>MIN($F64)</f>
        <v>0</v>
      </c>
      <c r="X64" s="1">
        <f>MIN($G64)</f>
        <v>0</v>
      </c>
      <c r="Y64" s="1">
        <f>MIN($H64)</f>
        <v>0</v>
      </c>
      <c r="Z64" s="1">
        <f>MIN($I64)</f>
        <v>0</v>
      </c>
      <c r="AA64" s="1">
        <f>MIN($J64)</f>
        <v>0</v>
      </c>
      <c r="AB64" s="1">
        <f>MIN($K64)</f>
        <v>0</v>
      </c>
      <c r="AC64" s="1">
        <f>MIN($M64)</f>
        <v>0</v>
      </c>
      <c r="AD64" s="1">
        <f>MIN($N64)</f>
        <v>0</v>
      </c>
      <c r="AE64" s="1">
        <f>MIN($P64)</f>
        <v>0</v>
      </c>
      <c r="AF64" s="1">
        <f>MIN($Q64)</f>
        <v>0</v>
      </c>
      <c r="AG64" s="1">
        <f>MIN($R64)</f>
        <v>0</v>
      </c>
      <c r="AH64" s="1">
        <f>MEDIAN($B64)</f>
        <v>0</v>
      </c>
      <c r="AI64" s="1">
        <f>MEDIAN($C64)</f>
        <v>0</v>
      </c>
      <c r="AJ64" s="1">
        <f>MEDIAN($D64)</f>
        <v>0</v>
      </c>
      <c r="AK64" s="1">
        <f>MEDIAN($E64)</f>
        <v>0</v>
      </c>
      <c r="AL64" s="1">
        <f>MEDIAN($F64)</f>
        <v>0</v>
      </c>
      <c r="AM64" s="1">
        <f>MEDIAN($G64)</f>
        <v>0</v>
      </c>
      <c r="AN64" s="1">
        <f>MEDIAN($H64)</f>
        <v>0</v>
      </c>
      <c r="AO64" s="1">
        <f>MEDIAN($I64)</f>
        <v>0</v>
      </c>
      <c r="AP64" s="1">
        <f>MEDIAN($J64)</f>
        <v>0</v>
      </c>
      <c r="AQ64" s="1">
        <f>MEDIAN($K64)</f>
        <v>0</v>
      </c>
      <c r="AR64" s="1">
        <f>MEDIAN($M64)</f>
        <v>0</v>
      </c>
      <c r="AS64" s="1">
        <f>MEDIAN($N64)</f>
        <v>0</v>
      </c>
      <c r="AT64" s="1">
        <f>MEDIAN($P64)</f>
        <v>0</v>
      </c>
      <c r="AU64" s="1">
        <f>MEDIAN($Q64)</f>
        <v>0</v>
      </c>
      <c r="AV64" s="1">
        <f>MEDIAN($R64)</f>
        <v>0</v>
      </c>
      <c r="AW64" s="1">
        <f>MAX($B64)</f>
        <v>0</v>
      </c>
      <c r="AX64" s="1">
        <f>MAX($C64)</f>
        <v>0</v>
      </c>
      <c r="AY64" s="1">
        <f>MAX($D64)</f>
        <v>0</v>
      </c>
      <c r="AZ64" s="1">
        <f>MAX($E64)</f>
        <v>0</v>
      </c>
      <c r="BA64" s="1">
        <f>MAX($F64)</f>
        <v>0</v>
      </c>
      <c r="BB64" s="1">
        <f>MAX($G64)</f>
        <v>0</v>
      </c>
      <c r="BC64" s="1">
        <f>MAX($H64)</f>
        <v>0</v>
      </c>
      <c r="BD64" s="1">
        <f>MAX($I64)</f>
        <v>0</v>
      </c>
      <c r="BE64" s="1">
        <f>MAX($J64)</f>
        <v>0</v>
      </c>
      <c r="BF64" s="1">
        <f>MAX($K64)</f>
        <v>0</v>
      </c>
      <c r="BG64" s="1">
        <f>MAX($M64)</f>
        <v>0</v>
      </c>
      <c r="BH64" s="1">
        <f>MAX($N64)</f>
        <v>0</v>
      </c>
      <c r="BI64" s="1">
        <f>MAX($P64)</f>
        <v>0</v>
      </c>
      <c r="BJ64" s="1">
        <f>MAX($Q64)</f>
        <v>0</v>
      </c>
      <c r="BK64" s="1">
        <f>MAX($R64)</f>
        <v>0</v>
      </c>
    </row>
    <row r="65" spans="1:63">
      <c r="A65" s="1" t="s">
        <v>62</v>
      </c>
      <c r="B65" s="1">
        <v>4177</v>
      </c>
      <c r="C65" s="1">
        <v>4</v>
      </c>
      <c r="D65" s="1">
        <v>88659432</v>
      </c>
      <c r="E65" s="1">
        <v>0</v>
      </c>
      <c r="F65" s="1">
        <v>10058</v>
      </c>
      <c r="G65" s="1">
        <v>0</v>
      </c>
      <c r="H65" s="1">
        <v>1</v>
      </c>
      <c r="I65" s="1">
        <v>399.95</v>
      </c>
      <c r="J65" s="1">
        <v>404.17</v>
      </c>
      <c r="K65" s="1">
        <v>0</v>
      </c>
      <c r="L65" s="1" t="s">
        <v>205</v>
      </c>
      <c r="M65" s="1">
        <v>25686130</v>
      </c>
      <c r="N65" s="1">
        <v>14.73</v>
      </c>
      <c r="O65" s="1" t="s">
        <v>210</v>
      </c>
      <c r="P65" s="1">
        <v>404.17</v>
      </c>
      <c r="Q65" s="1">
        <v>0</v>
      </c>
      <c r="R65" s="1">
        <v>23531176</v>
      </c>
      <c r="S65" s="1">
        <f>MIN($B65)</f>
        <v>0</v>
      </c>
      <c r="T65" s="1">
        <f>MIN($C65)</f>
        <v>0</v>
      </c>
      <c r="U65" s="1">
        <f>MIN($D65)</f>
        <v>0</v>
      </c>
      <c r="V65" s="1">
        <f>MIN($E65)</f>
        <v>0</v>
      </c>
      <c r="W65" s="1">
        <f>MIN($F65)</f>
        <v>0</v>
      </c>
      <c r="X65" s="1">
        <f>MIN($G65)</f>
        <v>0</v>
      </c>
      <c r="Y65" s="1">
        <f>MIN($H65)</f>
        <v>0</v>
      </c>
      <c r="Z65" s="1">
        <f>MIN($I65)</f>
        <v>0</v>
      </c>
      <c r="AA65" s="1">
        <f>MIN($J65)</f>
        <v>0</v>
      </c>
      <c r="AB65" s="1">
        <f>MIN($K65)</f>
        <v>0</v>
      </c>
      <c r="AC65" s="1">
        <f>MIN($M65)</f>
        <v>0</v>
      </c>
      <c r="AD65" s="1">
        <f>MIN($N65)</f>
        <v>0</v>
      </c>
      <c r="AE65" s="1">
        <f>MIN($P65)</f>
        <v>0</v>
      </c>
      <c r="AF65" s="1">
        <f>MIN($Q65)</f>
        <v>0</v>
      </c>
      <c r="AG65" s="1">
        <f>MIN($R65)</f>
        <v>0</v>
      </c>
      <c r="AH65" s="1">
        <f>MEDIAN($B65)</f>
        <v>0</v>
      </c>
      <c r="AI65" s="1">
        <f>MEDIAN($C65)</f>
        <v>0</v>
      </c>
      <c r="AJ65" s="1">
        <f>MEDIAN($D65)</f>
        <v>0</v>
      </c>
      <c r="AK65" s="1">
        <f>MEDIAN($E65)</f>
        <v>0</v>
      </c>
      <c r="AL65" s="1">
        <f>MEDIAN($F65)</f>
        <v>0</v>
      </c>
      <c r="AM65" s="1">
        <f>MEDIAN($G65)</f>
        <v>0</v>
      </c>
      <c r="AN65" s="1">
        <f>MEDIAN($H65)</f>
        <v>0</v>
      </c>
      <c r="AO65" s="1">
        <f>MEDIAN($I65)</f>
        <v>0</v>
      </c>
      <c r="AP65" s="1">
        <f>MEDIAN($J65)</f>
        <v>0</v>
      </c>
      <c r="AQ65" s="1">
        <f>MEDIAN($K65)</f>
        <v>0</v>
      </c>
      <c r="AR65" s="1">
        <f>MEDIAN($M65)</f>
        <v>0</v>
      </c>
      <c r="AS65" s="1">
        <f>MEDIAN($N65)</f>
        <v>0</v>
      </c>
      <c r="AT65" s="1">
        <f>MEDIAN($P65)</f>
        <v>0</v>
      </c>
      <c r="AU65" s="1">
        <f>MEDIAN($Q65)</f>
        <v>0</v>
      </c>
      <c r="AV65" s="1">
        <f>MEDIAN($R65)</f>
        <v>0</v>
      </c>
      <c r="AW65" s="1">
        <f>MAX($B65)</f>
        <v>0</v>
      </c>
      <c r="AX65" s="1">
        <f>MAX($C65)</f>
        <v>0</v>
      </c>
      <c r="AY65" s="1">
        <f>MAX($D65)</f>
        <v>0</v>
      </c>
      <c r="AZ65" s="1">
        <f>MAX($E65)</f>
        <v>0</v>
      </c>
      <c r="BA65" s="1">
        <f>MAX($F65)</f>
        <v>0</v>
      </c>
      <c r="BB65" s="1">
        <f>MAX($G65)</f>
        <v>0</v>
      </c>
      <c r="BC65" s="1">
        <f>MAX($H65)</f>
        <v>0</v>
      </c>
      <c r="BD65" s="1">
        <f>MAX($I65)</f>
        <v>0</v>
      </c>
      <c r="BE65" s="1">
        <f>MAX($J65)</f>
        <v>0</v>
      </c>
      <c r="BF65" s="1">
        <f>MAX($K65)</f>
        <v>0</v>
      </c>
      <c r="BG65" s="1">
        <f>MAX($M65)</f>
        <v>0</v>
      </c>
      <c r="BH65" s="1">
        <f>MAX($N65)</f>
        <v>0</v>
      </c>
      <c r="BI65" s="1">
        <f>MAX($P65)</f>
        <v>0</v>
      </c>
      <c r="BJ65" s="1">
        <f>MAX($Q65)</f>
        <v>0</v>
      </c>
      <c r="BK65" s="1">
        <f>MAX($R65)</f>
        <v>0</v>
      </c>
    </row>
    <row r="66" spans="1:63">
      <c r="A66" s="1" t="s">
        <v>63</v>
      </c>
      <c r="B66" s="1"/>
      <c r="C66" s="1"/>
      <c r="D66" s="1"/>
      <c r="E66" s="1">
        <v>1</v>
      </c>
      <c r="F66" s="1">
        <v>17796</v>
      </c>
      <c r="G66" s="1">
        <v>0</v>
      </c>
      <c r="H66" s="1"/>
      <c r="I66" s="1"/>
      <c r="J66" s="1">
        <v>12000</v>
      </c>
      <c r="K66" s="1"/>
      <c r="L66" s="1" t="s">
        <v>203</v>
      </c>
      <c r="M66" s="1"/>
      <c r="N66" s="1"/>
      <c r="O66" s="1"/>
      <c r="P66" s="1">
        <v>6000</v>
      </c>
      <c r="Q66" s="1">
        <v>1</v>
      </c>
      <c r="R66" s="1"/>
      <c r="S66" s="1"/>
      <c r="T66" s="1"/>
      <c r="U66" s="1"/>
      <c r="V66" s="1">
        <f>MIN($E66)</f>
        <v>0</v>
      </c>
      <c r="W66" s="1">
        <f>MIN($F66)</f>
        <v>0</v>
      </c>
      <c r="X66" s="1">
        <f>MIN($G66)</f>
        <v>0</v>
      </c>
      <c r="Y66" s="1"/>
      <c r="Z66" s="1"/>
      <c r="AA66" s="1">
        <f>MIN($J66)</f>
        <v>0</v>
      </c>
      <c r="AB66" s="1"/>
      <c r="AC66" s="1"/>
      <c r="AD66" s="1"/>
      <c r="AE66" s="1">
        <f>MIN($P66)</f>
        <v>0</v>
      </c>
      <c r="AF66" s="1">
        <f>MIN($Q66)</f>
        <v>0</v>
      </c>
      <c r="AG66" s="1"/>
      <c r="AH66" s="1"/>
      <c r="AI66" s="1"/>
      <c r="AJ66" s="1"/>
      <c r="AK66" s="1">
        <f>MEDIAN($E66)</f>
        <v>0</v>
      </c>
      <c r="AL66" s="1">
        <f>MEDIAN($F66)</f>
        <v>0</v>
      </c>
      <c r="AM66" s="1">
        <f>MEDIAN($G66)</f>
        <v>0</v>
      </c>
      <c r="AN66" s="1"/>
      <c r="AO66" s="1"/>
      <c r="AP66" s="1">
        <f>MEDIAN($J66)</f>
        <v>0</v>
      </c>
      <c r="AQ66" s="1"/>
      <c r="AR66" s="1"/>
      <c r="AS66" s="1"/>
      <c r="AT66" s="1">
        <f>MEDIAN($P66)</f>
        <v>0</v>
      </c>
      <c r="AU66" s="1">
        <f>MEDIAN($Q66)</f>
        <v>0</v>
      </c>
      <c r="AV66" s="1"/>
      <c r="AW66" s="1"/>
      <c r="AX66" s="1"/>
      <c r="AY66" s="1"/>
      <c r="AZ66" s="1">
        <f>MAX($E66)</f>
        <v>0</v>
      </c>
      <c r="BA66" s="1">
        <f>MAX($F66)</f>
        <v>0</v>
      </c>
      <c r="BB66" s="1">
        <f>MAX($G66)</f>
        <v>0</v>
      </c>
      <c r="BC66" s="1"/>
      <c r="BD66" s="1"/>
      <c r="BE66" s="1">
        <f>MAX($J66)</f>
        <v>0</v>
      </c>
      <c r="BF66" s="1"/>
      <c r="BG66" s="1"/>
      <c r="BH66" s="1"/>
      <c r="BI66" s="1">
        <f>MAX($P66)</f>
        <v>0</v>
      </c>
      <c r="BJ66" s="1">
        <f>MAX($Q66)</f>
        <v>0</v>
      </c>
      <c r="BK66" s="1"/>
    </row>
    <row r="67" spans="1:63">
      <c r="A67" s="1" t="s">
        <v>64</v>
      </c>
      <c r="B67" s="1">
        <v>7127</v>
      </c>
      <c r="C67" s="1">
        <v>4</v>
      </c>
      <c r="D67" s="1">
        <v>116297694</v>
      </c>
      <c r="E67" s="1">
        <v>0</v>
      </c>
      <c r="F67" s="1">
        <v>13007</v>
      </c>
      <c r="G67" s="1">
        <v>0</v>
      </c>
      <c r="H67" s="1">
        <v>1</v>
      </c>
      <c r="I67" s="1">
        <v>320.341</v>
      </c>
      <c r="J67" s="1">
        <v>327.83</v>
      </c>
      <c r="K67" s="1">
        <v>0</v>
      </c>
      <c r="L67" s="1" t="s">
        <v>205</v>
      </c>
      <c r="M67" s="1">
        <v>33405870</v>
      </c>
      <c r="N67" s="1">
        <v>16.59</v>
      </c>
      <c r="O67" s="1" t="s">
        <v>210</v>
      </c>
      <c r="P67" s="1">
        <v>327.83</v>
      </c>
      <c r="Q67" s="1">
        <v>0</v>
      </c>
      <c r="R67" s="1">
        <v>30779116</v>
      </c>
      <c r="S67" s="1">
        <f>MIN($B67)</f>
        <v>0</v>
      </c>
      <c r="T67" s="1">
        <f>MIN($C67)</f>
        <v>0</v>
      </c>
      <c r="U67" s="1">
        <f>MIN($D67)</f>
        <v>0</v>
      </c>
      <c r="V67" s="1">
        <f>MIN($E67)</f>
        <v>0</v>
      </c>
      <c r="W67" s="1">
        <f>MIN($F67)</f>
        <v>0</v>
      </c>
      <c r="X67" s="1">
        <f>MIN($G67)</f>
        <v>0</v>
      </c>
      <c r="Y67" s="1">
        <f>MIN($H67)</f>
        <v>0</v>
      </c>
      <c r="Z67" s="1">
        <f>MIN($I67)</f>
        <v>0</v>
      </c>
      <c r="AA67" s="1">
        <f>MIN($J67)</f>
        <v>0</v>
      </c>
      <c r="AB67" s="1">
        <f>MIN($K67)</f>
        <v>0</v>
      </c>
      <c r="AC67" s="1">
        <f>MIN($M67)</f>
        <v>0</v>
      </c>
      <c r="AD67" s="1">
        <f>MIN($N67)</f>
        <v>0</v>
      </c>
      <c r="AE67" s="1">
        <f>MIN($P67)</f>
        <v>0</v>
      </c>
      <c r="AF67" s="1">
        <f>MIN($Q67)</f>
        <v>0</v>
      </c>
      <c r="AG67" s="1">
        <f>MIN($R67)</f>
        <v>0</v>
      </c>
      <c r="AH67" s="1">
        <f>MEDIAN($B67)</f>
        <v>0</v>
      </c>
      <c r="AI67" s="1">
        <f>MEDIAN($C67)</f>
        <v>0</v>
      </c>
      <c r="AJ67" s="1">
        <f>MEDIAN($D67)</f>
        <v>0</v>
      </c>
      <c r="AK67" s="1">
        <f>MEDIAN($E67)</f>
        <v>0</v>
      </c>
      <c r="AL67" s="1">
        <f>MEDIAN($F67)</f>
        <v>0</v>
      </c>
      <c r="AM67" s="1">
        <f>MEDIAN($G67)</f>
        <v>0</v>
      </c>
      <c r="AN67" s="1">
        <f>MEDIAN($H67)</f>
        <v>0</v>
      </c>
      <c r="AO67" s="1">
        <f>MEDIAN($I67)</f>
        <v>0</v>
      </c>
      <c r="AP67" s="1">
        <f>MEDIAN($J67)</f>
        <v>0</v>
      </c>
      <c r="AQ67" s="1">
        <f>MEDIAN($K67)</f>
        <v>0</v>
      </c>
      <c r="AR67" s="1">
        <f>MEDIAN($M67)</f>
        <v>0</v>
      </c>
      <c r="AS67" s="1">
        <f>MEDIAN($N67)</f>
        <v>0</v>
      </c>
      <c r="AT67" s="1">
        <f>MEDIAN($P67)</f>
        <v>0</v>
      </c>
      <c r="AU67" s="1">
        <f>MEDIAN($Q67)</f>
        <v>0</v>
      </c>
      <c r="AV67" s="1">
        <f>MEDIAN($R67)</f>
        <v>0</v>
      </c>
      <c r="AW67" s="1">
        <f>MAX($B67)</f>
        <v>0</v>
      </c>
      <c r="AX67" s="1">
        <f>MAX($C67)</f>
        <v>0</v>
      </c>
      <c r="AY67" s="1">
        <f>MAX($D67)</f>
        <v>0</v>
      </c>
      <c r="AZ67" s="1">
        <f>MAX($E67)</f>
        <v>0</v>
      </c>
      <c r="BA67" s="1">
        <f>MAX($F67)</f>
        <v>0</v>
      </c>
      <c r="BB67" s="1">
        <f>MAX($G67)</f>
        <v>0</v>
      </c>
      <c r="BC67" s="1">
        <f>MAX($H67)</f>
        <v>0</v>
      </c>
      <c r="BD67" s="1">
        <f>MAX($I67)</f>
        <v>0</v>
      </c>
      <c r="BE67" s="1">
        <f>MAX($J67)</f>
        <v>0</v>
      </c>
      <c r="BF67" s="1">
        <f>MAX($K67)</f>
        <v>0</v>
      </c>
      <c r="BG67" s="1">
        <f>MAX($M67)</f>
        <v>0</v>
      </c>
      <c r="BH67" s="1">
        <f>MAX($N67)</f>
        <v>0</v>
      </c>
      <c r="BI67" s="1">
        <f>MAX($P67)</f>
        <v>0</v>
      </c>
      <c r="BJ67" s="1">
        <f>MAX($Q67)</f>
        <v>0</v>
      </c>
      <c r="BK67" s="1">
        <f>MAX($R67)</f>
        <v>0</v>
      </c>
    </row>
    <row r="68" spans="1:63">
      <c r="A68" s="1" t="s">
        <v>65</v>
      </c>
      <c r="B68" s="1"/>
      <c r="C68" s="1"/>
      <c r="D68" s="1"/>
      <c r="E68" s="1">
        <v>1</v>
      </c>
      <c r="F68" s="1">
        <v>20524</v>
      </c>
      <c r="G68" s="1">
        <v>0</v>
      </c>
      <c r="H68" s="1"/>
      <c r="I68" s="1"/>
      <c r="J68" s="1">
        <v>12000</v>
      </c>
      <c r="K68" s="1"/>
      <c r="L68" s="1" t="s">
        <v>203</v>
      </c>
      <c r="M68" s="1"/>
      <c r="N68" s="1"/>
      <c r="O68" s="1"/>
      <c r="P68" s="1">
        <v>6000</v>
      </c>
      <c r="Q68" s="1">
        <v>1</v>
      </c>
      <c r="R68" s="1"/>
      <c r="S68" s="1"/>
      <c r="T68" s="1"/>
      <c r="U68" s="1"/>
      <c r="V68" s="1">
        <f>MIN($E68)</f>
        <v>0</v>
      </c>
      <c r="W68" s="1">
        <f>MIN($F68)</f>
        <v>0</v>
      </c>
      <c r="X68" s="1">
        <f>MIN($G68)</f>
        <v>0</v>
      </c>
      <c r="Y68" s="1"/>
      <c r="Z68" s="1"/>
      <c r="AA68" s="1">
        <f>MIN($J68)</f>
        <v>0</v>
      </c>
      <c r="AB68" s="1"/>
      <c r="AC68" s="1"/>
      <c r="AD68" s="1"/>
      <c r="AE68" s="1">
        <f>MIN($P68)</f>
        <v>0</v>
      </c>
      <c r="AF68" s="1">
        <f>MIN($Q68)</f>
        <v>0</v>
      </c>
      <c r="AG68" s="1"/>
      <c r="AH68" s="1"/>
      <c r="AI68" s="1"/>
      <c r="AJ68" s="1"/>
      <c r="AK68" s="1">
        <f>MEDIAN($E68)</f>
        <v>0</v>
      </c>
      <c r="AL68" s="1">
        <f>MEDIAN($F68)</f>
        <v>0</v>
      </c>
      <c r="AM68" s="1">
        <f>MEDIAN($G68)</f>
        <v>0</v>
      </c>
      <c r="AN68" s="1"/>
      <c r="AO68" s="1"/>
      <c r="AP68" s="1">
        <f>MEDIAN($J68)</f>
        <v>0</v>
      </c>
      <c r="AQ68" s="1"/>
      <c r="AR68" s="1"/>
      <c r="AS68" s="1"/>
      <c r="AT68" s="1">
        <f>MEDIAN($P68)</f>
        <v>0</v>
      </c>
      <c r="AU68" s="1">
        <f>MEDIAN($Q68)</f>
        <v>0</v>
      </c>
      <c r="AV68" s="1"/>
      <c r="AW68" s="1"/>
      <c r="AX68" s="1"/>
      <c r="AY68" s="1"/>
      <c r="AZ68" s="1">
        <f>MAX($E68)</f>
        <v>0</v>
      </c>
      <c r="BA68" s="1">
        <f>MAX($F68)</f>
        <v>0</v>
      </c>
      <c r="BB68" s="1">
        <f>MAX($G68)</f>
        <v>0</v>
      </c>
      <c r="BC68" s="1"/>
      <c r="BD68" s="1"/>
      <c r="BE68" s="1">
        <f>MAX($J68)</f>
        <v>0</v>
      </c>
      <c r="BF68" s="1"/>
      <c r="BG68" s="1"/>
      <c r="BH68" s="1"/>
      <c r="BI68" s="1">
        <f>MAX($P68)</f>
        <v>0</v>
      </c>
      <c r="BJ68" s="1">
        <f>MAX($Q68)</f>
        <v>0</v>
      </c>
      <c r="BK68" s="1"/>
    </row>
    <row r="69" spans="1:63">
      <c r="A69" s="1" t="s">
        <v>66</v>
      </c>
      <c r="B69" s="1">
        <v>459</v>
      </c>
      <c r="C69" s="1">
        <v>0</v>
      </c>
      <c r="D69" s="1">
        <v>175985917</v>
      </c>
      <c r="E69" s="1">
        <v>0</v>
      </c>
      <c r="F69" s="1">
        <v>19335</v>
      </c>
      <c r="G69" s="1">
        <v>0</v>
      </c>
      <c r="H69" s="1">
        <v>1</v>
      </c>
      <c r="I69" s="1">
        <v>302.358</v>
      </c>
      <c r="J69" s="1">
        <v>308.87</v>
      </c>
      <c r="K69" s="1">
        <v>0</v>
      </c>
      <c r="L69" s="1" t="s">
        <v>205</v>
      </c>
      <c r="M69" s="1">
        <v>50263654</v>
      </c>
      <c r="N69" s="1">
        <v>8.9</v>
      </c>
      <c r="O69" s="1" t="s">
        <v>210</v>
      </c>
      <c r="P69" s="1">
        <v>308.87</v>
      </c>
      <c r="Q69" s="1">
        <v>0</v>
      </c>
      <c r="R69" s="1">
        <v>46529438</v>
      </c>
      <c r="S69" s="1">
        <f>MIN($B69)</f>
        <v>0</v>
      </c>
      <c r="T69" s="1">
        <f>MIN($C69)</f>
        <v>0</v>
      </c>
      <c r="U69" s="1">
        <f>MIN($D69)</f>
        <v>0</v>
      </c>
      <c r="V69" s="1">
        <f>MIN($E69)</f>
        <v>0</v>
      </c>
      <c r="W69" s="1">
        <f>MIN($F69)</f>
        <v>0</v>
      </c>
      <c r="X69" s="1">
        <f>MIN($G69)</f>
        <v>0</v>
      </c>
      <c r="Y69" s="1">
        <f>MIN($H69)</f>
        <v>0</v>
      </c>
      <c r="Z69" s="1">
        <f>MIN($I69)</f>
        <v>0</v>
      </c>
      <c r="AA69" s="1">
        <f>MIN($J69)</f>
        <v>0</v>
      </c>
      <c r="AB69" s="1">
        <f>MIN($K69)</f>
        <v>0</v>
      </c>
      <c r="AC69" s="1">
        <f>MIN($M69)</f>
        <v>0</v>
      </c>
      <c r="AD69" s="1">
        <f>MIN($N69)</f>
        <v>0</v>
      </c>
      <c r="AE69" s="1">
        <f>MIN($P69)</f>
        <v>0</v>
      </c>
      <c r="AF69" s="1">
        <f>MIN($Q69)</f>
        <v>0</v>
      </c>
      <c r="AG69" s="1">
        <f>MIN($R69)</f>
        <v>0</v>
      </c>
      <c r="AH69" s="1">
        <f>MEDIAN($B69)</f>
        <v>0</v>
      </c>
      <c r="AI69" s="1">
        <f>MEDIAN($C69)</f>
        <v>0</v>
      </c>
      <c r="AJ69" s="1">
        <f>MEDIAN($D69)</f>
        <v>0</v>
      </c>
      <c r="AK69" s="1">
        <f>MEDIAN($E69)</f>
        <v>0</v>
      </c>
      <c r="AL69" s="1">
        <f>MEDIAN($F69)</f>
        <v>0</v>
      </c>
      <c r="AM69" s="1">
        <f>MEDIAN($G69)</f>
        <v>0</v>
      </c>
      <c r="AN69" s="1">
        <f>MEDIAN($H69)</f>
        <v>0</v>
      </c>
      <c r="AO69" s="1">
        <f>MEDIAN($I69)</f>
        <v>0</v>
      </c>
      <c r="AP69" s="1">
        <f>MEDIAN($J69)</f>
        <v>0</v>
      </c>
      <c r="AQ69" s="1">
        <f>MEDIAN($K69)</f>
        <v>0</v>
      </c>
      <c r="AR69" s="1">
        <f>MEDIAN($M69)</f>
        <v>0</v>
      </c>
      <c r="AS69" s="1">
        <f>MEDIAN($N69)</f>
        <v>0</v>
      </c>
      <c r="AT69" s="1">
        <f>MEDIAN($P69)</f>
        <v>0</v>
      </c>
      <c r="AU69" s="1">
        <f>MEDIAN($Q69)</f>
        <v>0</v>
      </c>
      <c r="AV69" s="1">
        <f>MEDIAN($R69)</f>
        <v>0</v>
      </c>
      <c r="AW69" s="1">
        <f>MAX($B69)</f>
        <v>0</v>
      </c>
      <c r="AX69" s="1">
        <f>MAX($C69)</f>
        <v>0</v>
      </c>
      <c r="AY69" s="1">
        <f>MAX($D69)</f>
        <v>0</v>
      </c>
      <c r="AZ69" s="1">
        <f>MAX($E69)</f>
        <v>0</v>
      </c>
      <c r="BA69" s="1">
        <f>MAX($F69)</f>
        <v>0</v>
      </c>
      <c r="BB69" s="1">
        <f>MAX($G69)</f>
        <v>0</v>
      </c>
      <c r="BC69" s="1">
        <f>MAX($H69)</f>
        <v>0</v>
      </c>
      <c r="BD69" s="1">
        <f>MAX($I69)</f>
        <v>0</v>
      </c>
      <c r="BE69" s="1">
        <f>MAX($J69)</f>
        <v>0</v>
      </c>
      <c r="BF69" s="1">
        <f>MAX($K69)</f>
        <v>0</v>
      </c>
      <c r="BG69" s="1">
        <f>MAX($M69)</f>
        <v>0</v>
      </c>
      <c r="BH69" s="1">
        <f>MAX($N69)</f>
        <v>0</v>
      </c>
      <c r="BI69" s="1">
        <f>MAX($P69)</f>
        <v>0</v>
      </c>
      <c r="BJ69" s="1">
        <f>MAX($Q69)</f>
        <v>0</v>
      </c>
      <c r="BK69" s="1">
        <f>MAX($R69)</f>
        <v>0</v>
      </c>
    </row>
    <row r="70" spans="1:63">
      <c r="A70" s="1" t="s">
        <v>67</v>
      </c>
      <c r="B70" s="1">
        <v>256</v>
      </c>
      <c r="C70" s="1">
        <v>0</v>
      </c>
      <c r="D70" s="1">
        <v>104248891</v>
      </c>
      <c r="E70" s="1">
        <v>0</v>
      </c>
      <c r="F70" s="1"/>
      <c r="G70" s="1">
        <v>0</v>
      </c>
      <c r="H70" s="1">
        <v>1</v>
      </c>
      <c r="I70" s="1">
        <v>268.729</v>
      </c>
      <c r="J70" s="1">
        <v>12000</v>
      </c>
      <c r="K70" s="1">
        <v>0</v>
      </c>
      <c r="L70" s="1"/>
      <c r="M70" s="1">
        <v>30287466</v>
      </c>
      <c r="N70" s="1">
        <v>6.17</v>
      </c>
      <c r="O70" s="1" t="s">
        <v>210</v>
      </c>
      <c r="P70" s="1">
        <v>6000</v>
      </c>
      <c r="Q70" s="1">
        <v>1</v>
      </c>
      <c r="R70" s="1">
        <v>27779484</v>
      </c>
      <c r="S70" s="1">
        <f>MIN($B70)</f>
        <v>0</v>
      </c>
      <c r="T70" s="1">
        <f>MIN($C70)</f>
        <v>0</v>
      </c>
      <c r="U70" s="1">
        <f>MIN($D70)</f>
        <v>0</v>
      </c>
      <c r="V70" s="1">
        <f>MIN($E70)</f>
        <v>0</v>
      </c>
      <c r="W70" s="1"/>
      <c r="X70" s="1">
        <f>MIN($G70)</f>
        <v>0</v>
      </c>
      <c r="Y70" s="1">
        <f>MIN($H70)</f>
        <v>0</v>
      </c>
      <c r="Z70" s="1">
        <f>MIN($I70)</f>
        <v>0</v>
      </c>
      <c r="AA70" s="1">
        <f>MIN($J70)</f>
        <v>0</v>
      </c>
      <c r="AB70" s="1">
        <f>MIN($K70)</f>
        <v>0</v>
      </c>
      <c r="AC70" s="1">
        <f>MIN($M70)</f>
        <v>0</v>
      </c>
      <c r="AD70" s="1">
        <f>MIN($N70)</f>
        <v>0</v>
      </c>
      <c r="AE70" s="1">
        <f>MIN($P70)</f>
        <v>0</v>
      </c>
      <c r="AF70" s="1">
        <f>MIN($Q70)</f>
        <v>0</v>
      </c>
      <c r="AG70" s="1">
        <f>MIN($R70)</f>
        <v>0</v>
      </c>
      <c r="AH70" s="1">
        <f>MEDIAN($B70)</f>
        <v>0</v>
      </c>
      <c r="AI70" s="1">
        <f>MEDIAN($C70)</f>
        <v>0</v>
      </c>
      <c r="AJ70" s="1">
        <f>MEDIAN($D70)</f>
        <v>0</v>
      </c>
      <c r="AK70" s="1">
        <f>MEDIAN($E70)</f>
        <v>0</v>
      </c>
      <c r="AL70" s="1"/>
      <c r="AM70" s="1">
        <f>MEDIAN($G70)</f>
        <v>0</v>
      </c>
      <c r="AN70" s="1">
        <f>MEDIAN($H70)</f>
        <v>0</v>
      </c>
      <c r="AO70" s="1">
        <f>MEDIAN($I70)</f>
        <v>0</v>
      </c>
      <c r="AP70" s="1">
        <f>MEDIAN($J70)</f>
        <v>0</v>
      </c>
      <c r="AQ70" s="1">
        <f>MEDIAN($K70)</f>
        <v>0</v>
      </c>
      <c r="AR70" s="1">
        <f>MEDIAN($M70)</f>
        <v>0</v>
      </c>
      <c r="AS70" s="1">
        <f>MEDIAN($N70)</f>
        <v>0</v>
      </c>
      <c r="AT70" s="1">
        <f>MEDIAN($P70)</f>
        <v>0</v>
      </c>
      <c r="AU70" s="1">
        <f>MEDIAN($Q70)</f>
        <v>0</v>
      </c>
      <c r="AV70" s="1">
        <f>MEDIAN($R70)</f>
        <v>0</v>
      </c>
      <c r="AW70" s="1">
        <f>MAX($B70)</f>
        <v>0</v>
      </c>
      <c r="AX70" s="1">
        <f>MAX($C70)</f>
        <v>0</v>
      </c>
      <c r="AY70" s="1">
        <f>MAX($D70)</f>
        <v>0</v>
      </c>
      <c r="AZ70" s="1">
        <f>MAX($E70)</f>
        <v>0</v>
      </c>
      <c r="BA70" s="1"/>
      <c r="BB70" s="1">
        <f>MAX($G70)</f>
        <v>0</v>
      </c>
      <c r="BC70" s="1">
        <f>MAX($H70)</f>
        <v>0</v>
      </c>
      <c r="BD70" s="1">
        <f>MAX($I70)</f>
        <v>0</v>
      </c>
      <c r="BE70" s="1">
        <f>MAX($J70)</f>
        <v>0</v>
      </c>
      <c r="BF70" s="1">
        <f>MAX($K70)</f>
        <v>0</v>
      </c>
      <c r="BG70" s="1">
        <f>MAX($M70)</f>
        <v>0</v>
      </c>
      <c r="BH70" s="1">
        <f>MAX($N70)</f>
        <v>0</v>
      </c>
      <c r="BI70" s="1">
        <f>MAX($P70)</f>
        <v>0</v>
      </c>
      <c r="BJ70" s="1">
        <f>MAX($Q70)</f>
        <v>0</v>
      </c>
      <c r="BK70" s="1">
        <f>MAX($R70)</f>
        <v>0</v>
      </c>
    </row>
    <row r="71" spans="1:63">
      <c r="A71" s="1" t="s">
        <v>68</v>
      </c>
      <c r="B71" s="1"/>
      <c r="C71" s="1"/>
      <c r="D71" s="1"/>
      <c r="E71" s="1">
        <v>1</v>
      </c>
      <c r="F71" s="1"/>
      <c r="G71" s="1">
        <v>0</v>
      </c>
      <c r="H71" s="1"/>
      <c r="I71" s="1"/>
      <c r="J71" s="1">
        <v>12000</v>
      </c>
      <c r="K71" s="1"/>
      <c r="L71" s="1"/>
      <c r="M71" s="1"/>
      <c r="N71" s="1"/>
      <c r="O71" s="1"/>
      <c r="P71" s="1">
        <v>6000</v>
      </c>
      <c r="Q71" s="1">
        <v>1</v>
      </c>
      <c r="R71" s="1"/>
      <c r="S71" s="1"/>
      <c r="T71" s="1"/>
      <c r="U71" s="1"/>
      <c r="V71" s="1">
        <f>MIN($E71)</f>
        <v>0</v>
      </c>
      <c r="W71" s="1"/>
      <c r="X71" s="1">
        <f>MIN($G71)</f>
        <v>0</v>
      </c>
      <c r="Y71" s="1"/>
      <c r="Z71" s="1"/>
      <c r="AA71" s="1">
        <f>MIN($J71)</f>
        <v>0</v>
      </c>
      <c r="AB71" s="1"/>
      <c r="AC71" s="1"/>
      <c r="AD71" s="1"/>
      <c r="AE71" s="1">
        <f>MIN($P71)</f>
        <v>0</v>
      </c>
      <c r="AF71" s="1">
        <f>MIN($Q71)</f>
        <v>0</v>
      </c>
      <c r="AG71" s="1"/>
      <c r="AH71" s="1"/>
      <c r="AI71" s="1"/>
      <c r="AJ71" s="1"/>
      <c r="AK71" s="1">
        <f>MEDIAN($E71)</f>
        <v>0</v>
      </c>
      <c r="AL71" s="1"/>
      <c r="AM71" s="1">
        <f>MEDIAN($G71)</f>
        <v>0</v>
      </c>
      <c r="AN71" s="1"/>
      <c r="AO71" s="1"/>
      <c r="AP71" s="1">
        <f>MEDIAN($J71)</f>
        <v>0</v>
      </c>
      <c r="AQ71" s="1"/>
      <c r="AR71" s="1"/>
      <c r="AS71" s="1"/>
      <c r="AT71" s="1">
        <f>MEDIAN($P71)</f>
        <v>0</v>
      </c>
      <c r="AU71" s="1">
        <f>MEDIAN($Q71)</f>
        <v>0</v>
      </c>
      <c r="AV71" s="1"/>
      <c r="AW71" s="1"/>
      <c r="AX71" s="1"/>
      <c r="AY71" s="1"/>
      <c r="AZ71" s="1">
        <f>MAX($E71)</f>
        <v>0</v>
      </c>
      <c r="BA71" s="1"/>
      <c r="BB71" s="1">
        <f>MAX($G71)</f>
        <v>0</v>
      </c>
      <c r="BC71" s="1"/>
      <c r="BD71" s="1"/>
      <c r="BE71" s="1">
        <f>MAX($J71)</f>
        <v>0</v>
      </c>
      <c r="BF71" s="1"/>
      <c r="BG71" s="1"/>
      <c r="BH71" s="1"/>
      <c r="BI71" s="1">
        <f>MAX($P71)</f>
        <v>0</v>
      </c>
      <c r="BJ71" s="1">
        <f>MAX($Q71)</f>
        <v>0</v>
      </c>
      <c r="BK71" s="1"/>
    </row>
    <row r="72" spans="1:63">
      <c r="A72" s="1" t="s">
        <v>69</v>
      </c>
      <c r="B72" s="1"/>
      <c r="C72" s="1"/>
      <c r="D72" s="1"/>
      <c r="E72" s="1">
        <v>1</v>
      </c>
      <c r="F72" s="1">
        <v>16846</v>
      </c>
      <c r="G72" s="1">
        <v>0</v>
      </c>
      <c r="H72" s="1"/>
      <c r="I72" s="1"/>
      <c r="J72" s="1">
        <v>12000</v>
      </c>
      <c r="K72" s="1"/>
      <c r="L72" s="1" t="s">
        <v>203</v>
      </c>
      <c r="M72" s="1"/>
      <c r="N72" s="1"/>
      <c r="O72" s="1"/>
      <c r="P72" s="1">
        <v>6000</v>
      </c>
      <c r="Q72" s="1">
        <v>1</v>
      </c>
      <c r="R72" s="1"/>
      <c r="S72" s="1"/>
      <c r="T72" s="1"/>
      <c r="U72" s="1"/>
      <c r="V72" s="1">
        <f>MIN($E72)</f>
        <v>0</v>
      </c>
      <c r="W72" s="1">
        <f>MIN($F72)</f>
        <v>0</v>
      </c>
      <c r="X72" s="1">
        <f>MIN($G72)</f>
        <v>0</v>
      </c>
      <c r="Y72" s="1"/>
      <c r="Z72" s="1"/>
      <c r="AA72" s="1">
        <f>MIN($J72)</f>
        <v>0</v>
      </c>
      <c r="AB72" s="1"/>
      <c r="AC72" s="1"/>
      <c r="AD72" s="1"/>
      <c r="AE72" s="1">
        <f>MIN($P72)</f>
        <v>0</v>
      </c>
      <c r="AF72" s="1">
        <f>MIN($Q72)</f>
        <v>0</v>
      </c>
      <c r="AG72" s="1"/>
      <c r="AH72" s="1"/>
      <c r="AI72" s="1"/>
      <c r="AJ72" s="1"/>
      <c r="AK72" s="1">
        <f>MEDIAN($E72)</f>
        <v>0</v>
      </c>
      <c r="AL72" s="1">
        <f>MEDIAN($F72)</f>
        <v>0</v>
      </c>
      <c r="AM72" s="1">
        <f>MEDIAN($G72)</f>
        <v>0</v>
      </c>
      <c r="AN72" s="1"/>
      <c r="AO72" s="1"/>
      <c r="AP72" s="1">
        <f>MEDIAN($J72)</f>
        <v>0</v>
      </c>
      <c r="AQ72" s="1"/>
      <c r="AR72" s="1"/>
      <c r="AS72" s="1"/>
      <c r="AT72" s="1">
        <f>MEDIAN($P72)</f>
        <v>0</v>
      </c>
      <c r="AU72" s="1">
        <f>MEDIAN($Q72)</f>
        <v>0</v>
      </c>
      <c r="AV72" s="1"/>
      <c r="AW72" s="1"/>
      <c r="AX72" s="1"/>
      <c r="AY72" s="1"/>
      <c r="AZ72" s="1">
        <f>MAX($E72)</f>
        <v>0</v>
      </c>
      <c r="BA72" s="1">
        <f>MAX($F72)</f>
        <v>0</v>
      </c>
      <c r="BB72" s="1">
        <f>MAX($G72)</f>
        <v>0</v>
      </c>
      <c r="BC72" s="1"/>
      <c r="BD72" s="1"/>
      <c r="BE72" s="1">
        <f>MAX($J72)</f>
        <v>0</v>
      </c>
      <c r="BF72" s="1"/>
      <c r="BG72" s="1"/>
      <c r="BH72" s="1"/>
      <c r="BI72" s="1">
        <f>MAX($P72)</f>
        <v>0</v>
      </c>
      <c r="BJ72" s="1">
        <f>MAX($Q72)</f>
        <v>0</v>
      </c>
      <c r="BK72" s="1"/>
    </row>
    <row r="73" spans="1:63">
      <c r="A73" s="1" t="s">
        <v>70</v>
      </c>
      <c r="B73" s="1">
        <v>472</v>
      </c>
      <c r="C73" s="1">
        <v>0</v>
      </c>
      <c r="D73" s="1">
        <v>220125249</v>
      </c>
      <c r="E73" s="1">
        <v>0</v>
      </c>
      <c r="F73" s="1">
        <v>24649</v>
      </c>
      <c r="G73" s="1">
        <v>0</v>
      </c>
      <c r="H73" s="1">
        <v>1</v>
      </c>
      <c r="I73" s="1">
        <v>630.52</v>
      </c>
      <c r="J73" s="1">
        <v>2602.52</v>
      </c>
      <c r="K73" s="1">
        <v>0</v>
      </c>
      <c r="L73" s="1" t="s">
        <v>203</v>
      </c>
      <c r="M73" s="1">
        <v>63043217</v>
      </c>
      <c r="N73" s="1">
        <v>18.23</v>
      </c>
      <c r="O73" s="1" t="s">
        <v>210</v>
      </c>
      <c r="P73" s="1">
        <v>2602.52</v>
      </c>
      <c r="Q73" s="1">
        <v>0</v>
      </c>
      <c r="R73" s="1">
        <v>58256753</v>
      </c>
      <c r="S73" s="1">
        <f>MIN($B73)</f>
        <v>0</v>
      </c>
      <c r="T73" s="1">
        <f>MIN($C73)</f>
        <v>0</v>
      </c>
      <c r="U73" s="1">
        <f>MIN($D73)</f>
        <v>0</v>
      </c>
      <c r="V73" s="1">
        <f>MIN($E73)</f>
        <v>0</v>
      </c>
      <c r="W73" s="1">
        <f>MIN($F73)</f>
        <v>0</v>
      </c>
      <c r="X73" s="1">
        <f>MIN($G73)</f>
        <v>0</v>
      </c>
      <c r="Y73" s="1">
        <f>MIN($H73)</f>
        <v>0</v>
      </c>
      <c r="Z73" s="1">
        <f>MIN($I73)</f>
        <v>0</v>
      </c>
      <c r="AA73" s="1">
        <f>MIN($J73)</f>
        <v>0</v>
      </c>
      <c r="AB73" s="1">
        <f>MIN($K73)</f>
        <v>0</v>
      </c>
      <c r="AC73" s="1">
        <f>MIN($M73)</f>
        <v>0</v>
      </c>
      <c r="AD73" s="1">
        <f>MIN($N73)</f>
        <v>0</v>
      </c>
      <c r="AE73" s="1">
        <f>MIN($P73)</f>
        <v>0</v>
      </c>
      <c r="AF73" s="1">
        <f>MIN($Q73)</f>
        <v>0</v>
      </c>
      <c r="AG73" s="1">
        <f>MIN($R73)</f>
        <v>0</v>
      </c>
      <c r="AH73" s="1">
        <f>MEDIAN($B73)</f>
        <v>0</v>
      </c>
      <c r="AI73" s="1">
        <f>MEDIAN($C73)</f>
        <v>0</v>
      </c>
      <c r="AJ73" s="1">
        <f>MEDIAN($D73)</f>
        <v>0</v>
      </c>
      <c r="AK73" s="1">
        <f>MEDIAN($E73)</f>
        <v>0</v>
      </c>
      <c r="AL73" s="1">
        <f>MEDIAN($F73)</f>
        <v>0</v>
      </c>
      <c r="AM73" s="1">
        <f>MEDIAN($G73)</f>
        <v>0</v>
      </c>
      <c r="AN73" s="1">
        <f>MEDIAN($H73)</f>
        <v>0</v>
      </c>
      <c r="AO73" s="1">
        <f>MEDIAN($I73)</f>
        <v>0</v>
      </c>
      <c r="AP73" s="1">
        <f>MEDIAN($J73)</f>
        <v>0</v>
      </c>
      <c r="AQ73" s="1">
        <f>MEDIAN($K73)</f>
        <v>0</v>
      </c>
      <c r="AR73" s="1">
        <f>MEDIAN($M73)</f>
        <v>0</v>
      </c>
      <c r="AS73" s="1">
        <f>MEDIAN($N73)</f>
        <v>0</v>
      </c>
      <c r="AT73" s="1">
        <f>MEDIAN($P73)</f>
        <v>0</v>
      </c>
      <c r="AU73" s="1">
        <f>MEDIAN($Q73)</f>
        <v>0</v>
      </c>
      <c r="AV73" s="1">
        <f>MEDIAN($R73)</f>
        <v>0</v>
      </c>
      <c r="AW73" s="1">
        <f>MAX($B73)</f>
        <v>0</v>
      </c>
      <c r="AX73" s="1">
        <f>MAX($C73)</f>
        <v>0</v>
      </c>
      <c r="AY73" s="1">
        <f>MAX($D73)</f>
        <v>0</v>
      </c>
      <c r="AZ73" s="1">
        <f>MAX($E73)</f>
        <v>0</v>
      </c>
      <c r="BA73" s="1">
        <f>MAX($F73)</f>
        <v>0</v>
      </c>
      <c r="BB73" s="1">
        <f>MAX($G73)</f>
        <v>0</v>
      </c>
      <c r="BC73" s="1">
        <f>MAX($H73)</f>
        <v>0</v>
      </c>
      <c r="BD73" s="1">
        <f>MAX($I73)</f>
        <v>0</v>
      </c>
      <c r="BE73" s="1">
        <f>MAX($J73)</f>
        <v>0</v>
      </c>
      <c r="BF73" s="1">
        <f>MAX($K73)</f>
        <v>0</v>
      </c>
      <c r="BG73" s="1">
        <f>MAX($M73)</f>
        <v>0</v>
      </c>
      <c r="BH73" s="1">
        <f>MAX($N73)</f>
        <v>0</v>
      </c>
      <c r="BI73" s="1">
        <f>MAX($P73)</f>
        <v>0</v>
      </c>
      <c r="BJ73" s="1">
        <f>MAX($Q73)</f>
        <v>0</v>
      </c>
      <c r="BK73" s="1">
        <f>MAX($R73)</f>
        <v>0</v>
      </c>
    </row>
    <row r="74" spans="1:63">
      <c r="A74" s="1" t="s">
        <v>71</v>
      </c>
      <c r="B74" s="1"/>
      <c r="C74" s="1"/>
      <c r="D74" s="1"/>
      <c r="E74" s="1">
        <v>1</v>
      </c>
      <c r="F74" s="1">
        <v>22514</v>
      </c>
      <c r="G74" s="1">
        <v>0</v>
      </c>
      <c r="H74" s="1"/>
      <c r="I74" s="1"/>
      <c r="J74" s="1">
        <v>12000</v>
      </c>
      <c r="K74" s="1"/>
      <c r="L74" s="1" t="s">
        <v>203</v>
      </c>
      <c r="M74" s="1"/>
      <c r="N74" s="1"/>
      <c r="O74" s="1"/>
      <c r="P74" s="1">
        <v>6000</v>
      </c>
      <c r="Q74" s="1">
        <v>1</v>
      </c>
      <c r="R74" s="1"/>
      <c r="S74" s="1"/>
      <c r="T74" s="1"/>
      <c r="U74" s="1"/>
      <c r="V74" s="1">
        <f>MIN($E74)</f>
        <v>0</v>
      </c>
      <c r="W74" s="1">
        <f>MIN($F74)</f>
        <v>0</v>
      </c>
      <c r="X74" s="1">
        <f>MIN($G74)</f>
        <v>0</v>
      </c>
      <c r="Y74" s="1"/>
      <c r="Z74" s="1"/>
      <c r="AA74" s="1">
        <f>MIN($J74)</f>
        <v>0</v>
      </c>
      <c r="AB74" s="1"/>
      <c r="AC74" s="1"/>
      <c r="AD74" s="1"/>
      <c r="AE74" s="1">
        <f>MIN($P74)</f>
        <v>0</v>
      </c>
      <c r="AF74" s="1">
        <f>MIN($Q74)</f>
        <v>0</v>
      </c>
      <c r="AG74" s="1"/>
      <c r="AH74" s="1"/>
      <c r="AI74" s="1"/>
      <c r="AJ74" s="1"/>
      <c r="AK74" s="1">
        <f>MEDIAN($E74)</f>
        <v>0</v>
      </c>
      <c r="AL74" s="1">
        <f>MEDIAN($F74)</f>
        <v>0</v>
      </c>
      <c r="AM74" s="1">
        <f>MEDIAN($G74)</f>
        <v>0</v>
      </c>
      <c r="AN74" s="1"/>
      <c r="AO74" s="1"/>
      <c r="AP74" s="1">
        <f>MEDIAN($J74)</f>
        <v>0</v>
      </c>
      <c r="AQ74" s="1"/>
      <c r="AR74" s="1"/>
      <c r="AS74" s="1"/>
      <c r="AT74" s="1">
        <f>MEDIAN($P74)</f>
        <v>0</v>
      </c>
      <c r="AU74" s="1">
        <f>MEDIAN($Q74)</f>
        <v>0</v>
      </c>
      <c r="AV74" s="1"/>
      <c r="AW74" s="1"/>
      <c r="AX74" s="1"/>
      <c r="AY74" s="1"/>
      <c r="AZ74" s="1">
        <f>MAX($E74)</f>
        <v>0</v>
      </c>
      <c r="BA74" s="1">
        <f>MAX($F74)</f>
        <v>0</v>
      </c>
      <c r="BB74" s="1">
        <f>MAX($G74)</f>
        <v>0</v>
      </c>
      <c r="BC74" s="1"/>
      <c r="BD74" s="1"/>
      <c r="BE74" s="1">
        <f>MAX($J74)</f>
        <v>0</v>
      </c>
      <c r="BF74" s="1"/>
      <c r="BG74" s="1"/>
      <c r="BH74" s="1"/>
      <c r="BI74" s="1">
        <f>MAX($P74)</f>
        <v>0</v>
      </c>
      <c r="BJ74" s="1">
        <f>MAX($Q74)</f>
        <v>0</v>
      </c>
      <c r="BK74" s="1"/>
    </row>
    <row r="75" spans="1:63">
      <c r="A75" s="1" t="s">
        <v>72</v>
      </c>
      <c r="B75" s="1"/>
      <c r="C75" s="1"/>
      <c r="D75" s="1"/>
      <c r="E75" s="1">
        <v>1</v>
      </c>
      <c r="F75" s="1">
        <v>23952</v>
      </c>
      <c r="G75" s="1">
        <v>0</v>
      </c>
      <c r="H75" s="1"/>
      <c r="I75" s="1"/>
      <c r="J75" s="1">
        <v>12000</v>
      </c>
      <c r="K75" s="1"/>
      <c r="L75" s="1" t="s">
        <v>203</v>
      </c>
      <c r="M75" s="1"/>
      <c r="N75" s="1"/>
      <c r="O75" s="1"/>
      <c r="P75" s="1">
        <v>6000</v>
      </c>
      <c r="Q75" s="1">
        <v>1</v>
      </c>
      <c r="R75" s="1"/>
      <c r="S75" s="1"/>
      <c r="T75" s="1"/>
      <c r="U75" s="1"/>
      <c r="V75" s="1">
        <f>MIN($E75)</f>
        <v>0</v>
      </c>
      <c r="W75" s="1">
        <f>MIN($F75)</f>
        <v>0</v>
      </c>
      <c r="X75" s="1">
        <f>MIN($G75)</f>
        <v>0</v>
      </c>
      <c r="Y75" s="1"/>
      <c r="Z75" s="1"/>
      <c r="AA75" s="1">
        <f>MIN($J75)</f>
        <v>0</v>
      </c>
      <c r="AB75" s="1"/>
      <c r="AC75" s="1"/>
      <c r="AD75" s="1"/>
      <c r="AE75" s="1">
        <f>MIN($P75)</f>
        <v>0</v>
      </c>
      <c r="AF75" s="1">
        <f>MIN($Q75)</f>
        <v>0</v>
      </c>
      <c r="AG75" s="1"/>
      <c r="AH75" s="1"/>
      <c r="AI75" s="1"/>
      <c r="AJ75" s="1"/>
      <c r="AK75" s="1">
        <f>MEDIAN($E75)</f>
        <v>0</v>
      </c>
      <c r="AL75" s="1">
        <f>MEDIAN($F75)</f>
        <v>0</v>
      </c>
      <c r="AM75" s="1">
        <f>MEDIAN($G75)</f>
        <v>0</v>
      </c>
      <c r="AN75" s="1"/>
      <c r="AO75" s="1"/>
      <c r="AP75" s="1">
        <f>MEDIAN($J75)</f>
        <v>0</v>
      </c>
      <c r="AQ75" s="1"/>
      <c r="AR75" s="1"/>
      <c r="AS75" s="1"/>
      <c r="AT75" s="1">
        <f>MEDIAN($P75)</f>
        <v>0</v>
      </c>
      <c r="AU75" s="1">
        <f>MEDIAN($Q75)</f>
        <v>0</v>
      </c>
      <c r="AV75" s="1"/>
      <c r="AW75" s="1"/>
      <c r="AX75" s="1"/>
      <c r="AY75" s="1"/>
      <c r="AZ75" s="1">
        <f>MAX($E75)</f>
        <v>0</v>
      </c>
      <c r="BA75" s="1">
        <f>MAX($F75)</f>
        <v>0</v>
      </c>
      <c r="BB75" s="1">
        <f>MAX($G75)</f>
        <v>0</v>
      </c>
      <c r="BC75" s="1"/>
      <c r="BD75" s="1"/>
      <c r="BE75" s="1">
        <f>MAX($J75)</f>
        <v>0</v>
      </c>
      <c r="BF75" s="1"/>
      <c r="BG75" s="1"/>
      <c r="BH75" s="1"/>
      <c r="BI75" s="1">
        <f>MAX($P75)</f>
        <v>0</v>
      </c>
      <c r="BJ75" s="1">
        <f>MAX($Q75)</f>
        <v>0</v>
      </c>
      <c r="BK75" s="1"/>
    </row>
    <row r="76" spans="1:63">
      <c r="A76" s="1" t="s">
        <v>73</v>
      </c>
      <c r="B76" s="1">
        <v>3654</v>
      </c>
      <c r="C76" s="1">
        <v>1</v>
      </c>
      <c r="D76" s="1">
        <v>226632344</v>
      </c>
      <c r="E76" s="1">
        <v>0</v>
      </c>
      <c r="F76" s="1">
        <v>25210</v>
      </c>
      <c r="G76" s="1">
        <v>0</v>
      </c>
      <c r="H76" s="1">
        <v>1</v>
      </c>
      <c r="I76" s="1">
        <v>763.966</v>
      </c>
      <c r="J76" s="1">
        <v>782.89</v>
      </c>
      <c r="K76" s="1">
        <v>0</v>
      </c>
      <c r="L76" s="1" t="s">
        <v>205</v>
      </c>
      <c r="M76" s="1">
        <v>65060257</v>
      </c>
      <c r="N76" s="1">
        <v>28.25</v>
      </c>
      <c r="O76" s="1" t="s">
        <v>210</v>
      </c>
      <c r="P76" s="1">
        <v>782.89</v>
      </c>
      <c r="Q76" s="1">
        <v>0</v>
      </c>
      <c r="R76" s="1">
        <v>60029063</v>
      </c>
      <c r="S76" s="1">
        <f>MIN($B76)</f>
        <v>0</v>
      </c>
      <c r="T76" s="1">
        <f>MIN($C76)</f>
        <v>0</v>
      </c>
      <c r="U76" s="1">
        <f>MIN($D76)</f>
        <v>0</v>
      </c>
      <c r="V76" s="1">
        <f>MIN($E76)</f>
        <v>0</v>
      </c>
      <c r="W76" s="1">
        <f>MIN($F76)</f>
        <v>0</v>
      </c>
      <c r="X76" s="1">
        <f>MIN($G76)</f>
        <v>0</v>
      </c>
      <c r="Y76" s="1">
        <f>MIN($H76)</f>
        <v>0</v>
      </c>
      <c r="Z76" s="1">
        <f>MIN($I76)</f>
        <v>0</v>
      </c>
      <c r="AA76" s="1">
        <f>MIN($J76)</f>
        <v>0</v>
      </c>
      <c r="AB76" s="1">
        <f>MIN($K76)</f>
        <v>0</v>
      </c>
      <c r="AC76" s="1">
        <f>MIN($M76)</f>
        <v>0</v>
      </c>
      <c r="AD76" s="1">
        <f>MIN($N76)</f>
        <v>0</v>
      </c>
      <c r="AE76" s="1">
        <f>MIN($P76)</f>
        <v>0</v>
      </c>
      <c r="AF76" s="1">
        <f>MIN($Q76)</f>
        <v>0</v>
      </c>
      <c r="AG76" s="1">
        <f>MIN($R76)</f>
        <v>0</v>
      </c>
      <c r="AH76" s="1">
        <f>MEDIAN($B76)</f>
        <v>0</v>
      </c>
      <c r="AI76" s="1">
        <f>MEDIAN($C76)</f>
        <v>0</v>
      </c>
      <c r="AJ76" s="1">
        <f>MEDIAN($D76)</f>
        <v>0</v>
      </c>
      <c r="AK76" s="1">
        <f>MEDIAN($E76)</f>
        <v>0</v>
      </c>
      <c r="AL76" s="1">
        <f>MEDIAN($F76)</f>
        <v>0</v>
      </c>
      <c r="AM76" s="1">
        <f>MEDIAN($G76)</f>
        <v>0</v>
      </c>
      <c r="AN76" s="1">
        <f>MEDIAN($H76)</f>
        <v>0</v>
      </c>
      <c r="AO76" s="1">
        <f>MEDIAN($I76)</f>
        <v>0</v>
      </c>
      <c r="AP76" s="1">
        <f>MEDIAN($J76)</f>
        <v>0</v>
      </c>
      <c r="AQ76" s="1">
        <f>MEDIAN($K76)</f>
        <v>0</v>
      </c>
      <c r="AR76" s="1">
        <f>MEDIAN($M76)</f>
        <v>0</v>
      </c>
      <c r="AS76" s="1">
        <f>MEDIAN($N76)</f>
        <v>0</v>
      </c>
      <c r="AT76" s="1">
        <f>MEDIAN($P76)</f>
        <v>0</v>
      </c>
      <c r="AU76" s="1">
        <f>MEDIAN($Q76)</f>
        <v>0</v>
      </c>
      <c r="AV76" s="1">
        <f>MEDIAN($R76)</f>
        <v>0</v>
      </c>
      <c r="AW76" s="1">
        <f>MAX($B76)</f>
        <v>0</v>
      </c>
      <c r="AX76" s="1">
        <f>MAX($C76)</f>
        <v>0</v>
      </c>
      <c r="AY76" s="1">
        <f>MAX($D76)</f>
        <v>0</v>
      </c>
      <c r="AZ76" s="1">
        <f>MAX($E76)</f>
        <v>0</v>
      </c>
      <c r="BA76" s="1">
        <f>MAX($F76)</f>
        <v>0</v>
      </c>
      <c r="BB76" s="1">
        <f>MAX($G76)</f>
        <v>0</v>
      </c>
      <c r="BC76" s="1">
        <f>MAX($H76)</f>
        <v>0</v>
      </c>
      <c r="BD76" s="1">
        <f>MAX($I76)</f>
        <v>0</v>
      </c>
      <c r="BE76" s="1">
        <f>MAX($J76)</f>
        <v>0</v>
      </c>
      <c r="BF76" s="1">
        <f>MAX($K76)</f>
        <v>0</v>
      </c>
      <c r="BG76" s="1">
        <f>MAX($M76)</f>
        <v>0</v>
      </c>
      <c r="BH76" s="1">
        <f>MAX($N76)</f>
        <v>0</v>
      </c>
      <c r="BI76" s="1">
        <f>MAX($P76)</f>
        <v>0</v>
      </c>
      <c r="BJ76" s="1">
        <f>MAX($Q76)</f>
        <v>0</v>
      </c>
      <c r="BK76" s="1">
        <f>MAX($R76)</f>
        <v>0</v>
      </c>
    </row>
    <row r="77" spans="1:63">
      <c r="A77" s="1" t="s">
        <v>74</v>
      </c>
      <c r="B77" s="1"/>
      <c r="C77" s="1"/>
      <c r="D77" s="1"/>
      <c r="E77" s="1">
        <v>1</v>
      </c>
      <c r="F77" s="1">
        <v>21861</v>
      </c>
      <c r="G77" s="1">
        <v>0</v>
      </c>
      <c r="H77" s="1"/>
      <c r="I77" s="1"/>
      <c r="J77" s="1">
        <v>12000</v>
      </c>
      <c r="K77" s="1"/>
      <c r="L77" s="1" t="s">
        <v>203</v>
      </c>
      <c r="M77" s="1"/>
      <c r="N77" s="1"/>
      <c r="O77" s="1"/>
      <c r="P77" s="1">
        <v>6000</v>
      </c>
      <c r="Q77" s="1">
        <v>1</v>
      </c>
      <c r="R77" s="1"/>
      <c r="S77" s="1"/>
      <c r="T77" s="1"/>
      <c r="U77" s="1"/>
      <c r="V77" s="1">
        <f>MIN($E77)</f>
        <v>0</v>
      </c>
      <c r="W77" s="1">
        <f>MIN($F77)</f>
        <v>0</v>
      </c>
      <c r="X77" s="1">
        <f>MIN($G77)</f>
        <v>0</v>
      </c>
      <c r="Y77" s="1"/>
      <c r="Z77" s="1"/>
      <c r="AA77" s="1">
        <f>MIN($J77)</f>
        <v>0</v>
      </c>
      <c r="AB77" s="1"/>
      <c r="AC77" s="1"/>
      <c r="AD77" s="1"/>
      <c r="AE77" s="1">
        <f>MIN($P77)</f>
        <v>0</v>
      </c>
      <c r="AF77" s="1">
        <f>MIN($Q77)</f>
        <v>0</v>
      </c>
      <c r="AG77" s="1"/>
      <c r="AH77" s="1"/>
      <c r="AI77" s="1"/>
      <c r="AJ77" s="1"/>
      <c r="AK77" s="1">
        <f>MEDIAN($E77)</f>
        <v>0</v>
      </c>
      <c r="AL77" s="1">
        <f>MEDIAN($F77)</f>
        <v>0</v>
      </c>
      <c r="AM77" s="1">
        <f>MEDIAN($G77)</f>
        <v>0</v>
      </c>
      <c r="AN77" s="1"/>
      <c r="AO77" s="1"/>
      <c r="AP77" s="1">
        <f>MEDIAN($J77)</f>
        <v>0</v>
      </c>
      <c r="AQ77" s="1"/>
      <c r="AR77" s="1"/>
      <c r="AS77" s="1"/>
      <c r="AT77" s="1">
        <f>MEDIAN($P77)</f>
        <v>0</v>
      </c>
      <c r="AU77" s="1">
        <f>MEDIAN($Q77)</f>
        <v>0</v>
      </c>
      <c r="AV77" s="1"/>
      <c r="AW77" s="1"/>
      <c r="AX77" s="1"/>
      <c r="AY77" s="1"/>
      <c r="AZ77" s="1">
        <f>MAX($E77)</f>
        <v>0</v>
      </c>
      <c r="BA77" s="1">
        <f>MAX($F77)</f>
        <v>0</v>
      </c>
      <c r="BB77" s="1">
        <f>MAX($G77)</f>
        <v>0</v>
      </c>
      <c r="BC77" s="1"/>
      <c r="BD77" s="1"/>
      <c r="BE77" s="1">
        <f>MAX($J77)</f>
        <v>0</v>
      </c>
      <c r="BF77" s="1"/>
      <c r="BG77" s="1"/>
      <c r="BH77" s="1"/>
      <c r="BI77" s="1">
        <f>MAX($P77)</f>
        <v>0</v>
      </c>
      <c r="BJ77" s="1">
        <f>MAX($Q77)</f>
        <v>0</v>
      </c>
      <c r="BK77" s="1"/>
    </row>
    <row r="78" spans="1:63">
      <c r="A78" s="1" t="s">
        <v>75</v>
      </c>
      <c r="B78" s="1">
        <v>679</v>
      </c>
      <c r="C78" s="1">
        <v>3</v>
      </c>
      <c r="D78" s="1">
        <v>102919952</v>
      </c>
      <c r="E78" s="1">
        <v>0</v>
      </c>
      <c r="F78" s="1">
        <v>11594</v>
      </c>
      <c r="G78" s="1">
        <v>0</v>
      </c>
      <c r="H78" s="1">
        <v>1</v>
      </c>
      <c r="I78" s="1">
        <v>238.26</v>
      </c>
      <c r="J78" s="1">
        <v>242.74</v>
      </c>
      <c r="K78" s="1">
        <v>0</v>
      </c>
      <c r="L78" s="1" t="s">
        <v>205</v>
      </c>
      <c r="M78" s="1">
        <v>29654553</v>
      </c>
      <c r="N78" s="1">
        <v>9.390000000000001</v>
      </c>
      <c r="O78" s="1" t="s">
        <v>210</v>
      </c>
      <c r="P78" s="1">
        <v>242.74</v>
      </c>
      <c r="Q78" s="1">
        <v>0</v>
      </c>
      <c r="R78" s="1">
        <v>27300475</v>
      </c>
      <c r="S78" s="1">
        <f>MIN($B78)</f>
        <v>0</v>
      </c>
      <c r="T78" s="1">
        <f>MIN($C78)</f>
        <v>0</v>
      </c>
      <c r="U78" s="1">
        <f>MIN($D78)</f>
        <v>0</v>
      </c>
      <c r="V78" s="1">
        <f>MIN($E78)</f>
        <v>0</v>
      </c>
      <c r="W78" s="1">
        <f>MIN($F78)</f>
        <v>0</v>
      </c>
      <c r="X78" s="1">
        <f>MIN($G78)</f>
        <v>0</v>
      </c>
      <c r="Y78" s="1">
        <f>MIN($H78)</f>
        <v>0</v>
      </c>
      <c r="Z78" s="1">
        <f>MIN($I78)</f>
        <v>0</v>
      </c>
      <c r="AA78" s="1">
        <f>MIN($J78)</f>
        <v>0</v>
      </c>
      <c r="AB78" s="1">
        <f>MIN($K78)</f>
        <v>0</v>
      </c>
      <c r="AC78" s="1">
        <f>MIN($M78)</f>
        <v>0</v>
      </c>
      <c r="AD78" s="1">
        <f>MIN($N78)</f>
        <v>0</v>
      </c>
      <c r="AE78" s="1">
        <f>MIN($P78)</f>
        <v>0</v>
      </c>
      <c r="AF78" s="1">
        <f>MIN($Q78)</f>
        <v>0</v>
      </c>
      <c r="AG78" s="1">
        <f>MIN($R78)</f>
        <v>0</v>
      </c>
      <c r="AH78" s="1">
        <f>MEDIAN($B78)</f>
        <v>0</v>
      </c>
      <c r="AI78" s="1">
        <f>MEDIAN($C78)</f>
        <v>0</v>
      </c>
      <c r="AJ78" s="1">
        <f>MEDIAN($D78)</f>
        <v>0</v>
      </c>
      <c r="AK78" s="1">
        <f>MEDIAN($E78)</f>
        <v>0</v>
      </c>
      <c r="AL78" s="1">
        <f>MEDIAN($F78)</f>
        <v>0</v>
      </c>
      <c r="AM78" s="1">
        <f>MEDIAN($G78)</f>
        <v>0</v>
      </c>
      <c r="AN78" s="1">
        <f>MEDIAN($H78)</f>
        <v>0</v>
      </c>
      <c r="AO78" s="1">
        <f>MEDIAN($I78)</f>
        <v>0</v>
      </c>
      <c r="AP78" s="1">
        <f>MEDIAN($J78)</f>
        <v>0</v>
      </c>
      <c r="AQ78" s="1">
        <f>MEDIAN($K78)</f>
        <v>0</v>
      </c>
      <c r="AR78" s="1">
        <f>MEDIAN($M78)</f>
        <v>0</v>
      </c>
      <c r="AS78" s="1">
        <f>MEDIAN($N78)</f>
        <v>0</v>
      </c>
      <c r="AT78" s="1">
        <f>MEDIAN($P78)</f>
        <v>0</v>
      </c>
      <c r="AU78" s="1">
        <f>MEDIAN($Q78)</f>
        <v>0</v>
      </c>
      <c r="AV78" s="1">
        <f>MEDIAN($R78)</f>
        <v>0</v>
      </c>
      <c r="AW78" s="1">
        <f>MAX($B78)</f>
        <v>0</v>
      </c>
      <c r="AX78" s="1">
        <f>MAX($C78)</f>
        <v>0</v>
      </c>
      <c r="AY78" s="1">
        <f>MAX($D78)</f>
        <v>0</v>
      </c>
      <c r="AZ78" s="1">
        <f>MAX($E78)</f>
        <v>0</v>
      </c>
      <c r="BA78" s="1">
        <f>MAX($F78)</f>
        <v>0</v>
      </c>
      <c r="BB78" s="1">
        <f>MAX($G78)</f>
        <v>0</v>
      </c>
      <c r="BC78" s="1">
        <f>MAX($H78)</f>
        <v>0</v>
      </c>
      <c r="BD78" s="1">
        <f>MAX($I78)</f>
        <v>0</v>
      </c>
      <c r="BE78" s="1">
        <f>MAX($J78)</f>
        <v>0</v>
      </c>
      <c r="BF78" s="1">
        <f>MAX($K78)</f>
        <v>0</v>
      </c>
      <c r="BG78" s="1">
        <f>MAX($M78)</f>
        <v>0</v>
      </c>
      <c r="BH78" s="1">
        <f>MAX($N78)</f>
        <v>0</v>
      </c>
      <c r="BI78" s="1">
        <f>MAX($P78)</f>
        <v>0</v>
      </c>
      <c r="BJ78" s="1">
        <f>MAX($Q78)</f>
        <v>0</v>
      </c>
      <c r="BK78" s="1">
        <f>MAX($R78)</f>
        <v>0</v>
      </c>
    </row>
    <row r="79" spans="1:63">
      <c r="A79" s="1" t="s">
        <v>76</v>
      </c>
      <c r="B79" s="1"/>
      <c r="C79" s="1"/>
      <c r="D79" s="1"/>
      <c r="E79" s="1">
        <v>1</v>
      </c>
      <c r="F79" s="1">
        <v>17196</v>
      </c>
      <c r="G79" s="1">
        <v>0</v>
      </c>
      <c r="H79" s="1"/>
      <c r="I79" s="1"/>
      <c r="J79" s="1">
        <v>12000</v>
      </c>
      <c r="K79" s="1"/>
      <c r="L79" s="1" t="s">
        <v>203</v>
      </c>
      <c r="M79" s="1"/>
      <c r="N79" s="1"/>
      <c r="O79" s="1"/>
      <c r="P79" s="1">
        <v>6000</v>
      </c>
      <c r="Q79" s="1">
        <v>1</v>
      </c>
      <c r="R79" s="1"/>
      <c r="S79" s="1"/>
      <c r="T79" s="1"/>
      <c r="U79" s="1"/>
      <c r="V79" s="1">
        <f>MIN($E79)</f>
        <v>0</v>
      </c>
      <c r="W79" s="1">
        <f>MIN($F79)</f>
        <v>0</v>
      </c>
      <c r="X79" s="1">
        <f>MIN($G79)</f>
        <v>0</v>
      </c>
      <c r="Y79" s="1"/>
      <c r="Z79" s="1"/>
      <c r="AA79" s="1">
        <f>MIN($J79)</f>
        <v>0</v>
      </c>
      <c r="AB79" s="1"/>
      <c r="AC79" s="1"/>
      <c r="AD79" s="1"/>
      <c r="AE79" s="1">
        <f>MIN($P79)</f>
        <v>0</v>
      </c>
      <c r="AF79" s="1">
        <f>MIN($Q79)</f>
        <v>0</v>
      </c>
      <c r="AG79" s="1"/>
      <c r="AH79" s="1"/>
      <c r="AI79" s="1"/>
      <c r="AJ79" s="1"/>
      <c r="AK79" s="1">
        <f>MEDIAN($E79)</f>
        <v>0</v>
      </c>
      <c r="AL79" s="1">
        <f>MEDIAN($F79)</f>
        <v>0</v>
      </c>
      <c r="AM79" s="1">
        <f>MEDIAN($G79)</f>
        <v>0</v>
      </c>
      <c r="AN79" s="1"/>
      <c r="AO79" s="1"/>
      <c r="AP79" s="1">
        <f>MEDIAN($J79)</f>
        <v>0</v>
      </c>
      <c r="AQ79" s="1"/>
      <c r="AR79" s="1"/>
      <c r="AS79" s="1"/>
      <c r="AT79" s="1">
        <f>MEDIAN($P79)</f>
        <v>0</v>
      </c>
      <c r="AU79" s="1">
        <f>MEDIAN($Q79)</f>
        <v>0</v>
      </c>
      <c r="AV79" s="1"/>
      <c r="AW79" s="1"/>
      <c r="AX79" s="1"/>
      <c r="AY79" s="1"/>
      <c r="AZ79" s="1">
        <f>MAX($E79)</f>
        <v>0</v>
      </c>
      <c r="BA79" s="1">
        <f>MAX($F79)</f>
        <v>0</v>
      </c>
      <c r="BB79" s="1">
        <f>MAX($G79)</f>
        <v>0</v>
      </c>
      <c r="BC79" s="1"/>
      <c r="BD79" s="1"/>
      <c r="BE79" s="1">
        <f>MAX($J79)</f>
        <v>0</v>
      </c>
      <c r="BF79" s="1"/>
      <c r="BG79" s="1"/>
      <c r="BH79" s="1"/>
      <c r="BI79" s="1">
        <f>MAX($P79)</f>
        <v>0</v>
      </c>
      <c r="BJ79" s="1">
        <f>MAX($Q79)</f>
        <v>0</v>
      </c>
      <c r="BK79" s="1"/>
    </row>
    <row r="80" spans="1:63">
      <c r="A80" s="1" t="s">
        <v>77</v>
      </c>
      <c r="B80" s="1"/>
      <c r="C80" s="1"/>
      <c r="D80" s="1"/>
      <c r="E80" s="1">
        <v>1</v>
      </c>
      <c r="F80" s="1">
        <v>11489</v>
      </c>
      <c r="G80" s="1">
        <v>0</v>
      </c>
      <c r="H80" s="1"/>
      <c r="I80" s="1"/>
      <c r="J80" s="1">
        <v>12000</v>
      </c>
      <c r="K80" s="1"/>
      <c r="L80" s="1" t="s">
        <v>203</v>
      </c>
      <c r="M80" s="1"/>
      <c r="N80" s="1"/>
      <c r="O80" s="1"/>
      <c r="P80" s="1">
        <v>6000</v>
      </c>
      <c r="Q80" s="1">
        <v>1</v>
      </c>
      <c r="R80" s="1"/>
      <c r="S80" s="1"/>
      <c r="T80" s="1"/>
      <c r="U80" s="1"/>
      <c r="V80" s="1">
        <f>MIN($E80)</f>
        <v>0</v>
      </c>
      <c r="W80" s="1">
        <f>MIN($F80)</f>
        <v>0</v>
      </c>
      <c r="X80" s="1">
        <f>MIN($G80)</f>
        <v>0</v>
      </c>
      <c r="Y80" s="1"/>
      <c r="Z80" s="1"/>
      <c r="AA80" s="1">
        <f>MIN($J80)</f>
        <v>0</v>
      </c>
      <c r="AB80" s="1"/>
      <c r="AC80" s="1"/>
      <c r="AD80" s="1"/>
      <c r="AE80" s="1">
        <f>MIN($P80)</f>
        <v>0</v>
      </c>
      <c r="AF80" s="1">
        <f>MIN($Q80)</f>
        <v>0</v>
      </c>
      <c r="AG80" s="1"/>
      <c r="AH80" s="1"/>
      <c r="AI80" s="1"/>
      <c r="AJ80" s="1"/>
      <c r="AK80" s="1">
        <f>MEDIAN($E80)</f>
        <v>0</v>
      </c>
      <c r="AL80" s="1">
        <f>MEDIAN($F80)</f>
        <v>0</v>
      </c>
      <c r="AM80" s="1">
        <f>MEDIAN($G80)</f>
        <v>0</v>
      </c>
      <c r="AN80" s="1"/>
      <c r="AO80" s="1"/>
      <c r="AP80" s="1">
        <f>MEDIAN($J80)</f>
        <v>0</v>
      </c>
      <c r="AQ80" s="1"/>
      <c r="AR80" s="1"/>
      <c r="AS80" s="1"/>
      <c r="AT80" s="1">
        <f>MEDIAN($P80)</f>
        <v>0</v>
      </c>
      <c r="AU80" s="1">
        <f>MEDIAN($Q80)</f>
        <v>0</v>
      </c>
      <c r="AV80" s="1"/>
      <c r="AW80" s="1"/>
      <c r="AX80" s="1"/>
      <c r="AY80" s="1"/>
      <c r="AZ80" s="1">
        <f>MAX($E80)</f>
        <v>0</v>
      </c>
      <c r="BA80" s="1">
        <f>MAX($F80)</f>
        <v>0</v>
      </c>
      <c r="BB80" s="1">
        <f>MAX($G80)</f>
        <v>0</v>
      </c>
      <c r="BC80" s="1"/>
      <c r="BD80" s="1"/>
      <c r="BE80" s="1">
        <f>MAX($J80)</f>
        <v>0</v>
      </c>
      <c r="BF80" s="1"/>
      <c r="BG80" s="1"/>
      <c r="BH80" s="1"/>
      <c r="BI80" s="1">
        <f>MAX($P80)</f>
        <v>0</v>
      </c>
      <c r="BJ80" s="1">
        <f>MAX($Q80)</f>
        <v>0</v>
      </c>
      <c r="BK80" s="1"/>
    </row>
    <row r="81" spans="1:63">
      <c r="A81" s="1" t="s">
        <v>78</v>
      </c>
      <c r="B81" s="1"/>
      <c r="C81" s="1"/>
      <c r="D81" s="1"/>
      <c r="E81" s="1">
        <v>1</v>
      </c>
      <c r="F81" s="1">
        <v>23839</v>
      </c>
      <c r="G81" s="1">
        <v>0</v>
      </c>
      <c r="H81" s="1"/>
      <c r="I81" s="1"/>
      <c r="J81" s="1">
        <v>12000</v>
      </c>
      <c r="K81" s="1"/>
      <c r="L81" s="1" t="s">
        <v>203</v>
      </c>
      <c r="M81" s="1"/>
      <c r="N81" s="1"/>
      <c r="O81" s="1"/>
      <c r="P81" s="1">
        <v>6000</v>
      </c>
      <c r="Q81" s="1">
        <v>1</v>
      </c>
      <c r="R81" s="1"/>
      <c r="S81" s="1"/>
      <c r="T81" s="1"/>
      <c r="U81" s="1"/>
      <c r="V81" s="1">
        <f>MIN($E81)</f>
        <v>0</v>
      </c>
      <c r="W81" s="1">
        <f>MIN($F81)</f>
        <v>0</v>
      </c>
      <c r="X81" s="1">
        <f>MIN($G81)</f>
        <v>0</v>
      </c>
      <c r="Y81" s="1"/>
      <c r="Z81" s="1"/>
      <c r="AA81" s="1">
        <f>MIN($J81)</f>
        <v>0</v>
      </c>
      <c r="AB81" s="1"/>
      <c r="AC81" s="1"/>
      <c r="AD81" s="1"/>
      <c r="AE81" s="1">
        <f>MIN($P81)</f>
        <v>0</v>
      </c>
      <c r="AF81" s="1">
        <f>MIN($Q81)</f>
        <v>0</v>
      </c>
      <c r="AG81" s="1"/>
      <c r="AH81" s="1"/>
      <c r="AI81" s="1"/>
      <c r="AJ81" s="1"/>
      <c r="AK81" s="1">
        <f>MEDIAN($E81)</f>
        <v>0</v>
      </c>
      <c r="AL81" s="1">
        <f>MEDIAN($F81)</f>
        <v>0</v>
      </c>
      <c r="AM81" s="1">
        <f>MEDIAN($G81)</f>
        <v>0</v>
      </c>
      <c r="AN81" s="1"/>
      <c r="AO81" s="1"/>
      <c r="AP81" s="1">
        <f>MEDIAN($J81)</f>
        <v>0</v>
      </c>
      <c r="AQ81" s="1"/>
      <c r="AR81" s="1"/>
      <c r="AS81" s="1"/>
      <c r="AT81" s="1">
        <f>MEDIAN($P81)</f>
        <v>0</v>
      </c>
      <c r="AU81" s="1">
        <f>MEDIAN($Q81)</f>
        <v>0</v>
      </c>
      <c r="AV81" s="1"/>
      <c r="AW81" s="1"/>
      <c r="AX81" s="1"/>
      <c r="AY81" s="1"/>
      <c r="AZ81" s="1">
        <f>MAX($E81)</f>
        <v>0</v>
      </c>
      <c r="BA81" s="1">
        <f>MAX($F81)</f>
        <v>0</v>
      </c>
      <c r="BB81" s="1">
        <f>MAX($G81)</f>
        <v>0</v>
      </c>
      <c r="BC81" s="1"/>
      <c r="BD81" s="1"/>
      <c r="BE81" s="1">
        <f>MAX($J81)</f>
        <v>0</v>
      </c>
      <c r="BF81" s="1"/>
      <c r="BG81" s="1"/>
      <c r="BH81" s="1"/>
      <c r="BI81" s="1">
        <f>MAX($P81)</f>
        <v>0</v>
      </c>
      <c r="BJ81" s="1">
        <f>MAX($Q81)</f>
        <v>0</v>
      </c>
      <c r="BK81" s="1"/>
    </row>
    <row r="82" spans="1:63">
      <c r="A82" s="1" t="s">
        <v>79</v>
      </c>
      <c r="B82" s="1"/>
      <c r="C82" s="1"/>
      <c r="D82" s="1"/>
      <c r="E82" s="1">
        <v>1</v>
      </c>
      <c r="F82" s="1">
        <v>11530</v>
      </c>
      <c r="G82" s="1">
        <v>0</v>
      </c>
      <c r="H82" s="1"/>
      <c r="I82" s="1"/>
      <c r="J82" s="1">
        <v>12000</v>
      </c>
      <c r="K82" s="1"/>
      <c r="L82" s="1" t="s">
        <v>203</v>
      </c>
      <c r="M82" s="1"/>
      <c r="N82" s="1"/>
      <c r="O82" s="1"/>
      <c r="P82" s="1">
        <v>6000</v>
      </c>
      <c r="Q82" s="1">
        <v>1</v>
      </c>
      <c r="R82" s="1"/>
      <c r="S82" s="1"/>
      <c r="T82" s="1"/>
      <c r="U82" s="1"/>
      <c r="V82" s="1">
        <f>MIN($E82)</f>
        <v>0</v>
      </c>
      <c r="W82" s="1">
        <f>MIN($F82)</f>
        <v>0</v>
      </c>
      <c r="X82" s="1">
        <f>MIN($G82)</f>
        <v>0</v>
      </c>
      <c r="Y82" s="1"/>
      <c r="Z82" s="1"/>
      <c r="AA82" s="1">
        <f>MIN($J82)</f>
        <v>0</v>
      </c>
      <c r="AB82" s="1"/>
      <c r="AC82" s="1"/>
      <c r="AD82" s="1"/>
      <c r="AE82" s="1">
        <f>MIN($P82)</f>
        <v>0</v>
      </c>
      <c r="AF82" s="1">
        <f>MIN($Q82)</f>
        <v>0</v>
      </c>
      <c r="AG82" s="1"/>
      <c r="AH82" s="1"/>
      <c r="AI82" s="1"/>
      <c r="AJ82" s="1"/>
      <c r="AK82" s="1">
        <f>MEDIAN($E82)</f>
        <v>0</v>
      </c>
      <c r="AL82" s="1">
        <f>MEDIAN($F82)</f>
        <v>0</v>
      </c>
      <c r="AM82" s="1">
        <f>MEDIAN($G82)</f>
        <v>0</v>
      </c>
      <c r="AN82" s="1"/>
      <c r="AO82" s="1"/>
      <c r="AP82" s="1">
        <f>MEDIAN($J82)</f>
        <v>0</v>
      </c>
      <c r="AQ82" s="1"/>
      <c r="AR82" s="1"/>
      <c r="AS82" s="1"/>
      <c r="AT82" s="1">
        <f>MEDIAN($P82)</f>
        <v>0</v>
      </c>
      <c r="AU82" s="1">
        <f>MEDIAN($Q82)</f>
        <v>0</v>
      </c>
      <c r="AV82" s="1"/>
      <c r="AW82" s="1"/>
      <c r="AX82" s="1"/>
      <c r="AY82" s="1"/>
      <c r="AZ82" s="1">
        <f>MAX($E82)</f>
        <v>0</v>
      </c>
      <c r="BA82" s="1">
        <f>MAX($F82)</f>
        <v>0</v>
      </c>
      <c r="BB82" s="1">
        <f>MAX($G82)</f>
        <v>0</v>
      </c>
      <c r="BC82" s="1"/>
      <c r="BD82" s="1"/>
      <c r="BE82" s="1">
        <f>MAX($J82)</f>
        <v>0</v>
      </c>
      <c r="BF82" s="1"/>
      <c r="BG82" s="1"/>
      <c r="BH82" s="1"/>
      <c r="BI82" s="1">
        <f>MAX($P82)</f>
        <v>0</v>
      </c>
      <c r="BJ82" s="1">
        <f>MAX($Q82)</f>
        <v>0</v>
      </c>
      <c r="BK82" s="1"/>
    </row>
    <row r="83" spans="1:63">
      <c r="A83" s="1" t="s">
        <v>80</v>
      </c>
      <c r="B83" s="1"/>
      <c r="C83" s="1"/>
      <c r="D83" s="1"/>
      <c r="E83" s="1">
        <v>1</v>
      </c>
      <c r="F83" s="1">
        <v>23312</v>
      </c>
      <c r="G83" s="1">
        <v>0</v>
      </c>
      <c r="H83" s="1"/>
      <c r="I83" s="1"/>
      <c r="J83" s="1">
        <v>12000</v>
      </c>
      <c r="K83" s="1"/>
      <c r="L83" s="1" t="s">
        <v>203</v>
      </c>
      <c r="M83" s="1"/>
      <c r="N83" s="1"/>
      <c r="O83" s="1"/>
      <c r="P83" s="1">
        <v>6000</v>
      </c>
      <c r="Q83" s="1">
        <v>1</v>
      </c>
      <c r="R83" s="1"/>
      <c r="S83" s="1"/>
      <c r="T83" s="1"/>
      <c r="U83" s="1"/>
      <c r="V83" s="1">
        <f>MIN($E83)</f>
        <v>0</v>
      </c>
      <c r="W83" s="1">
        <f>MIN($F83)</f>
        <v>0</v>
      </c>
      <c r="X83" s="1">
        <f>MIN($G83)</f>
        <v>0</v>
      </c>
      <c r="Y83" s="1"/>
      <c r="Z83" s="1"/>
      <c r="AA83" s="1">
        <f>MIN($J83)</f>
        <v>0</v>
      </c>
      <c r="AB83" s="1"/>
      <c r="AC83" s="1"/>
      <c r="AD83" s="1"/>
      <c r="AE83" s="1">
        <f>MIN($P83)</f>
        <v>0</v>
      </c>
      <c r="AF83" s="1">
        <f>MIN($Q83)</f>
        <v>0</v>
      </c>
      <c r="AG83" s="1"/>
      <c r="AH83" s="1"/>
      <c r="AI83" s="1"/>
      <c r="AJ83" s="1"/>
      <c r="AK83" s="1">
        <f>MEDIAN($E83)</f>
        <v>0</v>
      </c>
      <c r="AL83" s="1">
        <f>MEDIAN($F83)</f>
        <v>0</v>
      </c>
      <c r="AM83" s="1">
        <f>MEDIAN($G83)</f>
        <v>0</v>
      </c>
      <c r="AN83" s="1"/>
      <c r="AO83" s="1"/>
      <c r="AP83" s="1">
        <f>MEDIAN($J83)</f>
        <v>0</v>
      </c>
      <c r="AQ83" s="1"/>
      <c r="AR83" s="1"/>
      <c r="AS83" s="1"/>
      <c r="AT83" s="1">
        <f>MEDIAN($P83)</f>
        <v>0</v>
      </c>
      <c r="AU83" s="1">
        <f>MEDIAN($Q83)</f>
        <v>0</v>
      </c>
      <c r="AV83" s="1"/>
      <c r="AW83" s="1"/>
      <c r="AX83" s="1"/>
      <c r="AY83" s="1"/>
      <c r="AZ83" s="1">
        <f>MAX($E83)</f>
        <v>0</v>
      </c>
      <c r="BA83" s="1">
        <f>MAX($F83)</f>
        <v>0</v>
      </c>
      <c r="BB83" s="1">
        <f>MAX($G83)</f>
        <v>0</v>
      </c>
      <c r="BC83" s="1"/>
      <c r="BD83" s="1"/>
      <c r="BE83" s="1">
        <f>MAX($J83)</f>
        <v>0</v>
      </c>
      <c r="BF83" s="1"/>
      <c r="BG83" s="1"/>
      <c r="BH83" s="1"/>
      <c r="BI83" s="1">
        <f>MAX($P83)</f>
        <v>0</v>
      </c>
      <c r="BJ83" s="1">
        <f>MAX($Q83)</f>
        <v>0</v>
      </c>
      <c r="BK83" s="1"/>
    </row>
    <row r="84" spans="1:63">
      <c r="A84" s="1" t="s">
        <v>81</v>
      </c>
      <c r="B84" s="1"/>
      <c r="C84" s="1"/>
      <c r="D84" s="1"/>
      <c r="E84" s="1">
        <v>1</v>
      </c>
      <c r="F84" s="1">
        <v>15240</v>
      </c>
      <c r="G84" s="1">
        <v>0</v>
      </c>
      <c r="H84" s="1"/>
      <c r="I84" s="1"/>
      <c r="J84" s="1">
        <v>12000</v>
      </c>
      <c r="K84" s="1"/>
      <c r="L84" s="1" t="s">
        <v>203</v>
      </c>
      <c r="M84" s="1"/>
      <c r="N84" s="1"/>
      <c r="O84" s="1"/>
      <c r="P84" s="1">
        <v>6000</v>
      </c>
      <c r="Q84" s="1">
        <v>1</v>
      </c>
      <c r="R84" s="1"/>
      <c r="S84" s="1"/>
      <c r="T84" s="1"/>
      <c r="U84" s="1"/>
      <c r="V84" s="1">
        <f>MIN($E84)</f>
        <v>0</v>
      </c>
      <c r="W84" s="1">
        <f>MIN($F84)</f>
        <v>0</v>
      </c>
      <c r="X84" s="1">
        <f>MIN($G84)</f>
        <v>0</v>
      </c>
      <c r="Y84" s="1"/>
      <c r="Z84" s="1"/>
      <c r="AA84" s="1">
        <f>MIN($J84)</f>
        <v>0</v>
      </c>
      <c r="AB84" s="1"/>
      <c r="AC84" s="1"/>
      <c r="AD84" s="1"/>
      <c r="AE84" s="1">
        <f>MIN($P84)</f>
        <v>0</v>
      </c>
      <c r="AF84" s="1">
        <f>MIN($Q84)</f>
        <v>0</v>
      </c>
      <c r="AG84" s="1"/>
      <c r="AH84" s="1"/>
      <c r="AI84" s="1"/>
      <c r="AJ84" s="1"/>
      <c r="AK84" s="1">
        <f>MEDIAN($E84)</f>
        <v>0</v>
      </c>
      <c r="AL84" s="1">
        <f>MEDIAN($F84)</f>
        <v>0</v>
      </c>
      <c r="AM84" s="1">
        <f>MEDIAN($G84)</f>
        <v>0</v>
      </c>
      <c r="AN84" s="1"/>
      <c r="AO84" s="1"/>
      <c r="AP84" s="1">
        <f>MEDIAN($J84)</f>
        <v>0</v>
      </c>
      <c r="AQ84" s="1"/>
      <c r="AR84" s="1"/>
      <c r="AS84" s="1"/>
      <c r="AT84" s="1">
        <f>MEDIAN($P84)</f>
        <v>0</v>
      </c>
      <c r="AU84" s="1">
        <f>MEDIAN($Q84)</f>
        <v>0</v>
      </c>
      <c r="AV84" s="1"/>
      <c r="AW84" s="1"/>
      <c r="AX84" s="1"/>
      <c r="AY84" s="1"/>
      <c r="AZ84" s="1">
        <f>MAX($E84)</f>
        <v>0</v>
      </c>
      <c r="BA84" s="1">
        <f>MAX($F84)</f>
        <v>0</v>
      </c>
      <c r="BB84" s="1">
        <f>MAX($G84)</f>
        <v>0</v>
      </c>
      <c r="BC84" s="1"/>
      <c r="BD84" s="1"/>
      <c r="BE84" s="1">
        <f>MAX($J84)</f>
        <v>0</v>
      </c>
      <c r="BF84" s="1"/>
      <c r="BG84" s="1"/>
      <c r="BH84" s="1"/>
      <c r="BI84" s="1">
        <f>MAX($P84)</f>
        <v>0</v>
      </c>
      <c r="BJ84" s="1">
        <f>MAX($Q84)</f>
        <v>0</v>
      </c>
      <c r="BK84" s="1"/>
    </row>
    <row r="85" spans="1:63">
      <c r="A85" s="1" t="s">
        <v>82</v>
      </c>
      <c r="B85" s="1"/>
      <c r="C85" s="1"/>
      <c r="D85" s="1"/>
      <c r="E85" s="1">
        <v>1</v>
      </c>
      <c r="F85" s="1">
        <v>26762</v>
      </c>
      <c r="G85" s="1">
        <v>0</v>
      </c>
      <c r="H85" s="1"/>
      <c r="I85" s="1"/>
      <c r="J85" s="1">
        <v>12000</v>
      </c>
      <c r="K85" s="1"/>
      <c r="L85" s="1" t="s">
        <v>203</v>
      </c>
      <c r="M85" s="1"/>
      <c r="N85" s="1"/>
      <c r="O85" s="1"/>
      <c r="P85" s="1">
        <v>6000</v>
      </c>
      <c r="Q85" s="1">
        <v>1</v>
      </c>
      <c r="R85" s="1"/>
      <c r="S85" s="1"/>
      <c r="T85" s="1"/>
      <c r="U85" s="1"/>
      <c r="V85" s="1">
        <f>MIN($E85)</f>
        <v>0</v>
      </c>
      <c r="W85" s="1">
        <f>MIN($F85)</f>
        <v>0</v>
      </c>
      <c r="X85" s="1">
        <f>MIN($G85)</f>
        <v>0</v>
      </c>
      <c r="Y85" s="1"/>
      <c r="Z85" s="1"/>
      <c r="AA85" s="1">
        <f>MIN($J85)</f>
        <v>0</v>
      </c>
      <c r="AB85" s="1"/>
      <c r="AC85" s="1"/>
      <c r="AD85" s="1"/>
      <c r="AE85" s="1">
        <f>MIN($P85)</f>
        <v>0</v>
      </c>
      <c r="AF85" s="1">
        <f>MIN($Q85)</f>
        <v>0</v>
      </c>
      <c r="AG85" s="1"/>
      <c r="AH85" s="1"/>
      <c r="AI85" s="1"/>
      <c r="AJ85" s="1"/>
      <c r="AK85" s="1">
        <f>MEDIAN($E85)</f>
        <v>0</v>
      </c>
      <c r="AL85" s="1">
        <f>MEDIAN($F85)</f>
        <v>0</v>
      </c>
      <c r="AM85" s="1">
        <f>MEDIAN($G85)</f>
        <v>0</v>
      </c>
      <c r="AN85" s="1"/>
      <c r="AO85" s="1"/>
      <c r="AP85" s="1">
        <f>MEDIAN($J85)</f>
        <v>0</v>
      </c>
      <c r="AQ85" s="1"/>
      <c r="AR85" s="1"/>
      <c r="AS85" s="1"/>
      <c r="AT85" s="1">
        <f>MEDIAN($P85)</f>
        <v>0</v>
      </c>
      <c r="AU85" s="1">
        <f>MEDIAN($Q85)</f>
        <v>0</v>
      </c>
      <c r="AV85" s="1"/>
      <c r="AW85" s="1"/>
      <c r="AX85" s="1"/>
      <c r="AY85" s="1"/>
      <c r="AZ85" s="1">
        <f>MAX($E85)</f>
        <v>0</v>
      </c>
      <c r="BA85" s="1">
        <f>MAX($F85)</f>
        <v>0</v>
      </c>
      <c r="BB85" s="1">
        <f>MAX($G85)</f>
        <v>0</v>
      </c>
      <c r="BC85" s="1"/>
      <c r="BD85" s="1"/>
      <c r="BE85" s="1">
        <f>MAX($J85)</f>
        <v>0</v>
      </c>
      <c r="BF85" s="1"/>
      <c r="BG85" s="1"/>
      <c r="BH85" s="1"/>
      <c r="BI85" s="1">
        <f>MAX($P85)</f>
        <v>0</v>
      </c>
      <c r="BJ85" s="1">
        <f>MAX($Q85)</f>
        <v>0</v>
      </c>
      <c r="BK85" s="1"/>
    </row>
    <row r="86" spans="1:63">
      <c r="A86" s="1" t="s">
        <v>83</v>
      </c>
      <c r="B86" s="1"/>
      <c r="C86" s="1"/>
      <c r="D86" s="1"/>
      <c r="E86" s="1">
        <v>1</v>
      </c>
      <c r="F86" s="1">
        <v>15196</v>
      </c>
      <c r="G86" s="1">
        <v>0</v>
      </c>
      <c r="H86" s="1"/>
      <c r="I86" s="1"/>
      <c r="J86" s="1">
        <v>12000</v>
      </c>
      <c r="K86" s="1"/>
      <c r="L86" s="1" t="s">
        <v>203</v>
      </c>
      <c r="M86" s="1"/>
      <c r="N86" s="1"/>
      <c r="O86" s="1"/>
      <c r="P86" s="1">
        <v>6000</v>
      </c>
      <c r="Q86" s="1">
        <v>1</v>
      </c>
      <c r="R86" s="1"/>
      <c r="S86" s="1"/>
      <c r="T86" s="1"/>
      <c r="U86" s="1"/>
      <c r="V86" s="1">
        <f>MIN($E86)</f>
        <v>0</v>
      </c>
      <c r="W86" s="1">
        <f>MIN($F86)</f>
        <v>0</v>
      </c>
      <c r="X86" s="1">
        <f>MIN($G86)</f>
        <v>0</v>
      </c>
      <c r="Y86" s="1"/>
      <c r="Z86" s="1"/>
      <c r="AA86" s="1">
        <f>MIN($J86)</f>
        <v>0</v>
      </c>
      <c r="AB86" s="1"/>
      <c r="AC86" s="1"/>
      <c r="AD86" s="1"/>
      <c r="AE86" s="1">
        <f>MIN($P86)</f>
        <v>0</v>
      </c>
      <c r="AF86" s="1">
        <f>MIN($Q86)</f>
        <v>0</v>
      </c>
      <c r="AG86" s="1"/>
      <c r="AH86" s="1"/>
      <c r="AI86" s="1"/>
      <c r="AJ86" s="1"/>
      <c r="AK86" s="1">
        <f>MEDIAN($E86)</f>
        <v>0</v>
      </c>
      <c r="AL86" s="1">
        <f>MEDIAN($F86)</f>
        <v>0</v>
      </c>
      <c r="AM86" s="1">
        <f>MEDIAN($G86)</f>
        <v>0</v>
      </c>
      <c r="AN86" s="1"/>
      <c r="AO86" s="1"/>
      <c r="AP86" s="1">
        <f>MEDIAN($J86)</f>
        <v>0</v>
      </c>
      <c r="AQ86" s="1"/>
      <c r="AR86" s="1"/>
      <c r="AS86" s="1"/>
      <c r="AT86" s="1">
        <f>MEDIAN($P86)</f>
        <v>0</v>
      </c>
      <c r="AU86" s="1">
        <f>MEDIAN($Q86)</f>
        <v>0</v>
      </c>
      <c r="AV86" s="1"/>
      <c r="AW86" s="1"/>
      <c r="AX86" s="1"/>
      <c r="AY86" s="1"/>
      <c r="AZ86" s="1">
        <f>MAX($E86)</f>
        <v>0</v>
      </c>
      <c r="BA86" s="1">
        <f>MAX($F86)</f>
        <v>0</v>
      </c>
      <c r="BB86" s="1">
        <f>MAX($G86)</f>
        <v>0</v>
      </c>
      <c r="BC86" s="1"/>
      <c r="BD86" s="1"/>
      <c r="BE86" s="1">
        <f>MAX($J86)</f>
        <v>0</v>
      </c>
      <c r="BF86" s="1"/>
      <c r="BG86" s="1"/>
      <c r="BH86" s="1"/>
      <c r="BI86" s="1">
        <f>MAX($P86)</f>
        <v>0</v>
      </c>
      <c r="BJ86" s="1">
        <f>MAX($Q86)</f>
        <v>0</v>
      </c>
      <c r="BK86" s="1"/>
    </row>
    <row r="87" spans="1:63">
      <c r="A87" s="1" t="s">
        <v>84</v>
      </c>
      <c r="B87" s="1"/>
      <c r="C87" s="1"/>
      <c r="D87" s="1"/>
      <c r="E87" s="1">
        <v>1</v>
      </c>
      <c r="F87" s="1">
        <v>15468</v>
      </c>
      <c r="G87" s="1">
        <v>0</v>
      </c>
      <c r="H87" s="1"/>
      <c r="I87" s="1"/>
      <c r="J87" s="1">
        <v>12000</v>
      </c>
      <c r="K87" s="1"/>
      <c r="L87" s="1" t="s">
        <v>203</v>
      </c>
      <c r="M87" s="1"/>
      <c r="N87" s="1"/>
      <c r="O87" s="1"/>
      <c r="P87" s="1">
        <v>6000</v>
      </c>
      <c r="Q87" s="1">
        <v>1</v>
      </c>
      <c r="R87" s="1"/>
      <c r="S87" s="1"/>
      <c r="T87" s="1"/>
      <c r="U87" s="1"/>
      <c r="V87" s="1">
        <f>MIN($E87)</f>
        <v>0</v>
      </c>
      <c r="W87" s="1">
        <f>MIN($F87)</f>
        <v>0</v>
      </c>
      <c r="X87" s="1">
        <f>MIN($G87)</f>
        <v>0</v>
      </c>
      <c r="Y87" s="1"/>
      <c r="Z87" s="1"/>
      <c r="AA87" s="1">
        <f>MIN($J87)</f>
        <v>0</v>
      </c>
      <c r="AB87" s="1"/>
      <c r="AC87" s="1"/>
      <c r="AD87" s="1"/>
      <c r="AE87" s="1">
        <f>MIN($P87)</f>
        <v>0</v>
      </c>
      <c r="AF87" s="1">
        <f>MIN($Q87)</f>
        <v>0</v>
      </c>
      <c r="AG87" s="1"/>
      <c r="AH87" s="1"/>
      <c r="AI87" s="1"/>
      <c r="AJ87" s="1"/>
      <c r="AK87" s="1">
        <f>MEDIAN($E87)</f>
        <v>0</v>
      </c>
      <c r="AL87" s="1">
        <f>MEDIAN($F87)</f>
        <v>0</v>
      </c>
      <c r="AM87" s="1">
        <f>MEDIAN($G87)</f>
        <v>0</v>
      </c>
      <c r="AN87" s="1"/>
      <c r="AO87" s="1"/>
      <c r="AP87" s="1">
        <f>MEDIAN($J87)</f>
        <v>0</v>
      </c>
      <c r="AQ87" s="1"/>
      <c r="AR87" s="1"/>
      <c r="AS87" s="1"/>
      <c r="AT87" s="1">
        <f>MEDIAN($P87)</f>
        <v>0</v>
      </c>
      <c r="AU87" s="1">
        <f>MEDIAN($Q87)</f>
        <v>0</v>
      </c>
      <c r="AV87" s="1"/>
      <c r="AW87" s="1"/>
      <c r="AX87" s="1"/>
      <c r="AY87" s="1"/>
      <c r="AZ87" s="1">
        <f>MAX($E87)</f>
        <v>0</v>
      </c>
      <c r="BA87" s="1">
        <f>MAX($F87)</f>
        <v>0</v>
      </c>
      <c r="BB87" s="1">
        <f>MAX($G87)</f>
        <v>0</v>
      </c>
      <c r="BC87" s="1"/>
      <c r="BD87" s="1"/>
      <c r="BE87" s="1">
        <f>MAX($J87)</f>
        <v>0</v>
      </c>
      <c r="BF87" s="1"/>
      <c r="BG87" s="1"/>
      <c r="BH87" s="1"/>
      <c r="BI87" s="1">
        <f>MAX($P87)</f>
        <v>0</v>
      </c>
      <c r="BJ87" s="1">
        <f>MAX($Q87)</f>
        <v>0</v>
      </c>
      <c r="BK87" s="1"/>
    </row>
    <row r="88" spans="1:63">
      <c r="A88" s="1" t="s">
        <v>85</v>
      </c>
      <c r="B88" s="1"/>
      <c r="C88" s="1"/>
      <c r="D88" s="1"/>
      <c r="E88" s="1">
        <v>1</v>
      </c>
      <c r="F88" s="1">
        <v>14586</v>
      </c>
      <c r="G88" s="1">
        <v>0</v>
      </c>
      <c r="H88" s="1"/>
      <c r="I88" s="1"/>
      <c r="J88" s="1">
        <v>12000</v>
      </c>
      <c r="K88" s="1"/>
      <c r="L88" s="1" t="s">
        <v>203</v>
      </c>
      <c r="M88" s="1"/>
      <c r="N88" s="1"/>
      <c r="O88" s="1"/>
      <c r="P88" s="1">
        <v>6000</v>
      </c>
      <c r="Q88" s="1">
        <v>1</v>
      </c>
      <c r="R88" s="1"/>
      <c r="S88" s="1"/>
      <c r="T88" s="1"/>
      <c r="U88" s="1"/>
      <c r="V88" s="1">
        <f>MIN($E88)</f>
        <v>0</v>
      </c>
      <c r="W88" s="1">
        <f>MIN($F88)</f>
        <v>0</v>
      </c>
      <c r="X88" s="1">
        <f>MIN($G88)</f>
        <v>0</v>
      </c>
      <c r="Y88" s="1"/>
      <c r="Z88" s="1"/>
      <c r="AA88" s="1">
        <f>MIN($J88)</f>
        <v>0</v>
      </c>
      <c r="AB88" s="1"/>
      <c r="AC88" s="1"/>
      <c r="AD88" s="1"/>
      <c r="AE88" s="1">
        <f>MIN($P88)</f>
        <v>0</v>
      </c>
      <c r="AF88" s="1">
        <f>MIN($Q88)</f>
        <v>0</v>
      </c>
      <c r="AG88" s="1"/>
      <c r="AH88" s="1"/>
      <c r="AI88" s="1"/>
      <c r="AJ88" s="1"/>
      <c r="AK88" s="1">
        <f>MEDIAN($E88)</f>
        <v>0</v>
      </c>
      <c r="AL88" s="1">
        <f>MEDIAN($F88)</f>
        <v>0</v>
      </c>
      <c r="AM88" s="1">
        <f>MEDIAN($G88)</f>
        <v>0</v>
      </c>
      <c r="AN88" s="1"/>
      <c r="AO88" s="1"/>
      <c r="AP88" s="1">
        <f>MEDIAN($J88)</f>
        <v>0</v>
      </c>
      <c r="AQ88" s="1"/>
      <c r="AR88" s="1"/>
      <c r="AS88" s="1"/>
      <c r="AT88" s="1">
        <f>MEDIAN($P88)</f>
        <v>0</v>
      </c>
      <c r="AU88" s="1">
        <f>MEDIAN($Q88)</f>
        <v>0</v>
      </c>
      <c r="AV88" s="1"/>
      <c r="AW88" s="1"/>
      <c r="AX88" s="1"/>
      <c r="AY88" s="1"/>
      <c r="AZ88" s="1">
        <f>MAX($E88)</f>
        <v>0</v>
      </c>
      <c r="BA88" s="1">
        <f>MAX($F88)</f>
        <v>0</v>
      </c>
      <c r="BB88" s="1">
        <f>MAX($G88)</f>
        <v>0</v>
      </c>
      <c r="BC88" s="1"/>
      <c r="BD88" s="1"/>
      <c r="BE88" s="1">
        <f>MAX($J88)</f>
        <v>0</v>
      </c>
      <c r="BF88" s="1"/>
      <c r="BG88" s="1"/>
      <c r="BH88" s="1"/>
      <c r="BI88" s="1">
        <f>MAX($P88)</f>
        <v>0</v>
      </c>
      <c r="BJ88" s="1">
        <f>MAX($Q88)</f>
        <v>0</v>
      </c>
      <c r="BK88" s="1"/>
    </row>
    <row r="89" spans="1:63">
      <c r="A89" s="1" t="s">
        <v>86</v>
      </c>
      <c r="B89" s="1"/>
      <c r="C89" s="1"/>
      <c r="D89" s="1"/>
      <c r="E89" s="1">
        <v>1</v>
      </c>
      <c r="F89" s="1"/>
      <c r="G89" s="1">
        <v>0</v>
      </c>
      <c r="H89" s="1"/>
      <c r="I89" s="1"/>
      <c r="J89" s="1">
        <v>12000</v>
      </c>
      <c r="K89" s="1"/>
      <c r="L89" s="1"/>
      <c r="M89" s="1"/>
      <c r="N89" s="1"/>
      <c r="O89" s="1"/>
      <c r="P89" s="1">
        <v>6000</v>
      </c>
      <c r="Q89" s="1">
        <v>1</v>
      </c>
      <c r="R89" s="1"/>
      <c r="S89" s="1"/>
      <c r="T89" s="1"/>
      <c r="U89" s="1"/>
      <c r="V89" s="1">
        <f>MIN($E89)</f>
        <v>0</v>
      </c>
      <c r="W89" s="1"/>
      <c r="X89" s="1">
        <f>MIN($G89)</f>
        <v>0</v>
      </c>
      <c r="Y89" s="1"/>
      <c r="Z89" s="1"/>
      <c r="AA89" s="1">
        <f>MIN($J89)</f>
        <v>0</v>
      </c>
      <c r="AB89" s="1"/>
      <c r="AC89" s="1"/>
      <c r="AD89" s="1"/>
      <c r="AE89" s="1">
        <f>MIN($P89)</f>
        <v>0</v>
      </c>
      <c r="AF89" s="1">
        <f>MIN($Q89)</f>
        <v>0</v>
      </c>
      <c r="AG89" s="1"/>
      <c r="AH89" s="1"/>
      <c r="AI89" s="1"/>
      <c r="AJ89" s="1"/>
      <c r="AK89" s="1">
        <f>MEDIAN($E89)</f>
        <v>0</v>
      </c>
      <c r="AL89" s="1"/>
      <c r="AM89" s="1">
        <f>MEDIAN($G89)</f>
        <v>0</v>
      </c>
      <c r="AN89" s="1"/>
      <c r="AO89" s="1"/>
      <c r="AP89" s="1">
        <f>MEDIAN($J89)</f>
        <v>0</v>
      </c>
      <c r="AQ89" s="1"/>
      <c r="AR89" s="1"/>
      <c r="AS89" s="1"/>
      <c r="AT89" s="1">
        <f>MEDIAN($P89)</f>
        <v>0</v>
      </c>
      <c r="AU89" s="1">
        <f>MEDIAN($Q89)</f>
        <v>0</v>
      </c>
      <c r="AV89" s="1"/>
      <c r="AW89" s="1"/>
      <c r="AX89" s="1"/>
      <c r="AY89" s="1"/>
      <c r="AZ89" s="1">
        <f>MAX($E89)</f>
        <v>0</v>
      </c>
      <c r="BA89" s="1"/>
      <c r="BB89" s="1">
        <f>MAX($G89)</f>
        <v>0</v>
      </c>
      <c r="BC89" s="1"/>
      <c r="BD89" s="1"/>
      <c r="BE89" s="1">
        <f>MAX($J89)</f>
        <v>0</v>
      </c>
      <c r="BF89" s="1"/>
      <c r="BG89" s="1"/>
      <c r="BH89" s="1"/>
      <c r="BI89" s="1">
        <f>MAX($P89)</f>
        <v>0</v>
      </c>
      <c r="BJ89" s="1">
        <f>MAX($Q89)</f>
        <v>0</v>
      </c>
      <c r="BK89" s="1"/>
    </row>
    <row r="90" spans="1:63">
      <c r="A90" s="1" t="s">
        <v>87</v>
      </c>
      <c r="B90" s="1"/>
      <c r="C90" s="1"/>
      <c r="D90" s="1"/>
      <c r="E90" s="1">
        <v>1</v>
      </c>
      <c r="F90" s="1">
        <v>17442</v>
      </c>
      <c r="G90" s="1">
        <v>0</v>
      </c>
      <c r="H90" s="1"/>
      <c r="I90" s="1"/>
      <c r="J90" s="1">
        <v>12000</v>
      </c>
      <c r="K90" s="1"/>
      <c r="L90" s="1" t="s">
        <v>203</v>
      </c>
      <c r="M90" s="1"/>
      <c r="N90" s="1"/>
      <c r="O90" s="1"/>
      <c r="P90" s="1">
        <v>6000</v>
      </c>
      <c r="Q90" s="1">
        <v>1</v>
      </c>
      <c r="R90" s="1"/>
      <c r="S90" s="1"/>
      <c r="T90" s="1"/>
      <c r="U90" s="1"/>
      <c r="V90" s="1">
        <f>MIN($E90)</f>
        <v>0</v>
      </c>
      <c r="W90" s="1">
        <f>MIN($F90)</f>
        <v>0</v>
      </c>
      <c r="X90" s="1">
        <f>MIN($G90)</f>
        <v>0</v>
      </c>
      <c r="Y90" s="1"/>
      <c r="Z90" s="1"/>
      <c r="AA90" s="1">
        <f>MIN($J90)</f>
        <v>0</v>
      </c>
      <c r="AB90" s="1"/>
      <c r="AC90" s="1"/>
      <c r="AD90" s="1"/>
      <c r="AE90" s="1">
        <f>MIN($P90)</f>
        <v>0</v>
      </c>
      <c r="AF90" s="1">
        <f>MIN($Q90)</f>
        <v>0</v>
      </c>
      <c r="AG90" s="1"/>
      <c r="AH90" s="1"/>
      <c r="AI90" s="1"/>
      <c r="AJ90" s="1"/>
      <c r="AK90" s="1">
        <f>MEDIAN($E90)</f>
        <v>0</v>
      </c>
      <c r="AL90" s="1">
        <f>MEDIAN($F90)</f>
        <v>0</v>
      </c>
      <c r="AM90" s="1">
        <f>MEDIAN($G90)</f>
        <v>0</v>
      </c>
      <c r="AN90" s="1"/>
      <c r="AO90" s="1"/>
      <c r="AP90" s="1">
        <f>MEDIAN($J90)</f>
        <v>0</v>
      </c>
      <c r="AQ90" s="1"/>
      <c r="AR90" s="1"/>
      <c r="AS90" s="1"/>
      <c r="AT90" s="1">
        <f>MEDIAN($P90)</f>
        <v>0</v>
      </c>
      <c r="AU90" s="1">
        <f>MEDIAN($Q90)</f>
        <v>0</v>
      </c>
      <c r="AV90" s="1"/>
      <c r="AW90" s="1"/>
      <c r="AX90" s="1"/>
      <c r="AY90" s="1"/>
      <c r="AZ90" s="1">
        <f>MAX($E90)</f>
        <v>0</v>
      </c>
      <c r="BA90" s="1">
        <f>MAX($F90)</f>
        <v>0</v>
      </c>
      <c r="BB90" s="1">
        <f>MAX($G90)</f>
        <v>0</v>
      </c>
      <c r="BC90" s="1"/>
      <c r="BD90" s="1"/>
      <c r="BE90" s="1">
        <f>MAX($J90)</f>
        <v>0</v>
      </c>
      <c r="BF90" s="1"/>
      <c r="BG90" s="1"/>
      <c r="BH90" s="1"/>
      <c r="BI90" s="1">
        <f>MAX($P90)</f>
        <v>0</v>
      </c>
      <c r="BJ90" s="1">
        <f>MAX($Q90)</f>
        <v>0</v>
      </c>
      <c r="BK90" s="1"/>
    </row>
    <row r="91" spans="1:63">
      <c r="A91" s="1" t="s">
        <v>88</v>
      </c>
      <c r="B91" s="1">
        <v>6027</v>
      </c>
      <c r="C91" s="1">
        <v>4</v>
      </c>
      <c r="D91" s="1">
        <v>385322788</v>
      </c>
      <c r="E91" s="1">
        <v>0</v>
      </c>
      <c r="F91" s="1">
        <v>38238</v>
      </c>
      <c r="G91" s="1">
        <v>0</v>
      </c>
      <c r="H91" s="1">
        <v>1</v>
      </c>
      <c r="I91" s="1">
        <v>891.6079999999999</v>
      </c>
      <c r="J91" s="1">
        <v>12000</v>
      </c>
      <c r="K91" s="1">
        <v>0</v>
      </c>
      <c r="L91" s="1" t="s">
        <v>204</v>
      </c>
      <c r="M91" s="1">
        <v>110219158</v>
      </c>
      <c r="N91" s="1">
        <v>117.9</v>
      </c>
      <c r="O91" s="1" t="s">
        <v>210</v>
      </c>
      <c r="P91" s="1">
        <v>6000</v>
      </c>
      <c r="Q91" s="1">
        <v>1</v>
      </c>
      <c r="R91" s="1">
        <v>102016763</v>
      </c>
      <c r="S91" s="1">
        <f>MIN($B91)</f>
        <v>0</v>
      </c>
      <c r="T91" s="1">
        <f>MIN($C91)</f>
        <v>0</v>
      </c>
      <c r="U91" s="1">
        <f>MIN($D91)</f>
        <v>0</v>
      </c>
      <c r="V91" s="1">
        <f>MIN($E91)</f>
        <v>0</v>
      </c>
      <c r="W91" s="1">
        <f>MIN($F91)</f>
        <v>0</v>
      </c>
      <c r="X91" s="1">
        <f>MIN($G91)</f>
        <v>0</v>
      </c>
      <c r="Y91" s="1">
        <f>MIN($H91)</f>
        <v>0</v>
      </c>
      <c r="Z91" s="1">
        <f>MIN($I91)</f>
        <v>0</v>
      </c>
      <c r="AA91" s="1">
        <f>MIN($J91)</f>
        <v>0</v>
      </c>
      <c r="AB91" s="1">
        <f>MIN($K91)</f>
        <v>0</v>
      </c>
      <c r="AC91" s="1">
        <f>MIN($M91)</f>
        <v>0</v>
      </c>
      <c r="AD91" s="1">
        <f>MIN($N91)</f>
        <v>0</v>
      </c>
      <c r="AE91" s="1">
        <f>MIN($P91)</f>
        <v>0</v>
      </c>
      <c r="AF91" s="1">
        <f>MIN($Q91)</f>
        <v>0</v>
      </c>
      <c r="AG91" s="1">
        <f>MIN($R91)</f>
        <v>0</v>
      </c>
      <c r="AH91" s="1">
        <f>MEDIAN($B91)</f>
        <v>0</v>
      </c>
      <c r="AI91" s="1">
        <f>MEDIAN($C91)</f>
        <v>0</v>
      </c>
      <c r="AJ91" s="1">
        <f>MEDIAN($D91)</f>
        <v>0</v>
      </c>
      <c r="AK91" s="1">
        <f>MEDIAN($E91)</f>
        <v>0</v>
      </c>
      <c r="AL91" s="1">
        <f>MEDIAN($F91)</f>
        <v>0</v>
      </c>
      <c r="AM91" s="1">
        <f>MEDIAN($G91)</f>
        <v>0</v>
      </c>
      <c r="AN91" s="1">
        <f>MEDIAN($H91)</f>
        <v>0</v>
      </c>
      <c r="AO91" s="1">
        <f>MEDIAN($I91)</f>
        <v>0</v>
      </c>
      <c r="AP91" s="1">
        <f>MEDIAN($J91)</f>
        <v>0</v>
      </c>
      <c r="AQ91" s="1">
        <f>MEDIAN($K91)</f>
        <v>0</v>
      </c>
      <c r="AR91" s="1">
        <f>MEDIAN($M91)</f>
        <v>0</v>
      </c>
      <c r="AS91" s="1">
        <f>MEDIAN($N91)</f>
        <v>0</v>
      </c>
      <c r="AT91" s="1">
        <f>MEDIAN($P91)</f>
        <v>0</v>
      </c>
      <c r="AU91" s="1">
        <f>MEDIAN($Q91)</f>
        <v>0</v>
      </c>
      <c r="AV91" s="1">
        <f>MEDIAN($R91)</f>
        <v>0</v>
      </c>
      <c r="AW91" s="1">
        <f>MAX($B91)</f>
        <v>0</v>
      </c>
      <c r="AX91" s="1">
        <f>MAX($C91)</f>
        <v>0</v>
      </c>
      <c r="AY91" s="1">
        <f>MAX($D91)</f>
        <v>0</v>
      </c>
      <c r="AZ91" s="1">
        <f>MAX($E91)</f>
        <v>0</v>
      </c>
      <c r="BA91" s="1">
        <f>MAX($F91)</f>
        <v>0</v>
      </c>
      <c r="BB91" s="1">
        <f>MAX($G91)</f>
        <v>0</v>
      </c>
      <c r="BC91" s="1">
        <f>MAX($H91)</f>
        <v>0</v>
      </c>
      <c r="BD91" s="1">
        <f>MAX($I91)</f>
        <v>0</v>
      </c>
      <c r="BE91" s="1">
        <f>MAX($J91)</f>
        <v>0</v>
      </c>
      <c r="BF91" s="1">
        <f>MAX($K91)</f>
        <v>0</v>
      </c>
      <c r="BG91" s="1">
        <f>MAX($M91)</f>
        <v>0</v>
      </c>
      <c r="BH91" s="1">
        <f>MAX($N91)</f>
        <v>0</v>
      </c>
      <c r="BI91" s="1">
        <f>MAX($P91)</f>
        <v>0</v>
      </c>
      <c r="BJ91" s="1">
        <f>MAX($Q91)</f>
        <v>0</v>
      </c>
      <c r="BK91" s="1">
        <f>MAX($R91)</f>
        <v>0</v>
      </c>
    </row>
    <row r="92" spans="1:63">
      <c r="A92" s="1" t="s">
        <v>89</v>
      </c>
      <c r="B92" s="1"/>
      <c r="C92" s="1"/>
      <c r="D92" s="1"/>
      <c r="E92" s="1">
        <v>1</v>
      </c>
      <c r="F92" s="1">
        <v>32669</v>
      </c>
      <c r="G92" s="1">
        <v>0</v>
      </c>
      <c r="H92" s="1"/>
      <c r="I92" s="1"/>
      <c r="J92" s="1">
        <v>12000</v>
      </c>
      <c r="K92" s="1"/>
      <c r="L92" s="1" t="s">
        <v>203</v>
      </c>
      <c r="M92" s="1"/>
      <c r="N92" s="1"/>
      <c r="O92" s="1"/>
      <c r="P92" s="1">
        <v>6000</v>
      </c>
      <c r="Q92" s="1">
        <v>1</v>
      </c>
      <c r="R92" s="1"/>
      <c r="S92" s="1"/>
      <c r="T92" s="1"/>
      <c r="U92" s="1"/>
      <c r="V92" s="1">
        <f>MIN($E92)</f>
        <v>0</v>
      </c>
      <c r="W92" s="1">
        <f>MIN($F92)</f>
        <v>0</v>
      </c>
      <c r="X92" s="1">
        <f>MIN($G92)</f>
        <v>0</v>
      </c>
      <c r="Y92" s="1"/>
      <c r="Z92" s="1"/>
      <c r="AA92" s="1">
        <f>MIN($J92)</f>
        <v>0</v>
      </c>
      <c r="AB92" s="1"/>
      <c r="AC92" s="1"/>
      <c r="AD92" s="1"/>
      <c r="AE92" s="1">
        <f>MIN($P92)</f>
        <v>0</v>
      </c>
      <c r="AF92" s="1">
        <f>MIN($Q92)</f>
        <v>0</v>
      </c>
      <c r="AG92" s="1"/>
      <c r="AH92" s="1"/>
      <c r="AI92" s="1"/>
      <c r="AJ92" s="1"/>
      <c r="AK92" s="1">
        <f>MEDIAN($E92)</f>
        <v>0</v>
      </c>
      <c r="AL92" s="1">
        <f>MEDIAN($F92)</f>
        <v>0</v>
      </c>
      <c r="AM92" s="1">
        <f>MEDIAN($G92)</f>
        <v>0</v>
      </c>
      <c r="AN92" s="1"/>
      <c r="AO92" s="1"/>
      <c r="AP92" s="1">
        <f>MEDIAN($J92)</f>
        <v>0</v>
      </c>
      <c r="AQ92" s="1"/>
      <c r="AR92" s="1"/>
      <c r="AS92" s="1"/>
      <c r="AT92" s="1">
        <f>MEDIAN($P92)</f>
        <v>0</v>
      </c>
      <c r="AU92" s="1">
        <f>MEDIAN($Q92)</f>
        <v>0</v>
      </c>
      <c r="AV92" s="1"/>
      <c r="AW92" s="1"/>
      <c r="AX92" s="1"/>
      <c r="AY92" s="1"/>
      <c r="AZ92" s="1">
        <f>MAX($E92)</f>
        <v>0</v>
      </c>
      <c r="BA92" s="1">
        <f>MAX($F92)</f>
        <v>0</v>
      </c>
      <c r="BB92" s="1">
        <f>MAX($G92)</f>
        <v>0</v>
      </c>
      <c r="BC92" s="1"/>
      <c r="BD92" s="1"/>
      <c r="BE92" s="1">
        <f>MAX($J92)</f>
        <v>0</v>
      </c>
      <c r="BF92" s="1"/>
      <c r="BG92" s="1"/>
      <c r="BH92" s="1"/>
      <c r="BI92" s="1">
        <f>MAX($P92)</f>
        <v>0</v>
      </c>
      <c r="BJ92" s="1">
        <f>MAX($Q92)</f>
        <v>0</v>
      </c>
      <c r="BK92" s="1"/>
    </row>
    <row r="93" spans="1:63">
      <c r="A93" s="1" t="s">
        <v>90</v>
      </c>
      <c r="B93" s="1"/>
      <c r="C93" s="1"/>
      <c r="D93" s="1"/>
      <c r="E93" s="1">
        <v>1</v>
      </c>
      <c r="F93" s="1">
        <v>15163</v>
      </c>
      <c r="G93" s="1">
        <v>0</v>
      </c>
      <c r="H93" s="1"/>
      <c r="I93" s="1"/>
      <c r="J93" s="1">
        <v>12000</v>
      </c>
      <c r="K93" s="1"/>
      <c r="L93" s="1" t="s">
        <v>203</v>
      </c>
      <c r="M93" s="1"/>
      <c r="N93" s="1"/>
      <c r="O93" s="1"/>
      <c r="P93" s="1">
        <v>6000</v>
      </c>
      <c r="Q93" s="1">
        <v>1</v>
      </c>
      <c r="R93" s="1"/>
      <c r="S93" s="1"/>
      <c r="T93" s="1"/>
      <c r="U93" s="1"/>
      <c r="V93" s="1">
        <f>MIN($E93)</f>
        <v>0</v>
      </c>
      <c r="W93" s="1">
        <f>MIN($F93)</f>
        <v>0</v>
      </c>
      <c r="X93" s="1">
        <f>MIN($G93)</f>
        <v>0</v>
      </c>
      <c r="Y93" s="1"/>
      <c r="Z93" s="1"/>
      <c r="AA93" s="1">
        <f>MIN($J93)</f>
        <v>0</v>
      </c>
      <c r="AB93" s="1"/>
      <c r="AC93" s="1"/>
      <c r="AD93" s="1"/>
      <c r="AE93" s="1">
        <f>MIN($P93)</f>
        <v>0</v>
      </c>
      <c r="AF93" s="1">
        <f>MIN($Q93)</f>
        <v>0</v>
      </c>
      <c r="AG93" s="1"/>
      <c r="AH93" s="1"/>
      <c r="AI93" s="1"/>
      <c r="AJ93" s="1"/>
      <c r="AK93" s="1">
        <f>MEDIAN($E93)</f>
        <v>0</v>
      </c>
      <c r="AL93" s="1">
        <f>MEDIAN($F93)</f>
        <v>0</v>
      </c>
      <c r="AM93" s="1">
        <f>MEDIAN($G93)</f>
        <v>0</v>
      </c>
      <c r="AN93" s="1"/>
      <c r="AO93" s="1"/>
      <c r="AP93" s="1">
        <f>MEDIAN($J93)</f>
        <v>0</v>
      </c>
      <c r="AQ93" s="1"/>
      <c r="AR93" s="1"/>
      <c r="AS93" s="1"/>
      <c r="AT93" s="1">
        <f>MEDIAN($P93)</f>
        <v>0</v>
      </c>
      <c r="AU93" s="1">
        <f>MEDIAN($Q93)</f>
        <v>0</v>
      </c>
      <c r="AV93" s="1"/>
      <c r="AW93" s="1"/>
      <c r="AX93" s="1"/>
      <c r="AY93" s="1"/>
      <c r="AZ93" s="1">
        <f>MAX($E93)</f>
        <v>0</v>
      </c>
      <c r="BA93" s="1">
        <f>MAX($F93)</f>
        <v>0</v>
      </c>
      <c r="BB93" s="1">
        <f>MAX($G93)</f>
        <v>0</v>
      </c>
      <c r="BC93" s="1"/>
      <c r="BD93" s="1"/>
      <c r="BE93" s="1">
        <f>MAX($J93)</f>
        <v>0</v>
      </c>
      <c r="BF93" s="1"/>
      <c r="BG93" s="1"/>
      <c r="BH93" s="1"/>
      <c r="BI93" s="1">
        <f>MAX($P93)</f>
        <v>0</v>
      </c>
      <c r="BJ93" s="1">
        <f>MAX($Q93)</f>
        <v>0</v>
      </c>
      <c r="BK93" s="1"/>
    </row>
    <row r="94" spans="1:63">
      <c r="A94" s="1" t="s">
        <v>91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0.02</v>
      </c>
      <c r="J94" s="1">
        <v>12000</v>
      </c>
      <c r="K94" s="1">
        <v>0</v>
      </c>
      <c r="L94" s="1" t="s">
        <v>205</v>
      </c>
      <c r="M94" s="1">
        <v>0</v>
      </c>
      <c r="N94" s="1">
        <v>0</v>
      </c>
      <c r="O94" s="1" t="s">
        <v>209</v>
      </c>
      <c r="P94" s="1">
        <v>6000</v>
      </c>
      <c r="Q94" s="1">
        <v>1</v>
      </c>
      <c r="R94" s="1">
        <v>0</v>
      </c>
      <c r="S94" s="1">
        <f>MIN($B94)</f>
        <v>0</v>
      </c>
      <c r="T94" s="1">
        <f>MIN($C94)</f>
        <v>0</v>
      </c>
      <c r="U94" s="1">
        <f>MIN($D94)</f>
        <v>0</v>
      </c>
      <c r="V94" s="1">
        <f>MIN($E94)</f>
        <v>0</v>
      </c>
      <c r="W94" s="1">
        <f>MIN($F94)</f>
        <v>0</v>
      </c>
      <c r="X94" s="1">
        <f>MIN($G94)</f>
        <v>0</v>
      </c>
      <c r="Y94" s="1">
        <f>MIN($H94)</f>
        <v>0</v>
      </c>
      <c r="Z94" s="1">
        <f>MIN($I94)</f>
        <v>0</v>
      </c>
      <c r="AA94" s="1">
        <f>MIN($J94)</f>
        <v>0</v>
      </c>
      <c r="AB94" s="1">
        <f>MIN($K94)</f>
        <v>0</v>
      </c>
      <c r="AC94" s="1">
        <f>MIN($M94)</f>
        <v>0</v>
      </c>
      <c r="AD94" s="1">
        <f>MIN($N94)</f>
        <v>0</v>
      </c>
      <c r="AE94" s="1">
        <f>MIN($P94)</f>
        <v>0</v>
      </c>
      <c r="AF94" s="1">
        <f>MIN($Q94)</f>
        <v>0</v>
      </c>
      <c r="AG94" s="1">
        <f>MIN($R94)</f>
        <v>0</v>
      </c>
      <c r="AH94" s="1">
        <f>MEDIAN($B94)</f>
        <v>0</v>
      </c>
      <c r="AI94" s="1">
        <f>MEDIAN($C94)</f>
        <v>0</v>
      </c>
      <c r="AJ94" s="1">
        <f>MEDIAN($D94)</f>
        <v>0</v>
      </c>
      <c r="AK94" s="1">
        <f>MEDIAN($E94)</f>
        <v>0</v>
      </c>
      <c r="AL94" s="1">
        <f>MEDIAN($F94)</f>
        <v>0</v>
      </c>
      <c r="AM94" s="1">
        <f>MEDIAN($G94)</f>
        <v>0</v>
      </c>
      <c r="AN94" s="1">
        <f>MEDIAN($H94)</f>
        <v>0</v>
      </c>
      <c r="AO94" s="1">
        <f>MEDIAN($I94)</f>
        <v>0</v>
      </c>
      <c r="AP94" s="1">
        <f>MEDIAN($J94)</f>
        <v>0</v>
      </c>
      <c r="AQ94" s="1">
        <f>MEDIAN($K94)</f>
        <v>0</v>
      </c>
      <c r="AR94" s="1">
        <f>MEDIAN($M94)</f>
        <v>0</v>
      </c>
      <c r="AS94" s="1">
        <f>MEDIAN($N94)</f>
        <v>0</v>
      </c>
      <c r="AT94" s="1">
        <f>MEDIAN($P94)</f>
        <v>0</v>
      </c>
      <c r="AU94" s="1">
        <f>MEDIAN($Q94)</f>
        <v>0</v>
      </c>
      <c r="AV94" s="1">
        <f>MEDIAN($R94)</f>
        <v>0</v>
      </c>
      <c r="AW94" s="1">
        <f>MAX($B94)</f>
        <v>0</v>
      </c>
      <c r="AX94" s="1">
        <f>MAX($C94)</f>
        <v>0</v>
      </c>
      <c r="AY94" s="1">
        <f>MAX($D94)</f>
        <v>0</v>
      </c>
      <c r="AZ94" s="1">
        <f>MAX($E94)</f>
        <v>0</v>
      </c>
      <c r="BA94" s="1">
        <f>MAX($F94)</f>
        <v>0</v>
      </c>
      <c r="BB94" s="1">
        <f>MAX($G94)</f>
        <v>0</v>
      </c>
      <c r="BC94" s="1">
        <f>MAX($H94)</f>
        <v>0</v>
      </c>
      <c r="BD94" s="1">
        <f>MAX($I94)</f>
        <v>0</v>
      </c>
      <c r="BE94" s="1">
        <f>MAX($J94)</f>
        <v>0</v>
      </c>
      <c r="BF94" s="1">
        <f>MAX($K94)</f>
        <v>0</v>
      </c>
      <c r="BG94" s="1">
        <f>MAX($M94)</f>
        <v>0</v>
      </c>
      <c r="BH94" s="1">
        <f>MAX($N94)</f>
        <v>0</v>
      </c>
      <c r="BI94" s="1">
        <f>MAX($P94)</f>
        <v>0</v>
      </c>
      <c r="BJ94" s="1">
        <f>MAX($Q94)</f>
        <v>0</v>
      </c>
      <c r="BK94" s="1">
        <f>MAX($R94)</f>
        <v>0</v>
      </c>
    </row>
    <row r="95" spans="1:63">
      <c r="A95" s="1" t="s">
        <v>92</v>
      </c>
      <c r="B95" s="1"/>
      <c r="C95" s="1"/>
      <c r="D95" s="1"/>
      <c r="E95" s="1">
        <v>1</v>
      </c>
      <c r="F95" s="1">
        <v>27558</v>
      </c>
      <c r="G95" s="1">
        <v>0</v>
      </c>
      <c r="H95" s="1"/>
      <c r="I95" s="1"/>
      <c r="J95" s="1">
        <v>12000</v>
      </c>
      <c r="K95" s="1"/>
      <c r="L95" s="1" t="s">
        <v>203</v>
      </c>
      <c r="M95" s="1"/>
      <c r="N95" s="1"/>
      <c r="O95" s="1"/>
      <c r="P95" s="1">
        <v>6000</v>
      </c>
      <c r="Q95" s="1">
        <v>1</v>
      </c>
      <c r="R95" s="1"/>
      <c r="S95" s="1"/>
      <c r="T95" s="1"/>
      <c r="U95" s="1"/>
      <c r="V95" s="1">
        <f>MIN($E95)</f>
        <v>0</v>
      </c>
      <c r="W95" s="1">
        <f>MIN($F95)</f>
        <v>0</v>
      </c>
      <c r="X95" s="1">
        <f>MIN($G95)</f>
        <v>0</v>
      </c>
      <c r="Y95" s="1"/>
      <c r="Z95" s="1"/>
      <c r="AA95" s="1">
        <f>MIN($J95)</f>
        <v>0</v>
      </c>
      <c r="AB95" s="1"/>
      <c r="AC95" s="1"/>
      <c r="AD95" s="1"/>
      <c r="AE95" s="1">
        <f>MIN($P95)</f>
        <v>0</v>
      </c>
      <c r="AF95" s="1">
        <f>MIN($Q95)</f>
        <v>0</v>
      </c>
      <c r="AG95" s="1"/>
      <c r="AH95" s="1"/>
      <c r="AI95" s="1"/>
      <c r="AJ95" s="1"/>
      <c r="AK95" s="1">
        <f>MEDIAN($E95)</f>
        <v>0</v>
      </c>
      <c r="AL95" s="1">
        <f>MEDIAN($F95)</f>
        <v>0</v>
      </c>
      <c r="AM95" s="1">
        <f>MEDIAN($G95)</f>
        <v>0</v>
      </c>
      <c r="AN95" s="1"/>
      <c r="AO95" s="1"/>
      <c r="AP95" s="1">
        <f>MEDIAN($J95)</f>
        <v>0</v>
      </c>
      <c r="AQ95" s="1"/>
      <c r="AR95" s="1"/>
      <c r="AS95" s="1"/>
      <c r="AT95" s="1">
        <f>MEDIAN($P95)</f>
        <v>0</v>
      </c>
      <c r="AU95" s="1">
        <f>MEDIAN($Q95)</f>
        <v>0</v>
      </c>
      <c r="AV95" s="1"/>
      <c r="AW95" s="1"/>
      <c r="AX95" s="1"/>
      <c r="AY95" s="1"/>
      <c r="AZ95" s="1">
        <f>MAX($E95)</f>
        <v>0</v>
      </c>
      <c r="BA95" s="1">
        <f>MAX($F95)</f>
        <v>0</v>
      </c>
      <c r="BB95" s="1">
        <f>MAX($G95)</f>
        <v>0</v>
      </c>
      <c r="BC95" s="1"/>
      <c r="BD95" s="1"/>
      <c r="BE95" s="1">
        <f>MAX($J95)</f>
        <v>0</v>
      </c>
      <c r="BF95" s="1"/>
      <c r="BG95" s="1"/>
      <c r="BH95" s="1"/>
      <c r="BI95" s="1">
        <f>MAX($P95)</f>
        <v>0</v>
      </c>
      <c r="BJ95" s="1">
        <f>MAX($Q95)</f>
        <v>0</v>
      </c>
      <c r="BK95" s="1"/>
    </row>
    <row r="96" spans="1:63">
      <c r="A96" s="1" t="s">
        <v>93</v>
      </c>
      <c r="B96" s="1"/>
      <c r="C96" s="1"/>
      <c r="D96" s="1"/>
      <c r="E96" s="1">
        <v>1</v>
      </c>
      <c r="F96" s="1">
        <v>19057</v>
      </c>
      <c r="G96" s="1">
        <v>0</v>
      </c>
      <c r="H96" s="1"/>
      <c r="I96" s="1"/>
      <c r="J96" s="1">
        <v>12000</v>
      </c>
      <c r="K96" s="1"/>
      <c r="L96" s="1" t="s">
        <v>203</v>
      </c>
      <c r="M96" s="1"/>
      <c r="N96" s="1"/>
      <c r="O96" s="1"/>
      <c r="P96" s="1">
        <v>6000</v>
      </c>
      <c r="Q96" s="1">
        <v>1</v>
      </c>
      <c r="R96" s="1"/>
      <c r="S96" s="1"/>
      <c r="T96" s="1"/>
      <c r="U96" s="1"/>
      <c r="V96" s="1">
        <f>MIN($E96)</f>
        <v>0</v>
      </c>
      <c r="W96" s="1">
        <f>MIN($F96)</f>
        <v>0</v>
      </c>
      <c r="X96" s="1">
        <f>MIN($G96)</f>
        <v>0</v>
      </c>
      <c r="Y96" s="1"/>
      <c r="Z96" s="1"/>
      <c r="AA96" s="1">
        <f>MIN($J96)</f>
        <v>0</v>
      </c>
      <c r="AB96" s="1"/>
      <c r="AC96" s="1"/>
      <c r="AD96" s="1"/>
      <c r="AE96" s="1">
        <f>MIN($P96)</f>
        <v>0</v>
      </c>
      <c r="AF96" s="1">
        <f>MIN($Q96)</f>
        <v>0</v>
      </c>
      <c r="AG96" s="1"/>
      <c r="AH96" s="1"/>
      <c r="AI96" s="1"/>
      <c r="AJ96" s="1"/>
      <c r="AK96" s="1">
        <f>MEDIAN($E96)</f>
        <v>0</v>
      </c>
      <c r="AL96" s="1">
        <f>MEDIAN($F96)</f>
        <v>0</v>
      </c>
      <c r="AM96" s="1">
        <f>MEDIAN($G96)</f>
        <v>0</v>
      </c>
      <c r="AN96" s="1"/>
      <c r="AO96" s="1"/>
      <c r="AP96" s="1">
        <f>MEDIAN($J96)</f>
        <v>0</v>
      </c>
      <c r="AQ96" s="1"/>
      <c r="AR96" s="1"/>
      <c r="AS96" s="1"/>
      <c r="AT96" s="1">
        <f>MEDIAN($P96)</f>
        <v>0</v>
      </c>
      <c r="AU96" s="1">
        <f>MEDIAN($Q96)</f>
        <v>0</v>
      </c>
      <c r="AV96" s="1"/>
      <c r="AW96" s="1"/>
      <c r="AX96" s="1"/>
      <c r="AY96" s="1"/>
      <c r="AZ96" s="1">
        <f>MAX($E96)</f>
        <v>0</v>
      </c>
      <c r="BA96" s="1">
        <f>MAX($F96)</f>
        <v>0</v>
      </c>
      <c r="BB96" s="1">
        <f>MAX($G96)</f>
        <v>0</v>
      </c>
      <c r="BC96" s="1"/>
      <c r="BD96" s="1"/>
      <c r="BE96" s="1">
        <f>MAX($J96)</f>
        <v>0</v>
      </c>
      <c r="BF96" s="1"/>
      <c r="BG96" s="1"/>
      <c r="BH96" s="1"/>
      <c r="BI96" s="1">
        <f>MAX($P96)</f>
        <v>0</v>
      </c>
      <c r="BJ96" s="1">
        <f>MAX($Q96)</f>
        <v>0</v>
      </c>
      <c r="BK96" s="1"/>
    </row>
    <row r="97" spans="1:63">
      <c r="A97" s="1" t="s">
        <v>94</v>
      </c>
      <c r="B97" s="1"/>
      <c r="C97" s="1"/>
      <c r="D97" s="1"/>
      <c r="E97" s="1">
        <v>1</v>
      </c>
      <c r="F97" s="1">
        <v>25718</v>
      </c>
      <c r="G97" s="1">
        <v>0</v>
      </c>
      <c r="H97" s="1"/>
      <c r="I97" s="1"/>
      <c r="J97" s="1">
        <v>12000</v>
      </c>
      <c r="K97" s="1"/>
      <c r="L97" s="1" t="s">
        <v>203</v>
      </c>
      <c r="M97" s="1"/>
      <c r="N97" s="1"/>
      <c r="O97" s="1"/>
      <c r="P97" s="1">
        <v>6000</v>
      </c>
      <c r="Q97" s="1">
        <v>1</v>
      </c>
      <c r="R97" s="1"/>
      <c r="S97" s="1"/>
      <c r="T97" s="1"/>
      <c r="U97" s="1"/>
      <c r="V97" s="1">
        <f>MIN($E97)</f>
        <v>0</v>
      </c>
      <c r="W97" s="1">
        <f>MIN($F97)</f>
        <v>0</v>
      </c>
      <c r="X97" s="1">
        <f>MIN($G97)</f>
        <v>0</v>
      </c>
      <c r="Y97" s="1"/>
      <c r="Z97" s="1"/>
      <c r="AA97" s="1">
        <f>MIN($J97)</f>
        <v>0</v>
      </c>
      <c r="AB97" s="1"/>
      <c r="AC97" s="1"/>
      <c r="AD97" s="1"/>
      <c r="AE97" s="1">
        <f>MIN($P97)</f>
        <v>0</v>
      </c>
      <c r="AF97" s="1">
        <f>MIN($Q97)</f>
        <v>0</v>
      </c>
      <c r="AG97" s="1"/>
      <c r="AH97" s="1"/>
      <c r="AI97" s="1"/>
      <c r="AJ97" s="1"/>
      <c r="AK97" s="1">
        <f>MEDIAN($E97)</f>
        <v>0</v>
      </c>
      <c r="AL97" s="1">
        <f>MEDIAN($F97)</f>
        <v>0</v>
      </c>
      <c r="AM97" s="1">
        <f>MEDIAN($G97)</f>
        <v>0</v>
      </c>
      <c r="AN97" s="1"/>
      <c r="AO97" s="1"/>
      <c r="AP97" s="1">
        <f>MEDIAN($J97)</f>
        <v>0</v>
      </c>
      <c r="AQ97" s="1"/>
      <c r="AR97" s="1"/>
      <c r="AS97" s="1"/>
      <c r="AT97" s="1">
        <f>MEDIAN($P97)</f>
        <v>0</v>
      </c>
      <c r="AU97" s="1">
        <f>MEDIAN($Q97)</f>
        <v>0</v>
      </c>
      <c r="AV97" s="1"/>
      <c r="AW97" s="1"/>
      <c r="AX97" s="1"/>
      <c r="AY97" s="1"/>
      <c r="AZ97" s="1">
        <f>MAX($E97)</f>
        <v>0</v>
      </c>
      <c r="BA97" s="1">
        <f>MAX($F97)</f>
        <v>0</v>
      </c>
      <c r="BB97" s="1">
        <f>MAX($G97)</f>
        <v>0</v>
      </c>
      <c r="BC97" s="1"/>
      <c r="BD97" s="1"/>
      <c r="BE97" s="1">
        <f>MAX($J97)</f>
        <v>0</v>
      </c>
      <c r="BF97" s="1"/>
      <c r="BG97" s="1"/>
      <c r="BH97" s="1"/>
      <c r="BI97" s="1">
        <f>MAX($P97)</f>
        <v>0</v>
      </c>
      <c r="BJ97" s="1">
        <f>MAX($Q97)</f>
        <v>0</v>
      </c>
      <c r="BK97" s="1"/>
    </row>
    <row r="98" spans="1:63">
      <c r="A98" s="1" t="s">
        <v>95</v>
      </c>
      <c r="B98" s="1"/>
      <c r="C98" s="1"/>
      <c r="D98" s="1"/>
      <c r="E98" s="1">
        <v>1</v>
      </c>
      <c r="F98" s="1"/>
      <c r="G98" s="1">
        <v>0</v>
      </c>
      <c r="H98" s="1"/>
      <c r="I98" s="1"/>
      <c r="J98" s="1">
        <v>12000</v>
      </c>
      <c r="K98" s="1"/>
      <c r="L98" s="1"/>
      <c r="M98" s="1"/>
      <c r="N98" s="1"/>
      <c r="O98" s="1"/>
      <c r="P98" s="1">
        <v>6000</v>
      </c>
      <c r="Q98" s="1">
        <v>1</v>
      </c>
      <c r="R98" s="1"/>
      <c r="S98" s="1"/>
      <c r="T98" s="1"/>
      <c r="U98" s="1"/>
      <c r="V98" s="1">
        <f>MIN($E98)</f>
        <v>0</v>
      </c>
      <c r="W98" s="1"/>
      <c r="X98" s="1">
        <f>MIN($G98)</f>
        <v>0</v>
      </c>
      <c r="Y98" s="1"/>
      <c r="Z98" s="1"/>
      <c r="AA98" s="1">
        <f>MIN($J98)</f>
        <v>0</v>
      </c>
      <c r="AB98" s="1"/>
      <c r="AC98" s="1"/>
      <c r="AD98" s="1"/>
      <c r="AE98" s="1">
        <f>MIN($P98)</f>
        <v>0</v>
      </c>
      <c r="AF98" s="1">
        <f>MIN($Q98)</f>
        <v>0</v>
      </c>
      <c r="AG98" s="1"/>
      <c r="AH98" s="1"/>
      <c r="AI98" s="1"/>
      <c r="AJ98" s="1"/>
      <c r="AK98" s="1">
        <f>MEDIAN($E98)</f>
        <v>0</v>
      </c>
      <c r="AL98" s="1"/>
      <c r="AM98" s="1">
        <f>MEDIAN($G98)</f>
        <v>0</v>
      </c>
      <c r="AN98" s="1"/>
      <c r="AO98" s="1"/>
      <c r="AP98" s="1">
        <f>MEDIAN($J98)</f>
        <v>0</v>
      </c>
      <c r="AQ98" s="1"/>
      <c r="AR98" s="1"/>
      <c r="AS98" s="1"/>
      <c r="AT98" s="1">
        <f>MEDIAN($P98)</f>
        <v>0</v>
      </c>
      <c r="AU98" s="1">
        <f>MEDIAN($Q98)</f>
        <v>0</v>
      </c>
      <c r="AV98" s="1"/>
      <c r="AW98" s="1"/>
      <c r="AX98" s="1"/>
      <c r="AY98" s="1"/>
      <c r="AZ98" s="1">
        <f>MAX($E98)</f>
        <v>0</v>
      </c>
      <c r="BA98" s="1"/>
      <c r="BB98" s="1">
        <f>MAX($G98)</f>
        <v>0</v>
      </c>
      <c r="BC98" s="1"/>
      <c r="BD98" s="1"/>
      <c r="BE98" s="1">
        <f>MAX($J98)</f>
        <v>0</v>
      </c>
      <c r="BF98" s="1"/>
      <c r="BG98" s="1"/>
      <c r="BH98" s="1"/>
      <c r="BI98" s="1">
        <f>MAX($P98)</f>
        <v>0</v>
      </c>
      <c r="BJ98" s="1">
        <f>MAX($Q98)</f>
        <v>0</v>
      </c>
      <c r="BK98" s="1"/>
    </row>
    <row r="99" spans="1:63">
      <c r="A99" s="1" t="s">
        <v>96</v>
      </c>
      <c r="B99" s="1"/>
      <c r="C99" s="1"/>
      <c r="D99" s="1"/>
      <c r="E99" s="1">
        <v>1</v>
      </c>
      <c r="F99" s="1">
        <v>22246</v>
      </c>
      <c r="G99" s="1">
        <v>0</v>
      </c>
      <c r="H99" s="1"/>
      <c r="I99" s="1"/>
      <c r="J99" s="1">
        <v>12000</v>
      </c>
      <c r="K99" s="1"/>
      <c r="L99" s="1" t="s">
        <v>203</v>
      </c>
      <c r="M99" s="1"/>
      <c r="N99" s="1"/>
      <c r="O99" s="1"/>
      <c r="P99" s="1">
        <v>6000</v>
      </c>
      <c r="Q99" s="1">
        <v>1</v>
      </c>
      <c r="R99" s="1"/>
      <c r="S99" s="1"/>
      <c r="T99" s="1"/>
      <c r="U99" s="1"/>
      <c r="V99" s="1">
        <f>MIN($E99)</f>
        <v>0</v>
      </c>
      <c r="W99" s="1">
        <f>MIN($F99)</f>
        <v>0</v>
      </c>
      <c r="X99" s="1">
        <f>MIN($G99)</f>
        <v>0</v>
      </c>
      <c r="Y99" s="1"/>
      <c r="Z99" s="1"/>
      <c r="AA99" s="1">
        <f>MIN($J99)</f>
        <v>0</v>
      </c>
      <c r="AB99" s="1"/>
      <c r="AC99" s="1"/>
      <c r="AD99" s="1"/>
      <c r="AE99" s="1">
        <f>MIN($P99)</f>
        <v>0</v>
      </c>
      <c r="AF99" s="1">
        <f>MIN($Q99)</f>
        <v>0</v>
      </c>
      <c r="AG99" s="1"/>
      <c r="AH99" s="1"/>
      <c r="AI99" s="1"/>
      <c r="AJ99" s="1"/>
      <c r="AK99" s="1">
        <f>MEDIAN($E99)</f>
        <v>0</v>
      </c>
      <c r="AL99" s="1">
        <f>MEDIAN($F99)</f>
        <v>0</v>
      </c>
      <c r="AM99" s="1">
        <f>MEDIAN($G99)</f>
        <v>0</v>
      </c>
      <c r="AN99" s="1"/>
      <c r="AO99" s="1"/>
      <c r="AP99" s="1">
        <f>MEDIAN($J99)</f>
        <v>0</v>
      </c>
      <c r="AQ99" s="1"/>
      <c r="AR99" s="1"/>
      <c r="AS99" s="1"/>
      <c r="AT99" s="1">
        <f>MEDIAN($P99)</f>
        <v>0</v>
      </c>
      <c r="AU99" s="1">
        <f>MEDIAN($Q99)</f>
        <v>0</v>
      </c>
      <c r="AV99" s="1"/>
      <c r="AW99" s="1"/>
      <c r="AX99" s="1"/>
      <c r="AY99" s="1"/>
      <c r="AZ99" s="1">
        <f>MAX($E99)</f>
        <v>0</v>
      </c>
      <c r="BA99" s="1">
        <f>MAX($F99)</f>
        <v>0</v>
      </c>
      <c r="BB99" s="1">
        <f>MAX($G99)</f>
        <v>0</v>
      </c>
      <c r="BC99" s="1"/>
      <c r="BD99" s="1"/>
      <c r="BE99" s="1">
        <f>MAX($J99)</f>
        <v>0</v>
      </c>
      <c r="BF99" s="1"/>
      <c r="BG99" s="1"/>
      <c r="BH99" s="1"/>
      <c r="BI99" s="1">
        <f>MAX($P99)</f>
        <v>0</v>
      </c>
      <c r="BJ99" s="1">
        <f>MAX($Q99)</f>
        <v>0</v>
      </c>
      <c r="BK99" s="1"/>
    </row>
    <row r="100" spans="1:63">
      <c r="A100" s="1" t="s">
        <v>97</v>
      </c>
      <c r="B100" s="1"/>
      <c r="C100" s="1"/>
      <c r="D100" s="1"/>
      <c r="E100" s="1">
        <v>1</v>
      </c>
      <c r="F100" s="1">
        <v>27437</v>
      </c>
      <c r="G100" s="1">
        <v>0</v>
      </c>
      <c r="H100" s="1"/>
      <c r="I100" s="1"/>
      <c r="J100" s="1">
        <v>12000</v>
      </c>
      <c r="K100" s="1"/>
      <c r="L100" s="1" t="s">
        <v>203</v>
      </c>
      <c r="M100" s="1"/>
      <c r="N100" s="1"/>
      <c r="O100" s="1"/>
      <c r="P100" s="1">
        <v>6000</v>
      </c>
      <c r="Q100" s="1">
        <v>1</v>
      </c>
      <c r="R100" s="1"/>
      <c r="S100" s="1"/>
      <c r="T100" s="1"/>
      <c r="U100" s="1"/>
      <c r="V100" s="1">
        <f>MIN($E100)</f>
        <v>0</v>
      </c>
      <c r="W100" s="1">
        <f>MIN($F100)</f>
        <v>0</v>
      </c>
      <c r="X100" s="1">
        <f>MIN($G100)</f>
        <v>0</v>
      </c>
      <c r="Y100" s="1"/>
      <c r="Z100" s="1"/>
      <c r="AA100" s="1">
        <f>MIN($J100)</f>
        <v>0</v>
      </c>
      <c r="AB100" s="1"/>
      <c r="AC100" s="1"/>
      <c r="AD100" s="1"/>
      <c r="AE100" s="1">
        <f>MIN($P100)</f>
        <v>0</v>
      </c>
      <c r="AF100" s="1">
        <f>MIN($Q100)</f>
        <v>0</v>
      </c>
      <c r="AG100" s="1"/>
      <c r="AH100" s="1"/>
      <c r="AI100" s="1"/>
      <c r="AJ100" s="1"/>
      <c r="AK100" s="1">
        <f>MEDIAN($E100)</f>
        <v>0</v>
      </c>
      <c r="AL100" s="1">
        <f>MEDIAN($F100)</f>
        <v>0</v>
      </c>
      <c r="AM100" s="1">
        <f>MEDIAN($G100)</f>
        <v>0</v>
      </c>
      <c r="AN100" s="1"/>
      <c r="AO100" s="1"/>
      <c r="AP100" s="1">
        <f>MEDIAN($J100)</f>
        <v>0</v>
      </c>
      <c r="AQ100" s="1"/>
      <c r="AR100" s="1"/>
      <c r="AS100" s="1"/>
      <c r="AT100" s="1">
        <f>MEDIAN($P100)</f>
        <v>0</v>
      </c>
      <c r="AU100" s="1">
        <f>MEDIAN($Q100)</f>
        <v>0</v>
      </c>
      <c r="AV100" s="1"/>
      <c r="AW100" s="1"/>
      <c r="AX100" s="1"/>
      <c r="AY100" s="1"/>
      <c r="AZ100" s="1">
        <f>MAX($E100)</f>
        <v>0</v>
      </c>
      <c r="BA100" s="1">
        <f>MAX($F100)</f>
        <v>0</v>
      </c>
      <c r="BB100" s="1">
        <f>MAX($G100)</f>
        <v>0</v>
      </c>
      <c r="BC100" s="1"/>
      <c r="BD100" s="1"/>
      <c r="BE100" s="1">
        <f>MAX($J100)</f>
        <v>0</v>
      </c>
      <c r="BF100" s="1"/>
      <c r="BG100" s="1"/>
      <c r="BH100" s="1"/>
      <c r="BI100" s="1">
        <f>MAX($P100)</f>
        <v>0</v>
      </c>
      <c r="BJ100" s="1">
        <f>MAX($Q100)</f>
        <v>0</v>
      </c>
      <c r="BK100" s="1"/>
    </row>
    <row r="101" spans="1:63">
      <c r="A101" s="1" t="s">
        <v>98</v>
      </c>
      <c r="B101" s="1">
        <v>0</v>
      </c>
      <c r="C101" s="1">
        <v>0</v>
      </c>
      <c r="D101" s="1">
        <v>0</v>
      </c>
      <c r="E101" s="1">
        <v>0</v>
      </c>
      <c r="F101" s="1">
        <v>32462</v>
      </c>
      <c r="G101" s="1">
        <v>0</v>
      </c>
      <c r="H101" s="1">
        <v>0</v>
      </c>
      <c r="I101" s="1">
        <v>6000.03</v>
      </c>
      <c r="J101" s="1">
        <v>12000</v>
      </c>
      <c r="K101" s="1">
        <v>0</v>
      </c>
      <c r="L101" s="1" t="s">
        <v>204</v>
      </c>
      <c r="M101" s="1">
        <v>0</v>
      </c>
      <c r="N101" s="1">
        <v>0</v>
      </c>
      <c r="O101" s="1" t="s">
        <v>209</v>
      </c>
      <c r="P101" s="1">
        <v>6000</v>
      </c>
      <c r="Q101" s="1">
        <v>1</v>
      </c>
      <c r="R101" s="1">
        <v>64007145</v>
      </c>
      <c r="S101" s="1">
        <f>MIN($B101)</f>
        <v>0</v>
      </c>
      <c r="T101" s="1">
        <f>MIN($C101)</f>
        <v>0</v>
      </c>
      <c r="U101" s="1">
        <f>MIN($D101)</f>
        <v>0</v>
      </c>
      <c r="V101" s="1">
        <f>MIN($E101)</f>
        <v>0</v>
      </c>
      <c r="W101" s="1">
        <f>MIN($F101)</f>
        <v>0</v>
      </c>
      <c r="X101" s="1">
        <f>MIN($G101)</f>
        <v>0</v>
      </c>
      <c r="Y101" s="1">
        <f>MIN($H101)</f>
        <v>0</v>
      </c>
      <c r="Z101" s="1">
        <f>MIN($I101)</f>
        <v>0</v>
      </c>
      <c r="AA101" s="1">
        <f>MIN($J101)</f>
        <v>0</v>
      </c>
      <c r="AB101" s="1">
        <f>MIN($K101)</f>
        <v>0</v>
      </c>
      <c r="AC101" s="1">
        <f>MIN($M101)</f>
        <v>0</v>
      </c>
      <c r="AD101" s="1">
        <f>MIN($N101)</f>
        <v>0</v>
      </c>
      <c r="AE101" s="1">
        <f>MIN($P101)</f>
        <v>0</v>
      </c>
      <c r="AF101" s="1">
        <f>MIN($Q101)</f>
        <v>0</v>
      </c>
      <c r="AG101" s="1">
        <f>MIN($R101)</f>
        <v>0</v>
      </c>
      <c r="AH101" s="1">
        <f>MEDIAN($B101)</f>
        <v>0</v>
      </c>
      <c r="AI101" s="1">
        <f>MEDIAN($C101)</f>
        <v>0</v>
      </c>
      <c r="AJ101" s="1">
        <f>MEDIAN($D101)</f>
        <v>0</v>
      </c>
      <c r="AK101" s="1">
        <f>MEDIAN($E101)</f>
        <v>0</v>
      </c>
      <c r="AL101" s="1">
        <f>MEDIAN($F101)</f>
        <v>0</v>
      </c>
      <c r="AM101" s="1">
        <f>MEDIAN($G101)</f>
        <v>0</v>
      </c>
      <c r="AN101" s="1">
        <f>MEDIAN($H101)</f>
        <v>0</v>
      </c>
      <c r="AO101" s="1">
        <f>MEDIAN($I101)</f>
        <v>0</v>
      </c>
      <c r="AP101" s="1">
        <f>MEDIAN($J101)</f>
        <v>0</v>
      </c>
      <c r="AQ101" s="1">
        <f>MEDIAN($K101)</f>
        <v>0</v>
      </c>
      <c r="AR101" s="1">
        <f>MEDIAN($M101)</f>
        <v>0</v>
      </c>
      <c r="AS101" s="1">
        <f>MEDIAN($N101)</f>
        <v>0</v>
      </c>
      <c r="AT101" s="1">
        <f>MEDIAN($P101)</f>
        <v>0</v>
      </c>
      <c r="AU101" s="1">
        <f>MEDIAN($Q101)</f>
        <v>0</v>
      </c>
      <c r="AV101" s="1">
        <f>MEDIAN($R101)</f>
        <v>0</v>
      </c>
      <c r="AW101" s="1">
        <f>MAX($B101)</f>
        <v>0</v>
      </c>
      <c r="AX101" s="1">
        <f>MAX($C101)</f>
        <v>0</v>
      </c>
      <c r="AY101" s="1">
        <f>MAX($D101)</f>
        <v>0</v>
      </c>
      <c r="AZ101" s="1">
        <f>MAX($E101)</f>
        <v>0</v>
      </c>
      <c r="BA101" s="1">
        <f>MAX($F101)</f>
        <v>0</v>
      </c>
      <c r="BB101" s="1">
        <f>MAX($G101)</f>
        <v>0</v>
      </c>
      <c r="BC101" s="1">
        <f>MAX($H101)</f>
        <v>0</v>
      </c>
      <c r="BD101" s="1">
        <f>MAX($I101)</f>
        <v>0</v>
      </c>
      <c r="BE101" s="1">
        <f>MAX($J101)</f>
        <v>0</v>
      </c>
      <c r="BF101" s="1">
        <f>MAX($K101)</f>
        <v>0</v>
      </c>
      <c r="BG101" s="1">
        <f>MAX($M101)</f>
        <v>0</v>
      </c>
      <c r="BH101" s="1">
        <f>MAX($N101)</f>
        <v>0</v>
      </c>
      <c r="BI101" s="1">
        <f>MAX($P101)</f>
        <v>0</v>
      </c>
      <c r="BJ101" s="1">
        <f>MAX($Q101)</f>
        <v>0</v>
      </c>
      <c r="BK101" s="1">
        <f>MAX($R101)</f>
        <v>0</v>
      </c>
    </row>
    <row r="102" spans="1:63">
      <c r="A102" s="1" t="s">
        <v>99</v>
      </c>
      <c r="B102" s="1"/>
      <c r="C102" s="1"/>
      <c r="D102" s="1"/>
      <c r="E102" s="1">
        <v>1</v>
      </c>
      <c r="F102" s="1">
        <v>22299</v>
      </c>
      <c r="G102" s="1">
        <v>0</v>
      </c>
      <c r="H102" s="1"/>
      <c r="I102" s="1"/>
      <c r="J102" s="1">
        <v>12000</v>
      </c>
      <c r="K102" s="1"/>
      <c r="L102" s="1" t="s">
        <v>203</v>
      </c>
      <c r="M102" s="1"/>
      <c r="N102" s="1"/>
      <c r="O102" s="1"/>
      <c r="P102" s="1">
        <v>6000</v>
      </c>
      <c r="Q102" s="1">
        <v>1</v>
      </c>
      <c r="R102" s="1"/>
      <c r="S102" s="1"/>
      <c r="T102" s="1"/>
      <c r="U102" s="1"/>
      <c r="V102" s="1">
        <f>MIN($E102)</f>
        <v>0</v>
      </c>
      <c r="W102" s="1">
        <f>MIN($F102)</f>
        <v>0</v>
      </c>
      <c r="X102" s="1">
        <f>MIN($G102)</f>
        <v>0</v>
      </c>
      <c r="Y102" s="1"/>
      <c r="Z102" s="1"/>
      <c r="AA102" s="1">
        <f>MIN($J102)</f>
        <v>0</v>
      </c>
      <c r="AB102" s="1"/>
      <c r="AC102" s="1"/>
      <c r="AD102" s="1"/>
      <c r="AE102" s="1">
        <f>MIN($P102)</f>
        <v>0</v>
      </c>
      <c r="AF102" s="1">
        <f>MIN($Q102)</f>
        <v>0</v>
      </c>
      <c r="AG102" s="1"/>
      <c r="AH102" s="1"/>
      <c r="AI102" s="1"/>
      <c r="AJ102" s="1"/>
      <c r="AK102" s="1">
        <f>MEDIAN($E102)</f>
        <v>0</v>
      </c>
      <c r="AL102" s="1">
        <f>MEDIAN($F102)</f>
        <v>0</v>
      </c>
      <c r="AM102" s="1">
        <f>MEDIAN($G102)</f>
        <v>0</v>
      </c>
      <c r="AN102" s="1"/>
      <c r="AO102" s="1"/>
      <c r="AP102" s="1">
        <f>MEDIAN($J102)</f>
        <v>0</v>
      </c>
      <c r="AQ102" s="1"/>
      <c r="AR102" s="1"/>
      <c r="AS102" s="1"/>
      <c r="AT102" s="1">
        <f>MEDIAN($P102)</f>
        <v>0</v>
      </c>
      <c r="AU102" s="1">
        <f>MEDIAN($Q102)</f>
        <v>0</v>
      </c>
      <c r="AV102" s="1"/>
      <c r="AW102" s="1"/>
      <c r="AX102" s="1"/>
      <c r="AY102" s="1"/>
      <c r="AZ102" s="1">
        <f>MAX($E102)</f>
        <v>0</v>
      </c>
      <c r="BA102" s="1">
        <f>MAX($F102)</f>
        <v>0</v>
      </c>
      <c r="BB102" s="1">
        <f>MAX($G102)</f>
        <v>0</v>
      </c>
      <c r="BC102" s="1"/>
      <c r="BD102" s="1"/>
      <c r="BE102" s="1">
        <f>MAX($J102)</f>
        <v>0</v>
      </c>
      <c r="BF102" s="1"/>
      <c r="BG102" s="1"/>
      <c r="BH102" s="1"/>
      <c r="BI102" s="1">
        <f>MAX($P102)</f>
        <v>0</v>
      </c>
      <c r="BJ102" s="1">
        <f>MAX($Q102)</f>
        <v>0</v>
      </c>
      <c r="BK102" s="1"/>
    </row>
    <row r="103" spans="1:63">
      <c r="A103" s="1" t="s">
        <v>100</v>
      </c>
      <c r="B103" s="1"/>
      <c r="C103" s="1"/>
      <c r="D103" s="1"/>
      <c r="E103" s="1">
        <v>1</v>
      </c>
      <c r="F103" s="1">
        <v>31652</v>
      </c>
      <c r="G103" s="1">
        <v>0</v>
      </c>
      <c r="H103" s="1"/>
      <c r="I103" s="1"/>
      <c r="J103" s="1">
        <v>12000</v>
      </c>
      <c r="K103" s="1"/>
      <c r="L103" s="1" t="s">
        <v>203</v>
      </c>
      <c r="M103" s="1"/>
      <c r="N103" s="1"/>
      <c r="O103" s="1"/>
      <c r="P103" s="1">
        <v>6000</v>
      </c>
      <c r="Q103" s="1">
        <v>1</v>
      </c>
      <c r="R103" s="1"/>
      <c r="S103" s="1"/>
      <c r="T103" s="1"/>
      <c r="U103" s="1"/>
      <c r="V103" s="1">
        <f>MIN($E103)</f>
        <v>0</v>
      </c>
      <c r="W103" s="1">
        <f>MIN($F103)</f>
        <v>0</v>
      </c>
      <c r="X103" s="1">
        <f>MIN($G103)</f>
        <v>0</v>
      </c>
      <c r="Y103" s="1"/>
      <c r="Z103" s="1"/>
      <c r="AA103" s="1">
        <f>MIN($J103)</f>
        <v>0</v>
      </c>
      <c r="AB103" s="1"/>
      <c r="AC103" s="1"/>
      <c r="AD103" s="1"/>
      <c r="AE103" s="1">
        <f>MIN($P103)</f>
        <v>0</v>
      </c>
      <c r="AF103" s="1">
        <f>MIN($Q103)</f>
        <v>0</v>
      </c>
      <c r="AG103" s="1"/>
      <c r="AH103" s="1"/>
      <c r="AI103" s="1"/>
      <c r="AJ103" s="1"/>
      <c r="AK103" s="1">
        <f>MEDIAN($E103)</f>
        <v>0</v>
      </c>
      <c r="AL103" s="1">
        <f>MEDIAN($F103)</f>
        <v>0</v>
      </c>
      <c r="AM103" s="1">
        <f>MEDIAN($G103)</f>
        <v>0</v>
      </c>
      <c r="AN103" s="1"/>
      <c r="AO103" s="1"/>
      <c r="AP103" s="1">
        <f>MEDIAN($J103)</f>
        <v>0</v>
      </c>
      <c r="AQ103" s="1"/>
      <c r="AR103" s="1"/>
      <c r="AS103" s="1"/>
      <c r="AT103" s="1">
        <f>MEDIAN($P103)</f>
        <v>0</v>
      </c>
      <c r="AU103" s="1">
        <f>MEDIAN($Q103)</f>
        <v>0</v>
      </c>
      <c r="AV103" s="1"/>
      <c r="AW103" s="1"/>
      <c r="AX103" s="1"/>
      <c r="AY103" s="1"/>
      <c r="AZ103" s="1">
        <f>MAX($E103)</f>
        <v>0</v>
      </c>
      <c r="BA103" s="1">
        <f>MAX($F103)</f>
        <v>0</v>
      </c>
      <c r="BB103" s="1">
        <f>MAX($G103)</f>
        <v>0</v>
      </c>
      <c r="BC103" s="1"/>
      <c r="BD103" s="1"/>
      <c r="BE103" s="1">
        <f>MAX($J103)</f>
        <v>0</v>
      </c>
      <c r="BF103" s="1"/>
      <c r="BG103" s="1"/>
      <c r="BH103" s="1"/>
      <c r="BI103" s="1">
        <f>MAX($P103)</f>
        <v>0</v>
      </c>
      <c r="BJ103" s="1">
        <f>MAX($Q103)</f>
        <v>0</v>
      </c>
      <c r="BK103" s="1"/>
    </row>
    <row r="104" spans="1:63">
      <c r="A104" s="1" t="s">
        <v>101</v>
      </c>
      <c r="B104" s="1"/>
      <c r="C104" s="1"/>
      <c r="D104" s="1"/>
      <c r="E104" s="1">
        <v>1</v>
      </c>
      <c r="F104" s="1">
        <v>21196</v>
      </c>
      <c r="G104" s="1">
        <v>0</v>
      </c>
      <c r="H104" s="1"/>
      <c r="I104" s="1"/>
      <c r="J104" s="1">
        <v>12000</v>
      </c>
      <c r="K104" s="1"/>
      <c r="L104" s="1" t="s">
        <v>203</v>
      </c>
      <c r="M104" s="1"/>
      <c r="N104" s="1"/>
      <c r="O104" s="1"/>
      <c r="P104" s="1">
        <v>6000</v>
      </c>
      <c r="Q104" s="1">
        <v>1</v>
      </c>
      <c r="R104" s="1"/>
      <c r="S104" s="1"/>
      <c r="T104" s="1"/>
      <c r="U104" s="1"/>
      <c r="V104" s="1">
        <f>MIN($E104)</f>
        <v>0</v>
      </c>
      <c r="W104" s="1">
        <f>MIN($F104)</f>
        <v>0</v>
      </c>
      <c r="X104" s="1">
        <f>MIN($G104)</f>
        <v>0</v>
      </c>
      <c r="Y104" s="1"/>
      <c r="Z104" s="1"/>
      <c r="AA104" s="1">
        <f>MIN($J104)</f>
        <v>0</v>
      </c>
      <c r="AB104" s="1"/>
      <c r="AC104" s="1"/>
      <c r="AD104" s="1"/>
      <c r="AE104" s="1">
        <f>MIN($P104)</f>
        <v>0</v>
      </c>
      <c r="AF104" s="1">
        <f>MIN($Q104)</f>
        <v>0</v>
      </c>
      <c r="AG104" s="1"/>
      <c r="AH104" s="1"/>
      <c r="AI104" s="1"/>
      <c r="AJ104" s="1"/>
      <c r="AK104" s="1">
        <f>MEDIAN($E104)</f>
        <v>0</v>
      </c>
      <c r="AL104" s="1">
        <f>MEDIAN($F104)</f>
        <v>0</v>
      </c>
      <c r="AM104" s="1">
        <f>MEDIAN($G104)</f>
        <v>0</v>
      </c>
      <c r="AN104" s="1"/>
      <c r="AO104" s="1"/>
      <c r="AP104" s="1">
        <f>MEDIAN($J104)</f>
        <v>0</v>
      </c>
      <c r="AQ104" s="1"/>
      <c r="AR104" s="1"/>
      <c r="AS104" s="1"/>
      <c r="AT104" s="1">
        <f>MEDIAN($P104)</f>
        <v>0</v>
      </c>
      <c r="AU104" s="1">
        <f>MEDIAN($Q104)</f>
        <v>0</v>
      </c>
      <c r="AV104" s="1"/>
      <c r="AW104" s="1"/>
      <c r="AX104" s="1"/>
      <c r="AY104" s="1"/>
      <c r="AZ104" s="1">
        <f>MAX($E104)</f>
        <v>0</v>
      </c>
      <c r="BA104" s="1">
        <f>MAX($F104)</f>
        <v>0</v>
      </c>
      <c r="BB104" s="1">
        <f>MAX($G104)</f>
        <v>0</v>
      </c>
      <c r="BC104" s="1"/>
      <c r="BD104" s="1"/>
      <c r="BE104" s="1">
        <f>MAX($J104)</f>
        <v>0</v>
      </c>
      <c r="BF104" s="1"/>
      <c r="BG104" s="1"/>
      <c r="BH104" s="1"/>
      <c r="BI104" s="1">
        <f>MAX($P104)</f>
        <v>0</v>
      </c>
      <c r="BJ104" s="1">
        <f>MAX($Q104)</f>
        <v>0</v>
      </c>
      <c r="BK104" s="1"/>
    </row>
    <row r="105" spans="1:63">
      <c r="A105" s="1" t="s">
        <v>102</v>
      </c>
      <c r="B105" s="1"/>
      <c r="C105" s="1"/>
      <c r="D105" s="1"/>
      <c r="E105" s="1">
        <v>1</v>
      </c>
      <c r="F105" s="1">
        <v>14468</v>
      </c>
      <c r="G105" s="1">
        <v>0</v>
      </c>
      <c r="H105" s="1"/>
      <c r="I105" s="1"/>
      <c r="J105" s="1">
        <v>12000</v>
      </c>
      <c r="K105" s="1"/>
      <c r="L105" s="1" t="s">
        <v>203</v>
      </c>
      <c r="M105" s="1"/>
      <c r="N105" s="1"/>
      <c r="O105" s="1"/>
      <c r="P105" s="1">
        <v>6000</v>
      </c>
      <c r="Q105" s="1">
        <v>1</v>
      </c>
      <c r="R105" s="1"/>
      <c r="S105" s="1"/>
      <c r="T105" s="1"/>
      <c r="U105" s="1"/>
      <c r="V105" s="1">
        <f>MIN($E105)</f>
        <v>0</v>
      </c>
      <c r="W105" s="1">
        <f>MIN($F105)</f>
        <v>0</v>
      </c>
      <c r="X105" s="1">
        <f>MIN($G105)</f>
        <v>0</v>
      </c>
      <c r="Y105" s="1"/>
      <c r="Z105" s="1"/>
      <c r="AA105" s="1">
        <f>MIN($J105)</f>
        <v>0</v>
      </c>
      <c r="AB105" s="1"/>
      <c r="AC105" s="1"/>
      <c r="AD105" s="1"/>
      <c r="AE105" s="1">
        <f>MIN($P105)</f>
        <v>0</v>
      </c>
      <c r="AF105" s="1">
        <f>MIN($Q105)</f>
        <v>0</v>
      </c>
      <c r="AG105" s="1"/>
      <c r="AH105" s="1"/>
      <c r="AI105" s="1"/>
      <c r="AJ105" s="1"/>
      <c r="AK105" s="1">
        <f>MEDIAN($E105)</f>
        <v>0</v>
      </c>
      <c r="AL105" s="1">
        <f>MEDIAN($F105)</f>
        <v>0</v>
      </c>
      <c r="AM105" s="1">
        <f>MEDIAN($G105)</f>
        <v>0</v>
      </c>
      <c r="AN105" s="1"/>
      <c r="AO105" s="1"/>
      <c r="AP105" s="1">
        <f>MEDIAN($J105)</f>
        <v>0</v>
      </c>
      <c r="AQ105" s="1"/>
      <c r="AR105" s="1"/>
      <c r="AS105" s="1"/>
      <c r="AT105" s="1">
        <f>MEDIAN($P105)</f>
        <v>0</v>
      </c>
      <c r="AU105" s="1">
        <f>MEDIAN($Q105)</f>
        <v>0</v>
      </c>
      <c r="AV105" s="1"/>
      <c r="AW105" s="1"/>
      <c r="AX105" s="1"/>
      <c r="AY105" s="1"/>
      <c r="AZ105" s="1">
        <f>MAX($E105)</f>
        <v>0</v>
      </c>
      <c r="BA105" s="1">
        <f>MAX($F105)</f>
        <v>0</v>
      </c>
      <c r="BB105" s="1">
        <f>MAX($G105)</f>
        <v>0</v>
      </c>
      <c r="BC105" s="1"/>
      <c r="BD105" s="1"/>
      <c r="BE105" s="1">
        <f>MAX($J105)</f>
        <v>0</v>
      </c>
      <c r="BF105" s="1"/>
      <c r="BG105" s="1"/>
      <c r="BH105" s="1"/>
      <c r="BI105" s="1">
        <f>MAX($P105)</f>
        <v>0</v>
      </c>
      <c r="BJ105" s="1">
        <f>MAX($Q105)</f>
        <v>0</v>
      </c>
      <c r="BK105" s="1"/>
    </row>
    <row r="106" spans="1:63">
      <c r="A106" s="1" t="s">
        <v>103</v>
      </c>
      <c r="B106" s="1"/>
      <c r="C106" s="1"/>
      <c r="D106" s="1"/>
      <c r="E106" s="1">
        <v>1</v>
      </c>
      <c r="F106" s="1">
        <v>21158</v>
      </c>
      <c r="G106" s="1">
        <v>0</v>
      </c>
      <c r="H106" s="1"/>
      <c r="I106" s="1"/>
      <c r="J106" s="1">
        <v>12000</v>
      </c>
      <c r="K106" s="1"/>
      <c r="L106" s="1" t="s">
        <v>203</v>
      </c>
      <c r="M106" s="1"/>
      <c r="N106" s="1"/>
      <c r="O106" s="1"/>
      <c r="P106" s="1">
        <v>6000</v>
      </c>
      <c r="Q106" s="1">
        <v>1</v>
      </c>
      <c r="R106" s="1"/>
      <c r="S106" s="1"/>
      <c r="T106" s="1"/>
      <c r="U106" s="1"/>
      <c r="V106" s="1">
        <f>MIN($E106)</f>
        <v>0</v>
      </c>
      <c r="W106" s="1">
        <f>MIN($F106)</f>
        <v>0</v>
      </c>
      <c r="X106" s="1">
        <f>MIN($G106)</f>
        <v>0</v>
      </c>
      <c r="Y106" s="1"/>
      <c r="Z106" s="1"/>
      <c r="AA106" s="1">
        <f>MIN($J106)</f>
        <v>0</v>
      </c>
      <c r="AB106" s="1"/>
      <c r="AC106" s="1"/>
      <c r="AD106" s="1"/>
      <c r="AE106" s="1">
        <f>MIN($P106)</f>
        <v>0</v>
      </c>
      <c r="AF106" s="1">
        <f>MIN($Q106)</f>
        <v>0</v>
      </c>
      <c r="AG106" s="1"/>
      <c r="AH106" s="1"/>
      <c r="AI106" s="1"/>
      <c r="AJ106" s="1"/>
      <c r="AK106" s="1">
        <f>MEDIAN($E106)</f>
        <v>0</v>
      </c>
      <c r="AL106" s="1">
        <f>MEDIAN($F106)</f>
        <v>0</v>
      </c>
      <c r="AM106" s="1">
        <f>MEDIAN($G106)</f>
        <v>0</v>
      </c>
      <c r="AN106" s="1"/>
      <c r="AO106" s="1"/>
      <c r="AP106" s="1">
        <f>MEDIAN($J106)</f>
        <v>0</v>
      </c>
      <c r="AQ106" s="1"/>
      <c r="AR106" s="1"/>
      <c r="AS106" s="1"/>
      <c r="AT106" s="1">
        <f>MEDIAN($P106)</f>
        <v>0</v>
      </c>
      <c r="AU106" s="1">
        <f>MEDIAN($Q106)</f>
        <v>0</v>
      </c>
      <c r="AV106" s="1"/>
      <c r="AW106" s="1"/>
      <c r="AX106" s="1"/>
      <c r="AY106" s="1"/>
      <c r="AZ106" s="1">
        <f>MAX($E106)</f>
        <v>0</v>
      </c>
      <c r="BA106" s="1">
        <f>MAX($F106)</f>
        <v>0</v>
      </c>
      <c r="BB106" s="1">
        <f>MAX($G106)</f>
        <v>0</v>
      </c>
      <c r="BC106" s="1"/>
      <c r="BD106" s="1"/>
      <c r="BE106" s="1">
        <f>MAX($J106)</f>
        <v>0</v>
      </c>
      <c r="BF106" s="1"/>
      <c r="BG106" s="1"/>
      <c r="BH106" s="1"/>
      <c r="BI106" s="1">
        <f>MAX($P106)</f>
        <v>0</v>
      </c>
      <c r="BJ106" s="1">
        <f>MAX($Q106)</f>
        <v>0</v>
      </c>
      <c r="BK106" s="1"/>
    </row>
    <row r="107" spans="1:63">
      <c r="A107" s="1" t="s">
        <v>104</v>
      </c>
      <c r="B107" s="1"/>
      <c r="C107" s="1"/>
      <c r="D107" s="1"/>
      <c r="E107" s="1">
        <v>1</v>
      </c>
      <c r="F107" s="1">
        <v>21499</v>
      </c>
      <c r="G107" s="1">
        <v>0</v>
      </c>
      <c r="H107" s="1"/>
      <c r="I107" s="1"/>
      <c r="J107" s="1">
        <v>12000</v>
      </c>
      <c r="K107" s="1"/>
      <c r="L107" s="1" t="s">
        <v>203</v>
      </c>
      <c r="M107" s="1"/>
      <c r="N107" s="1"/>
      <c r="O107" s="1"/>
      <c r="P107" s="1">
        <v>6000</v>
      </c>
      <c r="Q107" s="1">
        <v>1</v>
      </c>
      <c r="R107" s="1"/>
      <c r="S107" s="1"/>
      <c r="T107" s="1"/>
      <c r="U107" s="1"/>
      <c r="V107" s="1">
        <f>MIN($E107)</f>
        <v>0</v>
      </c>
      <c r="W107" s="1">
        <f>MIN($F107)</f>
        <v>0</v>
      </c>
      <c r="X107" s="1">
        <f>MIN($G107)</f>
        <v>0</v>
      </c>
      <c r="Y107" s="1"/>
      <c r="Z107" s="1"/>
      <c r="AA107" s="1">
        <f>MIN($J107)</f>
        <v>0</v>
      </c>
      <c r="AB107" s="1"/>
      <c r="AC107" s="1"/>
      <c r="AD107" s="1"/>
      <c r="AE107" s="1">
        <f>MIN($P107)</f>
        <v>0</v>
      </c>
      <c r="AF107" s="1">
        <f>MIN($Q107)</f>
        <v>0</v>
      </c>
      <c r="AG107" s="1"/>
      <c r="AH107" s="1"/>
      <c r="AI107" s="1"/>
      <c r="AJ107" s="1"/>
      <c r="AK107" s="1">
        <f>MEDIAN($E107)</f>
        <v>0</v>
      </c>
      <c r="AL107" s="1">
        <f>MEDIAN($F107)</f>
        <v>0</v>
      </c>
      <c r="AM107" s="1">
        <f>MEDIAN($G107)</f>
        <v>0</v>
      </c>
      <c r="AN107" s="1"/>
      <c r="AO107" s="1"/>
      <c r="AP107" s="1">
        <f>MEDIAN($J107)</f>
        <v>0</v>
      </c>
      <c r="AQ107" s="1"/>
      <c r="AR107" s="1"/>
      <c r="AS107" s="1"/>
      <c r="AT107" s="1">
        <f>MEDIAN($P107)</f>
        <v>0</v>
      </c>
      <c r="AU107" s="1">
        <f>MEDIAN($Q107)</f>
        <v>0</v>
      </c>
      <c r="AV107" s="1"/>
      <c r="AW107" s="1"/>
      <c r="AX107" s="1"/>
      <c r="AY107" s="1"/>
      <c r="AZ107" s="1">
        <f>MAX($E107)</f>
        <v>0</v>
      </c>
      <c r="BA107" s="1">
        <f>MAX($F107)</f>
        <v>0</v>
      </c>
      <c r="BB107" s="1">
        <f>MAX($G107)</f>
        <v>0</v>
      </c>
      <c r="BC107" s="1"/>
      <c r="BD107" s="1"/>
      <c r="BE107" s="1">
        <f>MAX($J107)</f>
        <v>0</v>
      </c>
      <c r="BF107" s="1"/>
      <c r="BG107" s="1"/>
      <c r="BH107" s="1"/>
      <c r="BI107" s="1">
        <f>MAX($P107)</f>
        <v>0</v>
      </c>
      <c r="BJ107" s="1">
        <f>MAX($Q107)</f>
        <v>0</v>
      </c>
      <c r="BK107" s="1"/>
    </row>
    <row r="108" spans="1:63">
      <c r="A108" s="1" t="s">
        <v>105</v>
      </c>
      <c r="B108" s="1"/>
      <c r="C108" s="1"/>
      <c r="D108" s="1"/>
      <c r="E108" s="1">
        <v>1</v>
      </c>
      <c r="F108" s="1">
        <v>14075</v>
      </c>
      <c r="G108" s="1">
        <v>0</v>
      </c>
      <c r="H108" s="1"/>
      <c r="I108" s="1"/>
      <c r="J108" s="1">
        <v>12000</v>
      </c>
      <c r="K108" s="1"/>
      <c r="L108" s="1" t="s">
        <v>203</v>
      </c>
      <c r="M108" s="1"/>
      <c r="N108" s="1"/>
      <c r="O108" s="1"/>
      <c r="P108" s="1">
        <v>6000</v>
      </c>
      <c r="Q108" s="1">
        <v>1</v>
      </c>
      <c r="R108" s="1"/>
      <c r="S108" s="1"/>
      <c r="T108" s="1"/>
      <c r="U108" s="1"/>
      <c r="V108" s="1">
        <f>MIN($E108)</f>
        <v>0</v>
      </c>
      <c r="W108" s="1">
        <f>MIN($F108)</f>
        <v>0</v>
      </c>
      <c r="X108" s="1">
        <f>MIN($G108)</f>
        <v>0</v>
      </c>
      <c r="Y108" s="1"/>
      <c r="Z108" s="1"/>
      <c r="AA108" s="1">
        <f>MIN($J108)</f>
        <v>0</v>
      </c>
      <c r="AB108" s="1"/>
      <c r="AC108" s="1"/>
      <c r="AD108" s="1"/>
      <c r="AE108" s="1">
        <f>MIN($P108)</f>
        <v>0</v>
      </c>
      <c r="AF108" s="1">
        <f>MIN($Q108)</f>
        <v>0</v>
      </c>
      <c r="AG108" s="1"/>
      <c r="AH108" s="1"/>
      <c r="AI108" s="1"/>
      <c r="AJ108" s="1"/>
      <c r="AK108" s="1">
        <f>MEDIAN($E108)</f>
        <v>0</v>
      </c>
      <c r="AL108" s="1">
        <f>MEDIAN($F108)</f>
        <v>0</v>
      </c>
      <c r="AM108" s="1">
        <f>MEDIAN($G108)</f>
        <v>0</v>
      </c>
      <c r="AN108" s="1"/>
      <c r="AO108" s="1"/>
      <c r="AP108" s="1">
        <f>MEDIAN($J108)</f>
        <v>0</v>
      </c>
      <c r="AQ108" s="1"/>
      <c r="AR108" s="1"/>
      <c r="AS108" s="1"/>
      <c r="AT108" s="1">
        <f>MEDIAN($P108)</f>
        <v>0</v>
      </c>
      <c r="AU108" s="1">
        <f>MEDIAN($Q108)</f>
        <v>0</v>
      </c>
      <c r="AV108" s="1"/>
      <c r="AW108" s="1"/>
      <c r="AX108" s="1"/>
      <c r="AY108" s="1"/>
      <c r="AZ108" s="1">
        <f>MAX($E108)</f>
        <v>0</v>
      </c>
      <c r="BA108" s="1">
        <f>MAX($F108)</f>
        <v>0</v>
      </c>
      <c r="BB108" s="1">
        <f>MAX($G108)</f>
        <v>0</v>
      </c>
      <c r="BC108" s="1"/>
      <c r="BD108" s="1"/>
      <c r="BE108" s="1">
        <f>MAX($J108)</f>
        <v>0</v>
      </c>
      <c r="BF108" s="1"/>
      <c r="BG108" s="1"/>
      <c r="BH108" s="1"/>
      <c r="BI108" s="1">
        <f>MAX($P108)</f>
        <v>0</v>
      </c>
      <c r="BJ108" s="1">
        <f>MAX($Q108)</f>
        <v>0</v>
      </c>
      <c r="BK108" s="1"/>
    </row>
    <row r="109" spans="1:63">
      <c r="A109" s="1" t="s">
        <v>106</v>
      </c>
      <c r="B109" s="1"/>
      <c r="C109" s="1"/>
      <c r="D109" s="1"/>
      <c r="E109" s="1">
        <v>1</v>
      </c>
      <c r="F109" s="1">
        <v>32423</v>
      </c>
      <c r="G109" s="1">
        <v>0</v>
      </c>
      <c r="H109" s="1"/>
      <c r="I109" s="1"/>
      <c r="J109" s="1">
        <v>12000</v>
      </c>
      <c r="K109" s="1"/>
      <c r="L109" s="1" t="s">
        <v>203</v>
      </c>
      <c r="M109" s="1"/>
      <c r="N109" s="1"/>
      <c r="O109" s="1"/>
      <c r="P109" s="1">
        <v>6000</v>
      </c>
      <c r="Q109" s="1">
        <v>1</v>
      </c>
      <c r="R109" s="1"/>
      <c r="S109" s="1"/>
      <c r="T109" s="1"/>
      <c r="U109" s="1"/>
      <c r="V109" s="1">
        <f>MIN($E109)</f>
        <v>0</v>
      </c>
      <c r="W109" s="1">
        <f>MIN($F109)</f>
        <v>0</v>
      </c>
      <c r="X109" s="1">
        <f>MIN($G109)</f>
        <v>0</v>
      </c>
      <c r="Y109" s="1"/>
      <c r="Z109" s="1"/>
      <c r="AA109" s="1">
        <f>MIN($J109)</f>
        <v>0</v>
      </c>
      <c r="AB109" s="1"/>
      <c r="AC109" s="1"/>
      <c r="AD109" s="1"/>
      <c r="AE109" s="1">
        <f>MIN($P109)</f>
        <v>0</v>
      </c>
      <c r="AF109" s="1">
        <f>MIN($Q109)</f>
        <v>0</v>
      </c>
      <c r="AG109" s="1"/>
      <c r="AH109" s="1"/>
      <c r="AI109" s="1"/>
      <c r="AJ109" s="1"/>
      <c r="AK109" s="1">
        <f>MEDIAN($E109)</f>
        <v>0</v>
      </c>
      <c r="AL109" s="1">
        <f>MEDIAN($F109)</f>
        <v>0</v>
      </c>
      <c r="AM109" s="1">
        <f>MEDIAN($G109)</f>
        <v>0</v>
      </c>
      <c r="AN109" s="1"/>
      <c r="AO109" s="1"/>
      <c r="AP109" s="1">
        <f>MEDIAN($J109)</f>
        <v>0</v>
      </c>
      <c r="AQ109" s="1"/>
      <c r="AR109" s="1"/>
      <c r="AS109" s="1"/>
      <c r="AT109" s="1">
        <f>MEDIAN($P109)</f>
        <v>0</v>
      </c>
      <c r="AU109" s="1">
        <f>MEDIAN($Q109)</f>
        <v>0</v>
      </c>
      <c r="AV109" s="1"/>
      <c r="AW109" s="1"/>
      <c r="AX109" s="1"/>
      <c r="AY109" s="1"/>
      <c r="AZ109" s="1">
        <f>MAX($E109)</f>
        <v>0</v>
      </c>
      <c r="BA109" s="1">
        <f>MAX($F109)</f>
        <v>0</v>
      </c>
      <c r="BB109" s="1">
        <f>MAX($G109)</f>
        <v>0</v>
      </c>
      <c r="BC109" s="1"/>
      <c r="BD109" s="1"/>
      <c r="BE109" s="1">
        <f>MAX($J109)</f>
        <v>0</v>
      </c>
      <c r="BF109" s="1"/>
      <c r="BG109" s="1"/>
      <c r="BH109" s="1"/>
      <c r="BI109" s="1">
        <f>MAX($P109)</f>
        <v>0</v>
      </c>
      <c r="BJ109" s="1">
        <f>MAX($Q109)</f>
        <v>0</v>
      </c>
      <c r="BK109" s="1"/>
    </row>
    <row r="110" spans="1:63">
      <c r="A110" s="1" t="s">
        <v>107</v>
      </c>
      <c r="B110" s="1"/>
      <c r="C110" s="1"/>
      <c r="D110" s="1"/>
      <c r="E110" s="1">
        <v>1</v>
      </c>
      <c r="F110" s="1">
        <v>18853</v>
      </c>
      <c r="G110" s="1">
        <v>0</v>
      </c>
      <c r="H110" s="1"/>
      <c r="I110" s="1"/>
      <c r="J110" s="1">
        <v>12000</v>
      </c>
      <c r="K110" s="1"/>
      <c r="L110" s="1" t="s">
        <v>203</v>
      </c>
      <c r="M110" s="1"/>
      <c r="N110" s="1"/>
      <c r="O110" s="1"/>
      <c r="P110" s="1">
        <v>6000</v>
      </c>
      <c r="Q110" s="1">
        <v>1</v>
      </c>
      <c r="R110" s="1"/>
      <c r="S110" s="1"/>
      <c r="T110" s="1"/>
      <c r="U110" s="1"/>
      <c r="V110" s="1">
        <f>MIN($E110)</f>
        <v>0</v>
      </c>
      <c r="W110" s="1">
        <f>MIN($F110)</f>
        <v>0</v>
      </c>
      <c r="X110" s="1">
        <f>MIN($G110)</f>
        <v>0</v>
      </c>
      <c r="Y110" s="1"/>
      <c r="Z110" s="1"/>
      <c r="AA110" s="1">
        <f>MIN($J110)</f>
        <v>0</v>
      </c>
      <c r="AB110" s="1"/>
      <c r="AC110" s="1"/>
      <c r="AD110" s="1"/>
      <c r="AE110" s="1">
        <f>MIN($P110)</f>
        <v>0</v>
      </c>
      <c r="AF110" s="1">
        <f>MIN($Q110)</f>
        <v>0</v>
      </c>
      <c r="AG110" s="1"/>
      <c r="AH110" s="1"/>
      <c r="AI110" s="1"/>
      <c r="AJ110" s="1"/>
      <c r="AK110" s="1">
        <f>MEDIAN($E110)</f>
        <v>0</v>
      </c>
      <c r="AL110" s="1">
        <f>MEDIAN($F110)</f>
        <v>0</v>
      </c>
      <c r="AM110" s="1">
        <f>MEDIAN($G110)</f>
        <v>0</v>
      </c>
      <c r="AN110" s="1"/>
      <c r="AO110" s="1"/>
      <c r="AP110" s="1">
        <f>MEDIAN($J110)</f>
        <v>0</v>
      </c>
      <c r="AQ110" s="1"/>
      <c r="AR110" s="1"/>
      <c r="AS110" s="1"/>
      <c r="AT110" s="1">
        <f>MEDIAN($P110)</f>
        <v>0</v>
      </c>
      <c r="AU110" s="1">
        <f>MEDIAN($Q110)</f>
        <v>0</v>
      </c>
      <c r="AV110" s="1"/>
      <c r="AW110" s="1"/>
      <c r="AX110" s="1"/>
      <c r="AY110" s="1"/>
      <c r="AZ110" s="1">
        <f>MAX($E110)</f>
        <v>0</v>
      </c>
      <c r="BA110" s="1">
        <f>MAX($F110)</f>
        <v>0</v>
      </c>
      <c r="BB110" s="1">
        <f>MAX($G110)</f>
        <v>0</v>
      </c>
      <c r="BC110" s="1"/>
      <c r="BD110" s="1"/>
      <c r="BE110" s="1">
        <f>MAX($J110)</f>
        <v>0</v>
      </c>
      <c r="BF110" s="1"/>
      <c r="BG110" s="1"/>
      <c r="BH110" s="1"/>
      <c r="BI110" s="1">
        <f>MAX($P110)</f>
        <v>0</v>
      </c>
      <c r="BJ110" s="1">
        <f>MAX($Q110)</f>
        <v>0</v>
      </c>
      <c r="BK110" s="1"/>
    </row>
    <row r="111" spans="1:63">
      <c r="A111" s="1" t="s">
        <v>108</v>
      </c>
      <c r="B111" s="1"/>
      <c r="C111" s="1"/>
      <c r="D111" s="1"/>
      <c r="E111" s="1">
        <v>1</v>
      </c>
      <c r="F111" s="1">
        <v>22204</v>
      </c>
      <c r="G111" s="1">
        <v>0</v>
      </c>
      <c r="H111" s="1"/>
      <c r="I111" s="1"/>
      <c r="J111" s="1">
        <v>12000</v>
      </c>
      <c r="K111" s="1"/>
      <c r="L111" s="1" t="s">
        <v>203</v>
      </c>
      <c r="M111" s="1"/>
      <c r="N111" s="1"/>
      <c r="O111" s="1"/>
      <c r="P111" s="1">
        <v>6000</v>
      </c>
      <c r="Q111" s="1">
        <v>1</v>
      </c>
      <c r="R111" s="1"/>
      <c r="S111" s="1"/>
      <c r="T111" s="1"/>
      <c r="U111" s="1"/>
      <c r="V111" s="1">
        <f>MIN($E111)</f>
        <v>0</v>
      </c>
      <c r="W111" s="1">
        <f>MIN($F111)</f>
        <v>0</v>
      </c>
      <c r="X111" s="1">
        <f>MIN($G111)</f>
        <v>0</v>
      </c>
      <c r="Y111" s="1"/>
      <c r="Z111" s="1"/>
      <c r="AA111" s="1">
        <f>MIN($J111)</f>
        <v>0</v>
      </c>
      <c r="AB111" s="1"/>
      <c r="AC111" s="1"/>
      <c r="AD111" s="1"/>
      <c r="AE111" s="1">
        <f>MIN($P111)</f>
        <v>0</v>
      </c>
      <c r="AF111" s="1">
        <f>MIN($Q111)</f>
        <v>0</v>
      </c>
      <c r="AG111" s="1"/>
      <c r="AH111" s="1"/>
      <c r="AI111" s="1"/>
      <c r="AJ111" s="1"/>
      <c r="AK111" s="1">
        <f>MEDIAN($E111)</f>
        <v>0</v>
      </c>
      <c r="AL111" s="1">
        <f>MEDIAN($F111)</f>
        <v>0</v>
      </c>
      <c r="AM111" s="1">
        <f>MEDIAN($G111)</f>
        <v>0</v>
      </c>
      <c r="AN111" s="1"/>
      <c r="AO111" s="1"/>
      <c r="AP111" s="1">
        <f>MEDIAN($J111)</f>
        <v>0</v>
      </c>
      <c r="AQ111" s="1"/>
      <c r="AR111" s="1"/>
      <c r="AS111" s="1"/>
      <c r="AT111" s="1">
        <f>MEDIAN($P111)</f>
        <v>0</v>
      </c>
      <c r="AU111" s="1">
        <f>MEDIAN($Q111)</f>
        <v>0</v>
      </c>
      <c r="AV111" s="1"/>
      <c r="AW111" s="1"/>
      <c r="AX111" s="1"/>
      <c r="AY111" s="1"/>
      <c r="AZ111" s="1">
        <f>MAX($E111)</f>
        <v>0</v>
      </c>
      <c r="BA111" s="1">
        <f>MAX($F111)</f>
        <v>0</v>
      </c>
      <c r="BB111" s="1">
        <f>MAX($G111)</f>
        <v>0</v>
      </c>
      <c r="BC111" s="1"/>
      <c r="BD111" s="1"/>
      <c r="BE111" s="1">
        <f>MAX($J111)</f>
        <v>0</v>
      </c>
      <c r="BF111" s="1"/>
      <c r="BG111" s="1"/>
      <c r="BH111" s="1"/>
      <c r="BI111" s="1">
        <f>MAX($P111)</f>
        <v>0</v>
      </c>
      <c r="BJ111" s="1">
        <f>MAX($Q111)</f>
        <v>0</v>
      </c>
      <c r="BK111" s="1"/>
    </row>
    <row r="112" spans="1:63">
      <c r="A112" s="1" t="s">
        <v>109</v>
      </c>
      <c r="B112" s="1">
        <v>0</v>
      </c>
      <c r="C112" s="1">
        <v>0</v>
      </c>
      <c r="D112" s="1">
        <v>0</v>
      </c>
      <c r="E112" s="1">
        <v>0</v>
      </c>
      <c r="F112" s="1">
        <v>36774</v>
      </c>
      <c r="G112" s="1">
        <v>0</v>
      </c>
      <c r="H112" s="1">
        <v>0</v>
      </c>
      <c r="I112" s="1">
        <v>633.777</v>
      </c>
      <c r="J112" s="1">
        <v>12000</v>
      </c>
      <c r="K112" s="1">
        <v>0</v>
      </c>
      <c r="L112" s="1" t="s">
        <v>205</v>
      </c>
      <c r="M112" s="1">
        <v>0</v>
      </c>
      <c r="N112" s="1">
        <v>0</v>
      </c>
      <c r="O112" s="1" t="s">
        <v>209</v>
      </c>
      <c r="P112" s="1">
        <v>6000</v>
      </c>
      <c r="Q112" s="1">
        <v>1</v>
      </c>
      <c r="R112" s="1">
        <v>0</v>
      </c>
      <c r="S112" s="1">
        <f>MIN($B112)</f>
        <v>0</v>
      </c>
      <c r="T112" s="1">
        <f>MIN($C112)</f>
        <v>0</v>
      </c>
      <c r="U112" s="1">
        <f>MIN($D112)</f>
        <v>0</v>
      </c>
      <c r="V112" s="1">
        <f>MIN($E112)</f>
        <v>0</v>
      </c>
      <c r="W112" s="1">
        <f>MIN($F112)</f>
        <v>0</v>
      </c>
      <c r="X112" s="1">
        <f>MIN($G112)</f>
        <v>0</v>
      </c>
      <c r="Y112" s="1">
        <f>MIN($H112)</f>
        <v>0</v>
      </c>
      <c r="Z112" s="1">
        <f>MIN($I112)</f>
        <v>0</v>
      </c>
      <c r="AA112" s="1">
        <f>MIN($J112)</f>
        <v>0</v>
      </c>
      <c r="AB112" s="1">
        <f>MIN($K112)</f>
        <v>0</v>
      </c>
      <c r="AC112" s="1">
        <f>MIN($M112)</f>
        <v>0</v>
      </c>
      <c r="AD112" s="1">
        <f>MIN($N112)</f>
        <v>0</v>
      </c>
      <c r="AE112" s="1">
        <f>MIN($P112)</f>
        <v>0</v>
      </c>
      <c r="AF112" s="1">
        <f>MIN($Q112)</f>
        <v>0</v>
      </c>
      <c r="AG112" s="1">
        <f>MIN($R112)</f>
        <v>0</v>
      </c>
      <c r="AH112" s="1">
        <f>MEDIAN($B112)</f>
        <v>0</v>
      </c>
      <c r="AI112" s="1">
        <f>MEDIAN($C112)</f>
        <v>0</v>
      </c>
      <c r="AJ112" s="1">
        <f>MEDIAN($D112)</f>
        <v>0</v>
      </c>
      <c r="AK112" s="1">
        <f>MEDIAN($E112)</f>
        <v>0</v>
      </c>
      <c r="AL112" s="1">
        <f>MEDIAN($F112)</f>
        <v>0</v>
      </c>
      <c r="AM112" s="1">
        <f>MEDIAN($G112)</f>
        <v>0</v>
      </c>
      <c r="AN112" s="1">
        <f>MEDIAN($H112)</f>
        <v>0</v>
      </c>
      <c r="AO112" s="1">
        <f>MEDIAN($I112)</f>
        <v>0</v>
      </c>
      <c r="AP112" s="1">
        <f>MEDIAN($J112)</f>
        <v>0</v>
      </c>
      <c r="AQ112" s="1">
        <f>MEDIAN($K112)</f>
        <v>0</v>
      </c>
      <c r="AR112" s="1">
        <f>MEDIAN($M112)</f>
        <v>0</v>
      </c>
      <c r="AS112" s="1">
        <f>MEDIAN($N112)</f>
        <v>0</v>
      </c>
      <c r="AT112" s="1">
        <f>MEDIAN($P112)</f>
        <v>0</v>
      </c>
      <c r="AU112" s="1">
        <f>MEDIAN($Q112)</f>
        <v>0</v>
      </c>
      <c r="AV112" s="1">
        <f>MEDIAN($R112)</f>
        <v>0</v>
      </c>
      <c r="AW112" s="1">
        <f>MAX($B112)</f>
        <v>0</v>
      </c>
      <c r="AX112" s="1">
        <f>MAX($C112)</f>
        <v>0</v>
      </c>
      <c r="AY112" s="1">
        <f>MAX($D112)</f>
        <v>0</v>
      </c>
      <c r="AZ112" s="1">
        <f>MAX($E112)</f>
        <v>0</v>
      </c>
      <c r="BA112" s="1">
        <f>MAX($F112)</f>
        <v>0</v>
      </c>
      <c r="BB112" s="1">
        <f>MAX($G112)</f>
        <v>0</v>
      </c>
      <c r="BC112" s="1">
        <f>MAX($H112)</f>
        <v>0</v>
      </c>
      <c r="BD112" s="1">
        <f>MAX($I112)</f>
        <v>0</v>
      </c>
      <c r="BE112" s="1">
        <f>MAX($J112)</f>
        <v>0</v>
      </c>
      <c r="BF112" s="1">
        <f>MAX($K112)</f>
        <v>0</v>
      </c>
      <c r="BG112" s="1">
        <f>MAX($M112)</f>
        <v>0</v>
      </c>
      <c r="BH112" s="1">
        <f>MAX($N112)</f>
        <v>0</v>
      </c>
      <c r="BI112" s="1">
        <f>MAX($P112)</f>
        <v>0</v>
      </c>
      <c r="BJ112" s="1">
        <f>MAX($Q112)</f>
        <v>0</v>
      </c>
      <c r="BK112" s="1">
        <f>MAX($R112)</f>
        <v>0</v>
      </c>
    </row>
    <row r="113" spans="1:63">
      <c r="A113" s="1" t="s">
        <v>110</v>
      </c>
      <c r="B113" s="1"/>
      <c r="C113" s="1"/>
      <c r="D113" s="1"/>
      <c r="E113" s="1">
        <v>1</v>
      </c>
      <c r="F113" s="1"/>
      <c r="G113" s="1">
        <v>0</v>
      </c>
      <c r="H113" s="1"/>
      <c r="I113" s="1"/>
      <c r="J113" s="1">
        <v>12000</v>
      </c>
      <c r="K113" s="1"/>
      <c r="L113" s="1"/>
      <c r="M113" s="1"/>
      <c r="N113" s="1"/>
      <c r="O113" s="1"/>
      <c r="P113" s="1">
        <v>6000</v>
      </c>
      <c r="Q113" s="1">
        <v>1</v>
      </c>
      <c r="R113" s="1"/>
      <c r="S113" s="1"/>
      <c r="T113" s="1"/>
      <c r="U113" s="1"/>
      <c r="V113" s="1">
        <f>MIN($E113)</f>
        <v>0</v>
      </c>
      <c r="W113" s="1"/>
      <c r="X113" s="1">
        <f>MIN($G113)</f>
        <v>0</v>
      </c>
      <c r="Y113" s="1"/>
      <c r="Z113" s="1"/>
      <c r="AA113" s="1">
        <f>MIN($J113)</f>
        <v>0</v>
      </c>
      <c r="AB113" s="1"/>
      <c r="AC113" s="1"/>
      <c r="AD113" s="1"/>
      <c r="AE113" s="1">
        <f>MIN($P113)</f>
        <v>0</v>
      </c>
      <c r="AF113" s="1">
        <f>MIN($Q113)</f>
        <v>0</v>
      </c>
      <c r="AG113" s="1"/>
      <c r="AH113" s="1"/>
      <c r="AI113" s="1"/>
      <c r="AJ113" s="1"/>
      <c r="AK113" s="1">
        <f>MEDIAN($E113)</f>
        <v>0</v>
      </c>
      <c r="AL113" s="1"/>
      <c r="AM113" s="1">
        <f>MEDIAN($G113)</f>
        <v>0</v>
      </c>
      <c r="AN113" s="1"/>
      <c r="AO113" s="1"/>
      <c r="AP113" s="1">
        <f>MEDIAN($J113)</f>
        <v>0</v>
      </c>
      <c r="AQ113" s="1"/>
      <c r="AR113" s="1"/>
      <c r="AS113" s="1"/>
      <c r="AT113" s="1">
        <f>MEDIAN($P113)</f>
        <v>0</v>
      </c>
      <c r="AU113" s="1">
        <f>MEDIAN($Q113)</f>
        <v>0</v>
      </c>
      <c r="AV113" s="1"/>
      <c r="AW113" s="1"/>
      <c r="AX113" s="1"/>
      <c r="AY113" s="1"/>
      <c r="AZ113" s="1">
        <f>MAX($E113)</f>
        <v>0</v>
      </c>
      <c r="BA113" s="1"/>
      <c r="BB113" s="1">
        <f>MAX($G113)</f>
        <v>0</v>
      </c>
      <c r="BC113" s="1"/>
      <c r="BD113" s="1"/>
      <c r="BE113" s="1">
        <f>MAX($J113)</f>
        <v>0</v>
      </c>
      <c r="BF113" s="1"/>
      <c r="BG113" s="1"/>
      <c r="BH113" s="1"/>
      <c r="BI113" s="1">
        <f>MAX($P113)</f>
        <v>0</v>
      </c>
      <c r="BJ113" s="1">
        <f>MAX($Q113)</f>
        <v>0</v>
      </c>
      <c r="BK113" s="1"/>
    </row>
    <row r="114" spans="1:63">
      <c r="A114" s="1" t="s">
        <v>111</v>
      </c>
      <c r="B114" s="1"/>
      <c r="C114" s="1"/>
      <c r="D114" s="1"/>
      <c r="E114" s="1">
        <v>1</v>
      </c>
      <c r="F114" s="1">
        <v>17958</v>
      </c>
      <c r="G114" s="1">
        <v>0</v>
      </c>
      <c r="H114" s="1"/>
      <c r="I114" s="1"/>
      <c r="J114" s="1">
        <v>12000</v>
      </c>
      <c r="K114" s="1"/>
      <c r="L114" s="1" t="s">
        <v>203</v>
      </c>
      <c r="M114" s="1"/>
      <c r="N114" s="1"/>
      <c r="O114" s="1"/>
      <c r="P114" s="1">
        <v>6000</v>
      </c>
      <c r="Q114" s="1">
        <v>1</v>
      </c>
      <c r="R114" s="1"/>
      <c r="S114" s="1"/>
      <c r="T114" s="1"/>
      <c r="U114" s="1"/>
      <c r="V114" s="1">
        <f>MIN($E114)</f>
        <v>0</v>
      </c>
      <c r="W114" s="1">
        <f>MIN($F114)</f>
        <v>0</v>
      </c>
      <c r="X114" s="1">
        <f>MIN($G114)</f>
        <v>0</v>
      </c>
      <c r="Y114" s="1"/>
      <c r="Z114" s="1"/>
      <c r="AA114" s="1">
        <f>MIN($J114)</f>
        <v>0</v>
      </c>
      <c r="AB114" s="1"/>
      <c r="AC114" s="1"/>
      <c r="AD114" s="1"/>
      <c r="AE114" s="1">
        <f>MIN($P114)</f>
        <v>0</v>
      </c>
      <c r="AF114" s="1">
        <f>MIN($Q114)</f>
        <v>0</v>
      </c>
      <c r="AG114" s="1"/>
      <c r="AH114" s="1"/>
      <c r="AI114" s="1"/>
      <c r="AJ114" s="1"/>
      <c r="AK114" s="1">
        <f>MEDIAN($E114)</f>
        <v>0</v>
      </c>
      <c r="AL114" s="1">
        <f>MEDIAN($F114)</f>
        <v>0</v>
      </c>
      <c r="AM114" s="1">
        <f>MEDIAN($G114)</f>
        <v>0</v>
      </c>
      <c r="AN114" s="1"/>
      <c r="AO114" s="1"/>
      <c r="AP114" s="1">
        <f>MEDIAN($J114)</f>
        <v>0</v>
      </c>
      <c r="AQ114" s="1"/>
      <c r="AR114" s="1"/>
      <c r="AS114" s="1"/>
      <c r="AT114" s="1">
        <f>MEDIAN($P114)</f>
        <v>0</v>
      </c>
      <c r="AU114" s="1">
        <f>MEDIAN($Q114)</f>
        <v>0</v>
      </c>
      <c r="AV114" s="1"/>
      <c r="AW114" s="1"/>
      <c r="AX114" s="1"/>
      <c r="AY114" s="1"/>
      <c r="AZ114" s="1">
        <f>MAX($E114)</f>
        <v>0</v>
      </c>
      <c r="BA114" s="1">
        <f>MAX($F114)</f>
        <v>0</v>
      </c>
      <c r="BB114" s="1">
        <f>MAX($G114)</f>
        <v>0</v>
      </c>
      <c r="BC114" s="1"/>
      <c r="BD114" s="1"/>
      <c r="BE114" s="1">
        <f>MAX($J114)</f>
        <v>0</v>
      </c>
      <c r="BF114" s="1"/>
      <c r="BG114" s="1"/>
      <c r="BH114" s="1"/>
      <c r="BI114" s="1">
        <f>MAX($P114)</f>
        <v>0</v>
      </c>
      <c r="BJ114" s="1">
        <f>MAX($Q114)</f>
        <v>0</v>
      </c>
      <c r="BK114" s="1"/>
    </row>
    <row r="115" spans="1:63">
      <c r="A115" s="1" t="s">
        <v>112</v>
      </c>
      <c r="B115" s="1"/>
      <c r="C115" s="1"/>
      <c r="D115" s="1"/>
      <c r="E115" s="1">
        <v>1</v>
      </c>
      <c r="F115" s="1">
        <v>19739</v>
      </c>
      <c r="G115" s="1">
        <v>0</v>
      </c>
      <c r="H115" s="1"/>
      <c r="I115" s="1"/>
      <c r="J115" s="1">
        <v>12000</v>
      </c>
      <c r="K115" s="1"/>
      <c r="L115" s="1" t="s">
        <v>203</v>
      </c>
      <c r="M115" s="1"/>
      <c r="N115" s="1"/>
      <c r="O115" s="1"/>
      <c r="P115" s="1">
        <v>6000</v>
      </c>
      <c r="Q115" s="1">
        <v>1</v>
      </c>
      <c r="R115" s="1"/>
      <c r="S115" s="1"/>
      <c r="T115" s="1"/>
      <c r="U115" s="1"/>
      <c r="V115" s="1">
        <f>MIN($E115)</f>
        <v>0</v>
      </c>
      <c r="W115" s="1">
        <f>MIN($F115)</f>
        <v>0</v>
      </c>
      <c r="X115" s="1">
        <f>MIN($G115)</f>
        <v>0</v>
      </c>
      <c r="Y115" s="1"/>
      <c r="Z115" s="1"/>
      <c r="AA115" s="1">
        <f>MIN($J115)</f>
        <v>0</v>
      </c>
      <c r="AB115" s="1"/>
      <c r="AC115" s="1"/>
      <c r="AD115" s="1"/>
      <c r="AE115" s="1">
        <f>MIN($P115)</f>
        <v>0</v>
      </c>
      <c r="AF115" s="1">
        <f>MIN($Q115)</f>
        <v>0</v>
      </c>
      <c r="AG115" s="1"/>
      <c r="AH115" s="1"/>
      <c r="AI115" s="1"/>
      <c r="AJ115" s="1"/>
      <c r="AK115" s="1">
        <f>MEDIAN($E115)</f>
        <v>0</v>
      </c>
      <c r="AL115" s="1">
        <f>MEDIAN($F115)</f>
        <v>0</v>
      </c>
      <c r="AM115" s="1">
        <f>MEDIAN($G115)</f>
        <v>0</v>
      </c>
      <c r="AN115" s="1"/>
      <c r="AO115" s="1"/>
      <c r="AP115" s="1">
        <f>MEDIAN($J115)</f>
        <v>0</v>
      </c>
      <c r="AQ115" s="1"/>
      <c r="AR115" s="1"/>
      <c r="AS115" s="1"/>
      <c r="AT115" s="1">
        <f>MEDIAN($P115)</f>
        <v>0</v>
      </c>
      <c r="AU115" s="1">
        <f>MEDIAN($Q115)</f>
        <v>0</v>
      </c>
      <c r="AV115" s="1"/>
      <c r="AW115" s="1"/>
      <c r="AX115" s="1"/>
      <c r="AY115" s="1"/>
      <c r="AZ115" s="1">
        <f>MAX($E115)</f>
        <v>0</v>
      </c>
      <c r="BA115" s="1">
        <f>MAX($F115)</f>
        <v>0</v>
      </c>
      <c r="BB115" s="1">
        <f>MAX($G115)</f>
        <v>0</v>
      </c>
      <c r="BC115" s="1"/>
      <c r="BD115" s="1"/>
      <c r="BE115" s="1">
        <f>MAX($J115)</f>
        <v>0</v>
      </c>
      <c r="BF115" s="1"/>
      <c r="BG115" s="1"/>
      <c r="BH115" s="1"/>
      <c r="BI115" s="1">
        <f>MAX($P115)</f>
        <v>0</v>
      </c>
      <c r="BJ115" s="1">
        <f>MAX($Q115)</f>
        <v>0</v>
      </c>
      <c r="BK115" s="1"/>
    </row>
    <row r="116" spans="1:63">
      <c r="A116" s="1" t="s">
        <v>113</v>
      </c>
      <c r="B116" s="1">
        <v>0</v>
      </c>
      <c r="C116" s="1">
        <v>0</v>
      </c>
      <c r="D116" s="1">
        <v>0</v>
      </c>
      <c r="E116" s="1">
        <v>0</v>
      </c>
      <c r="F116" s="1">
        <v>32952</v>
      </c>
      <c r="G116" s="1">
        <v>0</v>
      </c>
      <c r="H116" s="1">
        <v>0</v>
      </c>
      <c r="I116" s="1">
        <v>670.9589999999999</v>
      </c>
      <c r="J116" s="1">
        <v>12000</v>
      </c>
      <c r="K116" s="1">
        <v>0</v>
      </c>
      <c r="L116" s="1" t="s">
        <v>205</v>
      </c>
      <c r="M116" s="1">
        <v>0</v>
      </c>
      <c r="N116" s="1">
        <v>0</v>
      </c>
      <c r="O116" s="1" t="s">
        <v>209</v>
      </c>
      <c r="P116" s="1">
        <v>6000</v>
      </c>
      <c r="Q116" s="1">
        <v>1</v>
      </c>
      <c r="R116" s="1">
        <v>0</v>
      </c>
      <c r="S116" s="1">
        <f>MIN($B116)</f>
        <v>0</v>
      </c>
      <c r="T116" s="1">
        <f>MIN($C116)</f>
        <v>0</v>
      </c>
      <c r="U116" s="1">
        <f>MIN($D116)</f>
        <v>0</v>
      </c>
      <c r="V116" s="1">
        <f>MIN($E116)</f>
        <v>0</v>
      </c>
      <c r="W116" s="1">
        <f>MIN($F116)</f>
        <v>0</v>
      </c>
      <c r="X116" s="1">
        <f>MIN($G116)</f>
        <v>0</v>
      </c>
      <c r="Y116" s="1">
        <f>MIN($H116)</f>
        <v>0</v>
      </c>
      <c r="Z116" s="1">
        <f>MIN($I116)</f>
        <v>0</v>
      </c>
      <c r="AA116" s="1">
        <f>MIN($J116)</f>
        <v>0</v>
      </c>
      <c r="AB116" s="1">
        <f>MIN($K116)</f>
        <v>0</v>
      </c>
      <c r="AC116" s="1">
        <f>MIN($M116)</f>
        <v>0</v>
      </c>
      <c r="AD116" s="1">
        <f>MIN($N116)</f>
        <v>0</v>
      </c>
      <c r="AE116" s="1">
        <f>MIN($P116)</f>
        <v>0</v>
      </c>
      <c r="AF116" s="1">
        <f>MIN($Q116)</f>
        <v>0</v>
      </c>
      <c r="AG116" s="1">
        <f>MIN($R116)</f>
        <v>0</v>
      </c>
      <c r="AH116" s="1">
        <f>MEDIAN($B116)</f>
        <v>0</v>
      </c>
      <c r="AI116" s="1">
        <f>MEDIAN($C116)</f>
        <v>0</v>
      </c>
      <c r="AJ116" s="1">
        <f>MEDIAN($D116)</f>
        <v>0</v>
      </c>
      <c r="AK116" s="1">
        <f>MEDIAN($E116)</f>
        <v>0</v>
      </c>
      <c r="AL116" s="1">
        <f>MEDIAN($F116)</f>
        <v>0</v>
      </c>
      <c r="AM116" s="1">
        <f>MEDIAN($G116)</f>
        <v>0</v>
      </c>
      <c r="AN116" s="1">
        <f>MEDIAN($H116)</f>
        <v>0</v>
      </c>
      <c r="AO116" s="1">
        <f>MEDIAN($I116)</f>
        <v>0</v>
      </c>
      <c r="AP116" s="1">
        <f>MEDIAN($J116)</f>
        <v>0</v>
      </c>
      <c r="AQ116" s="1">
        <f>MEDIAN($K116)</f>
        <v>0</v>
      </c>
      <c r="AR116" s="1">
        <f>MEDIAN($M116)</f>
        <v>0</v>
      </c>
      <c r="AS116" s="1">
        <f>MEDIAN($N116)</f>
        <v>0</v>
      </c>
      <c r="AT116" s="1">
        <f>MEDIAN($P116)</f>
        <v>0</v>
      </c>
      <c r="AU116" s="1">
        <f>MEDIAN($Q116)</f>
        <v>0</v>
      </c>
      <c r="AV116" s="1">
        <f>MEDIAN($R116)</f>
        <v>0</v>
      </c>
      <c r="AW116" s="1">
        <f>MAX($B116)</f>
        <v>0</v>
      </c>
      <c r="AX116" s="1">
        <f>MAX($C116)</f>
        <v>0</v>
      </c>
      <c r="AY116" s="1">
        <f>MAX($D116)</f>
        <v>0</v>
      </c>
      <c r="AZ116" s="1">
        <f>MAX($E116)</f>
        <v>0</v>
      </c>
      <c r="BA116" s="1">
        <f>MAX($F116)</f>
        <v>0</v>
      </c>
      <c r="BB116" s="1">
        <f>MAX($G116)</f>
        <v>0</v>
      </c>
      <c r="BC116" s="1">
        <f>MAX($H116)</f>
        <v>0</v>
      </c>
      <c r="BD116" s="1">
        <f>MAX($I116)</f>
        <v>0</v>
      </c>
      <c r="BE116" s="1">
        <f>MAX($J116)</f>
        <v>0</v>
      </c>
      <c r="BF116" s="1">
        <f>MAX($K116)</f>
        <v>0</v>
      </c>
      <c r="BG116" s="1">
        <f>MAX($M116)</f>
        <v>0</v>
      </c>
      <c r="BH116" s="1">
        <f>MAX($N116)</f>
        <v>0</v>
      </c>
      <c r="BI116" s="1">
        <f>MAX($P116)</f>
        <v>0</v>
      </c>
      <c r="BJ116" s="1">
        <f>MAX($Q116)</f>
        <v>0</v>
      </c>
      <c r="BK116" s="1">
        <f>MAX($R116)</f>
        <v>0</v>
      </c>
    </row>
    <row r="117" spans="1:63">
      <c r="A117" s="1" t="s">
        <v>114</v>
      </c>
      <c r="B117" s="1">
        <v>0</v>
      </c>
      <c r="C117" s="1">
        <v>0</v>
      </c>
      <c r="D117" s="1">
        <v>0</v>
      </c>
      <c r="E117" s="1">
        <v>0</v>
      </c>
      <c r="F117" s="1">
        <v>32929</v>
      </c>
      <c r="G117" s="1">
        <v>0</v>
      </c>
      <c r="H117" s="1">
        <v>0</v>
      </c>
      <c r="I117" s="1">
        <v>866.681</v>
      </c>
      <c r="J117" s="1">
        <v>12000</v>
      </c>
      <c r="K117" s="1">
        <v>0</v>
      </c>
      <c r="L117" s="1" t="s">
        <v>205</v>
      </c>
      <c r="M117" s="1">
        <v>0</v>
      </c>
      <c r="N117" s="1">
        <v>0</v>
      </c>
      <c r="O117" s="1" t="s">
        <v>209</v>
      </c>
      <c r="P117" s="1">
        <v>6000</v>
      </c>
      <c r="Q117" s="1">
        <v>1</v>
      </c>
      <c r="R117" s="1">
        <v>0</v>
      </c>
      <c r="S117" s="1">
        <f>MIN($B117)</f>
        <v>0</v>
      </c>
      <c r="T117" s="1">
        <f>MIN($C117)</f>
        <v>0</v>
      </c>
      <c r="U117" s="1">
        <f>MIN($D117)</f>
        <v>0</v>
      </c>
      <c r="V117" s="1">
        <f>MIN($E117)</f>
        <v>0</v>
      </c>
      <c r="W117" s="1">
        <f>MIN($F117)</f>
        <v>0</v>
      </c>
      <c r="X117" s="1">
        <f>MIN($G117)</f>
        <v>0</v>
      </c>
      <c r="Y117" s="1">
        <f>MIN($H117)</f>
        <v>0</v>
      </c>
      <c r="Z117" s="1">
        <f>MIN($I117)</f>
        <v>0</v>
      </c>
      <c r="AA117" s="1">
        <f>MIN($J117)</f>
        <v>0</v>
      </c>
      <c r="AB117" s="1">
        <f>MIN($K117)</f>
        <v>0</v>
      </c>
      <c r="AC117" s="1">
        <f>MIN($M117)</f>
        <v>0</v>
      </c>
      <c r="AD117" s="1">
        <f>MIN($N117)</f>
        <v>0</v>
      </c>
      <c r="AE117" s="1">
        <f>MIN($P117)</f>
        <v>0</v>
      </c>
      <c r="AF117" s="1">
        <f>MIN($Q117)</f>
        <v>0</v>
      </c>
      <c r="AG117" s="1">
        <f>MIN($R117)</f>
        <v>0</v>
      </c>
      <c r="AH117" s="1">
        <f>MEDIAN($B117)</f>
        <v>0</v>
      </c>
      <c r="AI117" s="1">
        <f>MEDIAN($C117)</f>
        <v>0</v>
      </c>
      <c r="AJ117" s="1">
        <f>MEDIAN($D117)</f>
        <v>0</v>
      </c>
      <c r="AK117" s="1">
        <f>MEDIAN($E117)</f>
        <v>0</v>
      </c>
      <c r="AL117" s="1">
        <f>MEDIAN($F117)</f>
        <v>0</v>
      </c>
      <c r="AM117" s="1">
        <f>MEDIAN($G117)</f>
        <v>0</v>
      </c>
      <c r="AN117" s="1">
        <f>MEDIAN($H117)</f>
        <v>0</v>
      </c>
      <c r="AO117" s="1">
        <f>MEDIAN($I117)</f>
        <v>0</v>
      </c>
      <c r="AP117" s="1">
        <f>MEDIAN($J117)</f>
        <v>0</v>
      </c>
      <c r="AQ117" s="1">
        <f>MEDIAN($K117)</f>
        <v>0</v>
      </c>
      <c r="AR117" s="1">
        <f>MEDIAN($M117)</f>
        <v>0</v>
      </c>
      <c r="AS117" s="1">
        <f>MEDIAN($N117)</f>
        <v>0</v>
      </c>
      <c r="AT117" s="1">
        <f>MEDIAN($P117)</f>
        <v>0</v>
      </c>
      <c r="AU117" s="1">
        <f>MEDIAN($Q117)</f>
        <v>0</v>
      </c>
      <c r="AV117" s="1">
        <f>MEDIAN($R117)</f>
        <v>0</v>
      </c>
      <c r="AW117" s="1">
        <f>MAX($B117)</f>
        <v>0</v>
      </c>
      <c r="AX117" s="1">
        <f>MAX($C117)</f>
        <v>0</v>
      </c>
      <c r="AY117" s="1">
        <f>MAX($D117)</f>
        <v>0</v>
      </c>
      <c r="AZ117" s="1">
        <f>MAX($E117)</f>
        <v>0</v>
      </c>
      <c r="BA117" s="1">
        <f>MAX($F117)</f>
        <v>0</v>
      </c>
      <c r="BB117" s="1">
        <f>MAX($G117)</f>
        <v>0</v>
      </c>
      <c r="BC117" s="1">
        <f>MAX($H117)</f>
        <v>0</v>
      </c>
      <c r="BD117" s="1">
        <f>MAX($I117)</f>
        <v>0</v>
      </c>
      <c r="BE117" s="1">
        <f>MAX($J117)</f>
        <v>0</v>
      </c>
      <c r="BF117" s="1">
        <f>MAX($K117)</f>
        <v>0</v>
      </c>
      <c r="BG117" s="1">
        <f>MAX($M117)</f>
        <v>0</v>
      </c>
      <c r="BH117" s="1">
        <f>MAX($N117)</f>
        <v>0</v>
      </c>
      <c r="BI117" s="1">
        <f>MAX($P117)</f>
        <v>0</v>
      </c>
      <c r="BJ117" s="1">
        <f>MAX($Q117)</f>
        <v>0</v>
      </c>
      <c r="BK117" s="1">
        <f>MAX($R117)</f>
        <v>0</v>
      </c>
    </row>
    <row r="118" spans="1:63">
      <c r="A118" s="1" t="s">
        <v>115</v>
      </c>
      <c r="B118" s="1">
        <v>0</v>
      </c>
      <c r="C118" s="1">
        <v>0</v>
      </c>
      <c r="D118" s="1">
        <v>0</v>
      </c>
      <c r="E118" s="1">
        <v>0</v>
      </c>
      <c r="F118" s="1">
        <v>32979</v>
      </c>
      <c r="G118" s="1">
        <v>0</v>
      </c>
      <c r="H118" s="1">
        <v>0</v>
      </c>
      <c r="I118" s="1">
        <v>584.824</v>
      </c>
      <c r="J118" s="1">
        <v>12000</v>
      </c>
      <c r="K118" s="1">
        <v>0</v>
      </c>
      <c r="L118" s="1" t="s">
        <v>203</v>
      </c>
      <c r="M118" s="1">
        <v>0</v>
      </c>
      <c r="N118" s="1">
        <v>0</v>
      </c>
      <c r="O118" s="1" t="s">
        <v>209</v>
      </c>
      <c r="P118" s="1">
        <v>6000</v>
      </c>
      <c r="Q118" s="1">
        <v>1</v>
      </c>
      <c r="R118" s="1">
        <v>0</v>
      </c>
      <c r="S118" s="1">
        <f>MIN($B118)</f>
        <v>0</v>
      </c>
      <c r="T118" s="1">
        <f>MIN($C118)</f>
        <v>0</v>
      </c>
      <c r="U118" s="1">
        <f>MIN($D118)</f>
        <v>0</v>
      </c>
      <c r="V118" s="1">
        <f>MIN($E118)</f>
        <v>0</v>
      </c>
      <c r="W118" s="1">
        <f>MIN($F118)</f>
        <v>0</v>
      </c>
      <c r="X118" s="1">
        <f>MIN($G118)</f>
        <v>0</v>
      </c>
      <c r="Y118" s="1">
        <f>MIN($H118)</f>
        <v>0</v>
      </c>
      <c r="Z118" s="1">
        <f>MIN($I118)</f>
        <v>0</v>
      </c>
      <c r="AA118" s="1">
        <f>MIN($J118)</f>
        <v>0</v>
      </c>
      <c r="AB118" s="1">
        <f>MIN($K118)</f>
        <v>0</v>
      </c>
      <c r="AC118" s="1">
        <f>MIN($M118)</f>
        <v>0</v>
      </c>
      <c r="AD118" s="1">
        <f>MIN($N118)</f>
        <v>0</v>
      </c>
      <c r="AE118" s="1">
        <f>MIN($P118)</f>
        <v>0</v>
      </c>
      <c r="AF118" s="1">
        <f>MIN($Q118)</f>
        <v>0</v>
      </c>
      <c r="AG118" s="1">
        <f>MIN($R118)</f>
        <v>0</v>
      </c>
      <c r="AH118" s="1">
        <f>MEDIAN($B118)</f>
        <v>0</v>
      </c>
      <c r="AI118" s="1">
        <f>MEDIAN($C118)</f>
        <v>0</v>
      </c>
      <c r="AJ118" s="1">
        <f>MEDIAN($D118)</f>
        <v>0</v>
      </c>
      <c r="AK118" s="1">
        <f>MEDIAN($E118)</f>
        <v>0</v>
      </c>
      <c r="AL118" s="1">
        <f>MEDIAN($F118)</f>
        <v>0</v>
      </c>
      <c r="AM118" s="1">
        <f>MEDIAN($G118)</f>
        <v>0</v>
      </c>
      <c r="AN118" s="1">
        <f>MEDIAN($H118)</f>
        <v>0</v>
      </c>
      <c r="AO118" s="1">
        <f>MEDIAN($I118)</f>
        <v>0</v>
      </c>
      <c r="AP118" s="1">
        <f>MEDIAN($J118)</f>
        <v>0</v>
      </c>
      <c r="AQ118" s="1">
        <f>MEDIAN($K118)</f>
        <v>0</v>
      </c>
      <c r="AR118" s="1">
        <f>MEDIAN($M118)</f>
        <v>0</v>
      </c>
      <c r="AS118" s="1">
        <f>MEDIAN($N118)</f>
        <v>0</v>
      </c>
      <c r="AT118" s="1">
        <f>MEDIAN($P118)</f>
        <v>0</v>
      </c>
      <c r="AU118" s="1">
        <f>MEDIAN($Q118)</f>
        <v>0</v>
      </c>
      <c r="AV118" s="1">
        <f>MEDIAN($R118)</f>
        <v>0</v>
      </c>
      <c r="AW118" s="1">
        <f>MAX($B118)</f>
        <v>0</v>
      </c>
      <c r="AX118" s="1">
        <f>MAX($C118)</f>
        <v>0</v>
      </c>
      <c r="AY118" s="1">
        <f>MAX($D118)</f>
        <v>0</v>
      </c>
      <c r="AZ118" s="1">
        <f>MAX($E118)</f>
        <v>0</v>
      </c>
      <c r="BA118" s="1">
        <f>MAX($F118)</f>
        <v>0</v>
      </c>
      <c r="BB118" s="1">
        <f>MAX($G118)</f>
        <v>0</v>
      </c>
      <c r="BC118" s="1">
        <f>MAX($H118)</f>
        <v>0</v>
      </c>
      <c r="BD118" s="1">
        <f>MAX($I118)</f>
        <v>0</v>
      </c>
      <c r="BE118" s="1">
        <f>MAX($J118)</f>
        <v>0</v>
      </c>
      <c r="BF118" s="1">
        <f>MAX($K118)</f>
        <v>0</v>
      </c>
      <c r="BG118" s="1">
        <f>MAX($M118)</f>
        <v>0</v>
      </c>
      <c r="BH118" s="1">
        <f>MAX($N118)</f>
        <v>0</v>
      </c>
      <c r="BI118" s="1">
        <f>MAX($P118)</f>
        <v>0</v>
      </c>
      <c r="BJ118" s="1">
        <f>MAX($Q118)</f>
        <v>0</v>
      </c>
      <c r="BK118" s="1">
        <f>MAX($R118)</f>
        <v>0</v>
      </c>
    </row>
    <row r="119" spans="1:63">
      <c r="A119" s="1" t="s">
        <v>116</v>
      </c>
      <c r="B119" s="1"/>
      <c r="C119" s="1"/>
      <c r="D119" s="1"/>
      <c r="E119" s="1">
        <v>1</v>
      </c>
      <c r="F119" s="1">
        <v>18204</v>
      </c>
      <c r="G119" s="1">
        <v>0</v>
      </c>
      <c r="H119" s="1"/>
      <c r="I119" s="1"/>
      <c r="J119" s="1">
        <v>12000</v>
      </c>
      <c r="K119" s="1"/>
      <c r="L119" s="1" t="s">
        <v>203</v>
      </c>
      <c r="M119" s="1"/>
      <c r="N119" s="1"/>
      <c r="O119" s="1"/>
      <c r="P119" s="1">
        <v>6000</v>
      </c>
      <c r="Q119" s="1">
        <v>1</v>
      </c>
      <c r="R119" s="1"/>
      <c r="S119" s="1"/>
      <c r="T119" s="1"/>
      <c r="U119" s="1"/>
      <c r="V119" s="1">
        <f>MIN($E119)</f>
        <v>0</v>
      </c>
      <c r="W119" s="1">
        <f>MIN($F119)</f>
        <v>0</v>
      </c>
      <c r="X119" s="1">
        <f>MIN($G119)</f>
        <v>0</v>
      </c>
      <c r="Y119" s="1"/>
      <c r="Z119" s="1"/>
      <c r="AA119" s="1">
        <f>MIN($J119)</f>
        <v>0</v>
      </c>
      <c r="AB119" s="1"/>
      <c r="AC119" s="1"/>
      <c r="AD119" s="1"/>
      <c r="AE119" s="1">
        <f>MIN($P119)</f>
        <v>0</v>
      </c>
      <c r="AF119" s="1">
        <f>MIN($Q119)</f>
        <v>0</v>
      </c>
      <c r="AG119" s="1"/>
      <c r="AH119" s="1"/>
      <c r="AI119" s="1"/>
      <c r="AJ119" s="1"/>
      <c r="AK119" s="1">
        <f>MEDIAN($E119)</f>
        <v>0</v>
      </c>
      <c r="AL119" s="1">
        <f>MEDIAN($F119)</f>
        <v>0</v>
      </c>
      <c r="AM119" s="1">
        <f>MEDIAN($G119)</f>
        <v>0</v>
      </c>
      <c r="AN119" s="1"/>
      <c r="AO119" s="1"/>
      <c r="AP119" s="1">
        <f>MEDIAN($J119)</f>
        <v>0</v>
      </c>
      <c r="AQ119" s="1"/>
      <c r="AR119" s="1"/>
      <c r="AS119" s="1"/>
      <c r="AT119" s="1">
        <f>MEDIAN($P119)</f>
        <v>0</v>
      </c>
      <c r="AU119" s="1">
        <f>MEDIAN($Q119)</f>
        <v>0</v>
      </c>
      <c r="AV119" s="1"/>
      <c r="AW119" s="1"/>
      <c r="AX119" s="1"/>
      <c r="AY119" s="1"/>
      <c r="AZ119" s="1">
        <f>MAX($E119)</f>
        <v>0</v>
      </c>
      <c r="BA119" s="1">
        <f>MAX($F119)</f>
        <v>0</v>
      </c>
      <c r="BB119" s="1">
        <f>MAX($G119)</f>
        <v>0</v>
      </c>
      <c r="BC119" s="1"/>
      <c r="BD119" s="1"/>
      <c r="BE119" s="1">
        <f>MAX($J119)</f>
        <v>0</v>
      </c>
      <c r="BF119" s="1"/>
      <c r="BG119" s="1"/>
      <c r="BH119" s="1"/>
      <c r="BI119" s="1">
        <f>MAX($P119)</f>
        <v>0</v>
      </c>
      <c r="BJ119" s="1">
        <f>MAX($Q119)</f>
        <v>0</v>
      </c>
      <c r="BK119" s="1"/>
    </row>
    <row r="120" spans="1:63">
      <c r="A120" s="1" t="s">
        <v>117</v>
      </c>
      <c r="B120" s="1">
        <v>0</v>
      </c>
      <c r="C120" s="1">
        <v>0</v>
      </c>
      <c r="D120" s="1">
        <v>0</v>
      </c>
      <c r="E120" s="1">
        <v>0</v>
      </c>
      <c r="F120" s="1">
        <v>23935</v>
      </c>
      <c r="G120" s="1">
        <v>0</v>
      </c>
      <c r="H120" s="1">
        <v>0</v>
      </c>
      <c r="I120" s="1">
        <v>571.398</v>
      </c>
      <c r="J120" s="1">
        <v>12000</v>
      </c>
      <c r="K120" s="1">
        <v>0</v>
      </c>
      <c r="L120" s="1" t="s">
        <v>204</v>
      </c>
      <c r="M120" s="1">
        <v>0</v>
      </c>
      <c r="N120" s="1">
        <v>0</v>
      </c>
      <c r="O120" s="1" t="s">
        <v>209</v>
      </c>
      <c r="P120" s="1">
        <v>6000</v>
      </c>
      <c r="Q120" s="1">
        <v>1</v>
      </c>
      <c r="R120" s="1">
        <v>0</v>
      </c>
      <c r="S120" s="1">
        <f>MIN($B120)</f>
        <v>0</v>
      </c>
      <c r="T120" s="1">
        <f>MIN($C120)</f>
        <v>0</v>
      </c>
      <c r="U120" s="1">
        <f>MIN($D120)</f>
        <v>0</v>
      </c>
      <c r="V120" s="1">
        <f>MIN($E120)</f>
        <v>0</v>
      </c>
      <c r="W120" s="1">
        <f>MIN($F120)</f>
        <v>0</v>
      </c>
      <c r="X120" s="1">
        <f>MIN($G120)</f>
        <v>0</v>
      </c>
      <c r="Y120" s="1">
        <f>MIN($H120)</f>
        <v>0</v>
      </c>
      <c r="Z120" s="1">
        <f>MIN($I120)</f>
        <v>0</v>
      </c>
      <c r="AA120" s="1">
        <f>MIN($J120)</f>
        <v>0</v>
      </c>
      <c r="AB120" s="1">
        <f>MIN($K120)</f>
        <v>0</v>
      </c>
      <c r="AC120" s="1">
        <f>MIN($M120)</f>
        <v>0</v>
      </c>
      <c r="AD120" s="1">
        <f>MIN($N120)</f>
        <v>0</v>
      </c>
      <c r="AE120" s="1">
        <f>MIN($P120)</f>
        <v>0</v>
      </c>
      <c r="AF120" s="1">
        <f>MIN($Q120)</f>
        <v>0</v>
      </c>
      <c r="AG120" s="1">
        <f>MIN($R120)</f>
        <v>0</v>
      </c>
      <c r="AH120" s="1">
        <f>MEDIAN($B120)</f>
        <v>0</v>
      </c>
      <c r="AI120" s="1">
        <f>MEDIAN($C120)</f>
        <v>0</v>
      </c>
      <c r="AJ120" s="1">
        <f>MEDIAN($D120)</f>
        <v>0</v>
      </c>
      <c r="AK120" s="1">
        <f>MEDIAN($E120)</f>
        <v>0</v>
      </c>
      <c r="AL120" s="1">
        <f>MEDIAN($F120)</f>
        <v>0</v>
      </c>
      <c r="AM120" s="1">
        <f>MEDIAN($G120)</f>
        <v>0</v>
      </c>
      <c r="AN120" s="1">
        <f>MEDIAN($H120)</f>
        <v>0</v>
      </c>
      <c r="AO120" s="1">
        <f>MEDIAN($I120)</f>
        <v>0</v>
      </c>
      <c r="AP120" s="1">
        <f>MEDIAN($J120)</f>
        <v>0</v>
      </c>
      <c r="AQ120" s="1">
        <f>MEDIAN($K120)</f>
        <v>0</v>
      </c>
      <c r="AR120" s="1">
        <f>MEDIAN($M120)</f>
        <v>0</v>
      </c>
      <c r="AS120" s="1">
        <f>MEDIAN($N120)</f>
        <v>0</v>
      </c>
      <c r="AT120" s="1">
        <f>MEDIAN($P120)</f>
        <v>0</v>
      </c>
      <c r="AU120" s="1">
        <f>MEDIAN($Q120)</f>
        <v>0</v>
      </c>
      <c r="AV120" s="1">
        <f>MEDIAN($R120)</f>
        <v>0</v>
      </c>
      <c r="AW120" s="1">
        <f>MAX($B120)</f>
        <v>0</v>
      </c>
      <c r="AX120" s="1">
        <f>MAX($C120)</f>
        <v>0</v>
      </c>
      <c r="AY120" s="1">
        <f>MAX($D120)</f>
        <v>0</v>
      </c>
      <c r="AZ120" s="1">
        <f>MAX($E120)</f>
        <v>0</v>
      </c>
      <c r="BA120" s="1">
        <f>MAX($F120)</f>
        <v>0</v>
      </c>
      <c r="BB120" s="1">
        <f>MAX($G120)</f>
        <v>0</v>
      </c>
      <c r="BC120" s="1">
        <f>MAX($H120)</f>
        <v>0</v>
      </c>
      <c r="BD120" s="1">
        <f>MAX($I120)</f>
        <v>0</v>
      </c>
      <c r="BE120" s="1">
        <f>MAX($J120)</f>
        <v>0</v>
      </c>
      <c r="BF120" s="1">
        <f>MAX($K120)</f>
        <v>0</v>
      </c>
      <c r="BG120" s="1">
        <f>MAX($M120)</f>
        <v>0</v>
      </c>
      <c r="BH120" s="1">
        <f>MAX($N120)</f>
        <v>0</v>
      </c>
      <c r="BI120" s="1">
        <f>MAX($P120)</f>
        <v>0</v>
      </c>
      <c r="BJ120" s="1">
        <f>MAX($Q120)</f>
        <v>0</v>
      </c>
      <c r="BK120" s="1">
        <f>MAX($R120)</f>
        <v>0</v>
      </c>
    </row>
    <row r="121" spans="1:63">
      <c r="A121" s="1" t="s">
        <v>118</v>
      </c>
      <c r="B121" s="1">
        <v>0</v>
      </c>
      <c r="C121" s="1">
        <v>0</v>
      </c>
      <c r="D121" s="1">
        <v>0</v>
      </c>
      <c r="E121" s="1">
        <v>0</v>
      </c>
      <c r="F121" s="1">
        <v>41133</v>
      </c>
      <c r="G121" s="1">
        <v>0</v>
      </c>
      <c r="H121" s="1">
        <v>0</v>
      </c>
      <c r="I121" s="1">
        <v>693.26</v>
      </c>
      <c r="J121" s="1">
        <v>12000</v>
      </c>
      <c r="K121" s="1">
        <v>0</v>
      </c>
      <c r="L121" s="1" t="s">
        <v>205</v>
      </c>
      <c r="M121" s="1">
        <v>0</v>
      </c>
      <c r="N121" s="1">
        <v>0</v>
      </c>
      <c r="O121" s="1" t="s">
        <v>209</v>
      </c>
      <c r="P121" s="1">
        <v>6000</v>
      </c>
      <c r="Q121" s="1">
        <v>1</v>
      </c>
      <c r="R121" s="1">
        <v>0</v>
      </c>
      <c r="S121" s="1">
        <f>MIN($B121)</f>
        <v>0</v>
      </c>
      <c r="T121" s="1">
        <f>MIN($C121)</f>
        <v>0</v>
      </c>
      <c r="U121" s="1">
        <f>MIN($D121)</f>
        <v>0</v>
      </c>
      <c r="V121" s="1">
        <f>MIN($E121)</f>
        <v>0</v>
      </c>
      <c r="W121" s="1">
        <f>MIN($F121)</f>
        <v>0</v>
      </c>
      <c r="X121" s="1">
        <f>MIN($G121)</f>
        <v>0</v>
      </c>
      <c r="Y121" s="1">
        <f>MIN($H121)</f>
        <v>0</v>
      </c>
      <c r="Z121" s="1">
        <f>MIN($I121)</f>
        <v>0</v>
      </c>
      <c r="AA121" s="1">
        <f>MIN($J121)</f>
        <v>0</v>
      </c>
      <c r="AB121" s="1">
        <f>MIN($K121)</f>
        <v>0</v>
      </c>
      <c r="AC121" s="1">
        <f>MIN($M121)</f>
        <v>0</v>
      </c>
      <c r="AD121" s="1">
        <f>MIN($N121)</f>
        <v>0</v>
      </c>
      <c r="AE121" s="1">
        <f>MIN($P121)</f>
        <v>0</v>
      </c>
      <c r="AF121" s="1">
        <f>MIN($Q121)</f>
        <v>0</v>
      </c>
      <c r="AG121" s="1">
        <f>MIN($R121)</f>
        <v>0</v>
      </c>
      <c r="AH121" s="1">
        <f>MEDIAN($B121)</f>
        <v>0</v>
      </c>
      <c r="AI121" s="1">
        <f>MEDIAN($C121)</f>
        <v>0</v>
      </c>
      <c r="AJ121" s="1">
        <f>MEDIAN($D121)</f>
        <v>0</v>
      </c>
      <c r="AK121" s="1">
        <f>MEDIAN($E121)</f>
        <v>0</v>
      </c>
      <c r="AL121" s="1">
        <f>MEDIAN($F121)</f>
        <v>0</v>
      </c>
      <c r="AM121" s="1">
        <f>MEDIAN($G121)</f>
        <v>0</v>
      </c>
      <c r="AN121" s="1">
        <f>MEDIAN($H121)</f>
        <v>0</v>
      </c>
      <c r="AO121" s="1">
        <f>MEDIAN($I121)</f>
        <v>0</v>
      </c>
      <c r="AP121" s="1">
        <f>MEDIAN($J121)</f>
        <v>0</v>
      </c>
      <c r="AQ121" s="1">
        <f>MEDIAN($K121)</f>
        <v>0</v>
      </c>
      <c r="AR121" s="1">
        <f>MEDIAN($M121)</f>
        <v>0</v>
      </c>
      <c r="AS121" s="1">
        <f>MEDIAN($N121)</f>
        <v>0</v>
      </c>
      <c r="AT121" s="1">
        <f>MEDIAN($P121)</f>
        <v>0</v>
      </c>
      <c r="AU121" s="1">
        <f>MEDIAN($Q121)</f>
        <v>0</v>
      </c>
      <c r="AV121" s="1">
        <f>MEDIAN($R121)</f>
        <v>0</v>
      </c>
      <c r="AW121" s="1">
        <f>MAX($B121)</f>
        <v>0</v>
      </c>
      <c r="AX121" s="1">
        <f>MAX($C121)</f>
        <v>0</v>
      </c>
      <c r="AY121" s="1">
        <f>MAX($D121)</f>
        <v>0</v>
      </c>
      <c r="AZ121" s="1">
        <f>MAX($E121)</f>
        <v>0</v>
      </c>
      <c r="BA121" s="1">
        <f>MAX($F121)</f>
        <v>0</v>
      </c>
      <c r="BB121" s="1">
        <f>MAX($G121)</f>
        <v>0</v>
      </c>
      <c r="BC121" s="1">
        <f>MAX($H121)</f>
        <v>0</v>
      </c>
      <c r="BD121" s="1">
        <f>MAX($I121)</f>
        <v>0</v>
      </c>
      <c r="BE121" s="1">
        <f>MAX($J121)</f>
        <v>0</v>
      </c>
      <c r="BF121" s="1">
        <f>MAX($K121)</f>
        <v>0</v>
      </c>
      <c r="BG121" s="1">
        <f>MAX($M121)</f>
        <v>0</v>
      </c>
      <c r="BH121" s="1">
        <f>MAX($N121)</f>
        <v>0</v>
      </c>
      <c r="BI121" s="1">
        <f>MAX($P121)</f>
        <v>0</v>
      </c>
      <c r="BJ121" s="1">
        <f>MAX($Q121)</f>
        <v>0</v>
      </c>
      <c r="BK121" s="1">
        <f>MAX($R121)</f>
        <v>0</v>
      </c>
    </row>
    <row r="122" spans="1:63">
      <c r="A122" s="1" t="s">
        <v>119</v>
      </c>
      <c r="B122" s="1"/>
      <c r="C122" s="1"/>
      <c r="D122" s="1"/>
      <c r="E122" s="1">
        <v>1</v>
      </c>
      <c r="F122" s="1">
        <v>14161</v>
      </c>
      <c r="G122" s="1">
        <v>0</v>
      </c>
      <c r="H122" s="1"/>
      <c r="I122" s="1"/>
      <c r="J122" s="1">
        <v>12000</v>
      </c>
      <c r="K122" s="1"/>
      <c r="L122" s="1" t="s">
        <v>203</v>
      </c>
      <c r="M122" s="1"/>
      <c r="N122" s="1"/>
      <c r="O122" s="1"/>
      <c r="P122" s="1">
        <v>6000</v>
      </c>
      <c r="Q122" s="1">
        <v>1</v>
      </c>
      <c r="R122" s="1"/>
      <c r="S122" s="1"/>
      <c r="T122" s="1"/>
      <c r="U122" s="1"/>
      <c r="V122" s="1">
        <f>MIN($E122)</f>
        <v>0</v>
      </c>
      <c r="W122" s="1">
        <f>MIN($F122)</f>
        <v>0</v>
      </c>
      <c r="X122" s="1">
        <f>MIN($G122)</f>
        <v>0</v>
      </c>
      <c r="Y122" s="1"/>
      <c r="Z122" s="1"/>
      <c r="AA122" s="1">
        <f>MIN($J122)</f>
        <v>0</v>
      </c>
      <c r="AB122" s="1"/>
      <c r="AC122" s="1"/>
      <c r="AD122" s="1"/>
      <c r="AE122" s="1">
        <f>MIN($P122)</f>
        <v>0</v>
      </c>
      <c r="AF122" s="1">
        <f>MIN($Q122)</f>
        <v>0</v>
      </c>
      <c r="AG122" s="1"/>
      <c r="AH122" s="1"/>
      <c r="AI122" s="1"/>
      <c r="AJ122" s="1"/>
      <c r="AK122" s="1">
        <f>MEDIAN($E122)</f>
        <v>0</v>
      </c>
      <c r="AL122" s="1">
        <f>MEDIAN($F122)</f>
        <v>0</v>
      </c>
      <c r="AM122" s="1">
        <f>MEDIAN($G122)</f>
        <v>0</v>
      </c>
      <c r="AN122" s="1"/>
      <c r="AO122" s="1"/>
      <c r="AP122" s="1">
        <f>MEDIAN($J122)</f>
        <v>0</v>
      </c>
      <c r="AQ122" s="1"/>
      <c r="AR122" s="1"/>
      <c r="AS122" s="1"/>
      <c r="AT122" s="1">
        <f>MEDIAN($P122)</f>
        <v>0</v>
      </c>
      <c r="AU122" s="1">
        <f>MEDIAN($Q122)</f>
        <v>0</v>
      </c>
      <c r="AV122" s="1"/>
      <c r="AW122" s="1"/>
      <c r="AX122" s="1"/>
      <c r="AY122" s="1"/>
      <c r="AZ122" s="1">
        <f>MAX($E122)</f>
        <v>0</v>
      </c>
      <c r="BA122" s="1">
        <f>MAX($F122)</f>
        <v>0</v>
      </c>
      <c r="BB122" s="1">
        <f>MAX($G122)</f>
        <v>0</v>
      </c>
      <c r="BC122" s="1"/>
      <c r="BD122" s="1"/>
      <c r="BE122" s="1">
        <f>MAX($J122)</f>
        <v>0</v>
      </c>
      <c r="BF122" s="1"/>
      <c r="BG122" s="1"/>
      <c r="BH122" s="1"/>
      <c r="BI122" s="1">
        <f>MAX($P122)</f>
        <v>0</v>
      </c>
      <c r="BJ122" s="1">
        <f>MAX($Q122)</f>
        <v>0</v>
      </c>
      <c r="BK122" s="1"/>
    </row>
    <row r="123" spans="1:63">
      <c r="A123" s="1" t="s">
        <v>120</v>
      </c>
      <c r="B123" s="1"/>
      <c r="C123" s="1"/>
      <c r="D123" s="1"/>
      <c r="E123" s="1">
        <v>1</v>
      </c>
      <c r="F123" s="1">
        <v>15430</v>
      </c>
      <c r="G123" s="1">
        <v>0</v>
      </c>
      <c r="H123" s="1"/>
      <c r="I123" s="1"/>
      <c r="J123" s="1">
        <v>12000</v>
      </c>
      <c r="K123" s="1"/>
      <c r="L123" s="1" t="s">
        <v>203</v>
      </c>
      <c r="M123" s="1"/>
      <c r="N123" s="1"/>
      <c r="O123" s="1"/>
      <c r="P123" s="1">
        <v>6000</v>
      </c>
      <c r="Q123" s="1">
        <v>1</v>
      </c>
      <c r="R123" s="1"/>
      <c r="S123" s="1"/>
      <c r="T123" s="1"/>
      <c r="U123" s="1"/>
      <c r="V123" s="1">
        <f>MIN($E123)</f>
        <v>0</v>
      </c>
      <c r="W123" s="1">
        <f>MIN($F123)</f>
        <v>0</v>
      </c>
      <c r="X123" s="1">
        <f>MIN($G123)</f>
        <v>0</v>
      </c>
      <c r="Y123" s="1"/>
      <c r="Z123" s="1"/>
      <c r="AA123" s="1">
        <f>MIN($J123)</f>
        <v>0</v>
      </c>
      <c r="AB123" s="1"/>
      <c r="AC123" s="1"/>
      <c r="AD123" s="1"/>
      <c r="AE123" s="1">
        <f>MIN($P123)</f>
        <v>0</v>
      </c>
      <c r="AF123" s="1">
        <f>MIN($Q123)</f>
        <v>0</v>
      </c>
      <c r="AG123" s="1"/>
      <c r="AH123" s="1"/>
      <c r="AI123" s="1"/>
      <c r="AJ123" s="1"/>
      <c r="AK123" s="1">
        <f>MEDIAN($E123)</f>
        <v>0</v>
      </c>
      <c r="AL123" s="1">
        <f>MEDIAN($F123)</f>
        <v>0</v>
      </c>
      <c r="AM123" s="1">
        <f>MEDIAN($G123)</f>
        <v>0</v>
      </c>
      <c r="AN123" s="1"/>
      <c r="AO123" s="1"/>
      <c r="AP123" s="1">
        <f>MEDIAN($J123)</f>
        <v>0</v>
      </c>
      <c r="AQ123" s="1"/>
      <c r="AR123" s="1"/>
      <c r="AS123" s="1"/>
      <c r="AT123" s="1">
        <f>MEDIAN($P123)</f>
        <v>0</v>
      </c>
      <c r="AU123" s="1">
        <f>MEDIAN($Q123)</f>
        <v>0</v>
      </c>
      <c r="AV123" s="1"/>
      <c r="AW123" s="1"/>
      <c r="AX123" s="1"/>
      <c r="AY123" s="1"/>
      <c r="AZ123" s="1">
        <f>MAX($E123)</f>
        <v>0</v>
      </c>
      <c r="BA123" s="1">
        <f>MAX($F123)</f>
        <v>0</v>
      </c>
      <c r="BB123" s="1">
        <f>MAX($G123)</f>
        <v>0</v>
      </c>
      <c r="BC123" s="1"/>
      <c r="BD123" s="1"/>
      <c r="BE123" s="1">
        <f>MAX($J123)</f>
        <v>0</v>
      </c>
      <c r="BF123" s="1"/>
      <c r="BG123" s="1"/>
      <c r="BH123" s="1"/>
      <c r="BI123" s="1">
        <f>MAX($P123)</f>
        <v>0</v>
      </c>
      <c r="BJ123" s="1">
        <f>MAX($Q123)</f>
        <v>0</v>
      </c>
      <c r="BK123" s="1"/>
    </row>
    <row r="124" spans="1:63">
      <c r="A124" s="1" t="s">
        <v>121</v>
      </c>
      <c r="B124" s="1"/>
      <c r="C124" s="1"/>
      <c r="D124" s="1"/>
      <c r="E124" s="1">
        <v>1</v>
      </c>
      <c r="F124" s="1">
        <v>12992</v>
      </c>
      <c r="G124" s="1">
        <v>0</v>
      </c>
      <c r="H124" s="1"/>
      <c r="I124" s="1"/>
      <c r="J124" s="1">
        <v>12000</v>
      </c>
      <c r="K124" s="1"/>
      <c r="L124" s="1" t="s">
        <v>203</v>
      </c>
      <c r="M124" s="1"/>
      <c r="N124" s="1"/>
      <c r="O124" s="1"/>
      <c r="P124" s="1">
        <v>6000</v>
      </c>
      <c r="Q124" s="1">
        <v>1</v>
      </c>
      <c r="R124" s="1"/>
      <c r="S124" s="1"/>
      <c r="T124" s="1"/>
      <c r="U124" s="1"/>
      <c r="V124" s="1">
        <f>MIN($E124)</f>
        <v>0</v>
      </c>
      <c r="W124" s="1">
        <f>MIN($F124)</f>
        <v>0</v>
      </c>
      <c r="X124" s="1">
        <f>MIN($G124)</f>
        <v>0</v>
      </c>
      <c r="Y124" s="1"/>
      <c r="Z124" s="1"/>
      <c r="AA124" s="1">
        <f>MIN($J124)</f>
        <v>0</v>
      </c>
      <c r="AB124" s="1"/>
      <c r="AC124" s="1"/>
      <c r="AD124" s="1"/>
      <c r="AE124" s="1">
        <f>MIN($P124)</f>
        <v>0</v>
      </c>
      <c r="AF124" s="1">
        <f>MIN($Q124)</f>
        <v>0</v>
      </c>
      <c r="AG124" s="1"/>
      <c r="AH124" s="1"/>
      <c r="AI124" s="1"/>
      <c r="AJ124" s="1"/>
      <c r="AK124" s="1">
        <f>MEDIAN($E124)</f>
        <v>0</v>
      </c>
      <c r="AL124" s="1">
        <f>MEDIAN($F124)</f>
        <v>0</v>
      </c>
      <c r="AM124" s="1">
        <f>MEDIAN($G124)</f>
        <v>0</v>
      </c>
      <c r="AN124" s="1"/>
      <c r="AO124" s="1"/>
      <c r="AP124" s="1">
        <f>MEDIAN($J124)</f>
        <v>0</v>
      </c>
      <c r="AQ124" s="1"/>
      <c r="AR124" s="1"/>
      <c r="AS124" s="1"/>
      <c r="AT124" s="1">
        <f>MEDIAN($P124)</f>
        <v>0</v>
      </c>
      <c r="AU124" s="1">
        <f>MEDIAN($Q124)</f>
        <v>0</v>
      </c>
      <c r="AV124" s="1"/>
      <c r="AW124" s="1"/>
      <c r="AX124" s="1"/>
      <c r="AY124" s="1"/>
      <c r="AZ124" s="1">
        <f>MAX($E124)</f>
        <v>0</v>
      </c>
      <c r="BA124" s="1">
        <f>MAX($F124)</f>
        <v>0</v>
      </c>
      <c r="BB124" s="1">
        <f>MAX($G124)</f>
        <v>0</v>
      </c>
      <c r="BC124" s="1"/>
      <c r="BD124" s="1"/>
      <c r="BE124" s="1">
        <f>MAX($J124)</f>
        <v>0</v>
      </c>
      <c r="BF124" s="1"/>
      <c r="BG124" s="1"/>
      <c r="BH124" s="1"/>
      <c r="BI124" s="1">
        <f>MAX($P124)</f>
        <v>0</v>
      </c>
      <c r="BJ124" s="1">
        <f>MAX($Q124)</f>
        <v>0</v>
      </c>
      <c r="BK124" s="1"/>
    </row>
    <row r="125" spans="1:63">
      <c r="A125" s="1" t="s">
        <v>122</v>
      </c>
      <c r="B125" s="1"/>
      <c r="C125" s="1"/>
      <c r="D125" s="1"/>
      <c r="E125" s="1">
        <v>1</v>
      </c>
      <c r="F125" s="1">
        <v>17035</v>
      </c>
      <c r="G125" s="1">
        <v>0</v>
      </c>
      <c r="H125" s="1"/>
      <c r="I125" s="1"/>
      <c r="J125" s="1">
        <v>12000</v>
      </c>
      <c r="K125" s="1"/>
      <c r="L125" s="1" t="s">
        <v>203</v>
      </c>
      <c r="M125" s="1"/>
      <c r="N125" s="1"/>
      <c r="O125" s="1"/>
      <c r="P125" s="1">
        <v>6000</v>
      </c>
      <c r="Q125" s="1">
        <v>1</v>
      </c>
      <c r="R125" s="1"/>
      <c r="S125" s="1"/>
      <c r="T125" s="1"/>
      <c r="U125" s="1"/>
      <c r="V125" s="1">
        <f>MIN($E125)</f>
        <v>0</v>
      </c>
      <c r="W125" s="1">
        <f>MIN($F125)</f>
        <v>0</v>
      </c>
      <c r="X125" s="1">
        <f>MIN($G125)</f>
        <v>0</v>
      </c>
      <c r="Y125" s="1"/>
      <c r="Z125" s="1"/>
      <c r="AA125" s="1">
        <f>MIN($J125)</f>
        <v>0</v>
      </c>
      <c r="AB125" s="1"/>
      <c r="AC125" s="1"/>
      <c r="AD125" s="1"/>
      <c r="AE125" s="1">
        <f>MIN($P125)</f>
        <v>0</v>
      </c>
      <c r="AF125" s="1">
        <f>MIN($Q125)</f>
        <v>0</v>
      </c>
      <c r="AG125" s="1"/>
      <c r="AH125" s="1"/>
      <c r="AI125" s="1"/>
      <c r="AJ125" s="1"/>
      <c r="AK125" s="1">
        <f>MEDIAN($E125)</f>
        <v>0</v>
      </c>
      <c r="AL125" s="1">
        <f>MEDIAN($F125)</f>
        <v>0</v>
      </c>
      <c r="AM125" s="1">
        <f>MEDIAN($G125)</f>
        <v>0</v>
      </c>
      <c r="AN125" s="1"/>
      <c r="AO125" s="1"/>
      <c r="AP125" s="1">
        <f>MEDIAN($J125)</f>
        <v>0</v>
      </c>
      <c r="AQ125" s="1"/>
      <c r="AR125" s="1"/>
      <c r="AS125" s="1"/>
      <c r="AT125" s="1">
        <f>MEDIAN($P125)</f>
        <v>0</v>
      </c>
      <c r="AU125" s="1">
        <f>MEDIAN($Q125)</f>
        <v>0</v>
      </c>
      <c r="AV125" s="1"/>
      <c r="AW125" s="1"/>
      <c r="AX125" s="1"/>
      <c r="AY125" s="1"/>
      <c r="AZ125" s="1">
        <f>MAX($E125)</f>
        <v>0</v>
      </c>
      <c r="BA125" s="1">
        <f>MAX($F125)</f>
        <v>0</v>
      </c>
      <c r="BB125" s="1">
        <f>MAX($G125)</f>
        <v>0</v>
      </c>
      <c r="BC125" s="1"/>
      <c r="BD125" s="1"/>
      <c r="BE125" s="1">
        <f>MAX($J125)</f>
        <v>0</v>
      </c>
      <c r="BF125" s="1"/>
      <c r="BG125" s="1"/>
      <c r="BH125" s="1"/>
      <c r="BI125" s="1">
        <f>MAX($P125)</f>
        <v>0</v>
      </c>
      <c r="BJ125" s="1">
        <f>MAX($Q125)</f>
        <v>0</v>
      </c>
      <c r="BK125" s="1"/>
    </row>
    <row r="126" spans="1:63">
      <c r="A126" s="1" t="s">
        <v>123</v>
      </c>
      <c r="B126" s="1"/>
      <c r="C126" s="1"/>
      <c r="D126" s="1"/>
      <c r="E126" s="1">
        <v>1</v>
      </c>
      <c r="F126" s="1">
        <v>15292</v>
      </c>
      <c r="G126" s="1">
        <v>0</v>
      </c>
      <c r="H126" s="1"/>
      <c r="I126" s="1"/>
      <c r="J126" s="1">
        <v>12000</v>
      </c>
      <c r="K126" s="1"/>
      <c r="L126" s="1" t="s">
        <v>203</v>
      </c>
      <c r="M126" s="1"/>
      <c r="N126" s="1"/>
      <c r="O126" s="1"/>
      <c r="P126" s="1">
        <v>6000</v>
      </c>
      <c r="Q126" s="1">
        <v>1</v>
      </c>
      <c r="R126" s="1"/>
      <c r="S126" s="1"/>
      <c r="T126" s="1"/>
      <c r="U126" s="1"/>
      <c r="V126" s="1">
        <f>MIN($E126)</f>
        <v>0</v>
      </c>
      <c r="W126" s="1">
        <f>MIN($F126)</f>
        <v>0</v>
      </c>
      <c r="X126" s="1">
        <f>MIN($G126)</f>
        <v>0</v>
      </c>
      <c r="Y126" s="1"/>
      <c r="Z126" s="1"/>
      <c r="AA126" s="1">
        <f>MIN($J126)</f>
        <v>0</v>
      </c>
      <c r="AB126" s="1"/>
      <c r="AC126" s="1"/>
      <c r="AD126" s="1"/>
      <c r="AE126" s="1">
        <f>MIN($P126)</f>
        <v>0</v>
      </c>
      <c r="AF126" s="1">
        <f>MIN($Q126)</f>
        <v>0</v>
      </c>
      <c r="AG126" s="1"/>
      <c r="AH126" s="1"/>
      <c r="AI126" s="1"/>
      <c r="AJ126" s="1"/>
      <c r="AK126" s="1">
        <f>MEDIAN($E126)</f>
        <v>0</v>
      </c>
      <c r="AL126" s="1">
        <f>MEDIAN($F126)</f>
        <v>0</v>
      </c>
      <c r="AM126" s="1">
        <f>MEDIAN($G126)</f>
        <v>0</v>
      </c>
      <c r="AN126" s="1"/>
      <c r="AO126" s="1"/>
      <c r="AP126" s="1">
        <f>MEDIAN($J126)</f>
        <v>0</v>
      </c>
      <c r="AQ126" s="1"/>
      <c r="AR126" s="1"/>
      <c r="AS126" s="1"/>
      <c r="AT126" s="1">
        <f>MEDIAN($P126)</f>
        <v>0</v>
      </c>
      <c r="AU126" s="1">
        <f>MEDIAN($Q126)</f>
        <v>0</v>
      </c>
      <c r="AV126" s="1"/>
      <c r="AW126" s="1"/>
      <c r="AX126" s="1"/>
      <c r="AY126" s="1"/>
      <c r="AZ126" s="1">
        <f>MAX($E126)</f>
        <v>0</v>
      </c>
      <c r="BA126" s="1">
        <f>MAX($F126)</f>
        <v>0</v>
      </c>
      <c r="BB126" s="1">
        <f>MAX($G126)</f>
        <v>0</v>
      </c>
      <c r="BC126" s="1"/>
      <c r="BD126" s="1"/>
      <c r="BE126" s="1">
        <f>MAX($J126)</f>
        <v>0</v>
      </c>
      <c r="BF126" s="1"/>
      <c r="BG126" s="1"/>
      <c r="BH126" s="1"/>
      <c r="BI126" s="1">
        <f>MAX($P126)</f>
        <v>0</v>
      </c>
      <c r="BJ126" s="1">
        <f>MAX($Q126)</f>
        <v>0</v>
      </c>
      <c r="BK126" s="1"/>
    </row>
    <row r="127" spans="1:63">
      <c r="A127" s="1" t="s">
        <v>124</v>
      </c>
      <c r="B127" s="1"/>
      <c r="C127" s="1"/>
      <c r="D127" s="1"/>
      <c r="E127" s="1">
        <v>1</v>
      </c>
      <c r="F127" s="1">
        <v>13321</v>
      </c>
      <c r="G127" s="1">
        <v>0</v>
      </c>
      <c r="H127" s="1"/>
      <c r="I127" s="1"/>
      <c r="J127" s="1">
        <v>12000</v>
      </c>
      <c r="K127" s="1"/>
      <c r="L127" s="1" t="s">
        <v>203</v>
      </c>
      <c r="M127" s="1"/>
      <c r="N127" s="1"/>
      <c r="O127" s="1"/>
      <c r="P127" s="1">
        <v>6000</v>
      </c>
      <c r="Q127" s="1">
        <v>1</v>
      </c>
      <c r="R127" s="1"/>
      <c r="S127" s="1"/>
      <c r="T127" s="1"/>
      <c r="U127" s="1"/>
      <c r="V127" s="1">
        <f>MIN($E127)</f>
        <v>0</v>
      </c>
      <c r="W127" s="1">
        <f>MIN($F127)</f>
        <v>0</v>
      </c>
      <c r="X127" s="1">
        <f>MIN($G127)</f>
        <v>0</v>
      </c>
      <c r="Y127" s="1"/>
      <c r="Z127" s="1"/>
      <c r="AA127" s="1">
        <f>MIN($J127)</f>
        <v>0</v>
      </c>
      <c r="AB127" s="1"/>
      <c r="AC127" s="1"/>
      <c r="AD127" s="1"/>
      <c r="AE127" s="1">
        <f>MIN($P127)</f>
        <v>0</v>
      </c>
      <c r="AF127" s="1">
        <f>MIN($Q127)</f>
        <v>0</v>
      </c>
      <c r="AG127" s="1"/>
      <c r="AH127" s="1"/>
      <c r="AI127" s="1"/>
      <c r="AJ127" s="1"/>
      <c r="AK127" s="1">
        <f>MEDIAN($E127)</f>
        <v>0</v>
      </c>
      <c r="AL127" s="1">
        <f>MEDIAN($F127)</f>
        <v>0</v>
      </c>
      <c r="AM127" s="1">
        <f>MEDIAN($G127)</f>
        <v>0</v>
      </c>
      <c r="AN127" s="1"/>
      <c r="AO127" s="1"/>
      <c r="AP127" s="1">
        <f>MEDIAN($J127)</f>
        <v>0</v>
      </c>
      <c r="AQ127" s="1"/>
      <c r="AR127" s="1"/>
      <c r="AS127" s="1"/>
      <c r="AT127" s="1">
        <f>MEDIAN($P127)</f>
        <v>0</v>
      </c>
      <c r="AU127" s="1">
        <f>MEDIAN($Q127)</f>
        <v>0</v>
      </c>
      <c r="AV127" s="1"/>
      <c r="AW127" s="1"/>
      <c r="AX127" s="1"/>
      <c r="AY127" s="1"/>
      <c r="AZ127" s="1">
        <f>MAX($E127)</f>
        <v>0</v>
      </c>
      <c r="BA127" s="1">
        <f>MAX($F127)</f>
        <v>0</v>
      </c>
      <c r="BB127" s="1">
        <f>MAX($G127)</f>
        <v>0</v>
      </c>
      <c r="BC127" s="1"/>
      <c r="BD127" s="1"/>
      <c r="BE127" s="1">
        <f>MAX($J127)</f>
        <v>0</v>
      </c>
      <c r="BF127" s="1"/>
      <c r="BG127" s="1"/>
      <c r="BH127" s="1"/>
      <c r="BI127" s="1">
        <f>MAX($P127)</f>
        <v>0</v>
      </c>
      <c r="BJ127" s="1">
        <f>MAX($Q127)</f>
        <v>0</v>
      </c>
      <c r="BK127" s="1"/>
    </row>
    <row r="128" spans="1:63">
      <c r="A128" s="1" t="s">
        <v>125</v>
      </c>
      <c r="B128" s="1"/>
      <c r="C128" s="1"/>
      <c r="D128" s="1"/>
      <c r="E128" s="1">
        <v>1</v>
      </c>
      <c r="F128" s="1">
        <v>24488</v>
      </c>
      <c r="G128" s="1">
        <v>0</v>
      </c>
      <c r="H128" s="1"/>
      <c r="I128" s="1"/>
      <c r="J128" s="1">
        <v>12000</v>
      </c>
      <c r="K128" s="1"/>
      <c r="L128" s="1" t="s">
        <v>203</v>
      </c>
      <c r="M128" s="1"/>
      <c r="N128" s="1"/>
      <c r="O128" s="1"/>
      <c r="P128" s="1">
        <v>6000</v>
      </c>
      <c r="Q128" s="1">
        <v>1</v>
      </c>
      <c r="R128" s="1"/>
      <c r="S128" s="1"/>
      <c r="T128" s="1"/>
      <c r="U128" s="1"/>
      <c r="V128" s="1">
        <f>MIN($E128)</f>
        <v>0</v>
      </c>
      <c r="W128" s="1">
        <f>MIN($F128)</f>
        <v>0</v>
      </c>
      <c r="X128" s="1">
        <f>MIN($G128)</f>
        <v>0</v>
      </c>
      <c r="Y128" s="1"/>
      <c r="Z128" s="1"/>
      <c r="AA128" s="1">
        <f>MIN($J128)</f>
        <v>0</v>
      </c>
      <c r="AB128" s="1"/>
      <c r="AC128" s="1"/>
      <c r="AD128" s="1"/>
      <c r="AE128" s="1">
        <f>MIN($P128)</f>
        <v>0</v>
      </c>
      <c r="AF128" s="1">
        <f>MIN($Q128)</f>
        <v>0</v>
      </c>
      <c r="AG128" s="1"/>
      <c r="AH128" s="1"/>
      <c r="AI128" s="1"/>
      <c r="AJ128" s="1"/>
      <c r="AK128" s="1">
        <f>MEDIAN($E128)</f>
        <v>0</v>
      </c>
      <c r="AL128" s="1">
        <f>MEDIAN($F128)</f>
        <v>0</v>
      </c>
      <c r="AM128" s="1">
        <f>MEDIAN($G128)</f>
        <v>0</v>
      </c>
      <c r="AN128" s="1"/>
      <c r="AO128" s="1"/>
      <c r="AP128" s="1">
        <f>MEDIAN($J128)</f>
        <v>0</v>
      </c>
      <c r="AQ128" s="1"/>
      <c r="AR128" s="1"/>
      <c r="AS128" s="1"/>
      <c r="AT128" s="1">
        <f>MEDIAN($P128)</f>
        <v>0</v>
      </c>
      <c r="AU128" s="1">
        <f>MEDIAN($Q128)</f>
        <v>0</v>
      </c>
      <c r="AV128" s="1"/>
      <c r="AW128" s="1"/>
      <c r="AX128" s="1"/>
      <c r="AY128" s="1"/>
      <c r="AZ128" s="1">
        <f>MAX($E128)</f>
        <v>0</v>
      </c>
      <c r="BA128" s="1">
        <f>MAX($F128)</f>
        <v>0</v>
      </c>
      <c r="BB128" s="1">
        <f>MAX($G128)</f>
        <v>0</v>
      </c>
      <c r="BC128" s="1"/>
      <c r="BD128" s="1"/>
      <c r="BE128" s="1">
        <f>MAX($J128)</f>
        <v>0</v>
      </c>
      <c r="BF128" s="1"/>
      <c r="BG128" s="1"/>
      <c r="BH128" s="1"/>
      <c r="BI128" s="1">
        <f>MAX($P128)</f>
        <v>0</v>
      </c>
      <c r="BJ128" s="1">
        <f>MAX($Q128)</f>
        <v>0</v>
      </c>
      <c r="BK128" s="1"/>
    </row>
    <row r="129" spans="1:63">
      <c r="A129" s="1" t="s">
        <v>126</v>
      </c>
      <c r="B129" s="1"/>
      <c r="C129" s="1"/>
      <c r="D129" s="1"/>
      <c r="E129" s="1">
        <v>1</v>
      </c>
      <c r="F129" s="1">
        <v>17687</v>
      </c>
      <c r="G129" s="1">
        <v>0</v>
      </c>
      <c r="H129" s="1"/>
      <c r="I129" s="1"/>
      <c r="J129" s="1">
        <v>12000</v>
      </c>
      <c r="K129" s="1"/>
      <c r="L129" s="1" t="s">
        <v>203</v>
      </c>
      <c r="M129" s="1"/>
      <c r="N129" s="1"/>
      <c r="O129" s="1"/>
      <c r="P129" s="1">
        <v>6000</v>
      </c>
      <c r="Q129" s="1">
        <v>1</v>
      </c>
      <c r="R129" s="1"/>
      <c r="S129" s="1"/>
      <c r="T129" s="1"/>
      <c r="U129" s="1"/>
      <c r="V129" s="1">
        <f>MIN($E129)</f>
        <v>0</v>
      </c>
      <c r="W129" s="1">
        <f>MIN($F129)</f>
        <v>0</v>
      </c>
      <c r="X129" s="1">
        <f>MIN($G129)</f>
        <v>0</v>
      </c>
      <c r="Y129" s="1"/>
      <c r="Z129" s="1"/>
      <c r="AA129" s="1">
        <f>MIN($J129)</f>
        <v>0</v>
      </c>
      <c r="AB129" s="1"/>
      <c r="AC129" s="1"/>
      <c r="AD129" s="1"/>
      <c r="AE129" s="1">
        <f>MIN($P129)</f>
        <v>0</v>
      </c>
      <c r="AF129" s="1">
        <f>MIN($Q129)</f>
        <v>0</v>
      </c>
      <c r="AG129" s="1"/>
      <c r="AH129" s="1"/>
      <c r="AI129" s="1"/>
      <c r="AJ129" s="1"/>
      <c r="AK129" s="1">
        <f>MEDIAN($E129)</f>
        <v>0</v>
      </c>
      <c r="AL129" s="1">
        <f>MEDIAN($F129)</f>
        <v>0</v>
      </c>
      <c r="AM129" s="1">
        <f>MEDIAN($G129)</f>
        <v>0</v>
      </c>
      <c r="AN129" s="1"/>
      <c r="AO129" s="1"/>
      <c r="AP129" s="1">
        <f>MEDIAN($J129)</f>
        <v>0</v>
      </c>
      <c r="AQ129" s="1"/>
      <c r="AR129" s="1"/>
      <c r="AS129" s="1"/>
      <c r="AT129" s="1">
        <f>MEDIAN($P129)</f>
        <v>0</v>
      </c>
      <c r="AU129" s="1">
        <f>MEDIAN($Q129)</f>
        <v>0</v>
      </c>
      <c r="AV129" s="1"/>
      <c r="AW129" s="1"/>
      <c r="AX129" s="1"/>
      <c r="AY129" s="1"/>
      <c r="AZ129" s="1">
        <f>MAX($E129)</f>
        <v>0</v>
      </c>
      <c r="BA129" s="1">
        <f>MAX($F129)</f>
        <v>0</v>
      </c>
      <c r="BB129" s="1">
        <f>MAX($G129)</f>
        <v>0</v>
      </c>
      <c r="BC129" s="1"/>
      <c r="BD129" s="1"/>
      <c r="BE129" s="1">
        <f>MAX($J129)</f>
        <v>0</v>
      </c>
      <c r="BF129" s="1"/>
      <c r="BG129" s="1"/>
      <c r="BH129" s="1"/>
      <c r="BI129" s="1">
        <f>MAX($P129)</f>
        <v>0</v>
      </c>
      <c r="BJ129" s="1">
        <f>MAX($Q129)</f>
        <v>0</v>
      </c>
      <c r="BK129" s="1"/>
    </row>
    <row r="130" spans="1:63">
      <c r="A130" s="1" t="s">
        <v>127</v>
      </c>
      <c r="B130" s="1">
        <v>62</v>
      </c>
      <c r="C130" s="1">
        <v>1</v>
      </c>
      <c r="D130" s="1">
        <v>11650470</v>
      </c>
      <c r="E130" s="1">
        <v>0</v>
      </c>
      <c r="F130" s="1">
        <v>1532</v>
      </c>
      <c r="G130" s="1">
        <v>0</v>
      </c>
      <c r="H130" s="1">
        <v>1</v>
      </c>
      <c r="I130" s="1">
        <v>18.091</v>
      </c>
      <c r="J130" s="1">
        <v>18.66</v>
      </c>
      <c r="K130" s="1">
        <v>0</v>
      </c>
      <c r="L130" s="1" t="s">
        <v>205</v>
      </c>
      <c r="M130" s="1">
        <v>3625870</v>
      </c>
      <c r="N130" s="1">
        <v>0.52</v>
      </c>
      <c r="O130" s="1" t="s">
        <v>210</v>
      </c>
      <c r="P130" s="1">
        <v>18.66</v>
      </c>
      <c r="Q130" s="1">
        <v>0</v>
      </c>
      <c r="R130" s="1">
        <v>3169150</v>
      </c>
      <c r="S130" s="1">
        <f>MIN($B130)</f>
        <v>0</v>
      </c>
      <c r="T130" s="1">
        <f>MIN($C130)</f>
        <v>0</v>
      </c>
      <c r="U130" s="1">
        <f>MIN($D130)</f>
        <v>0</v>
      </c>
      <c r="V130" s="1">
        <f>MIN($E130)</f>
        <v>0</v>
      </c>
      <c r="W130" s="1">
        <f>MIN($F130)</f>
        <v>0</v>
      </c>
      <c r="X130" s="1">
        <f>MIN($G130)</f>
        <v>0</v>
      </c>
      <c r="Y130" s="1">
        <f>MIN($H130)</f>
        <v>0</v>
      </c>
      <c r="Z130" s="1">
        <f>MIN($I130)</f>
        <v>0</v>
      </c>
      <c r="AA130" s="1">
        <f>MIN($J130)</f>
        <v>0</v>
      </c>
      <c r="AB130" s="1">
        <f>MIN($K130)</f>
        <v>0</v>
      </c>
      <c r="AC130" s="1">
        <f>MIN($M130)</f>
        <v>0</v>
      </c>
      <c r="AD130" s="1">
        <f>MIN($N130)</f>
        <v>0</v>
      </c>
      <c r="AE130" s="1">
        <f>MIN($P130)</f>
        <v>0</v>
      </c>
      <c r="AF130" s="1">
        <f>MIN($Q130)</f>
        <v>0</v>
      </c>
      <c r="AG130" s="1">
        <f>MIN($R130)</f>
        <v>0</v>
      </c>
      <c r="AH130" s="1">
        <f>MEDIAN($B130)</f>
        <v>0</v>
      </c>
      <c r="AI130" s="1">
        <f>MEDIAN($C130)</f>
        <v>0</v>
      </c>
      <c r="AJ130" s="1">
        <f>MEDIAN($D130)</f>
        <v>0</v>
      </c>
      <c r="AK130" s="1">
        <f>MEDIAN($E130)</f>
        <v>0</v>
      </c>
      <c r="AL130" s="1">
        <f>MEDIAN($F130)</f>
        <v>0</v>
      </c>
      <c r="AM130" s="1">
        <f>MEDIAN($G130)</f>
        <v>0</v>
      </c>
      <c r="AN130" s="1">
        <f>MEDIAN($H130)</f>
        <v>0</v>
      </c>
      <c r="AO130" s="1">
        <f>MEDIAN($I130)</f>
        <v>0</v>
      </c>
      <c r="AP130" s="1">
        <f>MEDIAN($J130)</f>
        <v>0</v>
      </c>
      <c r="AQ130" s="1">
        <f>MEDIAN($K130)</f>
        <v>0</v>
      </c>
      <c r="AR130" s="1">
        <f>MEDIAN($M130)</f>
        <v>0</v>
      </c>
      <c r="AS130" s="1">
        <f>MEDIAN($N130)</f>
        <v>0</v>
      </c>
      <c r="AT130" s="1">
        <f>MEDIAN($P130)</f>
        <v>0</v>
      </c>
      <c r="AU130" s="1">
        <f>MEDIAN($Q130)</f>
        <v>0</v>
      </c>
      <c r="AV130" s="1">
        <f>MEDIAN($R130)</f>
        <v>0</v>
      </c>
      <c r="AW130" s="1">
        <f>MAX($B130)</f>
        <v>0</v>
      </c>
      <c r="AX130" s="1">
        <f>MAX($C130)</f>
        <v>0</v>
      </c>
      <c r="AY130" s="1">
        <f>MAX($D130)</f>
        <v>0</v>
      </c>
      <c r="AZ130" s="1">
        <f>MAX($E130)</f>
        <v>0</v>
      </c>
      <c r="BA130" s="1">
        <f>MAX($F130)</f>
        <v>0</v>
      </c>
      <c r="BB130" s="1">
        <f>MAX($G130)</f>
        <v>0</v>
      </c>
      <c r="BC130" s="1">
        <f>MAX($H130)</f>
        <v>0</v>
      </c>
      <c r="BD130" s="1">
        <f>MAX($I130)</f>
        <v>0</v>
      </c>
      <c r="BE130" s="1">
        <f>MAX($J130)</f>
        <v>0</v>
      </c>
      <c r="BF130" s="1">
        <f>MAX($K130)</f>
        <v>0</v>
      </c>
      <c r="BG130" s="1">
        <f>MAX($M130)</f>
        <v>0</v>
      </c>
      <c r="BH130" s="1">
        <f>MAX($N130)</f>
        <v>0</v>
      </c>
      <c r="BI130" s="1">
        <f>MAX($P130)</f>
        <v>0</v>
      </c>
      <c r="BJ130" s="1">
        <f>MAX($Q130)</f>
        <v>0</v>
      </c>
      <c r="BK130" s="1">
        <f>MAX($R130)</f>
        <v>0</v>
      </c>
    </row>
    <row r="131" spans="1:63">
      <c r="A131" s="1" t="s">
        <v>128</v>
      </c>
      <c r="B131" s="1">
        <v>295</v>
      </c>
      <c r="C131" s="1">
        <v>2</v>
      </c>
      <c r="D131" s="1">
        <v>16950854</v>
      </c>
      <c r="E131" s="1">
        <v>0</v>
      </c>
      <c r="F131" s="1">
        <v>2072</v>
      </c>
      <c r="G131" s="1">
        <v>0</v>
      </c>
      <c r="H131" s="1">
        <v>1</v>
      </c>
      <c r="I131" s="1">
        <v>30.245</v>
      </c>
      <c r="J131" s="1">
        <v>31.22</v>
      </c>
      <c r="K131" s="1">
        <v>0</v>
      </c>
      <c r="L131" s="1" t="s">
        <v>205</v>
      </c>
      <c r="M131" s="1">
        <v>5065032</v>
      </c>
      <c r="N131" s="1">
        <v>0.91</v>
      </c>
      <c r="O131" s="1" t="s">
        <v>210</v>
      </c>
      <c r="P131" s="1">
        <v>31.22</v>
      </c>
      <c r="Q131" s="1">
        <v>0</v>
      </c>
      <c r="R131" s="1">
        <v>4553952</v>
      </c>
      <c r="S131" s="1">
        <f>MIN($B131)</f>
        <v>0</v>
      </c>
      <c r="T131" s="1">
        <f>MIN($C131)</f>
        <v>0</v>
      </c>
      <c r="U131" s="1">
        <f>MIN($D131)</f>
        <v>0</v>
      </c>
      <c r="V131" s="1">
        <f>MIN($E131)</f>
        <v>0</v>
      </c>
      <c r="W131" s="1">
        <f>MIN($F131)</f>
        <v>0</v>
      </c>
      <c r="X131" s="1">
        <f>MIN($G131)</f>
        <v>0</v>
      </c>
      <c r="Y131" s="1">
        <f>MIN($H131)</f>
        <v>0</v>
      </c>
      <c r="Z131" s="1">
        <f>MIN($I131)</f>
        <v>0</v>
      </c>
      <c r="AA131" s="1">
        <f>MIN($J131)</f>
        <v>0</v>
      </c>
      <c r="AB131" s="1">
        <f>MIN($K131)</f>
        <v>0</v>
      </c>
      <c r="AC131" s="1">
        <f>MIN($M131)</f>
        <v>0</v>
      </c>
      <c r="AD131" s="1">
        <f>MIN($N131)</f>
        <v>0</v>
      </c>
      <c r="AE131" s="1">
        <f>MIN($P131)</f>
        <v>0</v>
      </c>
      <c r="AF131" s="1">
        <f>MIN($Q131)</f>
        <v>0</v>
      </c>
      <c r="AG131" s="1">
        <f>MIN($R131)</f>
        <v>0</v>
      </c>
      <c r="AH131" s="1">
        <f>MEDIAN($B131)</f>
        <v>0</v>
      </c>
      <c r="AI131" s="1">
        <f>MEDIAN($C131)</f>
        <v>0</v>
      </c>
      <c r="AJ131" s="1">
        <f>MEDIAN($D131)</f>
        <v>0</v>
      </c>
      <c r="AK131" s="1">
        <f>MEDIAN($E131)</f>
        <v>0</v>
      </c>
      <c r="AL131" s="1">
        <f>MEDIAN($F131)</f>
        <v>0</v>
      </c>
      <c r="AM131" s="1">
        <f>MEDIAN($G131)</f>
        <v>0</v>
      </c>
      <c r="AN131" s="1">
        <f>MEDIAN($H131)</f>
        <v>0</v>
      </c>
      <c r="AO131" s="1">
        <f>MEDIAN($I131)</f>
        <v>0</v>
      </c>
      <c r="AP131" s="1">
        <f>MEDIAN($J131)</f>
        <v>0</v>
      </c>
      <c r="AQ131" s="1">
        <f>MEDIAN($K131)</f>
        <v>0</v>
      </c>
      <c r="AR131" s="1">
        <f>MEDIAN($M131)</f>
        <v>0</v>
      </c>
      <c r="AS131" s="1">
        <f>MEDIAN($N131)</f>
        <v>0</v>
      </c>
      <c r="AT131" s="1">
        <f>MEDIAN($P131)</f>
        <v>0</v>
      </c>
      <c r="AU131" s="1">
        <f>MEDIAN($Q131)</f>
        <v>0</v>
      </c>
      <c r="AV131" s="1">
        <f>MEDIAN($R131)</f>
        <v>0</v>
      </c>
      <c r="AW131" s="1">
        <f>MAX($B131)</f>
        <v>0</v>
      </c>
      <c r="AX131" s="1">
        <f>MAX($C131)</f>
        <v>0</v>
      </c>
      <c r="AY131" s="1">
        <f>MAX($D131)</f>
        <v>0</v>
      </c>
      <c r="AZ131" s="1">
        <f>MAX($E131)</f>
        <v>0</v>
      </c>
      <c r="BA131" s="1">
        <f>MAX($F131)</f>
        <v>0</v>
      </c>
      <c r="BB131" s="1">
        <f>MAX($G131)</f>
        <v>0</v>
      </c>
      <c r="BC131" s="1">
        <f>MAX($H131)</f>
        <v>0</v>
      </c>
      <c r="BD131" s="1">
        <f>MAX($I131)</f>
        <v>0</v>
      </c>
      <c r="BE131" s="1">
        <f>MAX($J131)</f>
        <v>0</v>
      </c>
      <c r="BF131" s="1">
        <f>MAX($K131)</f>
        <v>0</v>
      </c>
      <c r="BG131" s="1">
        <f>MAX($M131)</f>
        <v>0</v>
      </c>
      <c r="BH131" s="1">
        <f>MAX($N131)</f>
        <v>0</v>
      </c>
      <c r="BI131" s="1">
        <f>MAX($P131)</f>
        <v>0</v>
      </c>
      <c r="BJ131" s="1">
        <f>MAX($Q131)</f>
        <v>0</v>
      </c>
      <c r="BK131" s="1">
        <f>MAX($R131)</f>
        <v>0</v>
      </c>
    </row>
    <row r="132" spans="1:63">
      <c r="A132" s="1" t="s">
        <v>129</v>
      </c>
      <c r="B132" s="1">
        <v>190</v>
      </c>
      <c r="C132" s="1">
        <v>1</v>
      </c>
      <c r="D132" s="1">
        <v>11101552</v>
      </c>
      <c r="E132" s="1">
        <v>0</v>
      </c>
      <c r="F132" s="1">
        <v>1444</v>
      </c>
      <c r="G132" s="1">
        <v>0</v>
      </c>
      <c r="H132" s="1">
        <v>1</v>
      </c>
      <c r="I132" s="1">
        <v>18.963</v>
      </c>
      <c r="J132" s="1">
        <v>19.57</v>
      </c>
      <c r="K132" s="1">
        <v>0</v>
      </c>
      <c r="L132" s="1" t="s">
        <v>205</v>
      </c>
      <c r="M132" s="1">
        <v>3371568</v>
      </c>
      <c r="N132" s="1">
        <v>0.5600000000000001</v>
      </c>
      <c r="O132" s="1" t="s">
        <v>210</v>
      </c>
      <c r="P132" s="1">
        <v>19.57</v>
      </c>
      <c r="Q132" s="1">
        <v>0</v>
      </c>
      <c r="R132" s="1">
        <v>3000051</v>
      </c>
      <c r="S132" s="1">
        <f>MIN($B132)</f>
        <v>0</v>
      </c>
      <c r="T132" s="1">
        <f>MIN($C132)</f>
        <v>0</v>
      </c>
      <c r="U132" s="1">
        <f>MIN($D132)</f>
        <v>0</v>
      </c>
      <c r="V132" s="1">
        <f>MIN($E132)</f>
        <v>0</v>
      </c>
      <c r="W132" s="1">
        <f>MIN($F132)</f>
        <v>0</v>
      </c>
      <c r="X132" s="1">
        <f>MIN($G132)</f>
        <v>0</v>
      </c>
      <c r="Y132" s="1">
        <f>MIN($H132)</f>
        <v>0</v>
      </c>
      <c r="Z132" s="1">
        <f>MIN($I132)</f>
        <v>0</v>
      </c>
      <c r="AA132" s="1">
        <f>MIN($J132)</f>
        <v>0</v>
      </c>
      <c r="AB132" s="1">
        <f>MIN($K132)</f>
        <v>0</v>
      </c>
      <c r="AC132" s="1">
        <f>MIN($M132)</f>
        <v>0</v>
      </c>
      <c r="AD132" s="1">
        <f>MIN($N132)</f>
        <v>0</v>
      </c>
      <c r="AE132" s="1">
        <f>MIN($P132)</f>
        <v>0</v>
      </c>
      <c r="AF132" s="1">
        <f>MIN($Q132)</f>
        <v>0</v>
      </c>
      <c r="AG132" s="1">
        <f>MIN($R132)</f>
        <v>0</v>
      </c>
      <c r="AH132" s="1">
        <f>MEDIAN($B132)</f>
        <v>0</v>
      </c>
      <c r="AI132" s="1">
        <f>MEDIAN($C132)</f>
        <v>0</v>
      </c>
      <c r="AJ132" s="1">
        <f>MEDIAN($D132)</f>
        <v>0</v>
      </c>
      <c r="AK132" s="1">
        <f>MEDIAN($E132)</f>
        <v>0</v>
      </c>
      <c r="AL132" s="1">
        <f>MEDIAN($F132)</f>
        <v>0</v>
      </c>
      <c r="AM132" s="1">
        <f>MEDIAN($G132)</f>
        <v>0</v>
      </c>
      <c r="AN132" s="1">
        <f>MEDIAN($H132)</f>
        <v>0</v>
      </c>
      <c r="AO132" s="1">
        <f>MEDIAN($I132)</f>
        <v>0</v>
      </c>
      <c r="AP132" s="1">
        <f>MEDIAN($J132)</f>
        <v>0</v>
      </c>
      <c r="AQ132" s="1">
        <f>MEDIAN($K132)</f>
        <v>0</v>
      </c>
      <c r="AR132" s="1">
        <f>MEDIAN($M132)</f>
        <v>0</v>
      </c>
      <c r="AS132" s="1">
        <f>MEDIAN($N132)</f>
        <v>0</v>
      </c>
      <c r="AT132" s="1">
        <f>MEDIAN($P132)</f>
        <v>0</v>
      </c>
      <c r="AU132" s="1">
        <f>MEDIAN($Q132)</f>
        <v>0</v>
      </c>
      <c r="AV132" s="1">
        <f>MEDIAN($R132)</f>
        <v>0</v>
      </c>
      <c r="AW132" s="1">
        <f>MAX($B132)</f>
        <v>0</v>
      </c>
      <c r="AX132" s="1">
        <f>MAX($C132)</f>
        <v>0</v>
      </c>
      <c r="AY132" s="1">
        <f>MAX($D132)</f>
        <v>0</v>
      </c>
      <c r="AZ132" s="1">
        <f>MAX($E132)</f>
        <v>0</v>
      </c>
      <c r="BA132" s="1">
        <f>MAX($F132)</f>
        <v>0</v>
      </c>
      <c r="BB132" s="1">
        <f>MAX($G132)</f>
        <v>0</v>
      </c>
      <c r="BC132" s="1">
        <f>MAX($H132)</f>
        <v>0</v>
      </c>
      <c r="BD132" s="1">
        <f>MAX($I132)</f>
        <v>0</v>
      </c>
      <c r="BE132" s="1">
        <f>MAX($J132)</f>
        <v>0</v>
      </c>
      <c r="BF132" s="1">
        <f>MAX($K132)</f>
        <v>0</v>
      </c>
      <c r="BG132" s="1">
        <f>MAX($M132)</f>
        <v>0</v>
      </c>
      <c r="BH132" s="1">
        <f>MAX($N132)</f>
        <v>0</v>
      </c>
      <c r="BI132" s="1">
        <f>MAX($P132)</f>
        <v>0</v>
      </c>
      <c r="BJ132" s="1">
        <f>MAX($Q132)</f>
        <v>0</v>
      </c>
      <c r="BK132" s="1">
        <f>MAX($R132)</f>
        <v>0</v>
      </c>
    </row>
    <row r="133" spans="1:63">
      <c r="A133" s="1" t="s">
        <v>130</v>
      </c>
      <c r="B133" s="1">
        <v>209</v>
      </c>
      <c r="C133" s="1">
        <v>0</v>
      </c>
      <c r="D133" s="1">
        <v>14214547</v>
      </c>
      <c r="E133" s="1">
        <v>0</v>
      </c>
      <c r="F133" s="1">
        <v>1760</v>
      </c>
      <c r="G133" s="1">
        <v>0</v>
      </c>
      <c r="H133" s="1">
        <v>1</v>
      </c>
      <c r="I133" s="1">
        <v>24.206</v>
      </c>
      <c r="J133" s="1">
        <v>24.99</v>
      </c>
      <c r="K133" s="1">
        <v>0</v>
      </c>
      <c r="L133" s="1" t="s">
        <v>205</v>
      </c>
      <c r="M133" s="1">
        <v>4340352</v>
      </c>
      <c r="N133" s="1">
        <v>0.53</v>
      </c>
      <c r="O133" s="1" t="s">
        <v>210</v>
      </c>
      <c r="P133" s="1">
        <v>24.99</v>
      </c>
      <c r="Q133" s="1">
        <v>0</v>
      </c>
      <c r="R133" s="1">
        <v>3844280</v>
      </c>
      <c r="S133" s="1">
        <f>MIN($B133)</f>
        <v>0</v>
      </c>
      <c r="T133" s="1">
        <f>MIN($C133)</f>
        <v>0</v>
      </c>
      <c r="U133" s="1">
        <f>MIN($D133)</f>
        <v>0</v>
      </c>
      <c r="V133" s="1">
        <f>MIN($E133)</f>
        <v>0</v>
      </c>
      <c r="W133" s="1">
        <f>MIN($F133)</f>
        <v>0</v>
      </c>
      <c r="X133" s="1">
        <f>MIN($G133)</f>
        <v>0</v>
      </c>
      <c r="Y133" s="1">
        <f>MIN($H133)</f>
        <v>0</v>
      </c>
      <c r="Z133" s="1">
        <f>MIN($I133)</f>
        <v>0</v>
      </c>
      <c r="AA133" s="1">
        <f>MIN($J133)</f>
        <v>0</v>
      </c>
      <c r="AB133" s="1">
        <f>MIN($K133)</f>
        <v>0</v>
      </c>
      <c r="AC133" s="1">
        <f>MIN($M133)</f>
        <v>0</v>
      </c>
      <c r="AD133" s="1">
        <f>MIN($N133)</f>
        <v>0</v>
      </c>
      <c r="AE133" s="1">
        <f>MIN($P133)</f>
        <v>0</v>
      </c>
      <c r="AF133" s="1">
        <f>MIN($Q133)</f>
        <v>0</v>
      </c>
      <c r="AG133" s="1">
        <f>MIN($R133)</f>
        <v>0</v>
      </c>
      <c r="AH133" s="1">
        <f>MEDIAN($B133)</f>
        <v>0</v>
      </c>
      <c r="AI133" s="1">
        <f>MEDIAN($C133)</f>
        <v>0</v>
      </c>
      <c r="AJ133" s="1">
        <f>MEDIAN($D133)</f>
        <v>0</v>
      </c>
      <c r="AK133" s="1">
        <f>MEDIAN($E133)</f>
        <v>0</v>
      </c>
      <c r="AL133" s="1">
        <f>MEDIAN($F133)</f>
        <v>0</v>
      </c>
      <c r="AM133" s="1">
        <f>MEDIAN($G133)</f>
        <v>0</v>
      </c>
      <c r="AN133" s="1">
        <f>MEDIAN($H133)</f>
        <v>0</v>
      </c>
      <c r="AO133" s="1">
        <f>MEDIAN($I133)</f>
        <v>0</v>
      </c>
      <c r="AP133" s="1">
        <f>MEDIAN($J133)</f>
        <v>0</v>
      </c>
      <c r="AQ133" s="1">
        <f>MEDIAN($K133)</f>
        <v>0</v>
      </c>
      <c r="AR133" s="1">
        <f>MEDIAN($M133)</f>
        <v>0</v>
      </c>
      <c r="AS133" s="1">
        <f>MEDIAN($N133)</f>
        <v>0</v>
      </c>
      <c r="AT133" s="1">
        <f>MEDIAN($P133)</f>
        <v>0</v>
      </c>
      <c r="AU133" s="1">
        <f>MEDIAN($Q133)</f>
        <v>0</v>
      </c>
      <c r="AV133" s="1">
        <f>MEDIAN($R133)</f>
        <v>0</v>
      </c>
      <c r="AW133" s="1">
        <f>MAX($B133)</f>
        <v>0</v>
      </c>
      <c r="AX133" s="1">
        <f>MAX($C133)</f>
        <v>0</v>
      </c>
      <c r="AY133" s="1">
        <f>MAX($D133)</f>
        <v>0</v>
      </c>
      <c r="AZ133" s="1">
        <f>MAX($E133)</f>
        <v>0</v>
      </c>
      <c r="BA133" s="1">
        <f>MAX($F133)</f>
        <v>0</v>
      </c>
      <c r="BB133" s="1">
        <f>MAX($G133)</f>
        <v>0</v>
      </c>
      <c r="BC133" s="1">
        <f>MAX($H133)</f>
        <v>0</v>
      </c>
      <c r="BD133" s="1">
        <f>MAX($I133)</f>
        <v>0</v>
      </c>
      <c r="BE133" s="1">
        <f>MAX($J133)</f>
        <v>0</v>
      </c>
      <c r="BF133" s="1">
        <f>MAX($K133)</f>
        <v>0</v>
      </c>
      <c r="BG133" s="1">
        <f>MAX($M133)</f>
        <v>0</v>
      </c>
      <c r="BH133" s="1">
        <f>MAX($N133)</f>
        <v>0</v>
      </c>
      <c r="BI133" s="1">
        <f>MAX($P133)</f>
        <v>0</v>
      </c>
      <c r="BJ133" s="1">
        <f>MAX($Q133)</f>
        <v>0</v>
      </c>
      <c r="BK133" s="1">
        <f>MAX($R133)</f>
        <v>0</v>
      </c>
    </row>
    <row r="134" spans="1:63">
      <c r="A134" s="1" t="s">
        <v>131</v>
      </c>
      <c r="B134" s="1">
        <v>185</v>
      </c>
      <c r="C134" s="1">
        <v>1</v>
      </c>
      <c r="D134" s="1">
        <v>12877544</v>
      </c>
      <c r="E134" s="1">
        <v>0</v>
      </c>
      <c r="F134" s="1">
        <v>1670</v>
      </c>
      <c r="G134" s="1">
        <v>0</v>
      </c>
      <c r="H134" s="1">
        <v>1</v>
      </c>
      <c r="I134" s="1">
        <v>21.169</v>
      </c>
      <c r="J134" s="1">
        <v>21.9</v>
      </c>
      <c r="K134" s="1">
        <v>0</v>
      </c>
      <c r="L134" s="1" t="s">
        <v>205</v>
      </c>
      <c r="M134" s="1">
        <v>3991940</v>
      </c>
      <c r="N134" s="1">
        <v>0.6899999999999999</v>
      </c>
      <c r="O134" s="1" t="s">
        <v>210</v>
      </c>
      <c r="P134" s="1">
        <v>21.9</v>
      </c>
      <c r="Q134" s="1">
        <v>0</v>
      </c>
      <c r="R134" s="1">
        <v>3504990</v>
      </c>
      <c r="S134" s="1">
        <f>MIN($B134)</f>
        <v>0</v>
      </c>
      <c r="T134" s="1">
        <f>MIN($C134)</f>
        <v>0</v>
      </c>
      <c r="U134" s="1">
        <f>MIN($D134)</f>
        <v>0</v>
      </c>
      <c r="V134" s="1">
        <f>MIN($E134)</f>
        <v>0</v>
      </c>
      <c r="W134" s="1">
        <f>MIN($F134)</f>
        <v>0</v>
      </c>
      <c r="X134" s="1">
        <f>MIN($G134)</f>
        <v>0</v>
      </c>
      <c r="Y134" s="1">
        <f>MIN($H134)</f>
        <v>0</v>
      </c>
      <c r="Z134" s="1">
        <f>MIN($I134)</f>
        <v>0</v>
      </c>
      <c r="AA134" s="1">
        <f>MIN($J134)</f>
        <v>0</v>
      </c>
      <c r="AB134" s="1">
        <f>MIN($K134)</f>
        <v>0</v>
      </c>
      <c r="AC134" s="1">
        <f>MIN($M134)</f>
        <v>0</v>
      </c>
      <c r="AD134" s="1">
        <f>MIN($N134)</f>
        <v>0</v>
      </c>
      <c r="AE134" s="1">
        <f>MIN($P134)</f>
        <v>0</v>
      </c>
      <c r="AF134" s="1">
        <f>MIN($Q134)</f>
        <v>0</v>
      </c>
      <c r="AG134" s="1">
        <f>MIN($R134)</f>
        <v>0</v>
      </c>
      <c r="AH134" s="1">
        <f>MEDIAN($B134)</f>
        <v>0</v>
      </c>
      <c r="AI134" s="1">
        <f>MEDIAN($C134)</f>
        <v>0</v>
      </c>
      <c r="AJ134" s="1">
        <f>MEDIAN($D134)</f>
        <v>0</v>
      </c>
      <c r="AK134" s="1">
        <f>MEDIAN($E134)</f>
        <v>0</v>
      </c>
      <c r="AL134" s="1">
        <f>MEDIAN($F134)</f>
        <v>0</v>
      </c>
      <c r="AM134" s="1">
        <f>MEDIAN($G134)</f>
        <v>0</v>
      </c>
      <c r="AN134" s="1">
        <f>MEDIAN($H134)</f>
        <v>0</v>
      </c>
      <c r="AO134" s="1">
        <f>MEDIAN($I134)</f>
        <v>0</v>
      </c>
      <c r="AP134" s="1">
        <f>MEDIAN($J134)</f>
        <v>0</v>
      </c>
      <c r="AQ134" s="1">
        <f>MEDIAN($K134)</f>
        <v>0</v>
      </c>
      <c r="AR134" s="1">
        <f>MEDIAN($M134)</f>
        <v>0</v>
      </c>
      <c r="AS134" s="1">
        <f>MEDIAN($N134)</f>
        <v>0</v>
      </c>
      <c r="AT134" s="1">
        <f>MEDIAN($P134)</f>
        <v>0</v>
      </c>
      <c r="AU134" s="1">
        <f>MEDIAN($Q134)</f>
        <v>0</v>
      </c>
      <c r="AV134" s="1">
        <f>MEDIAN($R134)</f>
        <v>0</v>
      </c>
      <c r="AW134" s="1">
        <f>MAX($B134)</f>
        <v>0</v>
      </c>
      <c r="AX134" s="1">
        <f>MAX($C134)</f>
        <v>0</v>
      </c>
      <c r="AY134" s="1">
        <f>MAX($D134)</f>
        <v>0</v>
      </c>
      <c r="AZ134" s="1">
        <f>MAX($E134)</f>
        <v>0</v>
      </c>
      <c r="BA134" s="1">
        <f>MAX($F134)</f>
        <v>0</v>
      </c>
      <c r="BB134" s="1">
        <f>MAX($G134)</f>
        <v>0</v>
      </c>
      <c r="BC134" s="1">
        <f>MAX($H134)</f>
        <v>0</v>
      </c>
      <c r="BD134" s="1">
        <f>MAX($I134)</f>
        <v>0</v>
      </c>
      <c r="BE134" s="1">
        <f>MAX($J134)</f>
        <v>0</v>
      </c>
      <c r="BF134" s="1">
        <f>MAX($K134)</f>
        <v>0</v>
      </c>
      <c r="BG134" s="1">
        <f>MAX($M134)</f>
        <v>0</v>
      </c>
      <c r="BH134" s="1">
        <f>MAX($N134)</f>
        <v>0</v>
      </c>
      <c r="BI134" s="1">
        <f>MAX($P134)</f>
        <v>0</v>
      </c>
      <c r="BJ134" s="1">
        <f>MAX($Q134)</f>
        <v>0</v>
      </c>
      <c r="BK134" s="1">
        <f>MAX($R134)</f>
        <v>0</v>
      </c>
    </row>
    <row r="135" spans="1:63">
      <c r="A135" s="1" t="s">
        <v>132</v>
      </c>
      <c r="B135" s="1">
        <v>49</v>
      </c>
      <c r="C135" s="1">
        <v>1</v>
      </c>
      <c r="D135" s="1">
        <v>2320378</v>
      </c>
      <c r="E135" s="1">
        <v>0</v>
      </c>
      <c r="F135" s="1">
        <v>335</v>
      </c>
      <c r="G135" s="1">
        <v>0</v>
      </c>
      <c r="H135" s="1">
        <v>1</v>
      </c>
      <c r="I135" s="1">
        <v>4.515</v>
      </c>
      <c r="J135" s="1">
        <v>4.7</v>
      </c>
      <c r="K135" s="1">
        <v>0</v>
      </c>
      <c r="L135" s="1" t="s">
        <v>205</v>
      </c>
      <c r="M135" s="1">
        <v>778939</v>
      </c>
      <c r="N135" s="1">
        <v>0.12</v>
      </c>
      <c r="O135" s="1" t="s">
        <v>210</v>
      </c>
      <c r="P135" s="1">
        <v>4.7</v>
      </c>
      <c r="Q135" s="1">
        <v>0</v>
      </c>
      <c r="R135" s="1">
        <v>648599</v>
      </c>
      <c r="S135" s="1">
        <f>MIN($B135)</f>
        <v>0</v>
      </c>
      <c r="T135" s="1">
        <f>MIN($C135)</f>
        <v>0</v>
      </c>
      <c r="U135" s="1">
        <f>MIN($D135)</f>
        <v>0</v>
      </c>
      <c r="V135" s="1">
        <f>MIN($E135)</f>
        <v>0</v>
      </c>
      <c r="W135" s="1">
        <f>MIN($F135)</f>
        <v>0</v>
      </c>
      <c r="X135" s="1">
        <f>MIN($G135)</f>
        <v>0</v>
      </c>
      <c r="Y135" s="1">
        <f>MIN($H135)</f>
        <v>0</v>
      </c>
      <c r="Z135" s="1">
        <f>MIN($I135)</f>
        <v>0</v>
      </c>
      <c r="AA135" s="1">
        <f>MIN($J135)</f>
        <v>0</v>
      </c>
      <c r="AB135" s="1">
        <f>MIN($K135)</f>
        <v>0</v>
      </c>
      <c r="AC135" s="1">
        <f>MIN($M135)</f>
        <v>0</v>
      </c>
      <c r="AD135" s="1">
        <f>MIN($N135)</f>
        <v>0</v>
      </c>
      <c r="AE135" s="1">
        <f>MIN($P135)</f>
        <v>0</v>
      </c>
      <c r="AF135" s="1">
        <f>MIN($Q135)</f>
        <v>0</v>
      </c>
      <c r="AG135" s="1">
        <f>MIN($R135)</f>
        <v>0</v>
      </c>
      <c r="AH135" s="1">
        <f>MEDIAN($B135)</f>
        <v>0</v>
      </c>
      <c r="AI135" s="1">
        <f>MEDIAN($C135)</f>
        <v>0</v>
      </c>
      <c r="AJ135" s="1">
        <f>MEDIAN($D135)</f>
        <v>0</v>
      </c>
      <c r="AK135" s="1">
        <f>MEDIAN($E135)</f>
        <v>0</v>
      </c>
      <c r="AL135" s="1">
        <f>MEDIAN($F135)</f>
        <v>0</v>
      </c>
      <c r="AM135" s="1">
        <f>MEDIAN($G135)</f>
        <v>0</v>
      </c>
      <c r="AN135" s="1">
        <f>MEDIAN($H135)</f>
        <v>0</v>
      </c>
      <c r="AO135" s="1">
        <f>MEDIAN($I135)</f>
        <v>0</v>
      </c>
      <c r="AP135" s="1">
        <f>MEDIAN($J135)</f>
        <v>0</v>
      </c>
      <c r="AQ135" s="1">
        <f>MEDIAN($K135)</f>
        <v>0</v>
      </c>
      <c r="AR135" s="1">
        <f>MEDIAN($M135)</f>
        <v>0</v>
      </c>
      <c r="AS135" s="1">
        <f>MEDIAN($N135)</f>
        <v>0</v>
      </c>
      <c r="AT135" s="1">
        <f>MEDIAN($P135)</f>
        <v>0</v>
      </c>
      <c r="AU135" s="1">
        <f>MEDIAN($Q135)</f>
        <v>0</v>
      </c>
      <c r="AV135" s="1">
        <f>MEDIAN($R135)</f>
        <v>0</v>
      </c>
      <c r="AW135" s="1">
        <f>MAX($B135)</f>
        <v>0</v>
      </c>
      <c r="AX135" s="1">
        <f>MAX($C135)</f>
        <v>0</v>
      </c>
      <c r="AY135" s="1">
        <f>MAX($D135)</f>
        <v>0</v>
      </c>
      <c r="AZ135" s="1">
        <f>MAX($E135)</f>
        <v>0</v>
      </c>
      <c r="BA135" s="1">
        <f>MAX($F135)</f>
        <v>0</v>
      </c>
      <c r="BB135" s="1">
        <f>MAX($G135)</f>
        <v>0</v>
      </c>
      <c r="BC135" s="1">
        <f>MAX($H135)</f>
        <v>0</v>
      </c>
      <c r="BD135" s="1">
        <f>MAX($I135)</f>
        <v>0</v>
      </c>
      <c r="BE135" s="1">
        <f>MAX($J135)</f>
        <v>0</v>
      </c>
      <c r="BF135" s="1">
        <f>MAX($K135)</f>
        <v>0</v>
      </c>
      <c r="BG135" s="1">
        <f>MAX($M135)</f>
        <v>0</v>
      </c>
      <c r="BH135" s="1">
        <f>MAX($N135)</f>
        <v>0</v>
      </c>
      <c r="BI135" s="1">
        <f>MAX($P135)</f>
        <v>0</v>
      </c>
      <c r="BJ135" s="1">
        <f>MAX($Q135)</f>
        <v>0</v>
      </c>
      <c r="BK135" s="1">
        <f>MAX($R135)</f>
        <v>0</v>
      </c>
    </row>
    <row r="136" spans="1:63">
      <c r="A136" s="1" t="s">
        <v>133</v>
      </c>
      <c r="B136" s="1">
        <v>260</v>
      </c>
      <c r="C136" s="1">
        <v>1</v>
      </c>
      <c r="D136" s="1">
        <v>9162725</v>
      </c>
      <c r="E136" s="1">
        <v>0</v>
      </c>
      <c r="F136" s="1">
        <v>1187</v>
      </c>
      <c r="G136" s="1">
        <v>0</v>
      </c>
      <c r="H136" s="1">
        <v>1</v>
      </c>
      <c r="I136" s="1">
        <v>16.948</v>
      </c>
      <c r="J136" s="1">
        <v>17.44</v>
      </c>
      <c r="K136" s="1">
        <v>0</v>
      </c>
      <c r="L136" s="1" t="s">
        <v>205</v>
      </c>
      <c r="M136" s="1">
        <v>2831097</v>
      </c>
      <c r="N136" s="1">
        <v>0.5</v>
      </c>
      <c r="O136" s="1" t="s">
        <v>210</v>
      </c>
      <c r="P136" s="1">
        <v>17.44</v>
      </c>
      <c r="Q136" s="1">
        <v>0</v>
      </c>
      <c r="R136" s="1">
        <v>2486217</v>
      </c>
      <c r="S136" s="1">
        <f>MIN($B136)</f>
        <v>0</v>
      </c>
      <c r="T136" s="1">
        <f>MIN($C136)</f>
        <v>0</v>
      </c>
      <c r="U136" s="1">
        <f>MIN($D136)</f>
        <v>0</v>
      </c>
      <c r="V136" s="1">
        <f>MIN($E136)</f>
        <v>0</v>
      </c>
      <c r="W136" s="1">
        <f>MIN($F136)</f>
        <v>0</v>
      </c>
      <c r="X136" s="1">
        <f>MIN($G136)</f>
        <v>0</v>
      </c>
      <c r="Y136" s="1">
        <f>MIN($H136)</f>
        <v>0</v>
      </c>
      <c r="Z136" s="1">
        <f>MIN($I136)</f>
        <v>0</v>
      </c>
      <c r="AA136" s="1">
        <f>MIN($J136)</f>
        <v>0</v>
      </c>
      <c r="AB136" s="1">
        <f>MIN($K136)</f>
        <v>0</v>
      </c>
      <c r="AC136" s="1">
        <f>MIN($M136)</f>
        <v>0</v>
      </c>
      <c r="AD136" s="1">
        <f>MIN($N136)</f>
        <v>0</v>
      </c>
      <c r="AE136" s="1">
        <f>MIN($P136)</f>
        <v>0</v>
      </c>
      <c r="AF136" s="1">
        <f>MIN($Q136)</f>
        <v>0</v>
      </c>
      <c r="AG136" s="1">
        <f>MIN($R136)</f>
        <v>0</v>
      </c>
      <c r="AH136" s="1">
        <f>MEDIAN($B136)</f>
        <v>0</v>
      </c>
      <c r="AI136" s="1">
        <f>MEDIAN($C136)</f>
        <v>0</v>
      </c>
      <c r="AJ136" s="1">
        <f>MEDIAN($D136)</f>
        <v>0</v>
      </c>
      <c r="AK136" s="1">
        <f>MEDIAN($E136)</f>
        <v>0</v>
      </c>
      <c r="AL136" s="1">
        <f>MEDIAN($F136)</f>
        <v>0</v>
      </c>
      <c r="AM136" s="1">
        <f>MEDIAN($G136)</f>
        <v>0</v>
      </c>
      <c r="AN136" s="1">
        <f>MEDIAN($H136)</f>
        <v>0</v>
      </c>
      <c r="AO136" s="1">
        <f>MEDIAN($I136)</f>
        <v>0</v>
      </c>
      <c r="AP136" s="1">
        <f>MEDIAN($J136)</f>
        <v>0</v>
      </c>
      <c r="AQ136" s="1">
        <f>MEDIAN($K136)</f>
        <v>0</v>
      </c>
      <c r="AR136" s="1">
        <f>MEDIAN($M136)</f>
        <v>0</v>
      </c>
      <c r="AS136" s="1">
        <f>MEDIAN($N136)</f>
        <v>0</v>
      </c>
      <c r="AT136" s="1">
        <f>MEDIAN($P136)</f>
        <v>0</v>
      </c>
      <c r="AU136" s="1">
        <f>MEDIAN($Q136)</f>
        <v>0</v>
      </c>
      <c r="AV136" s="1">
        <f>MEDIAN($R136)</f>
        <v>0</v>
      </c>
      <c r="AW136" s="1">
        <f>MAX($B136)</f>
        <v>0</v>
      </c>
      <c r="AX136" s="1">
        <f>MAX($C136)</f>
        <v>0</v>
      </c>
      <c r="AY136" s="1">
        <f>MAX($D136)</f>
        <v>0</v>
      </c>
      <c r="AZ136" s="1">
        <f>MAX($E136)</f>
        <v>0</v>
      </c>
      <c r="BA136" s="1">
        <f>MAX($F136)</f>
        <v>0</v>
      </c>
      <c r="BB136" s="1">
        <f>MAX($G136)</f>
        <v>0</v>
      </c>
      <c r="BC136" s="1">
        <f>MAX($H136)</f>
        <v>0</v>
      </c>
      <c r="BD136" s="1">
        <f>MAX($I136)</f>
        <v>0</v>
      </c>
      <c r="BE136" s="1">
        <f>MAX($J136)</f>
        <v>0</v>
      </c>
      <c r="BF136" s="1">
        <f>MAX($K136)</f>
        <v>0</v>
      </c>
      <c r="BG136" s="1">
        <f>MAX($M136)</f>
        <v>0</v>
      </c>
      <c r="BH136" s="1">
        <f>MAX($N136)</f>
        <v>0</v>
      </c>
      <c r="BI136" s="1">
        <f>MAX($P136)</f>
        <v>0</v>
      </c>
      <c r="BJ136" s="1">
        <f>MAX($Q136)</f>
        <v>0</v>
      </c>
      <c r="BK136" s="1">
        <f>MAX($R136)</f>
        <v>0</v>
      </c>
    </row>
    <row r="137" spans="1:63">
      <c r="A137" s="1" t="s">
        <v>134</v>
      </c>
      <c r="B137" s="1">
        <v>258</v>
      </c>
      <c r="C137" s="1">
        <v>0</v>
      </c>
      <c r="D137" s="1">
        <v>43592493</v>
      </c>
      <c r="E137" s="1">
        <v>0</v>
      </c>
      <c r="F137" s="1">
        <v>5087</v>
      </c>
      <c r="G137" s="1">
        <v>0</v>
      </c>
      <c r="H137" s="1">
        <v>1</v>
      </c>
      <c r="I137" s="1">
        <v>138.038</v>
      </c>
      <c r="J137" s="1">
        <v>140.04</v>
      </c>
      <c r="K137" s="1">
        <v>0</v>
      </c>
      <c r="L137" s="1" t="s">
        <v>205</v>
      </c>
      <c r="M137" s="1">
        <v>12836694</v>
      </c>
      <c r="N137" s="1">
        <v>2.04</v>
      </c>
      <c r="O137" s="1" t="s">
        <v>210</v>
      </c>
      <c r="P137" s="1">
        <v>140.04</v>
      </c>
      <c r="Q137" s="1">
        <v>0</v>
      </c>
      <c r="R137" s="1">
        <v>11630193</v>
      </c>
      <c r="S137" s="1">
        <f>MIN($B137)</f>
        <v>0</v>
      </c>
      <c r="T137" s="1">
        <f>MIN($C137)</f>
        <v>0</v>
      </c>
      <c r="U137" s="1">
        <f>MIN($D137)</f>
        <v>0</v>
      </c>
      <c r="V137" s="1">
        <f>MIN($E137)</f>
        <v>0</v>
      </c>
      <c r="W137" s="1">
        <f>MIN($F137)</f>
        <v>0</v>
      </c>
      <c r="X137" s="1">
        <f>MIN($G137)</f>
        <v>0</v>
      </c>
      <c r="Y137" s="1">
        <f>MIN($H137)</f>
        <v>0</v>
      </c>
      <c r="Z137" s="1">
        <f>MIN($I137)</f>
        <v>0</v>
      </c>
      <c r="AA137" s="1">
        <f>MIN($J137)</f>
        <v>0</v>
      </c>
      <c r="AB137" s="1">
        <f>MIN($K137)</f>
        <v>0</v>
      </c>
      <c r="AC137" s="1">
        <f>MIN($M137)</f>
        <v>0</v>
      </c>
      <c r="AD137" s="1">
        <f>MIN($N137)</f>
        <v>0</v>
      </c>
      <c r="AE137" s="1">
        <f>MIN($P137)</f>
        <v>0</v>
      </c>
      <c r="AF137" s="1">
        <f>MIN($Q137)</f>
        <v>0</v>
      </c>
      <c r="AG137" s="1">
        <f>MIN($R137)</f>
        <v>0</v>
      </c>
      <c r="AH137" s="1">
        <f>MEDIAN($B137)</f>
        <v>0</v>
      </c>
      <c r="AI137" s="1">
        <f>MEDIAN($C137)</f>
        <v>0</v>
      </c>
      <c r="AJ137" s="1">
        <f>MEDIAN($D137)</f>
        <v>0</v>
      </c>
      <c r="AK137" s="1">
        <f>MEDIAN($E137)</f>
        <v>0</v>
      </c>
      <c r="AL137" s="1">
        <f>MEDIAN($F137)</f>
        <v>0</v>
      </c>
      <c r="AM137" s="1">
        <f>MEDIAN($G137)</f>
        <v>0</v>
      </c>
      <c r="AN137" s="1">
        <f>MEDIAN($H137)</f>
        <v>0</v>
      </c>
      <c r="AO137" s="1">
        <f>MEDIAN($I137)</f>
        <v>0</v>
      </c>
      <c r="AP137" s="1">
        <f>MEDIAN($J137)</f>
        <v>0</v>
      </c>
      <c r="AQ137" s="1">
        <f>MEDIAN($K137)</f>
        <v>0</v>
      </c>
      <c r="AR137" s="1">
        <f>MEDIAN($M137)</f>
        <v>0</v>
      </c>
      <c r="AS137" s="1">
        <f>MEDIAN($N137)</f>
        <v>0</v>
      </c>
      <c r="AT137" s="1">
        <f>MEDIAN($P137)</f>
        <v>0</v>
      </c>
      <c r="AU137" s="1">
        <f>MEDIAN($Q137)</f>
        <v>0</v>
      </c>
      <c r="AV137" s="1">
        <f>MEDIAN($R137)</f>
        <v>0</v>
      </c>
      <c r="AW137" s="1">
        <f>MAX($B137)</f>
        <v>0</v>
      </c>
      <c r="AX137" s="1">
        <f>MAX($C137)</f>
        <v>0</v>
      </c>
      <c r="AY137" s="1">
        <f>MAX($D137)</f>
        <v>0</v>
      </c>
      <c r="AZ137" s="1">
        <f>MAX($E137)</f>
        <v>0</v>
      </c>
      <c r="BA137" s="1">
        <f>MAX($F137)</f>
        <v>0</v>
      </c>
      <c r="BB137" s="1">
        <f>MAX($G137)</f>
        <v>0</v>
      </c>
      <c r="BC137" s="1">
        <f>MAX($H137)</f>
        <v>0</v>
      </c>
      <c r="BD137" s="1">
        <f>MAX($I137)</f>
        <v>0</v>
      </c>
      <c r="BE137" s="1">
        <f>MAX($J137)</f>
        <v>0</v>
      </c>
      <c r="BF137" s="1">
        <f>MAX($K137)</f>
        <v>0</v>
      </c>
      <c r="BG137" s="1">
        <f>MAX($M137)</f>
        <v>0</v>
      </c>
      <c r="BH137" s="1">
        <f>MAX($N137)</f>
        <v>0</v>
      </c>
      <c r="BI137" s="1">
        <f>MAX($P137)</f>
        <v>0</v>
      </c>
      <c r="BJ137" s="1">
        <f>MAX($Q137)</f>
        <v>0</v>
      </c>
      <c r="BK137" s="1">
        <f>MAX($R137)</f>
        <v>0</v>
      </c>
    </row>
    <row r="138" spans="1:63">
      <c r="A138" s="1" t="s">
        <v>135</v>
      </c>
      <c r="B138" s="1">
        <v>76</v>
      </c>
      <c r="C138" s="1">
        <v>0</v>
      </c>
      <c r="D138" s="1">
        <v>13174095</v>
      </c>
      <c r="E138" s="1">
        <v>0</v>
      </c>
      <c r="F138" s="1">
        <v>1704</v>
      </c>
      <c r="G138" s="1">
        <v>0</v>
      </c>
      <c r="H138" s="1">
        <v>1</v>
      </c>
      <c r="I138" s="1">
        <v>24.281</v>
      </c>
      <c r="J138" s="1">
        <v>25.12</v>
      </c>
      <c r="K138" s="1">
        <v>0</v>
      </c>
      <c r="L138" s="1" t="s">
        <v>205</v>
      </c>
      <c r="M138" s="1">
        <v>4120113</v>
      </c>
      <c r="N138" s="1">
        <v>0.73</v>
      </c>
      <c r="O138" s="1" t="s">
        <v>210</v>
      </c>
      <c r="P138" s="1">
        <v>25.12</v>
      </c>
      <c r="Q138" s="1">
        <v>0</v>
      </c>
      <c r="R138" s="1">
        <v>3606320</v>
      </c>
      <c r="S138" s="1">
        <f>MIN($B138)</f>
        <v>0</v>
      </c>
      <c r="T138" s="1">
        <f>MIN($C138)</f>
        <v>0</v>
      </c>
      <c r="U138" s="1">
        <f>MIN($D138)</f>
        <v>0</v>
      </c>
      <c r="V138" s="1">
        <f>MIN($E138)</f>
        <v>0</v>
      </c>
      <c r="W138" s="1">
        <f>MIN($F138)</f>
        <v>0</v>
      </c>
      <c r="X138" s="1">
        <f>MIN($G138)</f>
        <v>0</v>
      </c>
      <c r="Y138" s="1">
        <f>MIN($H138)</f>
        <v>0</v>
      </c>
      <c r="Z138" s="1">
        <f>MIN($I138)</f>
        <v>0</v>
      </c>
      <c r="AA138" s="1">
        <f>MIN($J138)</f>
        <v>0</v>
      </c>
      <c r="AB138" s="1">
        <f>MIN($K138)</f>
        <v>0</v>
      </c>
      <c r="AC138" s="1">
        <f>MIN($M138)</f>
        <v>0</v>
      </c>
      <c r="AD138" s="1">
        <f>MIN($N138)</f>
        <v>0</v>
      </c>
      <c r="AE138" s="1">
        <f>MIN($P138)</f>
        <v>0</v>
      </c>
      <c r="AF138" s="1">
        <f>MIN($Q138)</f>
        <v>0</v>
      </c>
      <c r="AG138" s="1">
        <f>MIN($R138)</f>
        <v>0</v>
      </c>
      <c r="AH138" s="1">
        <f>MEDIAN($B138)</f>
        <v>0</v>
      </c>
      <c r="AI138" s="1">
        <f>MEDIAN($C138)</f>
        <v>0</v>
      </c>
      <c r="AJ138" s="1">
        <f>MEDIAN($D138)</f>
        <v>0</v>
      </c>
      <c r="AK138" s="1">
        <f>MEDIAN($E138)</f>
        <v>0</v>
      </c>
      <c r="AL138" s="1">
        <f>MEDIAN($F138)</f>
        <v>0</v>
      </c>
      <c r="AM138" s="1">
        <f>MEDIAN($G138)</f>
        <v>0</v>
      </c>
      <c r="AN138" s="1">
        <f>MEDIAN($H138)</f>
        <v>0</v>
      </c>
      <c r="AO138" s="1">
        <f>MEDIAN($I138)</f>
        <v>0</v>
      </c>
      <c r="AP138" s="1">
        <f>MEDIAN($J138)</f>
        <v>0</v>
      </c>
      <c r="AQ138" s="1">
        <f>MEDIAN($K138)</f>
        <v>0</v>
      </c>
      <c r="AR138" s="1">
        <f>MEDIAN($M138)</f>
        <v>0</v>
      </c>
      <c r="AS138" s="1">
        <f>MEDIAN($N138)</f>
        <v>0</v>
      </c>
      <c r="AT138" s="1">
        <f>MEDIAN($P138)</f>
        <v>0</v>
      </c>
      <c r="AU138" s="1">
        <f>MEDIAN($Q138)</f>
        <v>0</v>
      </c>
      <c r="AV138" s="1">
        <f>MEDIAN($R138)</f>
        <v>0</v>
      </c>
      <c r="AW138" s="1">
        <f>MAX($B138)</f>
        <v>0</v>
      </c>
      <c r="AX138" s="1">
        <f>MAX($C138)</f>
        <v>0</v>
      </c>
      <c r="AY138" s="1">
        <f>MAX($D138)</f>
        <v>0</v>
      </c>
      <c r="AZ138" s="1">
        <f>MAX($E138)</f>
        <v>0</v>
      </c>
      <c r="BA138" s="1">
        <f>MAX($F138)</f>
        <v>0</v>
      </c>
      <c r="BB138" s="1">
        <f>MAX($G138)</f>
        <v>0</v>
      </c>
      <c r="BC138" s="1">
        <f>MAX($H138)</f>
        <v>0</v>
      </c>
      <c r="BD138" s="1">
        <f>MAX($I138)</f>
        <v>0</v>
      </c>
      <c r="BE138" s="1">
        <f>MAX($J138)</f>
        <v>0</v>
      </c>
      <c r="BF138" s="1">
        <f>MAX($K138)</f>
        <v>0</v>
      </c>
      <c r="BG138" s="1">
        <f>MAX($M138)</f>
        <v>0</v>
      </c>
      <c r="BH138" s="1">
        <f>MAX($N138)</f>
        <v>0</v>
      </c>
      <c r="BI138" s="1">
        <f>MAX($P138)</f>
        <v>0</v>
      </c>
      <c r="BJ138" s="1">
        <f>MAX($Q138)</f>
        <v>0</v>
      </c>
      <c r="BK138" s="1">
        <f>MAX($R138)</f>
        <v>0</v>
      </c>
    </row>
    <row r="139" spans="1:63">
      <c r="A139" s="1" t="s">
        <v>136</v>
      </c>
      <c r="B139" s="1">
        <v>1625</v>
      </c>
      <c r="C139" s="1">
        <v>1</v>
      </c>
      <c r="D139" s="1">
        <v>48260391</v>
      </c>
      <c r="E139" s="1">
        <v>0</v>
      </c>
      <c r="F139" s="1">
        <v>5512</v>
      </c>
      <c r="G139" s="1">
        <v>0</v>
      </c>
      <c r="H139" s="1">
        <v>1</v>
      </c>
      <c r="I139" s="1">
        <v>222.047</v>
      </c>
      <c r="J139" s="1">
        <v>224.85</v>
      </c>
      <c r="K139" s="1">
        <v>0</v>
      </c>
      <c r="L139" s="1" t="s">
        <v>205</v>
      </c>
      <c r="M139" s="1">
        <v>14174844</v>
      </c>
      <c r="N139" s="1">
        <v>8.16</v>
      </c>
      <c r="O139" s="1" t="s">
        <v>210</v>
      </c>
      <c r="P139" s="1">
        <v>224.85</v>
      </c>
      <c r="Q139" s="1">
        <v>0</v>
      </c>
      <c r="R139" s="1">
        <v>12883683</v>
      </c>
      <c r="S139" s="1">
        <f>MIN($B139)</f>
        <v>0</v>
      </c>
      <c r="T139" s="1">
        <f>MIN($C139)</f>
        <v>0</v>
      </c>
      <c r="U139" s="1">
        <f>MIN($D139)</f>
        <v>0</v>
      </c>
      <c r="V139" s="1">
        <f>MIN($E139)</f>
        <v>0</v>
      </c>
      <c r="W139" s="1">
        <f>MIN($F139)</f>
        <v>0</v>
      </c>
      <c r="X139" s="1">
        <f>MIN($G139)</f>
        <v>0</v>
      </c>
      <c r="Y139" s="1">
        <f>MIN($H139)</f>
        <v>0</v>
      </c>
      <c r="Z139" s="1">
        <f>MIN($I139)</f>
        <v>0</v>
      </c>
      <c r="AA139" s="1">
        <f>MIN($J139)</f>
        <v>0</v>
      </c>
      <c r="AB139" s="1">
        <f>MIN($K139)</f>
        <v>0</v>
      </c>
      <c r="AC139" s="1">
        <f>MIN($M139)</f>
        <v>0</v>
      </c>
      <c r="AD139" s="1">
        <f>MIN($N139)</f>
        <v>0</v>
      </c>
      <c r="AE139" s="1">
        <f>MIN($P139)</f>
        <v>0</v>
      </c>
      <c r="AF139" s="1">
        <f>MIN($Q139)</f>
        <v>0</v>
      </c>
      <c r="AG139" s="1">
        <f>MIN($R139)</f>
        <v>0</v>
      </c>
      <c r="AH139" s="1">
        <f>MEDIAN($B139)</f>
        <v>0</v>
      </c>
      <c r="AI139" s="1">
        <f>MEDIAN($C139)</f>
        <v>0</v>
      </c>
      <c r="AJ139" s="1">
        <f>MEDIAN($D139)</f>
        <v>0</v>
      </c>
      <c r="AK139" s="1">
        <f>MEDIAN($E139)</f>
        <v>0</v>
      </c>
      <c r="AL139" s="1">
        <f>MEDIAN($F139)</f>
        <v>0</v>
      </c>
      <c r="AM139" s="1">
        <f>MEDIAN($G139)</f>
        <v>0</v>
      </c>
      <c r="AN139" s="1">
        <f>MEDIAN($H139)</f>
        <v>0</v>
      </c>
      <c r="AO139" s="1">
        <f>MEDIAN($I139)</f>
        <v>0</v>
      </c>
      <c r="AP139" s="1">
        <f>MEDIAN($J139)</f>
        <v>0</v>
      </c>
      <c r="AQ139" s="1">
        <f>MEDIAN($K139)</f>
        <v>0</v>
      </c>
      <c r="AR139" s="1">
        <f>MEDIAN($M139)</f>
        <v>0</v>
      </c>
      <c r="AS139" s="1">
        <f>MEDIAN($N139)</f>
        <v>0</v>
      </c>
      <c r="AT139" s="1">
        <f>MEDIAN($P139)</f>
        <v>0</v>
      </c>
      <c r="AU139" s="1">
        <f>MEDIAN($Q139)</f>
        <v>0</v>
      </c>
      <c r="AV139" s="1">
        <f>MEDIAN($R139)</f>
        <v>0</v>
      </c>
      <c r="AW139" s="1">
        <f>MAX($B139)</f>
        <v>0</v>
      </c>
      <c r="AX139" s="1">
        <f>MAX($C139)</f>
        <v>0</v>
      </c>
      <c r="AY139" s="1">
        <f>MAX($D139)</f>
        <v>0</v>
      </c>
      <c r="AZ139" s="1">
        <f>MAX($E139)</f>
        <v>0</v>
      </c>
      <c r="BA139" s="1">
        <f>MAX($F139)</f>
        <v>0</v>
      </c>
      <c r="BB139" s="1">
        <f>MAX($G139)</f>
        <v>0</v>
      </c>
      <c r="BC139" s="1">
        <f>MAX($H139)</f>
        <v>0</v>
      </c>
      <c r="BD139" s="1">
        <f>MAX($I139)</f>
        <v>0</v>
      </c>
      <c r="BE139" s="1">
        <f>MAX($J139)</f>
        <v>0</v>
      </c>
      <c r="BF139" s="1">
        <f>MAX($K139)</f>
        <v>0</v>
      </c>
      <c r="BG139" s="1">
        <f>MAX($M139)</f>
        <v>0</v>
      </c>
      <c r="BH139" s="1">
        <f>MAX($N139)</f>
        <v>0</v>
      </c>
      <c r="BI139" s="1">
        <f>MAX($P139)</f>
        <v>0</v>
      </c>
      <c r="BJ139" s="1">
        <f>MAX($Q139)</f>
        <v>0</v>
      </c>
      <c r="BK139" s="1">
        <f>MAX($R139)</f>
        <v>0</v>
      </c>
    </row>
    <row r="140" spans="1:63">
      <c r="A140" s="1" t="s">
        <v>137</v>
      </c>
      <c r="B140" s="1">
        <v>303</v>
      </c>
      <c r="C140" s="1">
        <v>0</v>
      </c>
      <c r="D140" s="1">
        <v>48016399</v>
      </c>
      <c r="E140" s="1">
        <v>0</v>
      </c>
      <c r="F140" s="1">
        <v>5519</v>
      </c>
      <c r="G140" s="1">
        <v>0</v>
      </c>
      <c r="H140" s="1">
        <v>1</v>
      </c>
      <c r="I140" s="1">
        <v>79.06999999999999</v>
      </c>
      <c r="J140" s="1">
        <v>80.97</v>
      </c>
      <c r="K140" s="1">
        <v>0</v>
      </c>
      <c r="L140" s="1" t="s">
        <v>205</v>
      </c>
      <c r="M140" s="1">
        <v>14100785</v>
      </c>
      <c r="N140" s="1">
        <v>2.02</v>
      </c>
      <c r="O140" s="1" t="s">
        <v>210</v>
      </c>
      <c r="P140" s="1">
        <v>80.97</v>
      </c>
      <c r="Q140" s="1">
        <v>0</v>
      </c>
      <c r="R140" s="1">
        <v>12819256</v>
      </c>
      <c r="S140" s="1">
        <f>MIN($B140)</f>
        <v>0</v>
      </c>
      <c r="T140" s="1">
        <f>MIN($C140)</f>
        <v>0</v>
      </c>
      <c r="U140" s="1">
        <f>MIN($D140)</f>
        <v>0</v>
      </c>
      <c r="V140" s="1">
        <f>MIN($E140)</f>
        <v>0</v>
      </c>
      <c r="W140" s="1">
        <f>MIN($F140)</f>
        <v>0</v>
      </c>
      <c r="X140" s="1">
        <f>MIN($G140)</f>
        <v>0</v>
      </c>
      <c r="Y140" s="1">
        <f>MIN($H140)</f>
        <v>0</v>
      </c>
      <c r="Z140" s="1">
        <f>MIN($I140)</f>
        <v>0</v>
      </c>
      <c r="AA140" s="1">
        <f>MIN($J140)</f>
        <v>0</v>
      </c>
      <c r="AB140" s="1">
        <f>MIN($K140)</f>
        <v>0</v>
      </c>
      <c r="AC140" s="1">
        <f>MIN($M140)</f>
        <v>0</v>
      </c>
      <c r="AD140" s="1">
        <f>MIN($N140)</f>
        <v>0</v>
      </c>
      <c r="AE140" s="1">
        <f>MIN($P140)</f>
        <v>0</v>
      </c>
      <c r="AF140" s="1">
        <f>MIN($Q140)</f>
        <v>0</v>
      </c>
      <c r="AG140" s="1">
        <f>MIN($R140)</f>
        <v>0</v>
      </c>
      <c r="AH140" s="1">
        <f>MEDIAN($B140)</f>
        <v>0</v>
      </c>
      <c r="AI140" s="1">
        <f>MEDIAN($C140)</f>
        <v>0</v>
      </c>
      <c r="AJ140" s="1">
        <f>MEDIAN($D140)</f>
        <v>0</v>
      </c>
      <c r="AK140" s="1">
        <f>MEDIAN($E140)</f>
        <v>0</v>
      </c>
      <c r="AL140" s="1">
        <f>MEDIAN($F140)</f>
        <v>0</v>
      </c>
      <c r="AM140" s="1">
        <f>MEDIAN($G140)</f>
        <v>0</v>
      </c>
      <c r="AN140" s="1">
        <f>MEDIAN($H140)</f>
        <v>0</v>
      </c>
      <c r="AO140" s="1">
        <f>MEDIAN($I140)</f>
        <v>0</v>
      </c>
      <c r="AP140" s="1">
        <f>MEDIAN($J140)</f>
        <v>0</v>
      </c>
      <c r="AQ140" s="1">
        <f>MEDIAN($K140)</f>
        <v>0</v>
      </c>
      <c r="AR140" s="1">
        <f>MEDIAN($M140)</f>
        <v>0</v>
      </c>
      <c r="AS140" s="1">
        <f>MEDIAN($N140)</f>
        <v>0</v>
      </c>
      <c r="AT140" s="1">
        <f>MEDIAN($P140)</f>
        <v>0</v>
      </c>
      <c r="AU140" s="1">
        <f>MEDIAN($Q140)</f>
        <v>0</v>
      </c>
      <c r="AV140" s="1">
        <f>MEDIAN($R140)</f>
        <v>0</v>
      </c>
      <c r="AW140" s="1">
        <f>MAX($B140)</f>
        <v>0</v>
      </c>
      <c r="AX140" s="1">
        <f>MAX($C140)</f>
        <v>0</v>
      </c>
      <c r="AY140" s="1">
        <f>MAX($D140)</f>
        <v>0</v>
      </c>
      <c r="AZ140" s="1">
        <f>MAX($E140)</f>
        <v>0</v>
      </c>
      <c r="BA140" s="1">
        <f>MAX($F140)</f>
        <v>0</v>
      </c>
      <c r="BB140" s="1">
        <f>MAX($G140)</f>
        <v>0</v>
      </c>
      <c r="BC140" s="1">
        <f>MAX($H140)</f>
        <v>0</v>
      </c>
      <c r="BD140" s="1">
        <f>MAX($I140)</f>
        <v>0</v>
      </c>
      <c r="BE140" s="1">
        <f>MAX($J140)</f>
        <v>0</v>
      </c>
      <c r="BF140" s="1">
        <f>MAX($K140)</f>
        <v>0</v>
      </c>
      <c r="BG140" s="1">
        <f>MAX($M140)</f>
        <v>0</v>
      </c>
      <c r="BH140" s="1">
        <f>MAX($N140)</f>
        <v>0</v>
      </c>
      <c r="BI140" s="1">
        <f>MAX($P140)</f>
        <v>0</v>
      </c>
      <c r="BJ140" s="1">
        <f>MAX($Q140)</f>
        <v>0</v>
      </c>
      <c r="BK140" s="1">
        <f>MAX($R140)</f>
        <v>0</v>
      </c>
    </row>
    <row r="141" spans="1:63">
      <c r="A141" s="1" t="s">
        <v>138</v>
      </c>
      <c r="B141" s="1">
        <v>6652</v>
      </c>
      <c r="C141" s="1">
        <v>2</v>
      </c>
      <c r="D141" s="1">
        <v>34082782</v>
      </c>
      <c r="E141" s="1">
        <v>0</v>
      </c>
      <c r="F141" s="1">
        <v>4090</v>
      </c>
      <c r="G141" s="1">
        <v>0</v>
      </c>
      <c r="H141" s="1">
        <v>1</v>
      </c>
      <c r="I141" s="1">
        <v>61.031</v>
      </c>
      <c r="J141" s="1">
        <v>62.67</v>
      </c>
      <c r="K141" s="1">
        <v>0</v>
      </c>
      <c r="L141" s="1" t="s">
        <v>205</v>
      </c>
      <c r="M141" s="1">
        <v>10292887</v>
      </c>
      <c r="N141" s="1">
        <v>2.32</v>
      </c>
      <c r="O141" s="1" t="s">
        <v>210</v>
      </c>
      <c r="P141" s="1">
        <v>62.67</v>
      </c>
      <c r="Q141" s="1">
        <v>0</v>
      </c>
      <c r="R141" s="1">
        <v>9197713</v>
      </c>
      <c r="S141" s="1">
        <f>MIN($B141)</f>
        <v>0</v>
      </c>
      <c r="T141" s="1">
        <f>MIN($C141)</f>
        <v>0</v>
      </c>
      <c r="U141" s="1">
        <f>MIN($D141)</f>
        <v>0</v>
      </c>
      <c r="V141" s="1">
        <f>MIN($E141)</f>
        <v>0</v>
      </c>
      <c r="W141" s="1">
        <f>MIN($F141)</f>
        <v>0</v>
      </c>
      <c r="X141" s="1">
        <f>MIN($G141)</f>
        <v>0</v>
      </c>
      <c r="Y141" s="1">
        <f>MIN($H141)</f>
        <v>0</v>
      </c>
      <c r="Z141" s="1">
        <f>MIN($I141)</f>
        <v>0</v>
      </c>
      <c r="AA141" s="1">
        <f>MIN($J141)</f>
        <v>0</v>
      </c>
      <c r="AB141" s="1">
        <f>MIN($K141)</f>
        <v>0</v>
      </c>
      <c r="AC141" s="1">
        <f>MIN($M141)</f>
        <v>0</v>
      </c>
      <c r="AD141" s="1">
        <f>MIN($N141)</f>
        <v>0</v>
      </c>
      <c r="AE141" s="1">
        <f>MIN($P141)</f>
        <v>0</v>
      </c>
      <c r="AF141" s="1">
        <f>MIN($Q141)</f>
        <v>0</v>
      </c>
      <c r="AG141" s="1">
        <f>MIN($R141)</f>
        <v>0</v>
      </c>
      <c r="AH141" s="1">
        <f>MEDIAN($B141)</f>
        <v>0</v>
      </c>
      <c r="AI141" s="1">
        <f>MEDIAN($C141)</f>
        <v>0</v>
      </c>
      <c r="AJ141" s="1">
        <f>MEDIAN($D141)</f>
        <v>0</v>
      </c>
      <c r="AK141" s="1">
        <f>MEDIAN($E141)</f>
        <v>0</v>
      </c>
      <c r="AL141" s="1">
        <f>MEDIAN($F141)</f>
        <v>0</v>
      </c>
      <c r="AM141" s="1">
        <f>MEDIAN($G141)</f>
        <v>0</v>
      </c>
      <c r="AN141" s="1">
        <f>MEDIAN($H141)</f>
        <v>0</v>
      </c>
      <c r="AO141" s="1">
        <f>MEDIAN($I141)</f>
        <v>0</v>
      </c>
      <c r="AP141" s="1">
        <f>MEDIAN($J141)</f>
        <v>0</v>
      </c>
      <c r="AQ141" s="1">
        <f>MEDIAN($K141)</f>
        <v>0</v>
      </c>
      <c r="AR141" s="1">
        <f>MEDIAN($M141)</f>
        <v>0</v>
      </c>
      <c r="AS141" s="1">
        <f>MEDIAN($N141)</f>
        <v>0</v>
      </c>
      <c r="AT141" s="1">
        <f>MEDIAN($P141)</f>
        <v>0</v>
      </c>
      <c r="AU141" s="1">
        <f>MEDIAN($Q141)</f>
        <v>0</v>
      </c>
      <c r="AV141" s="1">
        <f>MEDIAN($R141)</f>
        <v>0</v>
      </c>
      <c r="AW141" s="1">
        <f>MAX($B141)</f>
        <v>0</v>
      </c>
      <c r="AX141" s="1">
        <f>MAX($C141)</f>
        <v>0</v>
      </c>
      <c r="AY141" s="1">
        <f>MAX($D141)</f>
        <v>0</v>
      </c>
      <c r="AZ141" s="1">
        <f>MAX($E141)</f>
        <v>0</v>
      </c>
      <c r="BA141" s="1">
        <f>MAX($F141)</f>
        <v>0</v>
      </c>
      <c r="BB141" s="1">
        <f>MAX($G141)</f>
        <v>0</v>
      </c>
      <c r="BC141" s="1">
        <f>MAX($H141)</f>
        <v>0</v>
      </c>
      <c r="BD141" s="1">
        <f>MAX($I141)</f>
        <v>0</v>
      </c>
      <c r="BE141" s="1">
        <f>MAX($J141)</f>
        <v>0</v>
      </c>
      <c r="BF141" s="1">
        <f>MAX($K141)</f>
        <v>0</v>
      </c>
      <c r="BG141" s="1">
        <f>MAX($M141)</f>
        <v>0</v>
      </c>
      <c r="BH141" s="1">
        <f>MAX($N141)</f>
        <v>0</v>
      </c>
      <c r="BI141" s="1">
        <f>MAX($P141)</f>
        <v>0</v>
      </c>
      <c r="BJ141" s="1">
        <f>MAX($Q141)</f>
        <v>0</v>
      </c>
      <c r="BK141" s="1">
        <f>MAX($R141)</f>
        <v>0</v>
      </c>
    </row>
    <row r="142" spans="1:63">
      <c r="A142" s="1" t="s">
        <v>139</v>
      </c>
      <c r="B142" s="1">
        <v>158</v>
      </c>
      <c r="C142" s="1">
        <v>0</v>
      </c>
      <c r="D142" s="1">
        <v>5767816</v>
      </c>
      <c r="E142" s="1">
        <v>0</v>
      </c>
      <c r="F142" s="1">
        <v>829</v>
      </c>
      <c r="G142" s="1">
        <v>0</v>
      </c>
      <c r="H142" s="1">
        <v>1</v>
      </c>
      <c r="I142" s="1">
        <v>10.227</v>
      </c>
      <c r="J142" s="1">
        <v>10.67</v>
      </c>
      <c r="K142" s="1">
        <v>0</v>
      </c>
      <c r="L142" s="1" t="s">
        <v>205</v>
      </c>
      <c r="M142" s="1">
        <v>1898024</v>
      </c>
      <c r="N142" s="1">
        <v>0.35</v>
      </c>
      <c r="O142" s="1" t="s">
        <v>210</v>
      </c>
      <c r="P142" s="1">
        <v>10.67</v>
      </c>
      <c r="Q142" s="1">
        <v>0</v>
      </c>
      <c r="R142" s="1">
        <v>1613862</v>
      </c>
      <c r="S142" s="1">
        <f>MIN($B142)</f>
        <v>0</v>
      </c>
      <c r="T142" s="1">
        <f>MIN($C142)</f>
        <v>0</v>
      </c>
      <c r="U142" s="1">
        <f>MIN($D142)</f>
        <v>0</v>
      </c>
      <c r="V142" s="1">
        <f>MIN($E142)</f>
        <v>0</v>
      </c>
      <c r="W142" s="1">
        <f>MIN($F142)</f>
        <v>0</v>
      </c>
      <c r="X142" s="1">
        <f>MIN($G142)</f>
        <v>0</v>
      </c>
      <c r="Y142" s="1">
        <f>MIN($H142)</f>
        <v>0</v>
      </c>
      <c r="Z142" s="1">
        <f>MIN($I142)</f>
        <v>0</v>
      </c>
      <c r="AA142" s="1">
        <f>MIN($J142)</f>
        <v>0</v>
      </c>
      <c r="AB142" s="1">
        <f>MIN($K142)</f>
        <v>0</v>
      </c>
      <c r="AC142" s="1">
        <f>MIN($M142)</f>
        <v>0</v>
      </c>
      <c r="AD142" s="1">
        <f>MIN($N142)</f>
        <v>0</v>
      </c>
      <c r="AE142" s="1">
        <f>MIN($P142)</f>
        <v>0</v>
      </c>
      <c r="AF142" s="1">
        <f>MIN($Q142)</f>
        <v>0</v>
      </c>
      <c r="AG142" s="1">
        <f>MIN($R142)</f>
        <v>0</v>
      </c>
      <c r="AH142" s="1">
        <f>MEDIAN($B142)</f>
        <v>0</v>
      </c>
      <c r="AI142" s="1">
        <f>MEDIAN($C142)</f>
        <v>0</v>
      </c>
      <c r="AJ142" s="1">
        <f>MEDIAN($D142)</f>
        <v>0</v>
      </c>
      <c r="AK142" s="1">
        <f>MEDIAN($E142)</f>
        <v>0</v>
      </c>
      <c r="AL142" s="1">
        <f>MEDIAN($F142)</f>
        <v>0</v>
      </c>
      <c r="AM142" s="1">
        <f>MEDIAN($G142)</f>
        <v>0</v>
      </c>
      <c r="AN142" s="1">
        <f>MEDIAN($H142)</f>
        <v>0</v>
      </c>
      <c r="AO142" s="1">
        <f>MEDIAN($I142)</f>
        <v>0</v>
      </c>
      <c r="AP142" s="1">
        <f>MEDIAN($J142)</f>
        <v>0</v>
      </c>
      <c r="AQ142" s="1">
        <f>MEDIAN($K142)</f>
        <v>0</v>
      </c>
      <c r="AR142" s="1">
        <f>MEDIAN($M142)</f>
        <v>0</v>
      </c>
      <c r="AS142" s="1">
        <f>MEDIAN($N142)</f>
        <v>0</v>
      </c>
      <c r="AT142" s="1">
        <f>MEDIAN($P142)</f>
        <v>0</v>
      </c>
      <c r="AU142" s="1">
        <f>MEDIAN($Q142)</f>
        <v>0</v>
      </c>
      <c r="AV142" s="1">
        <f>MEDIAN($R142)</f>
        <v>0</v>
      </c>
      <c r="AW142" s="1">
        <f>MAX($B142)</f>
        <v>0</v>
      </c>
      <c r="AX142" s="1">
        <f>MAX($C142)</f>
        <v>0</v>
      </c>
      <c r="AY142" s="1">
        <f>MAX($D142)</f>
        <v>0</v>
      </c>
      <c r="AZ142" s="1">
        <f>MAX($E142)</f>
        <v>0</v>
      </c>
      <c r="BA142" s="1">
        <f>MAX($F142)</f>
        <v>0</v>
      </c>
      <c r="BB142" s="1">
        <f>MAX($G142)</f>
        <v>0</v>
      </c>
      <c r="BC142" s="1">
        <f>MAX($H142)</f>
        <v>0</v>
      </c>
      <c r="BD142" s="1">
        <f>MAX($I142)</f>
        <v>0</v>
      </c>
      <c r="BE142" s="1">
        <f>MAX($J142)</f>
        <v>0</v>
      </c>
      <c r="BF142" s="1">
        <f>MAX($K142)</f>
        <v>0</v>
      </c>
      <c r="BG142" s="1">
        <f>MAX($M142)</f>
        <v>0</v>
      </c>
      <c r="BH142" s="1">
        <f>MAX($N142)</f>
        <v>0</v>
      </c>
      <c r="BI142" s="1">
        <f>MAX($P142)</f>
        <v>0</v>
      </c>
      <c r="BJ142" s="1">
        <f>MAX($Q142)</f>
        <v>0</v>
      </c>
      <c r="BK142" s="1">
        <f>MAX($R142)</f>
        <v>0</v>
      </c>
    </row>
    <row r="143" spans="1:63">
      <c r="A143" s="1" t="s">
        <v>140</v>
      </c>
      <c r="B143" s="1">
        <v>2859</v>
      </c>
      <c r="C143" s="1">
        <v>1</v>
      </c>
      <c r="D143" s="1">
        <v>43997477</v>
      </c>
      <c r="E143" s="1">
        <v>0</v>
      </c>
      <c r="F143" s="1">
        <v>5123</v>
      </c>
      <c r="G143" s="1">
        <v>0</v>
      </c>
      <c r="H143" s="1">
        <v>1</v>
      </c>
      <c r="I143" s="1">
        <v>86.402</v>
      </c>
      <c r="J143" s="1">
        <v>88.77</v>
      </c>
      <c r="K143" s="1">
        <v>0</v>
      </c>
      <c r="L143" s="1" t="s">
        <v>205</v>
      </c>
      <c r="M143" s="1">
        <v>12952139</v>
      </c>
      <c r="N143" s="1">
        <v>5.3</v>
      </c>
      <c r="O143" s="1" t="s">
        <v>210</v>
      </c>
      <c r="P143" s="1">
        <v>88.77</v>
      </c>
      <c r="Q143" s="1">
        <v>0</v>
      </c>
      <c r="R143" s="1">
        <v>11735643</v>
      </c>
      <c r="S143" s="1">
        <f>MIN($B143)</f>
        <v>0</v>
      </c>
      <c r="T143" s="1">
        <f>MIN($C143)</f>
        <v>0</v>
      </c>
      <c r="U143" s="1">
        <f>MIN($D143)</f>
        <v>0</v>
      </c>
      <c r="V143" s="1">
        <f>MIN($E143)</f>
        <v>0</v>
      </c>
      <c r="W143" s="1">
        <f>MIN($F143)</f>
        <v>0</v>
      </c>
      <c r="X143" s="1">
        <f>MIN($G143)</f>
        <v>0</v>
      </c>
      <c r="Y143" s="1">
        <f>MIN($H143)</f>
        <v>0</v>
      </c>
      <c r="Z143" s="1">
        <f>MIN($I143)</f>
        <v>0</v>
      </c>
      <c r="AA143" s="1">
        <f>MIN($J143)</f>
        <v>0</v>
      </c>
      <c r="AB143" s="1">
        <f>MIN($K143)</f>
        <v>0</v>
      </c>
      <c r="AC143" s="1">
        <f>MIN($M143)</f>
        <v>0</v>
      </c>
      <c r="AD143" s="1">
        <f>MIN($N143)</f>
        <v>0</v>
      </c>
      <c r="AE143" s="1">
        <f>MIN($P143)</f>
        <v>0</v>
      </c>
      <c r="AF143" s="1">
        <f>MIN($Q143)</f>
        <v>0</v>
      </c>
      <c r="AG143" s="1">
        <f>MIN($R143)</f>
        <v>0</v>
      </c>
      <c r="AH143" s="1">
        <f>MEDIAN($B143)</f>
        <v>0</v>
      </c>
      <c r="AI143" s="1">
        <f>MEDIAN($C143)</f>
        <v>0</v>
      </c>
      <c r="AJ143" s="1">
        <f>MEDIAN($D143)</f>
        <v>0</v>
      </c>
      <c r="AK143" s="1">
        <f>MEDIAN($E143)</f>
        <v>0</v>
      </c>
      <c r="AL143" s="1">
        <f>MEDIAN($F143)</f>
        <v>0</v>
      </c>
      <c r="AM143" s="1">
        <f>MEDIAN($G143)</f>
        <v>0</v>
      </c>
      <c r="AN143" s="1">
        <f>MEDIAN($H143)</f>
        <v>0</v>
      </c>
      <c r="AO143" s="1">
        <f>MEDIAN($I143)</f>
        <v>0</v>
      </c>
      <c r="AP143" s="1">
        <f>MEDIAN($J143)</f>
        <v>0</v>
      </c>
      <c r="AQ143" s="1">
        <f>MEDIAN($K143)</f>
        <v>0</v>
      </c>
      <c r="AR143" s="1">
        <f>MEDIAN($M143)</f>
        <v>0</v>
      </c>
      <c r="AS143" s="1">
        <f>MEDIAN($N143)</f>
        <v>0</v>
      </c>
      <c r="AT143" s="1">
        <f>MEDIAN($P143)</f>
        <v>0</v>
      </c>
      <c r="AU143" s="1">
        <f>MEDIAN($Q143)</f>
        <v>0</v>
      </c>
      <c r="AV143" s="1">
        <f>MEDIAN($R143)</f>
        <v>0</v>
      </c>
      <c r="AW143" s="1">
        <f>MAX($B143)</f>
        <v>0</v>
      </c>
      <c r="AX143" s="1">
        <f>MAX($C143)</f>
        <v>0</v>
      </c>
      <c r="AY143" s="1">
        <f>MAX($D143)</f>
        <v>0</v>
      </c>
      <c r="AZ143" s="1">
        <f>MAX($E143)</f>
        <v>0</v>
      </c>
      <c r="BA143" s="1">
        <f>MAX($F143)</f>
        <v>0</v>
      </c>
      <c r="BB143" s="1">
        <f>MAX($G143)</f>
        <v>0</v>
      </c>
      <c r="BC143" s="1">
        <f>MAX($H143)</f>
        <v>0</v>
      </c>
      <c r="BD143" s="1">
        <f>MAX($I143)</f>
        <v>0</v>
      </c>
      <c r="BE143" s="1">
        <f>MAX($J143)</f>
        <v>0</v>
      </c>
      <c r="BF143" s="1">
        <f>MAX($K143)</f>
        <v>0</v>
      </c>
      <c r="BG143" s="1">
        <f>MAX($M143)</f>
        <v>0</v>
      </c>
      <c r="BH143" s="1">
        <f>MAX($N143)</f>
        <v>0</v>
      </c>
      <c r="BI143" s="1">
        <f>MAX($P143)</f>
        <v>0</v>
      </c>
      <c r="BJ143" s="1">
        <f>MAX($Q143)</f>
        <v>0</v>
      </c>
      <c r="BK143" s="1">
        <f>MAX($R143)</f>
        <v>0</v>
      </c>
    </row>
    <row r="144" spans="1:63">
      <c r="A144" s="1" t="s">
        <v>141</v>
      </c>
      <c r="B144" s="1">
        <v>218</v>
      </c>
      <c r="C144" s="1">
        <v>0</v>
      </c>
      <c r="D144" s="1">
        <v>44052125</v>
      </c>
      <c r="E144" s="1">
        <v>0</v>
      </c>
      <c r="F144" s="1">
        <v>5161</v>
      </c>
      <c r="G144" s="1">
        <v>0</v>
      </c>
      <c r="H144" s="1">
        <v>1</v>
      </c>
      <c r="I144" s="1">
        <v>77.944</v>
      </c>
      <c r="J144" s="1">
        <v>79.88</v>
      </c>
      <c r="K144" s="1">
        <v>0</v>
      </c>
      <c r="L144" s="1" t="s">
        <v>205</v>
      </c>
      <c r="M144" s="1">
        <v>13099666</v>
      </c>
      <c r="N144" s="1">
        <v>2.26</v>
      </c>
      <c r="O144" s="1" t="s">
        <v>210</v>
      </c>
      <c r="P144" s="1">
        <v>79.88</v>
      </c>
      <c r="Q144" s="1">
        <v>0</v>
      </c>
      <c r="R144" s="1">
        <v>11829703</v>
      </c>
      <c r="S144" s="1">
        <f>MIN($B144)</f>
        <v>0</v>
      </c>
      <c r="T144" s="1">
        <f>MIN($C144)</f>
        <v>0</v>
      </c>
      <c r="U144" s="1">
        <f>MIN($D144)</f>
        <v>0</v>
      </c>
      <c r="V144" s="1">
        <f>MIN($E144)</f>
        <v>0</v>
      </c>
      <c r="W144" s="1">
        <f>MIN($F144)</f>
        <v>0</v>
      </c>
      <c r="X144" s="1">
        <f>MIN($G144)</f>
        <v>0</v>
      </c>
      <c r="Y144" s="1">
        <f>MIN($H144)</f>
        <v>0</v>
      </c>
      <c r="Z144" s="1">
        <f>MIN($I144)</f>
        <v>0</v>
      </c>
      <c r="AA144" s="1">
        <f>MIN($J144)</f>
        <v>0</v>
      </c>
      <c r="AB144" s="1">
        <f>MIN($K144)</f>
        <v>0</v>
      </c>
      <c r="AC144" s="1">
        <f>MIN($M144)</f>
        <v>0</v>
      </c>
      <c r="AD144" s="1">
        <f>MIN($N144)</f>
        <v>0</v>
      </c>
      <c r="AE144" s="1">
        <f>MIN($P144)</f>
        <v>0</v>
      </c>
      <c r="AF144" s="1">
        <f>MIN($Q144)</f>
        <v>0</v>
      </c>
      <c r="AG144" s="1">
        <f>MIN($R144)</f>
        <v>0</v>
      </c>
      <c r="AH144" s="1">
        <f>MEDIAN($B144)</f>
        <v>0</v>
      </c>
      <c r="AI144" s="1">
        <f>MEDIAN($C144)</f>
        <v>0</v>
      </c>
      <c r="AJ144" s="1">
        <f>MEDIAN($D144)</f>
        <v>0</v>
      </c>
      <c r="AK144" s="1">
        <f>MEDIAN($E144)</f>
        <v>0</v>
      </c>
      <c r="AL144" s="1">
        <f>MEDIAN($F144)</f>
        <v>0</v>
      </c>
      <c r="AM144" s="1">
        <f>MEDIAN($G144)</f>
        <v>0</v>
      </c>
      <c r="AN144" s="1">
        <f>MEDIAN($H144)</f>
        <v>0</v>
      </c>
      <c r="AO144" s="1">
        <f>MEDIAN($I144)</f>
        <v>0</v>
      </c>
      <c r="AP144" s="1">
        <f>MEDIAN($J144)</f>
        <v>0</v>
      </c>
      <c r="AQ144" s="1">
        <f>MEDIAN($K144)</f>
        <v>0</v>
      </c>
      <c r="AR144" s="1">
        <f>MEDIAN($M144)</f>
        <v>0</v>
      </c>
      <c r="AS144" s="1">
        <f>MEDIAN($N144)</f>
        <v>0</v>
      </c>
      <c r="AT144" s="1">
        <f>MEDIAN($P144)</f>
        <v>0</v>
      </c>
      <c r="AU144" s="1">
        <f>MEDIAN($Q144)</f>
        <v>0</v>
      </c>
      <c r="AV144" s="1">
        <f>MEDIAN($R144)</f>
        <v>0</v>
      </c>
      <c r="AW144" s="1">
        <f>MAX($B144)</f>
        <v>0</v>
      </c>
      <c r="AX144" s="1">
        <f>MAX($C144)</f>
        <v>0</v>
      </c>
      <c r="AY144" s="1">
        <f>MAX($D144)</f>
        <v>0</v>
      </c>
      <c r="AZ144" s="1">
        <f>MAX($E144)</f>
        <v>0</v>
      </c>
      <c r="BA144" s="1">
        <f>MAX($F144)</f>
        <v>0</v>
      </c>
      <c r="BB144" s="1">
        <f>MAX($G144)</f>
        <v>0</v>
      </c>
      <c r="BC144" s="1">
        <f>MAX($H144)</f>
        <v>0</v>
      </c>
      <c r="BD144" s="1">
        <f>MAX($I144)</f>
        <v>0</v>
      </c>
      <c r="BE144" s="1">
        <f>MAX($J144)</f>
        <v>0</v>
      </c>
      <c r="BF144" s="1">
        <f>MAX($K144)</f>
        <v>0</v>
      </c>
      <c r="BG144" s="1">
        <f>MAX($M144)</f>
        <v>0</v>
      </c>
      <c r="BH144" s="1">
        <f>MAX($N144)</f>
        <v>0</v>
      </c>
      <c r="BI144" s="1">
        <f>MAX($P144)</f>
        <v>0</v>
      </c>
      <c r="BJ144" s="1">
        <f>MAX($Q144)</f>
        <v>0</v>
      </c>
      <c r="BK144" s="1">
        <f>MAX($R144)</f>
        <v>0</v>
      </c>
    </row>
    <row r="145" spans="1:63">
      <c r="A145" s="1" t="s">
        <v>142</v>
      </c>
      <c r="B145" s="1">
        <v>498</v>
      </c>
      <c r="C145" s="1">
        <v>0</v>
      </c>
      <c r="D145" s="1">
        <v>85255762</v>
      </c>
      <c r="E145" s="1">
        <v>0</v>
      </c>
      <c r="F145" s="1">
        <v>9785</v>
      </c>
      <c r="G145" s="1">
        <v>0</v>
      </c>
      <c r="H145" s="1">
        <v>1</v>
      </c>
      <c r="I145" s="1">
        <v>209.754</v>
      </c>
      <c r="J145" s="1">
        <v>214.94</v>
      </c>
      <c r="K145" s="1">
        <v>0</v>
      </c>
      <c r="L145" s="1" t="s">
        <v>205</v>
      </c>
      <c r="M145" s="1">
        <v>25155212</v>
      </c>
      <c r="N145" s="1">
        <v>5.06</v>
      </c>
      <c r="O145" s="1" t="s">
        <v>210</v>
      </c>
      <c r="P145" s="1">
        <v>214.94</v>
      </c>
      <c r="Q145" s="1">
        <v>0</v>
      </c>
      <c r="R145" s="1">
        <v>22822216</v>
      </c>
      <c r="S145" s="1">
        <f>MIN($B145)</f>
        <v>0</v>
      </c>
      <c r="T145" s="1">
        <f>MIN($C145)</f>
        <v>0</v>
      </c>
      <c r="U145" s="1">
        <f>MIN($D145)</f>
        <v>0</v>
      </c>
      <c r="V145" s="1">
        <f>MIN($E145)</f>
        <v>0</v>
      </c>
      <c r="W145" s="1">
        <f>MIN($F145)</f>
        <v>0</v>
      </c>
      <c r="X145" s="1">
        <f>MIN($G145)</f>
        <v>0</v>
      </c>
      <c r="Y145" s="1">
        <f>MIN($H145)</f>
        <v>0</v>
      </c>
      <c r="Z145" s="1">
        <f>MIN($I145)</f>
        <v>0</v>
      </c>
      <c r="AA145" s="1">
        <f>MIN($J145)</f>
        <v>0</v>
      </c>
      <c r="AB145" s="1">
        <f>MIN($K145)</f>
        <v>0</v>
      </c>
      <c r="AC145" s="1">
        <f>MIN($M145)</f>
        <v>0</v>
      </c>
      <c r="AD145" s="1">
        <f>MIN($N145)</f>
        <v>0</v>
      </c>
      <c r="AE145" s="1">
        <f>MIN($P145)</f>
        <v>0</v>
      </c>
      <c r="AF145" s="1">
        <f>MIN($Q145)</f>
        <v>0</v>
      </c>
      <c r="AG145" s="1">
        <f>MIN($R145)</f>
        <v>0</v>
      </c>
      <c r="AH145" s="1">
        <f>MEDIAN($B145)</f>
        <v>0</v>
      </c>
      <c r="AI145" s="1">
        <f>MEDIAN($C145)</f>
        <v>0</v>
      </c>
      <c r="AJ145" s="1">
        <f>MEDIAN($D145)</f>
        <v>0</v>
      </c>
      <c r="AK145" s="1">
        <f>MEDIAN($E145)</f>
        <v>0</v>
      </c>
      <c r="AL145" s="1">
        <f>MEDIAN($F145)</f>
        <v>0</v>
      </c>
      <c r="AM145" s="1">
        <f>MEDIAN($G145)</f>
        <v>0</v>
      </c>
      <c r="AN145" s="1">
        <f>MEDIAN($H145)</f>
        <v>0</v>
      </c>
      <c r="AO145" s="1">
        <f>MEDIAN($I145)</f>
        <v>0</v>
      </c>
      <c r="AP145" s="1">
        <f>MEDIAN($J145)</f>
        <v>0</v>
      </c>
      <c r="AQ145" s="1">
        <f>MEDIAN($K145)</f>
        <v>0</v>
      </c>
      <c r="AR145" s="1">
        <f>MEDIAN($M145)</f>
        <v>0</v>
      </c>
      <c r="AS145" s="1">
        <f>MEDIAN($N145)</f>
        <v>0</v>
      </c>
      <c r="AT145" s="1">
        <f>MEDIAN($P145)</f>
        <v>0</v>
      </c>
      <c r="AU145" s="1">
        <f>MEDIAN($Q145)</f>
        <v>0</v>
      </c>
      <c r="AV145" s="1">
        <f>MEDIAN($R145)</f>
        <v>0</v>
      </c>
      <c r="AW145" s="1">
        <f>MAX($B145)</f>
        <v>0</v>
      </c>
      <c r="AX145" s="1">
        <f>MAX($C145)</f>
        <v>0</v>
      </c>
      <c r="AY145" s="1">
        <f>MAX($D145)</f>
        <v>0</v>
      </c>
      <c r="AZ145" s="1">
        <f>MAX($E145)</f>
        <v>0</v>
      </c>
      <c r="BA145" s="1">
        <f>MAX($F145)</f>
        <v>0</v>
      </c>
      <c r="BB145" s="1">
        <f>MAX($G145)</f>
        <v>0</v>
      </c>
      <c r="BC145" s="1">
        <f>MAX($H145)</f>
        <v>0</v>
      </c>
      <c r="BD145" s="1">
        <f>MAX($I145)</f>
        <v>0</v>
      </c>
      <c r="BE145" s="1">
        <f>MAX($J145)</f>
        <v>0</v>
      </c>
      <c r="BF145" s="1">
        <f>MAX($K145)</f>
        <v>0</v>
      </c>
      <c r="BG145" s="1">
        <f>MAX($M145)</f>
        <v>0</v>
      </c>
      <c r="BH145" s="1">
        <f>MAX($N145)</f>
        <v>0</v>
      </c>
      <c r="BI145" s="1">
        <f>MAX($P145)</f>
        <v>0</v>
      </c>
      <c r="BJ145" s="1">
        <f>MAX($Q145)</f>
        <v>0</v>
      </c>
      <c r="BK145" s="1">
        <f>MAX($R145)</f>
        <v>0</v>
      </c>
    </row>
    <row r="146" spans="1:63">
      <c r="A146" s="1" t="s">
        <v>143</v>
      </c>
      <c r="B146" s="1">
        <v>399</v>
      </c>
      <c r="C146" s="1">
        <v>0</v>
      </c>
      <c r="D146" s="1">
        <v>146129892</v>
      </c>
      <c r="E146" s="1">
        <v>0</v>
      </c>
      <c r="F146" s="1">
        <v>15723</v>
      </c>
      <c r="G146" s="1">
        <v>0</v>
      </c>
      <c r="H146" s="1">
        <v>1</v>
      </c>
      <c r="I146" s="1">
        <v>375.576</v>
      </c>
      <c r="J146" s="1">
        <v>385.22</v>
      </c>
      <c r="K146" s="1">
        <v>0</v>
      </c>
      <c r="L146" s="1" t="s">
        <v>205</v>
      </c>
      <c r="M146" s="1">
        <v>41513023</v>
      </c>
      <c r="N146" s="1">
        <v>8.93</v>
      </c>
      <c r="O146" s="1" t="s">
        <v>210</v>
      </c>
      <c r="P146" s="1">
        <v>385.22</v>
      </c>
      <c r="Q146" s="1">
        <v>0</v>
      </c>
      <c r="R146" s="1">
        <v>38534446</v>
      </c>
      <c r="S146" s="1">
        <f>MIN($B146)</f>
        <v>0</v>
      </c>
      <c r="T146" s="1">
        <f>MIN($C146)</f>
        <v>0</v>
      </c>
      <c r="U146" s="1">
        <f>MIN($D146)</f>
        <v>0</v>
      </c>
      <c r="V146" s="1">
        <f>MIN($E146)</f>
        <v>0</v>
      </c>
      <c r="W146" s="1">
        <f>MIN($F146)</f>
        <v>0</v>
      </c>
      <c r="X146" s="1">
        <f>MIN($G146)</f>
        <v>0</v>
      </c>
      <c r="Y146" s="1">
        <f>MIN($H146)</f>
        <v>0</v>
      </c>
      <c r="Z146" s="1">
        <f>MIN($I146)</f>
        <v>0</v>
      </c>
      <c r="AA146" s="1">
        <f>MIN($J146)</f>
        <v>0</v>
      </c>
      <c r="AB146" s="1">
        <f>MIN($K146)</f>
        <v>0</v>
      </c>
      <c r="AC146" s="1">
        <f>MIN($M146)</f>
        <v>0</v>
      </c>
      <c r="AD146" s="1">
        <f>MIN($N146)</f>
        <v>0</v>
      </c>
      <c r="AE146" s="1">
        <f>MIN($P146)</f>
        <v>0</v>
      </c>
      <c r="AF146" s="1">
        <f>MIN($Q146)</f>
        <v>0</v>
      </c>
      <c r="AG146" s="1">
        <f>MIN($R146)</f>
        <v>0</v>
      </c>
      <c r="AH146" s="1">
        <f>MEDIAN($B146)</f>
        <v>0</v>
      </c>
      <c r="AI146" s="1">
        <f>MEDIAN($C146)</f>
        <v>0</v>
      </c>
      <c r="AJ146" s="1">
        <f>MEDIAN($D146)</f>
        <v>0</v>
      </c>
      <c r="AK146" s="1">
        <f>MEDIAN($E146)</f>
        <v>0</v>
      </c>
      <c r="AL146" s="1">
        <f>MEDIAN($F146)</f>
        <v>0</v>
      </c>
      <c r="AM146" s="1">
        <f>MEDIAN($G146)</f>
        <v>0</v>
      </c>
      <c r="AN146" s="1">
        <f>MEDIAN($H146)</f>
        <v>0</v>
      </c>
      <c r="AO146" s="1">
        <f>MEDIAN($I146)</f>
        <v>0</v>
      </c>
      <c r="AP146" s="1">
        <f>MEDIAN($J146)</f>
        <v>0</v>
      </c>
      <c r="AQ146" s="1">
        <f>MEDIAN($K146)</f>
        <v>0</v>
      </c>
      <c r="AR146" s="1">
        <f>MEDIAN($M146)</f>
        <v>0</v>
      </c>
      <c r="AS146" s="1">
        <f>MEDIAN($N146)</f>
        <v>0</v>
      </c>
      <c r="AT146" s="1">
        <f>MEDIAN($P146)</f>
        <v>0</v>
      </c>
      <c r="AU146" s="1">
        <f>MEDIAN($Q146)</f>
        <v>0</v>
      </c>
      <c r="AV146" s="1">
        <f>MEDIAN($R146)</f>
        <v>0</v>
      </c>
      <c r="AW146" s="1">
        <f>MAX($B146)</f>
        <v>0</v>
      </c>
      <c r="AX146" s="1">
        <f>MAX($C146)</f>
        <v>0</v>
      </c>
      <c r="AY146" s="1">
        <f>MAX($D146)</f>
        <v>0</v>
      </c>
      <c r="AZ146" s="1">
        <f>MAX($E146)</f>
        <v>0</v>
      </c>
      <c r="BA146" s="1">
        <f>MAX($F146)</f>
        <v>0</v>
      </c>
      <c r="BB146" s="1">
        <f>MAX($G146)</f>
        <v>0</v>
      </c>
      <c r="BC146" s="1">
        <f>MAX($H146)</f>
        <v>0</v>
      </c>
      <c r="BD146" s="1">
        <f>MAX($I146)</f>
        <v>0</v>
      </c>
      <c r="BE146" s="1">
        <f>MAX($J146)</f>
        <v>0</v>
      </c>
      <c r="BF146" s="1">
        <f>MAX($K146)</f>
        <v>0</v>
      </c>
      <c r="BG146" s="1">
        <f>MAX($M146)</f>
        <v>0</v>
      </c>
      <c r="BH146" s="1">
        <f>MAX($N146)</f>
        <v>0</v>
      </c>
      <c r="BI146" s="1">
        <f>MAX($P146)</f>
        <v>0</v>
      </c>
      <c r="BJ146" s="1">
        <f>MAX($Q146)</f>
        <v>0</v>
      </c>
      <c r="BK146" s="1">
        <f>MAX($R146)</f>
        <v>0</v>
      </c>
    </row>
    <row r="147" spans="1:63">
      <c r="A147" s="1" t="s">
        <v>144</v>
      </c>
      <c r="B147" s="1">
        <v>392</v>
      </c>
      <c r="C147" s="1">
        <v>3</v>
      </c>
      <c r="D147" s="1">
        <v>86909328</v>
      </c>
      <c r="E147" s="1">
        <v>0</v>
      </c>
      <c r="F147" s="1">
        <v>9977</v>
      </c>
      <c r="G147" s="1">
        <v>0</v>
      </c>
      <c r="H147" s="1">
        <v>1</v>
      </c>
      <c r="I147" s="1">
        <v>249.968</v>
      </c>
      <c r="J147" s="1">
        <v>254.61</v>
      </c>
      <c r="K147" s="1">
        <v>0</v>
      </c>
      <c r="L147" s="1" t="s">
        <v>205</v>
      </c>
      <c r="M147" s="1">
        <v>25482037</v>
      </c>
      <c r="N147" s="1">
        <v>6.29</v>
      </c>
      <c r="O147" s="1" t="s">
        <v>210</v>
      </c>
      <c r="P147" s="1">
        <v>254.61</v>
      </c>
      <c r="Q147" s="1">
        <v>0</v>
      </c>
      <c r="R147" s="1">
        <v>23250025</v>
      </c>
      <c r="S147" s="1">
        <f>MIN($B147)</f>
        <v>0</v>
      </c>
      <c r="T147" s="1">
        <f>MIN($C147)</f>
        <v>0</v>
      </c>
      <c r="U147" s="1">
        <f>MIN($D147)</f>
        <v>0</v>
      </c>
      <c r="V147" s="1">
        <f>MIN($E147)</f>
        <v>0</v>
      </c>
      <c r="W147" s="1">
        <f>MIN($F147)</f>
        <v>0</v>
      </c>
      <c r="X147" s="1">
        <f>MIN($G147)</f>
        <v>0</v>
      </c>
      <c r="Y147" s="1">
        <f>MIN($H147)</f>
        <v>0</v>
      </c>
      <c r="Z147" s="1">
        <f>MIN($I147)</f>
        <v>0</v>
      </c>
      <c r="AA147" s="1">
        <f>MIN($J147)</f>
        <v>0</v>
      </c>
      <c r="AB147" s="1">
        <f>MIN($K147)</f>
        <v>0</v>
      </c>
      <c r="AC147" s="1">
        <f>MIN($M147)</f>
        <v>0</v>
      </c>
      <c r="AD147" s="1">
        <f>MIN($N147)</f>
        <v>0</v>
      </c>
      <c r="AE147" s="1">
        <f>MIN($P147)</f>
        <v>0</v>
      </c>
      <c r="AF147" s="1">
        <f>MIN($Q147)</f>
        <v>0</v>
      </c>
      <c r="AG147" s="1">
        <f>MIN($R147)</f>
        <v>0</v>
      </c>
      <c r="AH147" s="1">
        <f>MEDIAN($B147)</f>
        <v>0</v>
      </c>
      <c r="AI147" s="1">
        <f>MEDIAN($C147)</f>
        <v>0</v>
      </c>
      <c r="AJ147" s="1">
        <f>MEDIAN($D147)</f>
        <v>0</v>
      </c>
      <c r="AK147" s="1">
        <f>MEDIAN($E147)</f>
        <v>0</v>
      </c>
      <c r="AL147" s="1">
        <f>MEDIAN($F147)</f>
        <v>0</v>
      </c>
      <c r="AM147" s="1">
        <f>MEDIAN($G147)</f>
        <v>0</v>
      </c>
      <c r="AN147" s="1">
        <f>MEDIAN($H147)</f>
        <v>0</v>
      </c>
      <c r="AO147" s="1">
        <f>MEDIAN($I147)</f>
        <v>0</v>
      </c>
      <c r="AP147" s="1">
        <f>MEDIAN($J147)</f>
        <v>0</v>
      </c>
      <c r="AQ147" s="1">
        <f>MEDIAN($K147)</f>
        <v>0</v>
      </c>
      <c r="AR147" s="1">
        <f>MEDIAN($M147)</f>
        <v>0</v>
      </c>
      <c r="AS147" s="1">
        <f>MEDIAN($N147)</f>
        <v>0</v>
      </c>
      <c r="AT147" s="1">
        <f>MEDIAN($P147)</f>
        <v>0</v>
      </c>
      <c r="AU147" s="1">
        <f>MEDIAN($Q147)</f>
        <v>0</v>
      </c>
      <c r="AV147" s="1">
        <f>MEDIAN($R147)</f>
        <v>0</v>
      </c>
      <c r="AW147" s="1">
        <f>MAX($B147)</f>
        <v>0</v>
      </c>
      <c r="AX147" s="1">
        <f>MAX($C147)</f>
        <v>0</v>
      </c>
      <c r="AY147" s="1">
        <f>MAX($D147)</f>
        <v>0</v>
      </c>
      <c r="AZ147" s="1">
        <f>MAX($E147)</f>
        <v>0</v>
      </c>
      <c r="BA147" s="1">
        <f>MAX($F147)</f>
        <v>0</v>
      </c>
      <c r="BB147" s="1">
        <f>MAX($G147)</f>
        <v>0</v>
      </c>
      <c r="BC147" s="1">
        <f>MAX($H147)</f>
        <v>0</v>
      </c>
      <c r="BD147" s="1">
        <f>MAX($I147)</f>
        <v>0</v>
      </c>
      <c r="BE147" s="1">
        <f>MAX($J147)</f>
        <v>0</v>
      </c>
      <c r="BF147" s="1">
        <f>MAX($K147)</f>
        <v>0</v>
      </c>
      <c r="BG147" s="1">
        <f>MAX($M147)</f>
        <v>0</v>
      </c>
      <c r="BH147" s="1">
        <f>MAX($N147)</f>
        <v>0</v>
      </c>
      <c r="BI147" s="1">
        <f>MAX($P147)</f>
        <v>0</v>
      </c>
      <c r="BJ147" s="1">
        <f>MAX($Q147)</f>
        <v>0</v>
      </c>
      <c r="BK147" s="1">
        <f>MAX($R147)</f>
        <v>0</v>
      </c>
    </row>
    <row r="148" spans="1:63">
      <c r="A148" s="1" t="s">
        <v>145</v>
      </c>
      <c r="B148" s="1">
        <v>439</v>
      </c>
      <c r="C148" s="1">
        <v>1</v>
      </c>
      <c r="D148" s="1">
        <v>79567679</v>
      </c>
      <c r="E148" s="1">
        <v>0</v>
      </c>
      <c r="F148" s="1">
        <v>9327</v>
      </c>
      <c r="G148" s="1">
        <v>0</v>
      </c>
      <c r="H148" s="1">
        <v>1</v>
      </c>
      <c r="I148" s="1">
        <v>171.168</v>
      </c>
      <c r="J148" s="1">
        <v>175.88</v>
      </c>
      <c r="K148" s="1">
        <v>0</v>
      </c>
      <c r="L148" s="1" t="s">
        <v>205</v>
      </c>
      <c r="M148" s="1">
        <v>23559130</v>
      </c>
      <c r="N148" s="1">
        <v>10.5</v>
      </c>
      <c r="O148" s="1" t="s">
        <v>210</v>
      </c>
      <c r="P148" s="1">
        <v>175.88</v>
      </c>
      <c r="Q148" s="1">
        <v>0</v>
      </c>
      <c r="R148" s="1">
        <v>21348673</v>
      </c>
      <c r="S148" s="1">
        <f>MIN($B148)</f>
        <v>0</v>
      </c>
      <c r="T148" s="1">
        <f>MIN($C148)</f>
        <v>0</v>
      </c>
      <c r="U148" s="1">
        <f>MIN($D148)</f>
        <v>0</v>
      </c>
      <c r="V148" s="1">
        <f>MIN($E148)</f>
        <v>0</v>
      </c>
      <c r="W148" s="1">
        <f>MIN($F148)</f>
        <v>0</v>
      </c>
      <c r="X148" s="1">
        <f>MIN($G148)</f>
        <v>0</v>
      </c>
      <c r="Y148" s="1">
        <f>MIN($H148)</f>
        <v>0</v>
      </c>
      <c r="Z148" s="1">
        <f>MIN($I148)</f>
        <v>0</v>
      </c>
      <c r="AA148" s="1">
        <f>MIN($J148)</f>
        <v>0</v>
      </c>
      <c r="AB148" s="1">
        <f>MIN($K148)</f>
        <v>0</v>
      </c>
      <c r="AC148" s="1">
        <f>MIN($M148)</f>
        <v>0</v>
      </c>
      <c r="AD148" s="1">
        <f>MIN($N148)</f>
        <v>0</v>
      </c>
      <c r="AE148" s="1">
        <f>MIN($P148)</f>
        <v>0</v>
      </c>
      <c r="AF148" s="1">
        <f>MIN($Q148)</f>
        <v>0</v>
      </c>
      <c r="AG148" s="1">
        <f>MIN($R148)</f>
        <v>0</v>
      </c>
      <c r="AH148" s="1">
        <f>MEDIAN($B148)</f>
        <v>0</v>
      </c>
      <c r="AI148" s="1">
        <f>MEDIAN($C148)</f>
        <v>0</v>
      </c>
      <c r="AJ148" s="1">
        <f>MEDIAN($D148)</f>
        <v>0</v>
      </c>
      <c r="AK148" s="1">
        <f>MEDIAN($E148)</f>
        <v>0</v>
      </c>
      <c r="AL148" s="1">
        <f>MEDIAN($F148)</f>
        <v>0</v>
      </c>
      <c r="AM148" s="1">
        <f>MEDIAN($G148)</f>
        <v>0</v>
      </c>
      <c r="AN148" s="1">
        <f>MEDIAN($H148)</f>
        <v>0</v>
      </c>
      <c r="AO148" s="1">
        <f>MEDIAN($I148)</f>
        <v>0</v>
      </c>
      <c r="AP148" s="1">
        <f>MEDIAN($J148)</f>
        <v>0</v>
      </c>
      <c r="AQ148" s="1">
        <f>MEDIAN($K148)</f>
        <v>0</v>
      </c>
      <c r="AR148" s="1">
        <f>MEDIAN($M148)</f>
        <v>0</v>
      </c>
      <c r="AS148" s="1">
        <f>MEDIAN($N148)</f>
        <v>0</v>
      </c>
      <c r="AT148" s="1">
        <f>MEDIAN($P148)</f>
        <v>0</v>
      </c>
      <c r="AU148" s="1">
        <f>MEDIAN($Q148)</f>
        <v>0</v>
      </c>
      <c r="AV148" s="1">
        <f>MEDIAN($R148)</f>
        <v>0</v>
      </c>
      <c r="AW148" s="1">
        <f>MAX($B148)</f>
        <v>0</v>
      </c>
      <c r="AX148" s="1">
        <f>MAX($C148)</f>
        <v>0</v>
      </c>
      <c r="AY148" s="1">
        <f>MAX($D148)</f>
        <v>0</v>
      </c>
      <c r="AZ148" s="1">
        <f>MAX($E148)</f>
        <v>0</v>
      </c>
      <c r="BA148" s="1">
        <f>MAX($F148)</f>
        <v>0</v>
      </c>
      <c r="BB148" s="1">
        <f>MAX($G148)</f>
        <v>0</v>
      </c>
      <c r="BC148" s="1">
        <f>MAX($H148)</f>
        <v>0</v>
      </c>
      <c r="BD148" s="1">
        <f>MAX($I148)</f>
        <v>0</v>
      </c>
      <c r="BE148" s="1">
        <f>MAX($J148)</f>
        <v>0</v>
      </c>
      <c r="BF148" s="1">
        <f>MAX($K148)</f>
        <v>0</v>
      </c>
      <c r="BG148" s="1">
        <f>MAX($M148)</f>
        <v>0</v>
      </c>
      <c r="BH148" s="1">
        <f>MAX($N148)</f>
        <v>0</v>
      </c>
      <c r="BI148" s="1">
        <f>MAX($P148)</f>
        <v>0</v>
      </c>
      <c r="BJ148" s="1">
        <f>MAX($Q148)</f>
        <v>0</v>
      </c>
      <c r="BK148" s="1">
        <f>MAX($R148)</f>
        <v>0</v>
      </c>
    </row>
    <row r="149" spans="1:63">
      <c r="A149" s="1" t="s">
        <v>146</v>
      </c>
      <c r="B149" s="1">
        <v>443</v>
      </c>
      <c r="C149" s="1">
        <v>0</v>
      </c>
      <c r="D149" s="1">
        <v>117217862</v>
      </c>
      <c r="E149" s="1">
        <v>0</v>
      </c>
      <c r="F149" s="1">
        <v>13003</v>
      </c>
      <c r="G149" s="1">
        <v>0</v>
      </c>
      <c r="H149" s="1">
        <v>1</v>
      </c>
      <c r="I149" s="1">
        <v>988.067</v>
      </c>
      <c r="J149" s="1">
        <v>1023.75</v>
      </c>
      <c r="K149" s="1">
        <v>0</v>
      </c>
      <c r="L149" s="1" t="s">
        <v>205</v>
      </c>
      <c r="M149" s="1">
        <v>34041335</v>
      </c>
      <c r="N149" s="1">
        <v>38.95</v>
      </c>
      <c r="O149" s="1" t="s">
        <v>210</v>
      </c>
      <c r="P149" s="1">
        <v>1023.75</v>
      </c>
      <c r="Q149" s="1">
        <v>0</v>
      </c>
      <c r="R149" s="1">
        <v>31226070</v>
      </c>
      <c r="S149" s="1">
        <f>MIN($B149)</f>
        <v>0</v>
      </c>
      <c r="T149" s="1">
        <f>MIN($C149)</f>
        <v>0</v>
      </c>
      <c r="U149" s="1">
        <f>MIN($D149)</f>
        <v>0</v>
      </c>
      <c r="V149" s="1">
        <f>MIN($E149)</f>
        <v>0</v>
      </c>
      <c r="W149" s="1">
        <f>MIN($F149)</f>
        <v>0</v>
      </c>
      <c r="X149" s="1">
        <f>MIN($G149)</f>
        <v>0</v>
      </c>
      <c r="Y149" s="1">
        <f>MIN($H149)</f>
        <v>0</v>
      </c>
      <c r="Z149" s="1">
        <f>MIN($I149)</f>
        <v>0</v>
      </c>
      <c r="AA149" s="1">
        <f>MIN($J149)</f>
        <v>0</v>
      </c>
      <c r="AB149" s="1">
        <f>MIN($K149)</f>
        <v>0</v>
      </c>
      <c r="AC149" s="1">
        <f>MIN($M149)</f>
        <v>0</v>
      </c>
      <c r="AD149" s="1">
        <f>MIN($N149)</f>
        <v>0</v>
      </c>
      <c r="AE149" s="1">
        <f>MIN($P149)</f>
        <v>0</v>
      </c>
      <c r="AF149" s="1">
        <f>MIN($Q149)</f>
        <v>0</v>
      </c>
      <c r="AG149" s="1">
        <f>MIN($R149)</f>
        <v>0</v>
      </c>
      <c r="AH149" s="1">
        <f>MEDIAN($B149)</f>
        <v>0</v>
      </c>
      <c r="AI149" s="1">
        <f>MEDIAN($C149)</f>
        <v>0</v>
      </c>
      <c r="AJ149" s="1">
        <f>MEDIAN($D149)</f>
        <v>0</v>
      </c>
      <c r="AK149" s="1">
        <f>MEDIAN($E149)</f>
        <v>0</v>
      </c>
      <c r="AL149" s="1">
        <f>MEDIAN($F149)</f>
        <v>0</v>
      </c>
      <c r="AM149" s="1">
        <f>MEDIAN($G149)</f>
        <v>0</v>
      </c>
      <c r="AN149" s="1">
        <f>MEDIAN($H149)</f>
        <v>0</v>
      </c>
      <c r="AO149" s="1">
        <f>MEDIAN($I149)</f>
        <v>0</v>
      </c>
      <c r="AP149" s="1">
        <f>MEDIAN($J149)</f>
        <v>0</v>
      </c>
      <c r="AQ149" s="1">
        <f>MEDIAN($K149)</f>
        <v>0</v>
      </c>
      <c r="AR149" s="1">
        <f>MEDIAN($M149)</f>
        <v>0</v>
      </c>
      <c r="AS149" s="1">
        <f>MEDIAN($N149)</f>
        <v>0</v>
      </c>
      <c r="AT149" s="1">
        <f>MEDIAN($P149)</f>
        <v>0</v>
      </c>
      <c r="AU149" s="1">
        <f>MEDIAN($Q149)</f>
        <v>0</v>
      </c>
      <c r="AV149" s="1">
        <f>MEDIAN($R149)</f>
        <v>0</v>
      </c>
      <c r="AW149" s="1">
        <f>MAX($B149)</f>
        <v>0</v>
      </c>
      <c r="AX149" s="1">
        <f>MAX($C149)</f>
        <v>0</v>
      </c>
      <c r="AY149" s="1">
        <f>MAX($D149)</f>
        <v>0</v>
      </c>
      <c r="AZ149" s="1">
        <f>MAX($E149)</f>
        <v>0</v>
      </c>
      <c r="BA149" s="1">
        <f>MAX($F149)</f>
        <v>0</v>
      </c>
      <c r="BB149" s="1">
        <f>MAX($G149)</f>
        <v>0</v>
      </c>
      <c r="BC149" s="1">
        <f>MAX($H149)</f>
        <v>0</v>
      </c>
      <c r="BD149" s="1">
        <f>MAX($I149)</f>
        <v>0</v>
      </c>
      <c r="BE149" s="1">
        <f>MAX($J149)</f>
        <v>0</v>
      </c>
      <c r="BF149" s="1">
        <f>MAX($K149)</f>
        <v>0</v>
      </c>
      <c r="BG149" s="1">
        <f>MAX($M149)</f>
        <v>0</v>
      </c>
      <c r="BH149" s="1">
        <f>MAX($N149)</f>
        <v>0</v>
      </c>
      <c r="BI149" s="1">
        <f>MAX($P149)</f>
        <v>0</v>
      </c>
      <c r="BJ149" s="1">
        <f>MAX($Q149)</f>
        <v>0</v>
      </c>
      <c r="BK149" s="1">
        <f>MAX($R149)</f>
        <v>0</v>
      </c>
    </row>
    <row r="150" spans="1:63">
      <c r="A150" s="1" t="s">
        <v>147</v>
      </c>
      <c r="B150" s="1">
        <v>427</v>
      </c>
      <c r="C150" s="1">
        <v>1</v>
      </c>
      <c r="D150" s="1">
        <v>161654623</v>
      </c>
      <c r="E150" s="1">
        <v>0</v>
      </c>
      <c r="F150" s="1">
        <v>17104</v>
      </c>
      <c r="G150" s="1">
        <v>0</v>
      </c>
      <c r="H150" s="1">
        <v>1</v>
      </c>
      <c r="I150" s="1">
        <v>260.193</v>
      </c>
      <c r="J150" s="1">
        <v>265.51</v>
      </c>
      <c r="K150" s="1">
        <v>0</v>
      </c>
      <c r="L150" s="1" t="s">
        <v>205</v>
      </c>
      <c r="M150" s="1">
        <v>45273309</v>
      </c>
      <c r="N150" s="1">
        <v>8.91</v>
      </c>
      <c r="O150" s="1" t="s">
        <v>210</v>
      </c>
      <c r="P150" s="1">
        <v>265.51</v>
      </c>
      <c r="Q150" s="1">
        <v>0</v>
      </c>
      <c r="R150" s="1">
        <v>42434979</v>
      </c>
      <c r="S150" s="1">
        <f>MIN($B150)</f>
        <v>0</v>
      </c>
      <c r="T150" s="1">
        <f>MIN($C150)</f>
        <v>0</v>
      </c>
      <c r="U150" s="1">
        <f>MIN($D150)</f>
        <v>0</v>
      </c>
      <c r="V150" s="1">
        <f>MIN($E150)</f>
        <v>0</v>
      </c>
      <c r="W150" s="1">
        <f>MIN($F150)</f>
        <v>0</v>
      </c>
      <c r="X150" s="1">
        <f>MIN($G150)</f>
        <v>0</v>
      </c>
      <c r="Y150" s="1">
        <f>MIN($H150)</f>
        <v>0</v>
      </c>
      <c r="Z150" s="1">
        <f>MIN($I150)</f>
        <v>0</v>
      </c>
      <c r="AA150" s="1">
        <f>MIN($J150)</f>
        <v>0</v>
      </c>
      <c r="AB150" s="1">
        <f>MIN($K150)</f>
        <v>0</v>
      </c>
      <c r="AC150" s="1">
        <f>MIN($M150)</f>
        <v>0</v>
      </c>
      <c r="AD150" s="1">
        <f>MIN($N150)</f>
        <v>0</v>
      </c>
      <c r="AE150" s="1">
        <f>MIN($P150)</f>
        <v>0</v>
      </c>
      <c r="AF150" s="1">
        <f>MIN($Q150)</f>
        <v>0</v>
      </c>
      <c r="AG150" s="1">
        <f>MIN($R150)</f>
        <v>0</v>
      </c>
      <c r="AH150" s="1">
        <f>MEDIAN($B150)</f>
        <v>0</v>
      </c>
      <c r="AI150" s="1">
        <f>MEDIAN($C150)</f>
        <v>0</v>
      </c>
      <c r="AJ150" s="1">
        <f>MEDIAN($D150)</f>
        <v>0</v>
      </c>
      <c r="AK150" s="1">
        <f>MEDIAN($E150)</f>
        <v>0</v>
      </c>
      <c r="AL150" s="1">
        <f>MEDIAN($F150)</f>
        <v>0</v>
      </c>
      <c r="AM150" s="1">
        <f>MEDIAN($G150)</f>
        <v>0</v>
      </c>
      <c r="AN150" s="1">
        <f>MEDIAN($H150)</f>
        <v>0</v>
      </c>
      <c r="AO150" s="1">
        <f>MEDIAN($I150)</f>
        <v>0</v>
      </c>
      <c r="AP150" s="1">
        <f>MEDIAN($J150)</f>
        <v>0</v>
      </c>
      <c r="AQ150" s="1">
        <f>MEDIAN($K150)</f>
        <v>0</v>
      </c>
      <c r="AR150" s="1">
        <f>MEDIAN($M150)</f>
        <v>0</v>
      </c>
      <c r="AS150" s="1">
        <f>MEDIAN($N150)</f>
        <v>0</v>
      </c>
      <c r="AT150" s="1">
        <f>MEDIAN($P150)</f>
        <v>0</v>
      </c>
      <c r="AU150" s="1">
        <f>MEDIAN($Q150)</f>
        <v>0</v>
      </c>
      <c r="AV150" s="1">
        <f>MEDIAN($R150)</f>
        <v>0</v>
      </c>
      <c r="AW150" s="1">
        <f>MAX($B150)</f>
        <v>0</v>
      </c>
      <c r="AX150" s="1">
        <f>MAX($C150)</f>
        <v>0</v>
      </c>
      <c r="AY150" s="1">
        <f>MAX($D150)</f>
        <v>0</v>
      </c>
      <c r="AZ150" s="1">
        <f>MAX($E150)</f>
        <v>0</v>
      </c>
      <c r="BA150" s="1">
        <f>MAX($F150)</f>
        <v>0</v>
      </c>
      <c r="BB150" s="1">
        <f>MAX($G150)</f>
        <v>0</v>
      </c>
      <c r="BC150" s="1">
        <f>MAX($H150)</f>
        <v>0</v>
      </c>
      <c r="BD150" s="1">
        <f>MAX($I150)</f>
        <v>0</v>
      </c>
      <c r="BE150" s="1">
        <f>MAX($J150)</f>
        <v>0</v>
      </c>
      <c r="BF150" s="1">
        <f>MAX($K150)</f>
        <v>0</v>
      </c>
      <c r="BG150" s="1">
        <f>MAX($M150)</f>
        <v>0</v>
      </c>
      <c r="BH150" s="1">
        <f>MAX($N150)</f>
        <v>0</v>
      </c>
      <c r="BI150" s="1">
        <f>MAX($P150)</f>
        <v>0</v>
      </c>
      <c r="BJ150" s="1">
        <f>MAX($Q150)</f>
        <v>0</v>
      </c>
      <c r="BK150" s="1">
        <f>MAX($R150)</f>
        <v>0</v>
      </c>
    </row>
    <row r="151" spans="1:63">
      <c r="A151" s="1" t="s">
        <v>148</v>
      </c>
      <c r="B151" s="1"/>
      <c r="C151" s="1"/>
      <c r="D151" s="1"/>
      <c r="E151" s="1">
        <v>1</v>
      </c>
      <c r="F151" s="1">
        <v>20932</v>
      </c>
      <c r="G151" s="1">
        <v>0</v>
      </c>
      <c r="H151" s="1"/>
      <c r="I151" s="1"/>
      <c r="J151" s="1">
        <v>12000</v>
      </c>
      <c r="K151" s="1"/>
      <c r="L151" s="1" t="s">
        <v>203</v>
      </c>
      <c r="M151" s="1"/>
      <c r="N151" s="1"/>
      <c r="O151" s="1"/>
      <c r="P151" s="1">
        <v>6000</v>
      </c>
      <c r="Q151" s="1">
        <v>1</v>
      </c>
      <c r="R151" s="1"/>
      <c r="S151" s="1"/>
      <c r="T151" s="1"/>
      <c r="U151" s="1"/>
      <c r="V151" s="1">
        <f>MIN($E151)</f>
        <v>0</v>
      </c>
      <c r="W151" s="1">
        <f>MIN($F151)</f>
        <v>0</v>
      </c>
      <c r="X151" s="1">
        <f>MIN($G151)</f>
        <v>0</v>
      </c>
      <c r="Y151" s="1"/>
      <c r="Z151" s="1"/>
      <c r="AA151" s="1">
        <f>MIN($J151)</f>
        <v>0</v>
      </c>
      <c r="AB151" s="1"/>
      <c r="AC151" s="1"/>
      <c r="AD151" s="1"/>
      <c r="AE151" s="1">
        <f>MIN($P151)</f>
        <v>0</v>
      </c>
      <c r="AF151" s="1">
        <f>MIN($Q151)</f>
        <v>0</v>
      </c>
      <c r="AG151" s="1"/>
      <c r="AH151" s="1"/>
      <c r="AI151" s="1"/>
      <c r="AJ151" s="1"/>
      <c r="AK151" s="1">
        <f>MEDIAN($E151)</f>
        <v>0</v>
      </c>
      <c r="AL151" s="1">
        <f>MEDIAN($F151)</f>
        <v>0</v>
      </c>
      <c r="AM151" s="1">
        <f>MEDIAN($G151)</f>
        <v>0</v>
      </c>
      <c r="AN151" s="1"/>
      <c r="AO151" s="1"/>
      <c r="AP151" s="1">
        <f>MEDIAN($J151)</f>
        <v>0</v>
      </c>
      <c r="AQ151" s="1"/>
      <c r="AR151" s="1"/>
      <c r="AS151" s="1"/>
      <c r="AT151" s="1">
        <f>MEDIAN($P151)</f>
        <v>0</v>
      </c>
      <c r="AU151" s="1">
        <f>MEDIAN($Q151)</f>
        <v>0</v>
      </c>
      <c r="AV151" s="1"/>
      <c r="AW151" s="1"/>
      <c r="AX151" s="1"/>
      <c r="AY151" s="1"/>
      <c r="AZ151" s="1">
        <f>MAX($E151)</f>
        <v>0</v>
      </c>
      <c r="BA151" s="1">
        <f>MAX($F151)</f>
        <v>0</v>
      </c>
      <c r="BB151" s="1">
        <f>MAX($G151)</f>
        <v>0</v>
      </c>
      <c r="BC151" s="1"/>
      <c r="BD151" s="1"/>
      <c r="BE151" s="1">
        <f>MAX($J151)</f>
        <v>0</v>
      </c>
      <c r="BF151" s="1"/>
      <c r="BG151" s="1"/>
      <c r="BH151" s="1"/>
      <c r="BI151" s="1">
        <f>MAX($P151)</f>
        <v>0</v>
      </c>
      <c r="BJ151" s="1">
        <f>MAX($Q151)</f>
        <v>0</v>
      </c>
      <c r="BK151" s="1"/>
    </row>
    <row r="152" spans="1:63">
      <c r="A152" s="1" t="s">
        <v>149</v>
      </c>
      <c r="B152" s="1">
        <v>531</v>
      </c>
      <c r="C152" s="1">
        <v>0</v>
      </c>
      <c r="D152" s="1">
        <v>144640023</v>
      </c>
      <c r="E152" s="1">
        <v>0</v>
      </c>
      <c r="F152" s="1">
        <v>16074</v>
      </c>
      <c r="G152" s="1">
        <v>0</v>
      </c>
      <c r="H152" s="1">
        <v>1</v>
      </c>
      <c r="I152" s="1">
        <v>409.162</v>
      </c>
      <c r="J152" s="1">
        <v>415.2</v>
      </c>
      <c r="K152" s="1">
        <v>0</v>
      </c>
      <c r="L152" s="1" t="s">
        <v>205</v>
      </c>
      <c r="M152" s="1">
        <v>41857988</v>
      </c>
      <c r="N152" s="1">
        <v>7.43</v>
      </c>
      <c r="O152" s="1" t="s">
        <v>210</v>
      </c>
      <c r="P152" s="1">
        <v>415.2</v>
      </c>
      <c r="Q152" s="1">
        <v>0</v>
      </c>
      <c r="R152" s="1">
        <v>38463249</v>
      </c>
      <c r="S152" s="1">
        <f>MIN($B152)</f>
        <v>0</v>
      </c>
      <c r="T152" s="1">
        <f>MIN($C152)</f>
        <v>0</v>
      </c>
      <c r="U152" s="1">
        <f>MIN($D152)</f>
        <v>0</v>
      </c>
      <c r="V152" s="1">
        <f>MIN($E152)</f>
        <v>0</v>
      </c>
      <c r="W152" s="1">
        <f>MIN($F152)</f>
        <v>0</v>
      </c>
      <c r="X152" s="1">
        <f>MIN($G152)</f>
        <v>0</v>
      </c>
      <c r="Y152" s="1">
        <f>MIN($H152)</f>
        <v>0</v>
      </c>
      <c r="Z152" s="1">
        <f>MIN($I152)</f>
        <v>0</v>
      </c>
      <c r="AA152" s="1">
        <f>MIN($J152)</f>
        <v>0</v>
      </c>
      <c r="AB152" s="1">
        <f>MIN($K152)</f>
        <v>0</v>
      </c>
      <c r="AC152" s="1">
        <f>MIN($M152)</f>
        <v>0</v>
      </c>
      <c r="AD152" s="1">
        <f>MIN($N152)</f>
        <v>0</v>
      </c>
      <c r="AE152" s="1">
        <f>MIN($P152)</f>
        <v>0</v>
      </c>
      <c r="AF152" s="1">
        <f>MIN($Q152)</f>
        <v>0</v>
      </c>
      <c r="AG152" s="1">
        <f>MIN($R152)</f>
        <v>0</v>
      </c>
      <c r="AH152" s="1">
        <f>MEDIAN($B152)</f>
        <v>0</v>
      </c>
      <c r="AI152" s="1">
        <f>MEDIAN($C152)</f>
        <v>0</v>
      </c>
      <c r="AJ152" s="1">
        <f>MEDIAN($D152)</f>
        <v>0</v>
      </c>
      <c r="AK152" s="1">
        <f>MEDIAN($E152)</f>
        <v>0</v>
      </c>
      <c r="AL152" s="1">
        <f>MEDIAN($F152)</f>
        <v>0</v>
      </c>
      <c r="AM152" s="1">
        <f>MEDIAN($G152)</f>
        <v>0</v>
      </c>
      <c r="AN152" s="1">
        <f>MEDIAN($H152)</f>
        <v>0</v>
      </c>
      <c r="AO152" s="1">
        <f>MEDIAN($I152)</f>
        <v>0</v>
      </c>
      <c r="AP152" s="1">
        <f>MEDIAN($J152)</f>
        <v>0</v>
      </c>
      <c r="AQ152" s="1">
        <f>MEDIAN($K152)</f>
        <v>0</v>
      </c>
      <c r="AR152" s="1">
        <f>MEDIAN($M152)</f>
        <v>0</v>
      </c>
      <c r="AS152" s="1">
        <f>MEDIAN($N152)</f>
        <v>0</v>
      </c>
      <c r="AT152" s="1">
        <f>MEDIAN($P152)</f>
        <v>0</v>
      </c>
      <c r="AU152" s="1">
        <f>MEDIAN($Q152)</f>
        <v>0</v>
      </c>
      <c r="AV152" s="1">
        <f>MEDIAN($R152)</f>
        <v>0</v>
      </c>
      <c r="AW152" s="1">
        <f>MAX($B152)</f>
        <v>0</v>
      </c>
      <c r="AX152" s="1">
        <f>MAX($C152)</f>
        <v>0</v>
      </c>
      <c r="AY152" s="1">
        <f>MAX($D152)</f>
        <v>0</v>
      </c>
      <c r="AZ152" s="1">
        <f>MAX($E152)</f>
        <v>0</v>
      </c>
      <c r="BA152" s="1">
        <f>MAX($F152)</f>
        <v>0</v>
      </c>
      <c r="BB152" s="1">
        <f>MAX($G152)</f>
        <v>0</v>
      </c>
      <c r="BC152" s="1">
        <f>MAX($H152)</f>
        <v>0</v>
      </c>
      <c r="BD152" s="1">
        <f>MAX($I152)</f>
        <v>0</v>
      </c>
      <c r="BE152" s="1">
        <f>MAX($J152)</f>
        <v>0</v>
      </c>
      <c r="BF152" s="1">
        <f>MAX($K152)</f>
        <v>0</v>
      </c>
      <c r="BG152" s="1">
        <f>MAX($M152)</f>
        <v>0</v>
      </c>
      <c r="BH152" s="1">
        <f>MAX($N152)</f>
        <v>0</v>
      </c>
      <c r="BI152" s="1">
        <f>MAX($P152)</f>
        <v>0</v>
      </c>
      <c r="BJ152" s="1">
        <f>MAX($Q152)</f>
        <v>0</v>
      </c>
      <c r="BK152" s="1">
        <f>MAX($R152)</f>
        <v>0</v>
      </c>
    </row>
    <row r="153" spans="1:63">
      <c r="A153" s="1" t="s">
        <v>150</v>
      </c>
      <c r="B153" s="1">
        <v>4986</v>
      </c>
      <c r="C153" s="1">
        <v>1</v>
      </c>
      <c r="D153" s="1">
        <v>148844822</v>
      </c>
      <c r="E153" s="1">
        <v>0</v>
      </c>
      <c r="F153" s="1">
        <v>16414</v>
      </c>
      <c r="G153" s="1">
        <v>0</v>
      </c>
      <c r="H153" s="1">
        <v>1</v>
      </c>
      <c r="I153" s="1">
        <v>369.716</v>
      </c>
      <c r="J153" s="1">
        <v>384.93</v>
      </c>
      <c r="K153" s="1">
        <v>0</v>
      </c>
      <c r="L153" s="1" t="s">
        <v>205</v>
      </c>
      <c r="M153" s="1">
        <v>42797254</v>
      </c>
      <c r="N153" s="1">
        <v>27.91</v>
      </c>
      <c r="O153" s="1" t="s">
        <v>210</v>
      </c>
      <c r="P153" s="1">
        <v>384.93</v>
      </c>
      <c r="Q153" s="1">
        <v>0</v>
      </c>
      <c r="R153" s="1">
        <v>39421969</v>
      </c>
      <c r="S153" s="1">
        <f>MIN($B153)</f>
        <v>0</v>
      </c>
      <c r="T153" s="1">
        <f>MIN($C153)</f>
        <v>0</v>
      </c>
      <c r="U153" s="1">
        <f>MIN($D153)</f>
        <v>0</v>
      </c>
      <c r="V153" s="1">
        <f>MIN($E153)</f>
        <v>0</v>
      </c>
      <c r="W153" s="1">
        <f>MIN($F153)</f>
        <v>0</v>
      </c>
      <c r="X153" s="1">
        <f>MIN($G153)</f>
        <v>0</v>
      </c>
      <c r="Y153" s="1">
        <f>MIN($H153)</f>
        <v>0</v>
      </c>
      <c r="Z153" s="1">
        <f>MIN($I153)</f>
        <v>0</v>
      </c>
      <c r="AA153" s="1">
        <f>MIN($J153)</f>
        <v>0</v>
      </c>
      <c r="AB153" s="1">
        <f>MIN($K153)</f>
        <v>0</v>
      </c>
      <c r="AC153" s="1">
        <f>MIN($M153)</f>
        <v>0</v>
      </c>
      <c r="AD153" s="1">
        <f>MIN($N153)</f>
        <v>0</v>
      </c>
      <c r="AE153" s="1">
        <f>MIN($P153)</f>
        <v>0</v>
      </c>
      <c r="AF153" s="1">
        <f>MIN($Q153)</f>
        <v>0</v>
      </c>
      <c r="AG153" s="1">
        <f>MIN($R153)</f>
        <v>0</v>
      </c>
      <c r="AH153" s="1">
        <f>MEDIAN($B153)</f>
        <v>0</v>
      </c>
      <c r="AI153" s="1">
        <f>MEDIAN($C153)</f>
        <v>0</v>
      </c>
      <c r="AJ153" s="1">
        <f>MEDIAN($D153)</f>
        <v>0</v>
      </c>
      <c r="AK153" s="1">
        <f>MEDIAN($E153)</f>
        <v>0</v>
      </c>
      <c r="AL153" s="1">
        <f>MEDIAN($F153)</f>
        <v>0</v>
      </c>
      <c r="AM153" s="1">
        <f>MEDIAN($G153)</f>
        <v>0</v>
      </c>
      <c r="AN153" s="1">
        <f>MEDIAN($H153)</f>
        <v>0</v>
      </c>
      <c r="AO153" s="1">
        <f>MEDIAN($I153)</f>
        <v>0</v>
      </c>
      <c r="AP153" s="1">
        <f>MEDIAN($J153)</f>
        <v>0</v>
      </c>
      <c r="AQ153" s="1">
        <f>MEDIAN($K153)</f>
        <v>0</v>
      </c>
      <c r="AR153" s="1">
        <f>MEDIAN($M153)</f>
        <v>0</v>
      </c>
      <c r="AS153" s="1">
        <f>MEDIAN($N153)</f>
        <v>0</v>
      </c>
      <c r="AT153" s="1">
        <f>MEDIAN($P153)</f>
        <v>0</v>
      </c>
      <c r="AU153" s="1">
        <f>MEDIAN($Q153)</f>
        <v>0</v>
      </c>
      <c r="AV153" s="1">
        <f>MEDIAN($R153)</f>
        <v>0</v>
      </c>
      <c r="AW153" s="1">
        <f>MAX($B153)</f>
        <v>0</v>
      </c>
      <c r="AX153" s="1">
        <f>MAX($C153)</f>
        <v>0</v>
      </c>
      <c r="AY153" s="1">
        <f>MAX($D153)</f>
        <v>0</v>
      </c>
      <c r="AZ153" s="1">
        <f>MAX($E153)</f>
        <v>0</v>
      </c>
      <c r="BA153" s="1">
        <f>MAX($F153)</f>
        <v>0</v>
      </c>
      <c r="BB153" s="1">
        <f>MAX($G153)</f>
        <v>0</v>
      </c>
      <c r="BC153" s="1">
        <f>MAX($H153)</f>
        <v>0</v>
      </c>
      <c r="BD153" s="1">
        <f>MAX($I153)</f>
        <v>0</v>
      </c>
      <c r="BE153" s="1">
        <f>MAX($J153)</f>
        <v>0</v>
      </c>
      <c r="BF153" s="1">
        <f>MAX($K153)</f>
        <v>0</v>
      </c>
      <c r="BG153" s="1">
        <f>MAX($M153)</f>
        <v>0</v>
      </c>
      <c r="BH153" s="1">
        <f>MAX($N153)</f>
        <v>0</v>
      </c>
      <c r="BI153" s="1">
        <f>MAX($P153)</f>
        <v>0</v>
      </c>
      <c r="BJ153" s="1">
        <f>MAX($Q153)</f>
        <v>0</v>
      </c>
      <c r="BK153" s="1">
        <f>MAX($R153)</f>
        <v>0</v>
      </c>
    </row>
    <row r="154" spans="1:63">
      <c r="A154" s="1" t="s">
        <v>151</v>
      </c>
      <c r="B154" s="1">
        <v>6947</v>
      </c>
      <c r="C154" s="1">
        <v>1</v>
      </c>
      <c r="D154" s="1">
        <v>110583530</v>
      </c>
      <c r="E154" s="1">
        <v>0</v>
      </c>
      <c r="F154" s="1">
        <v>12626</v>
      </c>
      <c r="G154" s="1">
        <v>0</v>
      </c>
      <c r="H154" s="1">
        <v>1</v>
      </c>
      <c r="I154" s="1">
        <v>304.226</v>
      </c>
      <c r="J154" s="1">
        <v>310.2</v>
      </c>
      <c r="K154" s="1">
        <v>0</v>
      </c>
      <c r="L154" s="1" t="s">
        <v>205</v>
      </c>
      <c r="M154" s="1">
        <v>32443124</v>
      </c>
      <c r="N154" s="1">
        <v>13</v>
      </c>
      <c r="O154" s="1" t="s">
        <v>210</v>
      </c>
      <c r="P154" s="1">
        <v>310.2</v>
      </c>
      <c r="Q154" s="1">
        <v>0</v>
      </c>
      <c r="R154" s="1">
        <v>29548025</v>
      </c>
      <c r="S154" s="1">
        <f>MIN($B154)</f>
        <v>0</v>
      </c>
      <c r="T154" s="1">
        <f>MIN($C154)</f>
        <v>0</v>
      </c>
      <c r="U154" s="1">
        <f>MIN($D154)</f>
        <v>0</v>
      </c>
      <c r="V154" s="1">
        <f>MIN($E154)</f>
        <v>0</v>
      </c>
      <c r="W154" s="1">
        <f>MIN($F154)</f>
        <v>0</v>
      </c>
      <c r="X154" s="1">
        <f>MIN($G154)</f>
        <v>0</v>
      </c>
      <c r="Y154" s="1">
        <f>MIN($H154)</f>
        <v>0</v>
      </c>
      <c r="Z154" s="1">
        <f>MIN($I154)</f>
        <v>0</v>
      </c>
      <c r="AA154" s="1">
        <f>MIN($J154)</f>
        <v>0</v>
      </c>
      <c r="AB154" s="1">
        <f>MIN($K154)</f>
        <v>0</v>
      </c>
      <c r="AC154" s="1">
        <f>MIN($M154)</f>
        <v>0</v>
      </c>
      <c r="AD154" s="1">
        <f>MIN($N154)</f>
        <v>0</v>
      </c>
      <c r="AE154" s="1">
        <f>MIN($P154)</f>
        <v>0</v>
      </c>
      <c r="AF154" s="1">
        <f>MIN($Q154)</f>
        <v>0</v>
      </c>
      <c r="AG154" s="1">
        <f>MIN($R154)</f>
        <v>0</v>
      </c>
      <c r="AH154" s="1">
        <f>MEDIAN($B154)</f>
        <v>0</v>
      </c>
      <c r="AI154" s="1">
        <f>MEDIAN($C154)</f>
        <v>0</v>
      </c>
      <c r="AJ154" s="1">
        <f>MEDIAN($D154)</f>
        <v>0</v>
      </c>
      <c r="AK154" s="1">
        <f>MEDIAN($E154)</f>
        <v>0</v>
      </c>
      <c r="AL154" s="1">
        <f>MEDIAN($F154)</f>
        <v>0</v>
      </c>
      <c r="AM154" s="1">
        <f>MEDIAN($G154)</f>
        <v>0</v>
      </c>
      <c r="AN154" s="1">
        <f>MEDIAN($H154)</f>
        <v>0</v>
      </c>
      <c r="AO154" s="1">
        <f>MEDIAN($I154)</f>
        <v>0</v>
      </c>
      <c r="AP154" s="1">
        <f>MEDIAN($J154)</f>
        <v>0</v>
      </c>
      <c r="AQ154" s="1">
        <f>MEDIAN($K154)</f>
        <v>0</v>
      </c>
      <c r="AR154" s="1">
        <f>MEDIAN($M154)</f>
        <v>0</v>
      </c>
      <c r="AS154" s="1">
        <f>MEDIAN($N154)</f>
        <v>0</v>
      </c>
      <c r="AT154" s="1">
        <f>MEDIAN($P154)</f>
        <v>0</v>
      </c>
      <c r="AU154" s="1">
        <f>MEDIAN($Q154)</f>
        <v>0</v>
      </c>
      <c r="AV154" s="1">
        <f>MEDIAN($R154)</f>
        <v>0</v>
      </c>
      <c r="AW154" s="1">
        <f>MAX($B154)</f>
        <v>0</v>
      </c>
      <c r="AX154" s="1">
        <f>MAX($C154)</f>
        <v>0</v>
      </c>
      <c r="AY154" s="1">
        <f>MAX($D154)</f>
        <v>0</v>
      </c>
      <c r="AZ154" s="1">
        <f>MAX($E154)</f>
        <v>0</v>
      </c>
      <c r="BA154" s="1">
        <f>MAX($F154)</f>
        <v>0</v>
      </c>
      <c r="BB154" s="1">
        <f>MAX($G154)</f>
        <v>0</v>
      </c>
      <c r="BC154" s="1">
        <f>MAX($H154)</f>
        <v>0</v>
      </c>
      <c r="BD154" s="1">
        <f>MAX($I154)</f>
        <v>0</v>
      </c>
      <c r="BE154" s="1">
        <f>MAX($J154)</f>
        <v>0</v>
      </c>
      <c r="BF154" s="1">
        <f>MAX($K154)</f>
        <v>0</v>
      </c>
      <c r="BG154" s="1">
        <f>MAX($M154)</f>
        <v>0</v>
      </c>
      <c r="BH154" s="1">
        <f>MAX($N154)</f>
        <v>0</v>
      </c>
      <c r="BI154" s="1">
        <f>MAX($P154)</f>
        <v>0</v>
      </c>
      <c r="BJ154" s="1">
        <f>MAX($Q154)</f>
        <v>0</v>
      </c>
      <c r="BK154" s="1">
        <f>MAX($R154)</f>
        <v>0</v>
      </c>
    </row>
    <row r="155" spans="1:63">
      <c r="A155" s="1" t="s">
        <v>152</v>
      </c>
      <c r="B155" s="1"/>
      <c r="C155" s="1"/>
      <c r="D155" s="1"/>
      <c r="E155" s="1">
        <v>1</v>
      </c>
      <c r="F155" s="1">
        <v>22704</v>
      </c>
      <c r="G155" s="1">
        <v>0</v>
      </c>
      <c r="H155" s="1"/>
      <c r="I155" s="1"/>
      <c r="J155" s="1">
        <v>12000</v>
      </c>
      <c r="K155" s="1"/>
      <c r="L155" s="1" t="s">
        <v>203</v>
      </c>
      <c r="M155" s="1"/>
      <c r="N155" s="1"/>
      <c r="O155" s="1"/>
      <c r="P155" s="1">
        <v>6000</v>
      </c>
      <c r="Q155" s="1">
        <v>1</v>
      </c>
      <c r="R155" s="1"/>
      <c r="S155" s="1"/>
      <c r="T155" s="1"/>
      <c r="U155" s="1"/>
      <c r="V155" s="1">
        <f>MIN($E155)</f>
        <v>0</v>
      </c>
      <c r="W155" s="1">
        <f>MIN($F155)</f>
        <v>0</v>
      </c>
      <c r="X155" s="1">
        <f>MIN($G155)</f>
        <v>0</v>
      </c>
      <c r="Y155" s="1"/>
      <c r="Z155" s="1"/>
      <c r="AA155" s="1">
        <f>MIN($J155)</f>
        <v>0</v>
      </c>
      <c r="AB155" s="1"/>
      <c r="AC155" s="1"/>
      <c r="AD155" s="1"/>
      <c r="AE155" s="1">
        <f>MIN($P155)</f>
        <v>0</v>
      </c>
      <c r="AF155" s="1">
        <f>MIN($Q155)</f>
        <v>0</v>
      </c>
      <c r="AG155" s="1"/>
      <c r="AH155" s="1"/>
      <c r="AI155" s="1"/>
      <c r="AJ155" s="1"/>
      <c r="AK155" s="1">
        <f>MEDIAN($E155)</f>
        <v>0</v>
      </c>
      <c r="AL155" s="1">
        <f>MEDIAN($F155)</f>
        <v>0</v>
      </c>
      <c r="AM155" s="1">
        <f>MEDIAN($G155)</f>
        <v>0</v>
      </c>
      <c r="AN155" s="1"/>
      <c r="AO155" s="1"/>
      <c r="AP155" s="1">
        <f>MEDIAN($J155)</f>
        <v>0</v>
      </c>
      <c r="AQ155" s="1"/>
      <c r="AR155" s="1"/>
      <c r="AS155" s="1"/>
      <c r="AT155" s="1">
        <f>MEDIAN($P155)</f>
        <v>0</v>
      </c>
      <c r="AU155" s="1">
        <f>MEDIAN($Q155)</f>
        <v>0</v>
      </c>
      <c r="AV155" s="1"/>
      <c r="AW155" s="1"/>
      <c r="AX155" s="1"/>
      <c r="AY155" s="1"/>
      <c r="AZ155" s="1">
        <f>MAX($E155)</f>
        <v>0</v>
      </c>
      <c r="BA155" s="1">
        <f>MAX($F155)</f>
        <v>0</v>
      </c>
      <c r="BB155" s="1">
        <f>MAX($G155)</f>
        <v>0</v>
      </c>
      <c r="BC155" s="1"/>
      <c r="BD155" s="1"/>
      <c r="BE155" s="1">
        <f>MAX($J155)</f>
        <v>0</v>
      </c>
      <c r="BF155" s="1"/>
      <c r="BG155" s="1"/>
      <c r="BH155" s="1"/>
      <c r="BI155" s="1">
        <f>MAX($P155)</f>
        <v>0</v>
      </c>
      <c r="BJ155" s="1">
        <f>MAX($Q155)</f>
        <v>0</v>
      </c>
      <c r="BK155" s="1"/>
    </row>
    <row r="156" spans="1:63">
      <c r="A156" s="1" t="s">
        <v>153</v>
      </c>
      <c r="B156" s="1"/>
      <c r="C156" s="1"/>
      <c r="D156" s="1"/>
      <c r="E156" s="1">
        <v>1</v>
      </c>
      <c r="F156" s="1">
        <v>19015</v>
      </c>
      <c r="G156" s="1">
        <v>0</v>
      </c>
      <c r="H156" s="1"/>
      <c r="I156" s="1"/>
      <c r="J156" s="1">
        <v>12000</v>
      </c>
      <c r="K156" s="1"/>
      <c r="L156" s="1" t="s">
        <v>203</v>
      </c>
      <c r="M156" s="1"/>
      <c r="N156" s="1"/>
      <c r="O156" s="1"/>
      <c r="P156" s="1">
        <v>6000</v>
      </c>
      <c r="Q156" s="1">
        <v>1</v>
      </c>
      <c r="R156" s="1"/>
      <c r="S156" s="1"/>
      <c r="T156" s="1"/>
      <c r="U156" s="1"/>
      <c r="V156" s="1">
        <f>MIN($E156)</f>
        <v>0</v>
      </c>
      <c r="W156" s="1">
        <f>MIN($F156)</f>
        <v>0</v>
      </c>
      <c r="X156" s="1">
        <f>MIN($G156)</f>
        <v>0</v>
      </c>
      <c r="Y156" s="1"/>
      <c r="Z156" s="1"/>
      <c r="AA156" s="1">
        <f>MIN($J156)</f>
        <v>0</v>
      </c>
      <c r="AB156" s="1"/>
      <c r="AC156" s="1"/>
      <c r="AD156" s="1"/>
      <c r="AE156" s="1">
        <f>MIN($P156)</f>
        <v>0</v>
      </c>
      <c r="AF156" s="1">
        <f>MIN($Q156)</f>
        <v>0</v>
      </c>
      <c r="AG156" s="1"/>
      <c r="AH156" s="1"/>
      <c r="AI156" s="1"/>
      <c r="AJ156" s="1"/>
      <c r="AK156" s="1">
        <f>MEDIAN($E156)</f>
        <v>0</v>
      </c>
      <c r="AL156" s="1">
        <f>MEDIAN($F156)</f>
        <v>0</v>
      </c>
      <c r="AM156" s="1">
        <f>MEDIAN($G156)</f>
        <v>0</v>
      </c>
      <c r="AN156" s="1"/>
      <c r="AO156" s="1"/>
      <c r="AP156" s="1">
        <f>MEDIAN($J156)</f>
        <v>0</v>
      </c>
      <c r="AQ156" s="1"/>
      <c r="AR156" s="1"/>
      <c r="AS156" s="1"/>
      <c r="AT156" s="1">
        <f>MEDIAN($P156)</f>
        <v>0</v>
      </c>
      <c r="AU156" s="1">
        <f>MEDIAN($Q156)</f>
        <v>0</v>
      </c>
      <c r="AV156" s="1"/>
      <c r="AW156" s="1"/>
      <c r="AX156" s="1"/>
      <c r="AY156" s="1"/>
      <c r="AZ156" s="1">
        <f>MAX($E156)</f>
        <v>0</v>
      </c>
      <c r="BA156" s="1">
        <f>MAX($F156)</f>
        <v>0</v>
      </c>
      <c r="BB156" s="1">
        <f>MAX($G156)</f>
        <v>0</v>
      </c>
      <c r="BC156" s="1"/>
      <c r="BD156" s="1"/>
      <c r="BE156" s="1">
        <f>MAX($J156)</f>
        <v>0</v>
      </c>
      <c r="BF156" s="1"/>
      <c r="BG156" s="1"/>
      <c r="BH156" s="1"/>
      <c r="BI156" s="1">
        <f>MAX($P156)</f>
        <v>0</v>
      </c>
      <c r="BJ156" s="1">
        <f>MAX($Q156)</f>
        <v>0</v>
      </c>
      <c r="BK156" s="1"/>
    </row>
    <row r="157" spans="1:63">
      <c r="A157" s="1" t="s">
        <v>154</v>
      </c>
      <c r="B157" s="1">
        <v>1124</v>
      </c>
      <c r="C157" s="1">
        <v>1</v>
      </c>
      <c r="D157" s="1">
        <v>135617425</v>
      </c>
      <c r="E157" s="1">
        <v>0</v>
      </c>
      <c r="F157" s="1">
        <v>15384</v>
      </c>
      <c r="G157" s="1">
        <v>0</v>
      </c>
      <c r="H157" s="1">
        <v>1</v>
      </c>
      <c r="I157" s="1">
        <v>714.949</v>
      </c>
      <c r="J157" s="1">
        <v>729.04</v>
      </c>
      <c r="K157" s="1">
        <v>0</v>
      </c>
      <c r="L157" s="1" t="s">
        <v>205</v>
      </c>
      <c r="M157" s="1">
        <v>39837248</v>
      </c>
      <c r="N157" s="1">
        <v>15.25</v>
      </c>
      <c r="O157" s="1" t="s">
        <v>210</v>
      </c>
      <c r="P157" s="1">
        <v>729.04</v>
      </c>
      <c r="Q157" s="1">
        <v>0</v>
      </c>
      <c r="R157" s="1">
        <v>36317874</v>
      </c>
      <c r="S157" s="1">
        <f>MIN($B157)</f>
        <v>0</v>
      </c>
      <c r="T157" s="1">
        <f>MIN($C157)</f>
        <v>0</v>
      </c>
      <c r="U157" s="1">
        <f>MIN($D157)</f>
        <v>0</v>
      </c>
      <c r="V157" s="1">
        <f>MIN($E157)</f>
        <v>0</v>
      </c>
      <c r="W157" s="1">
        <f>MIN($F157)</f>
        <v>0</v>
      </c>
      <c r="X157" s="1">
        <f>MIN($G157)</f>
        <v>0</v>
      </c>
      <c r="Y157" s="1">
        <f>MIN($H157)</f>
        <v>0</v>
      </c>
      <c r="Z157" s="1">
        <f>MIN($I157)</f>
        <v>0</v>
      </c>
      <c r="AA157" s="1">
        <f>MIN($J157)</f>
        <v>0</v>
      </c>
      <c r="AB157" s="1">
        <f>MIN($K157)</f>
        <v>0</v>
      </c>
      <c r="AC157" s="1">
        <f>MIN($M157)</f>
        <v>0</v>
      </c>
      <c r="AD157" s="1">
        <f>MIN($N157)</f>
        <v>0</v>
      </c>
      <c r="AE157" s="1">
        <f>MIN($P157)</f>
        <v>0</v>
      </c>
      <c r="AF157" s="1">
        <f>MIN($Q157)</f>
        <v>0</v>
      </c>
      <c r="AG157" s="1">
        <f>MIN($R157)</f>
        <v>0</v>
      </c>
      <c r="AH157" s="1">
        <f>MEDIAN($B157)</f>
        <v>0</v>
      </c>
      <c r="AI157" s="1">
        <f>MEDIAN($C157)</f>
        <v>0</v>
      </c>
      <c r="AJ157" s="1">
        <f>MEDIAN($D157)</f>
        <v>0</v>
      </c>
      <c r="AK157" s="1">
        <f>MEDIAN($E157)</f>
        <v>0</v>
      </c>
      <c r="AL157" s="1">
        <f>MEDIAN($F157)</f>
        <v>0</v>
      </c>
      <c r="AM157" s="1">
        <f>MEDIAN($G157)</f>
        <v>0</v>
      </c>
      <c r="AN157" s="1">
        <f>MEDIAN($H157)</f>
        <v>0</v>
      </c>
      <c r="AO157" s="1">
        <f>MEDIAN($I157)</f>
        <v>0</v>
      </c>
      <c r="AP157" s="1">
        <f>MEDIAN($J157)</f>
        <v>0</v>
      </c>
      <c r="AQ157" s="1">
        <f>MEDIAN($K157)</f>
        <v>0</v>
      </c>
      <c r="AR157" s="1">
        <f>MEDIAN($M157)</f>
        <v>0</v>
      </c>
      <c r="AS157" s="1">
        <f>MEDIAN($N157)</f>
        <v>0</v>
      </c>
      <c r="AT157" s="1">
        <f>MEDIAN($P157)</f>
        <v>0</v>
      </c>
      <c r="AU157" s="1">
        <f>MEDIAN($Q157)</f>
        <v>0</v>
      </c>
      <c r="AV157" s="1">
        <f>MEDIAN($R157)</f>
        <v>0</v>
      </c>
      <c r="AW157" s="1">
        <f>MAX($B157)</f>
        <v>0</v>
      </c>
      <c r="AX157" s="1">
        <f>MAX($C157)</f>
        <v>0</v>
      </c>
      <c r="AY157" s="1">
        <f>MAX($D157)</f>
        <v>0</v>
      </c>
      <c r="AZ157" s="1">
        <f>MAX($E157)</f>
        <v>0</v>
      </c>
      <c r="BA157" s="1">
        <f>MAX($F157)</f>
        <v>0</v>
      </c>
      <c r="BB157" s="1">
        <f>MAX($G157)</f>
        <v>0</v>
      </c>
      <c r="BC157" s="1">
        <f>MAX($H157)</f>
        <v>0</v>
      </c>
      <c r="BD157" s="1">
        <f>MAX($I157)</f>
        <v>0</v>
      </c>
      <c r="BE157" s="1">
        <f>MAX($J157)</f>
        <v>0</v>
      </c>
      <c r="BF157" s="1">
        <f>MAX($K157)</f>
        <v>0</v>
      </c>
      <c r="BG157" s="1">
        <f>MAX($M157)</f>
        <v>0</v>
      </c>
      <c r="BH157" s="1">
        <f>MAX($N157)</f>
        <v>0</v>
      </c>
      <c r="BI157" s="1">
        <f>MAX($P157)</f>
        <v>0</v>
      </c>
      <c r="BJ157" s="1">
        <f>MAX($Q157)</f>
        <v>0</v>
      </c>
      <c r="BK157" s="1">
        <f>MAX($R157)</f>
        <v>0</v>
      </c>
    </row>
    <row r="158" spans="1:63">
      <c r="A158" s="1" t="s">
        <v>155</v>
      </c>
      <c r="B158" s="1">
        <v>2315</v>
      </c>
      <c r="C158" s="1">
        <v>1</v>
      </c>
      <c r="D158" s="1">
        <v>321977564</v>
      </c>
      <c r="E158" s="1">
        <v>0</v>
      </c>
      <c r="F158" s="1">
        <v>35146</v>
      </c>
      <c r="G158" s="1">
        <v>0</v>
      </c>
      <c r="H158" s="1">
        <v>1</v>
      </c>
      <c r="I158" s="1">
        <v>994.963</v>
      </c>
      <c r="J158" s="1">
        <v>1077.01</v>
      </c>
      <c r="K158" s="1">
        <v>0</v>
      </c>
      <c r="L158" s="1" t="s">
        <v>205</v>
      </c>
      <c r="M158" s="1">
        <v>91984243</v>
      </c>
      <c r="N158" s="1">
        <v>55.48</v>
      </c>
      <c r="O158" s="1" t="s">
        <v>210</v>
      </c>
      <c r="P158" s="1">
        <v>1077.01</v>
      </c>
      <c r="Q158" s="1">
        <v>0</v>
      </c>
      <c r="R158" s="1">
        <v>85230611</v>
      </c>
      <c r="S158" s="1">
        <f>MIN($B158)</f>
        <v>0</v>
      </c>
      <c r="T158" s="1">
        <f>MIN($C158)</f>
        <v>0</v>
      </c>
      <c r="U158" s="1">
        <f>MIN($D158)</f>
        <v>0</v>
      </c>
      <c r="V158" s="1">
        <f>MIN($E158)</f>
        <v>0</v>
      </c>
      <c r="W158" s="1">
        <f>MIN($F158)</f>
        <v>0</v>
      </c>
      <c r="X158" s="1">
        <f>MIN($G158)</f>
        <v>0</v>
      </c>
      <c r="Y158" s="1">
        <f>MIN($H158)</f>
        <v>0</v>
      </c>
      <c r="Z158" s="1">
        <f>MIN($I158)</f>
        <v>0</v>
      </c>
      <c r="AA158" s="1">
        <f>MIN($J158)</f>
        <v>0</v>
      </c>
      <c r="AB158" s="1">
        <f>MIN($K158)</f>
        <v>0</v>
      </c>
      <c r="AC158" s="1">
        <f>MIN($M158)</f>
        <v>0</v>
      </c>
      <c r="AD158" s="1">
        <f>MIN($N158)</f>
        <v>0</v>
      </c>
      <c r="AE158" s="1">
        <f>MIN($P158)</f>
        <v>0</v>
      </c>
      <c r="AF158" s="1">
        <f>MIN($Q158)</f>
        <v>0</v>
      </c>
      <c r="AG158" s="1">
        <f>MIN($R158)</f>
        <v>0</v>
      </c>
      <c r="AH158" s="1">
        <f>MEDIAN($B158)</f>
        <v>0</v>
      </c>
      <c r="AI158" s="1">
        <f>MEDIAN($C158)</f>
        <v>0</v>
      </c>
      <c r="AJ158" s="1">
        <f>MEDIAN($D158)</f>
        <v>0</v>
      </c>
      <c r="AK158" s="1">
        <f>MEDIAN($E158)</f>
        <v>0</v>
      </c>
      <c r="AL158" s="1">
        <f>MEDIAN($F158)</f>
        <v>0</v>
      </c>
      <c r="AM158" s="1">
        <f>MEDIAN($G158)</f>
        <v>0</v>
      </c>
      <c r="AN158" s="1">
        <f>MEDIAN($H158)</f>
        <v>0</v>
      </c>
      <c r="AO158" s="1">
        <f>MEDIAN($I158)</f>
        <v>0</v>
      </c>
      <c r="AP158" s="1">
        <f>MEDIAN($J158)</f>
        <v>0</v>
      </c>
      <c r="AQ158" s="1">
        <f>MEDIAN($K158)</f>
        <v>0</v>
      </c>
      <c r="AR158" s="1">
        <f>MEDIAN($M158)</f>
        <v>0</v>
      </c>
      <c r="AS158" s="1">
        <f>MEDIAN($N158)</f>
        <v>0</v>
      </c>
      <c r="AT158" s="1">
        <f>MEDIAN($P158)</f>
        <v>0</v>
      </c>
      <c r="AU158" s="1">
        <f>MEDIAN($Q158)</f>
        <v>0</v>
      </c>
      <c r="AV158" s="1">
        <f>MEDIAN($R158)</f>
        <v>0</v>
      </c>
      <c r="AW158" s="1">
        <f>MAX($B158)</f>
        <v>0</v>
      </c>
      <c r="AX158" s="1">
        <f>MAX($C158)</f>
        <v>0</v>
      </c>
      <c r="AY158" s="1">
        <f>MAX($D158)</f>
        <v>0</v>
      </c>
      <c r="AZ158" s="1">
        <f>MAX($E158)</f>
        <v>0</v>
      </c>
      <c r="BA158" s="1">
        <f>MAX($F158)</f>
        <v>0</v>
      </c>
      <c r="BB158" s="1">
        <f>MAX($G158)</f>
        <v>0</v>
      </c>
      <c r="BC158" s="1">
        <f>MAX($H158)</f>
        <v>0</v>
      </c>
      <c r="BD158" s="1">
        <f>MAX($I158)</f>
        <v>0</v>
      </c>
      <c r="BE158" s="1">
        <f>MAX($J158)</f>
        <v>0</v>
      </c>
      <c r="BF158" s="1">
        <f>MAX($K158)</f>
        <v>0</v>
      </c>
      <c r="BG158" s="1">
        <f>MAX($M158)</f>
        <v>0</v>
      </c>
      <c r="BH158" s="1">
        <f>MAX($N158)</f>
        <v>0</v>
      </c>
      <c r="BI158" s="1">
        <f>MAX($P158)</f>
        <v>0</v>
      </c>
      <c r="BJ158" s="1">
        <f>MAX($Q158)</f>
        <v>0</v>
      </c>
      <c r="BK158" s="1">
        <f>MAX($R158)</f>
        <v>0</v>
      </c>
    </row>
    <row r="159" spans="1:63">
      <c r="A159" s="1" t="s">
        <v>156</v>
      </c>
      <c r="B159" s="1"/>
      <c r="C159" s="1"/>
      <c r="D159" s="1"/>
      <c r="E159" s="1">
        <v>1</v>
      </c>
      <c r="F159" s="1">
        <v>14025</v>
      </c>
      <c r="G159" s="1">
        <v>0</v>
      </c>
      <c r="H159" s="1"/>
      <c r="I159" s="1"/>
      <c r="J159" s="1">
        <v>12000</v>
      </c>
      <c r="K159" s="1"/>
      <c r="L159" s="1" t="s">
        <v>203</v>
      </c>
      <c r="M159" s="1"/>
      <c r="N159" s="1"/>
      <c r="O159" s="1"/>
      <c r="P159" s="1">
        <v>6000</v>
      </c>
      <c r="Q159" s="1">
        <v>1</v>
      </c>
      <c r="R159" s="1"/>
      <c r="S159" s="1"/>
      <c r="T159" s="1"/>
      <c r="U159" s="1"/>
      <c r="V159" s="1">
        <f>MIN($E159)</f>
        <v>0</v>
      </c>
      <c r="W159" s="1">
        <f>MIN($F159)</f>
        <v>0</v>
      </c>
      <c r="X159" s="1">
        <f>MIN($G159)</f>
        <v>0</v>
      </c>
      <c r="Y159" s="1"/>
      <c r="Z159" s="1"/>
      <c r="AA159" s="1">
        <f>MIN($J159)</f>
        <v>0</v>
      </c>
      <c r="AB159" s="1"/>
      <c r="AC159" s="1"/>
      <c r="AD159" s="1"/>
      <c r="AE159" s="1">
        <f>MIN($P159)</f>
        <v>0</v>
      </c>
      <c r="AF159" s="1">
        <f>MIN($Q159)</f>
        <v>0</v>
      </c>
      <c r="AG159" s="1"/>
      <c r="AH159" s="1"/>
      <c r="AI159" s="1"/>
      <c r="AJ159" s="1"/>
      <c r="AK159" s="1">
        <f>MEDIAN($E159)</f>
        <v>0</v>
      </c>
      <c r="AL159" s="1">
        <f>MEDIAN($F159)</f>
        <v>0</v>
      </c>
      <c r="AM159" s="1">
        <f>MEDIAN($G159)</f>
        <v>0</v>
      </c>
      <c r="AN159" s="1"/>
      <c r="AO159" s="1"/>
      <c r="AP159" s="1">
        <f>MEDIAN($J159)</f>
        <v>0</v>
      </c>
      <c r="AQ159" s="1"/>
      <c r="AR159" s="1"/>
      <c r="AS159" s="1"/>
      <c r="AT159" s="1">
        <f>MEDIAN($P159)</f>
        <v>0</v>
      </c>
      <c r="AU159" s="1">
        <f>MEDIAN($Q159)</f>
        <v>0</v>
      </c>
      <c r="AV159" s="1"/>
      <c r="AW159" s="1"/>
      <c r="AX159" s="1"/>
      <c r="AY159" s="1"/>
      <c r="AZ159" s="1">
        <f>MAX($E159)</f>
        <v>0</v>
      </c>
      <c r="BA159" s="1">
        <f>MAX($F159)</f>
        <v>0</v>
      </c>
      <c r="BB159" s="1">
        <f>MAX($G159)</f>
        <v>0</v>
      </c>
      <c r="BC159" s="1"/>
      <c r="BD159" s="1"/>
      <c r="BE159" s="1">
        <f>MAX($J159)</f>
        <v>0</v>
      </c>
      <c r="BF159" s="1"/>
      <c r="BG159" s="1"/>
      <c r="BH159" s="1"/>
      <c r="BI159" s="1">
        <f>MAX($P159)</f>
        <v>0</v>
      </c>
      <c r="BJ159" s="1">
        <f>MAX($Q159)</f>
        <v>0</v>
      </c>
      <c r="BK159" s="1"/>
    </row>
    <row r="160" spans="1:63">
      <c r="A160" s="1" t="s">
        <v>157</v>
      </c>
      <c r="B160" s="1"/>
      <c r="C160" s="1"/>
      <c r="D160" s="1"/>
      <c r="E160" s="1">
        <v>1</v>
      </c>
      <c r="F160" s="1">
        <v>28952</v>
      </c>
      <c r="G160" s="1">
        <v>0</v>
      </c>
      <c r="H160" s="1"/>
      <c r="I160" s="1"/>
      <c r="J160" s="1">
        <v>12000</v>
      </c>
      <c r="K160" s="1"/>
      <c r="L160" s="1" t="s">
        <v>203</v>
      </c>
      <c r="M160" s="1"/>
      <c r="N160" s="1"/>
      <c r="O160" s="1"/>
      <c r="P160" s="1">
        <v>6000</v>
      </c>
      <c r="Q160" s="1">
        <v>1</v>
      </c>
      <c r="R160" s="1"/>
      <c r="S160" s="1"/>
      <c r="T160" s="1"/>
      <c r="U160" s="1"/>
      <c r="V160" s="1">
        <f>MIN($E160)</f>
        <v>0</v>
      </c>
      <c r="W160" s="1">
        <f>MIN($F160)</f>
        <v>0</v>
      </c>
      <c r="X160" s="1">
        <f>MIN($G160)</f>
        <v>0</v>
      </c>
      <c r="Y160" s="1"/>
      <c r="Z160" s="1"/>
      <c r="AA160" s="1">
        <f>MIN($J160)</f>
        <v>0</v>
      </c>
      <c r="AB160" s="1"/>
      <c r="AC160" s="1"/>
      <c r="AD160" s="1"/>
      <c r="AE160" s="1">
        <f>MIN($P160)</f>
        <v>0</v>
      </c>
      <c r="AF160" s="1">
        <f>MIN($Q160)</f>
        <v>0</v>
      </c>
      <c r="AG160" s="1"/>
      <c r="AH160" s="1"/>
      <c r="AI160" s="1"/>
      <c r="AJ160" s="1"/>
      <c r="AK160" s="1">
        <f>MEDIAN($E160)</f>
        <v>0</v>
      </c>
      <c r="AL160" s="1">
        <f>MEDIAN($F160)</f>
        <v>0</v>
      </c>
      <c r="AM160" s="1">
        <f>MEDIAN($G160)</f>
        <v>0</v>
      </c>
      <c r="AN160" s="1"/>
      <c r="AO160" s="1"/>
      <c r="AP160" s="1">
        <f>MEDIAN($J160)</f>
        <v>0</v>
      </c>
      <c r="AQ160" s="1"/>
      <c r="AR160" s="1"/>
      <c r="AS160" s="1"/>
      <c r="AT160" s="1">
        <f>MEDIAN($P160)</f>
        <v>0</v>
      </c>
      <c r="AU160" s="1">
        <f>MEDIAN($Q160)</f>
        <v>0</v>
      </c>
      <c r="AV160" s="1"/>
      <c r="AW160" s="1"/>
      <c r="AX160" s="1"/>
      <c r="AY160" s="1"/>
      <c r="AZ160" s="1">
        <f>MAX($E160)</f>
        <v>0</v>
      </c>
      <c r="BA160" s="1">
        <f>MAX($F160)</f>
        <v>0</v>
      </c>
      <c r="BB160" s="1">
        <f>MAX($G160)</f>
        <v>0</v>
      </c>
      <c r="BC160" s="1"/>
      <c r="BD160" s="1"/>
      <c r="BE160" s="1">
        <f>MAX($J160)</f>
        <v>0</v>
      </c>
      <c r="BF160" s="1"/>
      <c r="BG160" s="1"/>
      <c r="BH160" s="1"/>
      <c r="BI160" s="1">
        <f>MAX($P160)</f>
        <v>0</v>
      </c>
      <c r="BJ160" s="1">
        <f>MAX($Q160)</f>
        <v>0</v>
      </c>
      <c r="BK160" s="1"/>
    </row>
    <row r="161" spans="1:63">
      <c r="A161" s="1" t="s">
        <v>158</v>
      </c>
      <c r="B161" s="1">
        <v>4475</v>
      </c>
      <c r="C161" s="1">
        <v>1</v>
      </c>
      <c r="D161" s="1">
        <v>118344848</v>
      </c>
      <c r="E161" s="1">
        <v>0</v>
      </c>
      <c r="F161" s="1">
        <v>13761</v>
      </c>
      <c r="G161" s="1">
        <v>0</v>
      </c>
      <c r="H161" s="1">
        <v>1</v>
      </c>
      <c r="I161" s="1">
        <v>410.334</v>
      </c>
      <c r="J161" s="1">
        <v>418.2</v>
      </c>
      <c r="K161" s="1">
        <v>0</v>
      </c>
      <c r="L161" s="1" t="s">
        <v>205</v>
      </c>
      <c r="M161" s="1">
        <v>35074932</v>
      </c>
      <c r="N161" s="1">
        <v>16.64</v>
      </c>
      <c r="O161" s="1" t="s">
        <v>210</v>
      </c>
      <c r="P161" s="1">
        <v>418.2</v>
      </c>
      <c r="Q161" s="1">
        <v>0</v>
      </c>
      <c r="R161" s="1">
        <v>31797395</v>
      </c>
      <c r="S161" s="1">
        <f>MIN($B161)</f>
        <v>0</v>
      </c>
      <c r="T161" s="1">
        <f>MIN($C161)</f>
        <v>0</v>
      </c>
      <c r="U161" s="1">
        <f>MIN($D161)</f>
        <v>0</v>
      </c>
      <c r="V161" s="1">
        <f>MIN($E161)</f>
        <v>0</v>
      </c>
      <c r="W161" s="1">
        <f>MIN($F161)</f>
        <v>0</v>
      </c>
      <c r="X161" s="1">
        <f>MIN($G161)</f>
        <v>0</v>
      </c>
      <c r="Y161" s="1">
        <f>MIN($H161)</f>
        <v>0</v>
      </c>
      <c r="Z161" s="1">
        <f>MIN($I161)</f>
        <v>0</v>
      </c>
      <c r="AA161" s="1">
        <f>MIN($J161)</f>
        <v>0</v>
      </c>
      <c r="AB161" s="1">
        <f>MIN($K161)</f>
        <v>0</v>
      </c>
      <c r="AC161" s="1">
        <f>MIN($M161)</f>
        <v>0</v>
      </c>
      <c r="AD161" s="1">
        <f>MIN($N161)</f>
        <v>0</v>
      </c>
      <c r="AE161" s="1">
        <f>MIN($P161)</f>
        <v>0</v>
      </c>
      <c r="AF161" s="1">
        <f>MIN($Q161)</f>
        <v>0</v>
      </c>
      <c r="AG161" s="1">
        <f>MIN($R161)</f>
        <v>0</v>
      </c>
      <c r="AH161" s="1">
        <f>MEDIAN($B161)</f>
        <v>0</v>
      </c>
      <c r="AI161" s="1">
        <f>MEDIAN($C161)</f>
        <v>0</v>
      </c>
      <c r="AJ161" s="1">
        <f>MEDIAN($D161)</f>
        <v>0</v>
      </c>
      <c r="AK161" s="1">
        <f>MEDIAN($E161)</f>
        <v>0</v>
      </c>
      <c r="AL161" s="1">
        <f>MEDIAN($F161)</f>
        <v>0</v>
      </c>
      <c r="AM161" s="1">
        <f>MEDIAN($G161)</f>
        <v>0</v>
      </c>
      <c r="AN161" s="1">
        <f>MEDIAN($H161)</f>
        <v>0</v>
      </c>
      <c r="AO161" s="1">
        <f>MEDIAN($I161)</f>
        <v>0</v>
      </c>
      <c r="AP161" s="1">
        <f>MEDIAN($J161)</f>
        <v>0</v>
      </c>
      <c r="AQ161" s="1">
        <f>MEDIAN($K161)</f>
        <v>0</v>
      </c>
      <c r="AR161" s="1">
        <f>MEDIAN($M161)</f>
        <v>0</v>
      </c>
      <c r="AS161" s="1">
        <f>MEDIAN($N161)</f>
        <v>0</v>
      </c>
      <c r="AT161" s="1">
        <f>MEDIAN($P161)</f>
        <v>0</v>
      </c>
      <c r="AU161" s="1">
        <f>MEDIAN($Q161)</f>
        <v>0</v>
      </c>
      <c r="AV161" s="1">
        <f>MEDIAN($R161)</f>
        <v>0</v>
      </c>
      <c r="AW161" s="1">
        <f>MAX($B161)</f>
        <v>0</v>
      </c>
      <c r="AX161" s="1">
        <f>MAX($C161)</f>
        <v>0</v>
      </c>
      <c r="AY161" s="1">
        <f>MAX($D161)</f>
        <v>0</v>
      </c>
      <c r="AZ161" s="1">
        <f>MAX($E161)</f>
        <v>0</v>
      </c>
      <c r="BA161" s="1">
        <f>MAX($F161)</f>
        <v>0</v>
      </c>
      <c r="BB161" s="1">
        <f>MAX($G161)</f>
        <v>0</v>
      </c>
      <c r="BC161" s="1">
        <f>MAX($H161)</f>
        <v>0</v>
      </c>
      <c r="BD161" s="1">
        <f>MAX($I161)</f>
        <v>0</v>
      </c>
      <c r="BE161" s="1">
        <f>MAX($J161)</f>
        <v>0</v>
      </c>
      <c r="BF161" s="1">
        <f>MAX($K161)</f>
        <v>0</v>
      </c>
      <c r="BG161" s="1">
        <f>MAX($M161)</f>
        <v>0</v>
      </c>
      <c r="BH161" s="1">
        <f>MAX($N161)</f>
        <v>0</v>
      </c>
      <c r="BI161" s="1">
        <f>MAX($P161)</f>
        <v>0</v>
      </c>
      <c r="BJ161" s="1">
        <f>MAX($Q161)</f>
        <v>0</v>
      </c>
      <c r="BK161" s="1">
        <f>MAX($R161)</f>
        <v>0</v>
      </c>
    </row>
    <row r="162" spans="1:63">
      <c r="A162" s="1" t="s">
        <v>159</v>
      </c>
      <c r="B162" s="1"/>
      <c r="C162" s="1"/>
      <c r="D162" s="1"/>
      <c r="E162" s="1">
        <v>1</v>
      </c>
      <c r="F162" s="1">
        <v>11341</v>
      </c>
      <c r="G162" s="1">
        <v>0</v>
      </c>
      <c r="H162" s="1"/>
      <c r="I162" s="1"/>
      <c r="J162" s="1">
        <v>12000</v>
      </c>
      <c r="K162" s="1"/>
      <c r="L162" s="1" t="s">
        <v>203</v>
      </c>
      <c r="M162" s="1"/>
      <c r="N162" s="1"/>
      <c r="O162" s="1"/>
      <c r="P162" s="1">
        <v>6000</v>
      </c>
      <c r="Q162" s="1">
        <v>1</v>
      </c>
      <c r="R162" s="1"/>
      <c r="S162" s="1"/>
      <c r="T162" s="1"/>
      <c r="U162" s="1"/>
      <c r="V162" s="1">
        <f>MIN($E162)</f>
        <v>0</v>
      </c>
      <c r="W162" s="1">
        <f>MIN($F162)</f>
        <v>0</v>
      </c>
      <c r="X162" s="1">
        <f>MIN($G162)</f>
        <v>0</v>
      </c>
      <c r="Y162" s="1"/>
      <c r="Z162" s="1"/>
      <c r="AA162" s="1">
        <f>MIN($J162)</f>
        <v>0</v>
      </c>
      <c r="AB162" s="1"/>
      <c r="AC162" s="1"/>
      <c r="AD162" s="1"/>
      <c r="AE162" s="1">
        <f>MIN($P162)</f>
        <v>0</v>
      </c>
      <c r="AF162" s="1">
        <f>MIN($Q162)</f>
        <v>0</v>
      </c>
      <c r="AG162" s="1"/>
      <c r="AH162" s="1"/>
      <c r="AI162" s="1"/>
      <c r="AJ162" s="1"/>
      <c r="AK162" s="1">
        <f>MEDIAN($E162)</f>
        <v>0</v>
      </c>
      <c r="AL162" s="1">
        <f>MEDIAN($F162)</f>
        <v>0</v>
      </c>
      <c r="AM162" s="1">
        <f>MEDIAN($G162)</f>
        <v>0</v>
      </c>
      <c r="AN162" s="1"/>
      <c r="AO162" s="1"/>
      <c r="AP162" s="1">
        <f>MEDIAN($J162)</f>
        <v>0</v>
      </c>
      <c r="AQ162" s="1"/>
      <c r="AR162" s="1"/>
      <c r="AS162" s="1"/>
      <c r="AT162" s="1">
        <f>MEDIAN($P162)</f>
        <v>0</v>
      </c>
      <c r="AU162" s="1">
        <f>MEDIAN($Q162)</f>
        <v>0</v>
      </c>
      <c r="AV162" s="1"/>
      <c r="AW162" s="1"/>
      <c r="AX162" s="1"/>
      <c r="AY162" s="1"/>
      <c r="AZ162" s="1">
        <f>MAX($E162)</f>
        <v>0</v>
      </c>
      <c r="BA162" s="1">
        <f>MAX($F162)</f>
        <v>0</v>
      </c>
      <c r="BB162" s="1">
        <f>MAX($G162)</f>
        <v>0</v>
      </c>
      <c r="BC162" s="1"/>
      <c r="BD162" s="1"/>
      <c r="BE162" s="1">
        <f>MAX($J162)</f>
        <v>0</v>
      </c>
      <c r="BF162" s="1"/>
      <c r="BG162" s="1"/>
      <c r="BH162" s="1"/>
      <c r="BI162" s="1">
        <f>MAX($P162)</f>
        <v>0</v>
      </c>
      <c r="BJ162" s="1">
        <f>MAX($Q162)</f>
        <v>0</v>
      </c>
      <c r="BK162" s="1"/>
    </row>
    <row r="163" spans="1:63">
      <c r="A163" s="1" t="s">
        <v>160</v>
      </c>
      <c r="B163" s="1">
        <v>540</v>
      </c>
      <c r="C163" s="1">
        <v>1</v>
      </c>
      <c r="D163" s="1">
        <v>141771388</v>
      </c>
      <c r="E163" s="1">
        <v>0</v>
      </c>
      <c r="F163" s="1">
        <v>16776</v>
      </c>
      <c r="G163" s="1">
        <v>0</v>
      </c>
      <c r="H163" s="1">
        <v>1</v>
      </c>
      <c r="I163" s="1">
        <v>518.58</v>
      </c>
      <c r="J163" s="1">
        <v>526.97</v>
      </c>
      <c r="K163" s="1">
        <v>0</v>
      </c>
      <c r="L163" s="1" t="s">
        <v>205</v>
      </c>
      <c r="M163" s="1">
        <v>42436824</v>
      </c>
      <c r="N163" s="1">
        <v>8.66</v>
      </c>
      <c r="O163" s="1" t="s">
        <v>210</v>
      </c>
      <c r="P163" s="1">
        <v>526.97</v>
      </c>
      <c r="Q163" s="1">
        <v>0</v>
      </c>
      <c r="R163" s="1">
        <v>38251118</v>
      </c>
      <c r="S163" s="1">
        <f>MIN($B163)</f>
        <v>0</v>
      </c>
      <c r="T163" s="1">
        <f>MIN($C163)</f>
        <v>0</v>
      </c>
      <c r="U163" s="1">
        <f>MIN($D163)</f>
        <v>0</v>
      </c>
      <c r="V163" s="1">
        <f>MIN($E163)</f>
        <v>0</v>
      </c>
      <c r="W163" s="1">
        <f>MIN($F163)</f>
        <v>0</v>
      </c>
      <c r="X163" s="1">
        <f>MIN($G163)</f>
        <v>0</v>
      </c>
      <c r="Y163" s="1">
        <f>MIN($H163)</f>
        <v>0</v>
      </c>
      <c r="Z163" s="1">
        <f>MIN($I163)</f>
        <v>0</v>
      </c>
      <c r="AA163" s="1">
        <f>MIN($J163)</f>
        <v>0</v>
      </c>
      <c r="AB163" s="1">
        <f>MIN($K163)</f>
        <v>0</v>
      </c>
      <c r="AC163" s="1">
        <f>MIN($M163)</f>
        <v>0</v>
      </c>
      <c r="AD163" s="1">
        <f>MIN($N163)</f>
        <v>0</v>
      </c>
      <c r="AE163" s="1">
        <f>MIN($P163)</f>
        <v>0</v>
      </c>
      <c r="AF163" s="1">
        <f>MIN($Q163)</f>
        <v>0</v>
      </c>
      <c r="AG163" s="1">
        <f>MIN($R163)</f>
        <v>0</v>
      </c>
      <c r="AH163" s="1">
        <f>MEDIAN($B163)</f>
        <v>0</v>
      </c>
      <c r="AI163" s="1">
        <f>MEDIAN($C163)</f>
        <v>0</v>
      </c>
      <c r="AJ163" s="1">
        <f>MEDIAN($D163)</f>
        <v>0</v>
      </c>
      <c r="AK163" s="1">
        <f>MEDIAN($E163)</f>
        <v>0</v>
      </c>
      <c r="AL163" s="1">
        <f>MEDIAN($F163)</f>
        <v>0</v>
      </c>
      <c r="AM163" s="1">
        <f>MEDIAN($G163)</f>
        <v>0</v>
      </c>
      <c r="AN163" s="1">
        <f>MEDIAN($H163)</f>
        <v>0</v>
      </c>
      <c r="AO163" s="1">
        <f>MEDIAN($I163)</f>
        <v>0</v>
      </c>
      <c r="AP163" s="1">
        <f>MEDIAN($J163)</f>
        <v>0</v>
      </c>
      <c r="AQ163" s="1">
        <f>MEDIAN($K163)</f>
        <v>0</v>
      </c>
      <c r="AR163" s="1">
        <f>MEDIAN($M163)</f>
        <v>0</v>
      </c>
      <c r="AS163" s="1">
        <f>MEDIAN($N163)</f>
        <v>0</v>
      </c>
      <c r="AT163" s="1">
        <f>MEDIAN($P163)</f>
        <v>0</v>
      </c>
      <c r="AU163" s="1">
        <f>MEDIAN($Q163)</f>
        <v>0</v>
      </c>
      <c r="AV163" s="1">
        <f>MEDIAN($R163)</f>
        <v>0</v>
      </c>
      <c r="AW163" s="1">
        <f>MAX($B163)</f>
        <v>0</v>
      </c>
      <c r="AX163" s="1">
        <f>MAX($C163)</f>
        <v>0</v>
      </c>
      <c r="AY163" s="1">
        <f>MAX($D163)</f>
        <v>0</v>
      </c>
      <c r="AZ163" s="1">
        <f>MAX($E163)</f>
        <v>0</v>
      </c>
      <c r="BA163" s="1">
        <f>MAX($F163)</f>
        <v>0</v>
      </c>
      <c r="BB163" s="1">
        <f>MAX($G163)</f>
        <v>0</v>
      </c>
      <c r="BC163" s="1">
        <f>MAX($H163)</f>
        <v>0</v>
      </c>
      <c r="BD163" s="1">
        <f>MAX($I163)</f>
        <v>0</v>
      </c>
      <c r="BE163" s="1">
        <f>MAX($J163)</f>
        <v>0</v>
      </c>
      <c r="BF163" s="1">
        <f>MAX($K163)</f>
        <v>0</v>
      </c>
      <c r="BG163" s="1">
        <f>MAX($M163)</f>
        <v>0</v>
      </c>
      <c r="BH163" s="1">
        <f>MAX($N163)</f>
        <v>0</v>
      </c>
      <c r="BI163" s="1">
        <f>MAX($P163)</f>
        <v>0</v>
      </c>
      <c r="BJ163" s="1">
        <f>MAX($Q163)</f>
        <v>0</v>
      </c>
      <c r="BK163" s="1">
        <f>MAX($R163)</f>
        <v>0</v>
      </c>
    </row>
    <row r="164" spans="1:63">
      <c r="A164" s="1" t="s">
        <v>161</v>
      </c>
      <c r="B164" s="1">
        <v>7621</v>
      </c>
      <c r="C164" s="1">
        <v>2</v>
      </c>
      <c r="D164" s="1">
        <v>138959794</v>
      </c>
      <c r="E164" s="1">
        <v>0</v>
      </c>
      <c r="F164" s="1">
        <v>15059</v>
      </c>
      <c r="G164" s="1">
        <v>0</v>
      </c>
      <c r="H164" s="1">
        <v>1</v>
      </c>
      <c r="I164" s="1">
        <v>630.471</v>
      </c>
      <c r="J164" s="1">
        <v>636.59</v>
      </c>
      <c r="K164" s="1">
        <v>0</v>
      </c>
      <c r="L164" s="1" t="s">
        <v>205</v>
      </c>
      <c r="M164" s="1">
        <v>39907401</v>
      </c>
      <c r="N164" s="1">
        <v>10.81</v>
      </c>
      <c r="O164" s="1" t="s">
        <v>210</v>
      </c>
      <c r="P164" s="1">
        <v>636.59</v>
      </c>
      <c r="Q164" s="1">
        <v>0</v>
      </c>
      <c r="R164" s="1">
        <v>36754832</v>
      </c>
      <c r="S164" s="1">
        <f>MIN($B164)</f>
        <v>0</v>
      </c>
      <c r="T164" s="1">
        <f>MIN($C164)</f>
        <v>0</v>
      </c>
      <c r="U164" s="1">
        <f>MIN($D164)</f>
        <v>0</v>
      </c>
      <c r="V164" s="1">
        <f>MIN($E164)</f>
        <v>0</v>
      </c>
      <c r="W164" s="1">
        <f>MIN($F164)</f>
        <v>0</v>
      </c>
      <c r="X164" s="1">
        <f>MIN($G164)</f>
        <v>0</v>
      </c>
      <c r="Y164" s="1">
        <f>MIN($H164)</f>
        <v>0</v>
      </c>
      <c r="Z164" s="1">
        <f>MIN($I164)</f>
        <v>0</v>
      </c>
      <c r="AA164" s="1">
        <f>MIN($J164)</f>
        <v>0</v>
      </c>
      <c r="AB164" s="1">
        <f>MIN($K164)</f>
        <v>0</v>
      </c>
      <c r="AC164" s="1">
        <f>MIN($M164)</f>
        <v>0</v>
      </c>
      <c r="AD164" s="1">
        <f>MIN($N164)</f>
        <v>0</v>
      </c>
      <c r="AE164" s="1">
        <f>MIN($P164)</f>
        <v>0</v>
      </c>
      <c r="AF164" s="1">
        <f>MIN($Q164)</f>
        <v>0</v>
      </c>
      <c r="AG164" s="1">
        <f>MIN($R164)</f>
        <v>0</v>
      </c>
      <c r="AH164" s="1">
        <f>MEDIAN($B164)</f>
        <v>0</v>
      </c>
      <c r="AI164" s="1">
        <f>MEDIAN($C164)</f>
        <v>0</v>
      </c>
      <c r="AJ164" s="1">
        <f>MEDIAN($D164)</f>
        <v>0</v>
      </c>
      <c r="AK164" s="1">
        <f>MEDIAN($E164)</f>
        <v>0</v>
      </c>
      <c r="AL164" s="1">
        <f>MEDIAN($F164)</f>
        <v>0</v>
      </c>
      <c r="AM164" s="1">
        <f>MEDIAN($G164)</f>
        <v>0</v>
      </c>
      <c r="AN164" s="1">
        <f>MEDIAN($H164)</f>
        <v>0</v>
      </c>
      <c r="AO164" s="1">
        <f>MEDIAN($I164)</f>
        <v>0</v>
      </c>
      <c r="AP164" s="1">
        <f>MEDIAN($J164)</f>
        <v>0</v>
      </c>
      <c r="AQ164" s="1">
        <f>MEDIAN($K164)</f>
        <v>0</v>
      </c>
      <c r="AR164" s="1">
        <f>MEDIAN($M164)</f>
        <v>0</v>
      </c>
      <c r="AS164" s="1">
        <f>MEDIAN($N164)</f>
        <v>0</v>
      </c>
      <c r="AT164" s="1">
        <f>MEDIAN($P164)</f>
        <v>0</v>
      </c>
      <c r="AU164" s="1">
        <f>MEDIAN($Q164)</f>
        <v>0</v>
      </c>
      <c r="AV164" s="1">
        <f>MEDIAN($R164)</f>
        <v>0</v>
      </c>
      <c r="AW164" s="1">
        <f>MAX($B164)</f>
        <v>0</v>
      </c>
      <c r="AX164" s="1">
        <f>MAX($C164)</f>
        <v>0</v>
      </c>
      <c r="AY164" s="1">
        <f>MAX($D164)</f>
        <v>0</v>
      </c>
      <c r="AZ164" s="1">
        <f>MAX($E164)</f>
        <v>0</v>
      </c>
      <c r="BA164" s="1">
        <f>MAX($F164)</f>
        <v>0</v>
      </c>
      <c r="BB164" s="1">
        <f>MAX($G164)</f>
        <v>0</v>
      </c>
      <c r="BC164" s="1">
        <f>MAX($H164)</f>
        <v>0</v>
      </c>
      <c r="BD164" s="1">
        <f>MAX($I164)</f>
        <v>0</v>
      </c>
      <c r="BE164" s="1">
        <f>MAX($J164)</f>
        <v>0</v>
      </c>
      <c r="BF164" s="1">
        <f>MAX($K164)</f>
        <v>0</v>
      </c>
      <c r="BG164" s="1">
        <f>MAX($M164)</f>
        <v>0</v>
      </c>
      <c r="BH164" s="1">
        <f>MAX($N164)</f>
        <v>0</v>
      </c>
      <c r="BI164" s="1">
        <f>MAX($P164)</f>
        <v>0</v>
      </c>
      <c r="BJ164" s="1">
        <f>MAX($Q164)</f>
        <v>0</v>
      </c>
      <c r="BK164" s="1">
        <f>MAX($R164)</f>
        <v>0</v>
      </c>
    </row>
    <row r="165" spans="1:63">
      <c r="A165" s="1" t="s">
        <v>162</v>
      </c>
      <c r="B165" s="1"/>
      <c r="C165" s="1"/>
      <c r="D165" s="1"/>
      <c r="E165" s="1">
        <v>1</v>
      </c>
      <c r="F165" s="1">
        <v>12205</v>
      </c>
      <c r="G165" s="1">
        <v>0</v>
      </c>
      <c r="H165" s="1"/>
      <c r="I165" s="1"/>
      <c r="J165" s="1">
        <v>12000</v>
      </c>
      <c r="K165" s="1"/>
      <c r="L165" s="1" t="s">
        <v>204</v>
      </c>
      <c r="M165" s="1"/>
      <c r="N165" s="1"/>
      <c r="O165" s="1"/>
      <c r="P165" s="1">
        <v>6000</v>
      </c>
      <c r="Q165" s="1">
        <v>1</v>
      </c>
      <c r="R165" s="1"/>
      <c r="S165" s="1"/>
      <c r="T165" s="1"/>
      <c r="U165" s="1"/>
      <c r="V165" s="1">
        <f>MIN($E165)</f>
        <v>0</v>
      </c>
      <c r="W165" s="1">
        <f>MIN($F165)</f>
        <v>0</v>
      </c>
      <c r="X165" s="1">
        <f>MIN($G165)</f>
        <v>0</v>
      </c>
      <c r="Y165" s="1"/>
      <c r="Z165" s="1"/>
      <c r="AA165" s="1">
        <f>MIN($J165)</f>
        <v>0</v>
      </c>
      <c r="AB165" s="1"/>
      <c r="AC165" s="1"/>
      <c r="AD165" s="1"/>
      <c r="AE165" s="1">
        <f>MIN($P165)</f>
        <v>0</v>
      </c>
      <c r="AF165" s="1">
        <f>MIN($Q165)</f>
        <v>0</v>
      </c>
      <c r="AG165" s="1"/>
      <c r="AH165" s="1"/>
      <c r="AI165" s="1"/>
      <c r="AJ165" s="1"/>
      <c r="AK165" s="1">
        <f>MEDIAN($E165)</f>
        <v>0</v>
      </c>
      <c r="AL165" s="1">
        <f>MEDIAN($F165)</f>
        <v>0</v>
      </c>
      <c r="AM165" s="1">
        <f>MEDIAN($G165)</f>
        <v>0</v>
      </c>
      <c r="AN165" s="1"/>
      <c r="AO165" s="1"/>
      <c r="AP165" s="1">
        <f>MEDIAN($J165)</f>
        <v>0</v>
      </c>
      <c r="AQ165" s="1"/>
      <c r="AR165" s="1"/>
      <c r="AS165" s="1"/>
      <c r="AT165" s="1">
        <f>MEDIAN($P165)</f>
        <v>0</v>
      </c>
      <c r="AU165" s="1">
        <f>MEDIAN($Q165)</f>
        <v>0</v>
      </c>
      <c r="AV165" s="1"/>
      <c r="AW165" s="1"/>
      <c r="AX165" s="1"/>
      <c r="AY165" s="1"/>
      <c r="AZ165" s="1">
        <f>MAX($E165)</f>
        <v>0</v>
      </c>
      <c r="BA165" s="1">
        <f>MAX($F165)</f>
        <v>0</v>
      </c>
      <c r="BB165" s="1">
        <f>MAX($G165)</f>
        <v>0</v>
      </c>
      <c r="BC165" s="1"/>
      <c r="BD165" s="1"/>
      <c r="BE165" s="1">
        <f>MAX($J165)</f>
        <v>0</v>
      </c>
      <c r="BF165" s="1"/>
      <c r="BG165" s="1"/>
      <c r="BH165" s="1"/>
      <c r="BI165" s="1">
        <f>MAX($P165)</f>
        <v>0</v>
      </c>
      <c r="BJ165" s="1">
        <f>MAX($Q165)</f>
        <v>0</v>
      </c>
      <c r="BK165" s="1"/>
    </row>
    <row r="166" spans="1:63">
      <c r="A166" s="1" t="s">
        <v>163</v>
      </c>
      <c r="B166" s="1"/>
      <c r="C166" s="1"/>
      <c r="D166" s="1"/>
      <c r="E166" s="1">
        <v>1</v>
      </c>
      <c r="F166" s="1">
        <v>14304</v>
      </c>
      <c r="G166" s="1">
        <v>0</v>
      </c>
      <c r="H166" s="1"/>
      <c r="I166" s="1"/>
      <c r="J166" s="1">
        <v>12000</v>
      </c>
      <c r="K166" s="1"/>
      <c r="L166" s="1" t="s">
        <v>203</v>
      </c>
      <c r="M166" s="1"/>
      <c r="N166" s="1"/>
      <c r="O166" s="1"/>
      <c r="P166" s="1">
        <v>6000</v>
      </c>
      <c r="Q166" s="1">
        <v>1</v>
      </c>
      <c r="R166" s="1"/>
      <c r="S166" s="1"/>
      <c r="T166" s="1"/>
      <c r="U166" s="1"/>
      <c r="V166" s="1">
        <f>MIN($E166)</f>
        <v>0</v>
      </c>
      <c r="W166" s="1">
        <f>MIN($F166)</f>
        <v>0</v>
      </c>
      <c r="X166" s="1">
        <f>MIN($G166)</f>
        <v>0</v>
      </c>
      <c r="Y166" s="1"/>
      <c r="Z166" s="1"/>
      <c r="AA166" s="1">
        <f>MIN($J166)</f>
        <v>0</v>
      </c>
      <c r="AB166" s="1"/>
      <c r="AC166" s="1"/>
      <c r="AD166" s="1"/>
      <c r="AE166" s="1">
        <f>MIN($P166)</f>
        <v>0</v>
      </c>
      <c r="AF166" s="1">
        <f>MIN($Q166)</f>
        <v>0</v>
      </c>
      <c r="AG166" s="1"/>
      <c r="AH166" s="1"/>
      <c r="AI166" s="1"/>
      <c r="AJ166" s="1"/>
      <c r="AK166" s="1">
        <f>MEDIAN($E166)</f>
        <v>0</v>
      </c>
      <c r="AL166" s="1">
        <f>MEDIAN($F166)</f>
        <v>0</v>
      </c>
      <c r="AM166" s="1">
        <f>MEDIAN($G166)</f>
        <v>0</v>
      </c>
      <c r="AN166" s="1"/>
      <c r="AO166" s="1"/>
      <c r="AP166" s="1">
        <f>MEDIAN($J166)</f>
        <v>0</v>
      </c>
      <c r="AQ166" s="1"/>
      <c r="AR166" s="1"/>
      <c r="AS166" s="1"/>
      <c r="AT166" s="1">
        <f>MEDIAN($P166)</f>
        <v>0</v>
      </c>
      <c r="AU166" s="1">
        <f>MEDIAN($Q166)</f>
        <v>0</v>
      </c>
      <c r="AV166" s="1"/>
      <c r="AW166" s="1"/>
      <c r="AX166" s="1"/>
      <c r="AY166" s="1"/>
      <c r="AZ166" s="1">
        <f>MAX($E166)</f>
        <v>0</v>
      </c>
      <c r="BA166" s="1">
        <f>MAX($F166)</f>
        <v>0</v>
      </c>
      <c r="BB166" s="1">
        <f>MAX($G166)</f>
        <v>0</v>
      </c>
      <c r="BC166" s="1"/>
      <c r="BD166" s="1"/>
      <c r="BE166" s="1">
        <f>MAX($J166)</f>
        <v>0</v>
      </c>
      <c r="BF166" s="1"/>
      <c r="BG166" s="1"/>
      <c r="BH166" s="1"/>
      <c r="BI166" s="1">
        <f>MAX($P166)</f>
        <v>0</v>
      </c>
      <c r="BJ166" s="1">
        <f>MAX($Q166)</f>
        <v>0</v>
      </c>
      <c r="BK166" s="1"/>
    </row>
    <row r="167" spans="1:63">
      <c r="A167" s="1" t="s">
        <v>164</v>
      </c>
      <c r="B167" s="1"/>
      <c r="C167" s="1"/>
      <c r="D167" s="1"/>
      <c r="E167" s="1">
        <v>1</v>
      </c>
      <c r="F167" s="1">
        <v>17817</v>
      </c>
      <c r="G167" s="1">
        <v>0</v>
      </c>
      <c r="H167" s="1"/>
      <c r="I167" s="1"/>
      <c r="J167" s="1">
        <v>12000</v>
      </c>
      <c r="K167" s="1"/>
      <c r="L167" s="1" t="s">
        <v>203</v>
      </c>
      <c r="M167" s="1"/>
      <c r="N167" s="1"/>
      <c r="O167" s="1"/>
      <c r="P167" s="1">
        <v>6000</v>
      </c>
      <c r="Q167" s="1">
        <v>1</v>
      </c>
      <c r="R167" s="1"/>
      <c r="S167" s="1"/>
      <c r="T167" s="1"/>
      <c r="U167" s="1"/>
      <c r="V167" s="1">
        <f>MIN($E167)</f>
        <v>0</v>
      </c>
      <c r="W167" s="1">
        <f>MIN($F167)</f>
        <v>0</v>
      </c>
      <c r="X167" s="1">
        <f>MIN($G167)</f>
        <v>0</v>
      </c>
      <c r="Y167" s="1"/>
      <c r="Z167" s="1"/>
      <c r="AA167" s="1">
        <f>MIN($J167)</f>
        <v>0</v>
      </c>
      <c r="AB167" s="1"/>
      <c r="AC167" s="1"/>
      <c r="AD167" s="1"/>
      <c r="AE167" s="1">
        <f>MIN($P167)</f>
        <v>0</v>
      </c>
      <c r="AF167" s="1">
        <f>MIN($Q167)</f>
        <v>0</v>
      </c>
      <c r="AG167" s="1"/>
      <c r="AH167" s="1"/>
      <c r="AI167" s="1"/>
      <c r="AJ167" s="1"/>
      <c r="AK167" s="1">
        <f>MEDIAN($E167)</f>
        <v>0</v>
      </c>
      <c r="AL167" s="1">
        <f>MEDIAN($F167)</f>
        <v>0</v>
      </c>
      <c r="AM167" s="1">
        <f>MEDIAN($G167)</f>
        <v>0</v>
      </c>
      <c r="AN167" s="1"/>
      <c r="AO167" s="1"/>
      <c r="AP167" s="1">
        <f>MEDIAN($J167)</f>
        <v>0</v>
      </c>
      <c r="AQ167" s="1"/>
      <c r="AR167" s="1"/>
      <c r="AS167" s="1"/>
      <c r="AT167" s="1">
        <f>MEDIAN($P167)</f>
        <v>0</v>
      </c>
      <c r="AU167" s="1">
        <f>MEDIAN($Q167)</f>
        <v>0</v>
      </c>
      <c r="AV167" s="1"/>
      <c r="AW167" s="1"/>
      <c r="AX167" s="1"/>
      <c r="AY167" s="1"/>
      <c r="AZ167" s="1">
        <f>MAX($E167)</f>
        <v>0</v>
      </c>
      <c r="BA167" s="1">
        <f>MAX($F167)</f>
        <v>0</v>
      </c>
      <c r="BB167" s="1">
        <f>MAX($G167)</f>
        <v>0</v>
      </c>
      <c r="BC167" s="1"/>
      <c r="BD167" s="1"/>
      <c r="BE167" s="1">
        <f>MAX($J167)</f>
        <v>0</v>
      </c>
      <c r="BF167" s="1"/>
      <c r="BG167" s="1"/>
      <c r="BH167" s="1"/>
      <c r="BI167" s="1">
        <f>MAX($P167)</f>
        <v>0</v>
      </c>
      <c r="BJ167" s="1">
        <f>MAX($Q167)</f>
        <v>0</v>
      </c>
      <c r="BK167" s="1"/>
    </row>
    <row r="168" spans="1:63">
      <c r="A168" s="1" t="s">
        <v>165</v>
      </c>
      <c r="B168" s="1"/>
      <c r="C168" s="1"/>
      <c r="D168" s="1"/>
      <c r="E168" s="1">
        <v>1</v>
      </c>
      <c r="F168" s="1">
        <v>11818</v>
      </c>
      <c r="G168" s="1">
        <v>0</v>
      </c>
      <c r="H168" s="1"/>
      <c r="I168" s="1"/>
      <c r="J168" s="1">
        <v>12000</v>
      </c>
      <c r="K168" s="1"/>
      <c r="L168" s="1" t="s">
        <v>203</v>
      </c>
      <c r="M168" s="1"/>
      <c r="N168" s="1"/>
      <c r="O168" s="1"/>
      <c r="P168" s="1">
        <v>6000</v>
      </c>
      <c r="Q168" s="1">
        <v>1</v>
      </c>
      <c r="R168" s="1"/>
      <c r="S168" s="1"/>
      <c r="T168" s="1"/>
      <c r="U168" s="1"/>
      <c r="V168" s="1">
        <f>MIN($E168)</f>
        <v>0</v>
      </c>
      <c r="W168" s="1">
        <f>MIN($F168)</f>
        <v>0</v>
      </c>
      <c r="X168" s="1">
        <f>MIN($G168)</f>
        <v>0</v>
      </c>
      <c r="Y168" s="1"/>
      <c r="Z168" s="1"/>
      <c r="AA168" s="1">
        <f>MIN($J168)</f>
        <v>0</v>
      </c>
      <c r="AB168" s="1"/>
      <c r="AC168" s="1"/>
      <c r="AD168" s="1"/>
      <c r="AE168" s="1">
        <f>MIN($P168)</f>
        <v>0</v>
      </c>
      <c r="AF168" s="1">
        <f>MIN($Q168)</f>
        <v>0</v>
      </c>
      <c r="AG168" s="1"/>
      <c r="AH168" s="1"/>
      <c r="AI168" s="1"/>
      <c r="AJ168" s="1"/>
      <c r="AK168" s="1">
        <f>MEDIAN($E168)</f>
        <v>0</v>
      </c>
      <c r="AL168" s="1">
        <f>MEDIAN($F168)</f>
        <v>0</v>
      </c>
      <c r="AM168" s="1">
        <f>MEDIAN($G168)</f>
        <v>0</v>
      </c>
      <c r="AN168" s="1"/>
      <c r="AO168" s="1"/>
      <c r="AP168" s="1">
        <f>MEDIAN($J168)</f>
        <v>0</v>
      </c>
      <c r="AQ168" s="1"/>
      <c r="AR168" s="1"/>
      <c r="AS168" s="1"/>
      <c r="AT168" s="1">
        <f>MEDIAN($P168)</f>
        <v>0</v>
      </c>
      <c r="AU168" s="1">
        <f>MEDIAN($Q168)</f>
        <v>0</v>
      </c>
      <c r="AV168" s="1"/>
      <c r="AW168" s="1"/>
      <c r="AX168" s="1"/>
      <c r="AY168" s="1"/>
      <c r="AZ168" s="1">
        <f>MAX($E168)</f>
        <v>0</v>
      </c>
      <c r="BA168" s="1">
        <f>MAX($F168)</f>
        <v>0</v>
      </c>
      <c r="BB168" s="1">
        <f>MAX($G168)</f>
        <v>0</v>
      </c>
      <c r="BC168" s="1"/>
      <c r="BD168" s="1"/>
      <c r="BE168" s="1">
        <f>MAX($J168)</f>
        <v>0</v>
      </c>
      <c r="BF168" s="1"/>
      <c r="BG168" s="1"/>
      <c r="BH168" s="1"/>
      <c r="BI168" s="1">
        <f>MAX($P168)</f>
        <v>0</v>
      </c>
      <c r="BJ168" s="1">
        <f>MAX($Q168)</f>
        <v>0</v>
      </c>
      <c r="BK168" s="1"/>
    </row>
    <row r="169" spans="1:63">
      <c r="A169" s="1" t="s">
        <v>166</v>
      </c>
      <c r="B169" s="1">
        <v>10501</v>
      </c>
      <c r="C169" s="1">
        <v>1</v>
      </c>
      <c r="D169" s="1">
        <v>250984642</v>
      </c>
      <c r="E169" s="1">
        <v>0</v>
      </c>
      <c r="F169" s="1">
        <v>28553</v>
      </c>
      <c r="G169" s="1">
        <v>0</v>
      </c>
      <c r="H169" s="1">
        <v>1</v>
      </c>
      <c r="I169" s="1">
        <v>623.453</v>
      </c>
      <c r="J169" s="1">
        <v>643.25</v>
      </c>
      <c r="K169" s="1">
        <v>0</v>
      </c>
      <c r="L169" s="1" t="s">
        <v>205</v>
      </c>
      <c r="M169" s="1">
        <v>73384256</v>
      </c>
      <c r="N169" s="1">
        <v>60.5</v>
      </c>
      <c r="O169" s="1" t="s">
        <v>210</v>
      </c>
      <c r="P169" s="1">
        <v>643.25</v>
      </c>
      <c r="Q169" s="1">
        <v>0</v>
      </c>
      <c r="R169" s="1">
        <v>67101738</v>
      </c>
      <c r="S169" s="1">
        <f>MIN($B169)</f>
        <v>0</v>
      </c>
      <c r="T169" s="1">
        <f>MIN($C169)</f>
        <v>0</v>
      </c>
      <c r="U169" s="1">
        <f>MIN($D169)</f>
        <v>0</v>
      </c>
      <c r="V169" s="1">
        <f>MIN($E169)</f>
        <v>0</v>
      </c>
      <c r="W169" s="1">
        <f>MIN($F169)</f>
        <v>0</v>
      </c>
      <c r="X169" s="1">
        <f>MIN($G169)</f>
        <v>0</v>
      </c>
      <c r="Y169" s="1">
        <f>MIN($H169)</f>
        <v>0</v>
      </c>
      <c r="Z169" s="1">
        <f>MIN($I169)</f>
        <v>0</v>
      </c>
      <c r="AA169" s="1">
        <f>MIN($J169)</f>
        <v>0</v>
      </c>
      <c r="AB169" s="1">
        <f>MIN($K169)</f>
        <v>0</v>
      </c>
      <c r="AC169" s="1">
        <f>MIN($M169)</f>
        <v>0</v>
      </c>
      <c r="AD169" s="1">
        <f>MIN($N169)</f>
        <v>0</v>
      </c>
      <c r="AE169" s="1">
        <f>MIN($P169)</f>
        <v>0</v>
      </c>
      <c r="AF169" s="1">
        <f>MIN($Q169)</f>
        <v>0</v>
      </c>
      <c r="AG169" s="1">
        <f>MIN($R169)</f>
        <v>0</v>
      </c>
      <c r="AH169" s="1">
        <f>MEDIAN($B169)</f>
        <v>0</v>
      </c>
      <c r="AI169" s="1">
        <f>MEDIAN($C169)</f>
        <v>0</v>
      </c>
      <c r="AJ169" s="1">
        <f>MEDIAN($D169)</f>
        <v>0</v>
      </c>
      <c r="AK169" s="1">
        <f>MEDIAN($E169)</f>
        <v>0</v>
      </c>
      <c r="AL169" s="1">
        <f>MEDIAN($F169)</f>
        <v>0</v>
      </c>
      <c r="AM169" s="1">
        <f>MEDIAN($G169)</f>
        <v>0</v>
      </c>
      <c r="AN169" s="1">
        <f>MEDIAN($H169)</f>
        <v>0</v>
      </c>
      <c r="AO169" s="1">
        <f>MEDIAN($I169)</f>
        <v>0</v>
      </c>
      <c r="AP169" s="1">
        <f>MEDIAN($J169)</f>
        <v>0</v>
      </c>
      <c r="AQ169" s="1">
        <f>MEDIAN($K169)</f>
        <v>0</v>
      </c>
      <c r="AR169" s="1">
        <f>MEDIAN($M169)</f>
        <v>0</v>
      </c>
      <c r="AS169" s="1">
        <f>MEDIAN($N169)</f>
        <v>0</v>
      </c>
      <c r="AT169" s="1">
        <f>MEDIAN($P169)</f>
        <v>0</v>
      </c>
      <c r="AU169" s="1">
        <f>MEDIAN($Q169)</f>
        <v>0</v>
      </c>
      <c r="AV169" s="1">
        <f>MEDIAN($R169)</f>
        <v>0</v>
      </c>
      <c r="AW169" s="1">
        <f>MAX($B169)</f>
        <v>0</v>
      </c>
      <c r="AX169" s="1">
        <f>MAX($C169)</f>
        <v>0</v>
      </c>
      <c r="AY169" s="1">
        <f>MAX($D169)</f>
        <v>0</v>
      </c>
      <c r="AZ169" s="1">
        <f>MAX($E169)</f>
        <v>0</v>
      </c>
      <c r="BA169" s="1">
        <f>MAX($F169)</f>
        <v>0</v>
      </c>
      <c r="BB169" s="1">
        <f>MAX($G169)</f>
        <v>0</v>
      </c>
      <c r="BC169" s="1">
        <f>MAX($H169)</f>
        <v>0</v>
      </c>
      <c r="BD169" s="1">
        <f>MAX($I169)</f>
        <v>0</v>
      </c>
      <c r="BE169" s="1">
        <f>MAX($J169)</f>
        <v>0</v>
      </c>
      <c r="BF169" s="1">
        <f>MAX($K169)</f>
        <v>0</v>
      </c>
      <c r="BG169" s="1">
        <f>MAX($M169)</f>
        <v>0</v>
      </c>
      <c r="BH169" s="1">
        <f>MAX($N169)</f>
        <v>0</v>
      </c>
      <c r="BI169" s="1">
        <f>MAX($P169)</f>
        <v>0</v>
      </c>
      <c r="BJ169" s="1">
        <f>MAX($Q169)</f>
        <v>0</v>
      </c>
      <c r="BK169" s="1">
        <f>MAX($R169)</f>
        <v>0</v>
      </c>
    </row>
    <row r="170" spans="1:63">
      <c r="A170" s="1" t="s">
        <v>167</v>
      </c>
      <c r="B170" s="1"/>
      <c r="C170" s="1"/>
      <c r="D170" s="1"/>
      <c r="E170" s="1">
        <v>1</v>
      </c>
      <c r="F170" s="1">
        <v>34469</v>
      </c>
      <c r="G170" s="1">
        <v>0</v>
      </c>
      <c r="H170" s="1"/>
      <c r="I170" s="1"/>
      <c r="J170" s="1">
        <v>12000</v>
      </c>
      <c r="K170" s="1"/>
      <c r="L170" s="1" t="s">
        <v>203</v>
      </c>
      <c r="M170" s="1"/>
      <c r="N170" s="1"/>
      <c r="O170" s="1"/>
      <c r="P170" s="1">
        <v>6000</v>
      </c>
      <c r="Q170" s="1">
        <v>1</v>
      </c>
      <c r="R170" s="1"/>
      <c r="S170" s="1"/>
      <c r="T170" s="1"/>
      <c r="U170" s="1"/>
      <c r="V170" s="1">
        <f>MIN($E170)</f>
        <v>0</v>
      </c>
      <c r="W170" s="1">
        <f>MIN($F170)</f>
        <v>0</v>
      </c>
      <c r="X170" s="1">
        <f>MIN($G170)</f>
        <v>0</v>
      </c>
      <c r="Y170" s="1"/>
      <c r="Z170" s="1"/>
      <c r="AA170" s="1">
        <f>MIN($J170)</f>
        <v>0</v>
      </c>
      <c r="AB170" s="1"/>
      <c r="AC170" s="1"/>
      <c r="AD170" s="1"/>
      <c r="AE170" s="1">
        <f>MIN($P170)</f>
        <v>0</v>
      </c>
      <c r="AF170" s="1">
        <f>MIN($Q170)</f>
        <v>0</v>
      </c>
      <c r="AG170" s="1"/>
      <c r="AH170" s="1"/>
      <c r="AI170" s="1"/>
      <c r="AJ170" s="1"/>
      <c r="AK170" s="1">
        <f>MEDIAN($E170)</f>
        <v>0</v>
      </c>
      <c r="AL170" s="1">
        <f>MEDIAN($F170)</f>
        <v>0</v>
      </c>
      <c r="AM170" s="1">
        <f>MEDIAN($G170)</f>
        <v>0</v>
      </c>
      <c r="AN170" s="1"/>
      <c r="AO170" s="1"/>
      <c r="AP170" s="1">
        <f>MEDIAN($J170)</f>
        <v>0</v>
      </c>
      <c r="AQ170" s="1"/>
      <c r="AR170" s="1"/>
      <c r="AS170" s="1"/>
      <c r="AT170" s="1">
        <f>MEDIAN($P170)</f>
        <v>0</v>
      </c>
      <c r="AU170" s="1">
        <f>MEDIAN($Q170)</f>
        <v>0</v>
      </c>
      <c r="AV170" s="1"/>
      <c r="AW170" s="1"/>
      <c r="AX170" s="1"/>
      <c r="AY170" s="1"/>
      <c r="AZ170" s="1">
        <f>MAX($E170)</f>
        <v>0</v>
      </c>
      <c r="BA170" s="1">
        <f>MAX($F170)</f>
        <v>0</v>
      </c>
      <c r="BB170" s="1">
        <f>MAX($G170)</f>
        <v>0</v>
      </c>
      <c r="BC170" s="1"/>
      <c r="BD170" s="1"/>
      <c r="BE170" s="1">
        <f>MAX($J170)</f>
        <v>0</v>
      </c>
      <c r="BF170" s="1"/>
      <c r="BG170" s="1"/>
      <c r="BH170" s="1"/>
      <c r="BI170" s="1">
        <f>MAX($P170)</f>
        <v>0</v>
      </c>
      <c r="BJ170" s="1">
        <f>MAX($Q170)</f>
        <v>0</v>
      </c>
      <c r="BK170" s="1"/>
    </row>
    <row r="171" spans="1:63">
      <c r="A171" s="1" t="s">
        <v>168</v>
      </c>
      <c r="B171" s="1"/>
      <c r="C171" s="1"/>
      <c r="D171" s="1"/>
      <c r="E171" s="1">
        <v>1</v>
      </c>
      <c r="F171" s="1">
        <v>18364</v>
      </c>
      <c r="G171" s="1">
        <v>0</v>
      </c>
      <c r="H171" s="1"/>
      <c r="I171" s="1"/>
      <c r="J171" s="1">
        <v>12000</v>
      </c>
      <c r="K171" s="1"/>
      <c r="L171" s="1" t="s">
        <v>203</v>
      </c>
      <c r="M171" s="1"/>
      <c r="N171" s="1"/>
      <c r="O171" s="1"/>
      <c r="P171" s="1">
        <v>6000</v>
      </c>
      <c r="Q171" s="1">
        <v>1</v>
      </c>
      <c r="R171" s="1"/>
      <c r="S171" s="1"/>
      <c r="T171" s="1"/>
      <c r="U171" s="1"/>
      <c r="V171" s="1">
        <f>MIN($E171)</f>
        <v>0</v>
      </c>
      <c r="W171" s="1">
        <f>MIN($F171)</f>
        <v>0</v>
      </c>
      <c r="X171" s="1">
        <f>MIN($G171)</f>
        <v>0</v>
      </c>
      <c r="Y171" s="1"/>
      <c r="Z171" s="1"/>
      <c r="AA171" s="1">
        <f>MIN($J171)</f>
        <v>0</v>
      </c>
      <c r="AB171" s="1"/>
      <c r="AC171" s="1"/>
      <c r="AD171" s="1"/>
      <c r="AE171" s="1">
        <f>MIN($P171)</f>
        <v>0</v>
      </c>
      <c r="AF171" s="1">
        <f>MIN($Q171)</f>
        <v>0</v>
      </c>
      <c r="AG171" s="1"/>
      <c r="AH171" s="1"/>
      <c r="AI171" s="1"/>
      <c r="AJ171" s="1"/>
      <c r="AK171" s="1">
        <f>MEDIAN($E171)</f>
        <v>0</v>
      </c>
      <c r="AL171" s="1">
        <f>MEDIAN($F171)</f>
        <v>0</v>
      </c>
      <c r="AM171" s="1">
        <f>MEDIAN($G171)</f>
        <v>0</v>
      </c>
      <c r="AN171" s="1"/>
      <c r="AO171" s="1"/>
      <c r="AP171" s="1">
        <f>MEDIAN($J171)</f>
        <v>0</v>
      </c>
      <c r="AQ171" s="1"/>
      <c r="AR171" s="1"/>
      <c r="AS171" s="1"/>
      <c r="AT171" s="1">
        <f>MEDIAN($P171)</f>
        <v>0</v>
      </c>
      <c r="AU171" s="1">
        <f>MEDIAN($Q171)</f>
        <v>0</v>
      </c>
      <c r="AV171" s="1"/>
      <c r="AW171" s="1"/>
      <c r="AX171" s="1"/>
      <c r="AY171" s="1"/>
      <c r="AZ171" s="1">
        <f>MAX($E171)</f>
        <v>0</v>
      </c>
      <c r="BA171" s="1">
        <f>MAX($F171)</f>
        <v>0</v>
      </c>
      <c r="BB171" s="1">
        <f>MAX($G171)</f>
        <v>0</v>
      </c>
      <c r="BC171" s="1"/>
      <c r="BD171" s="1"/>
      <c r="BE171" s="1">
        <f>MAX($J171)</f>
        <v>0</v>
      </c>
      <c r="BF171" s="1"/>
      <c r="BG171" s="1"/>
      <c r="BH171" s="1"/>
      <c r="BI171" s="1">
        <f>MAX($P171)</f>
        <v>0</v>
      </c>
      <c r="BJ171" s="1">
        <f>MAX($Q171)</f>
        <v>0</v>
      </c>
      <c r="BK171" s="1"/>
    </row>
    <row r="172" spans="1:63">
      <c r="A172" s="1" t="s">
        <v>169</v>
      </c>
      <c r="B172" s="1"/>
      <c r="C172" s="1"/>
      <c r="D172" s="1"/>
      <c r="E172" s="1">
        <v>1</v>
      </c>
      <c r="F172" s="1">
        <v>13643</v>
      </c>
      <c r="G172" s="1">
        <v>0</v>
      </c>
      <c r="H172" s="1"/>
      <c r="I172" s="1"/>
      <c r="J172" s="1">
        <v>12000</v>
      </c>
      <c r="K172" s="1"/>
      <c r="L172" s="1" t="s">
        <v>203</v>
      </c>
      <c r="M172" s="1"/>
      <c r="N172" s="1"/>
      <c r="O172" s="1"/>
      <c r="P172" s="1">
        <v>6000</v>
      </c>
      <c r="Q172" s="1">
        <v>1</v>
      </c>
      <c r="R172" s="1"/>
      <c r="S172" s="1"/>
      <c r="T172" s="1"/>
      <c r="U172" s="1"/>
      <c r="V172" s="1">
        <f>MIN($E172)</f>
        <v>0</v>
      </c>
      <c r="W172" s="1">
        <f>MIN($F172)</f>
        <v>0</v>
      </c>
      <c r="X172" s="1">
        <f>MIN($G172)</f>
        <v>0</v>
      </c>
      <c r="Y172" s="1"/>
      <c r="Z172" s="1"/>
      <c r="AA172" s="1">
        <f>MIN($J172)</f>
        <v>0</v>
      </c>
      <c r="AB172" s="1"/>
      <c r="AC172" s="1"/>
      <c r="AD172" s="1"/>
      <c r="AE172" s="1">
        <f>MIN($P172)</f>
        <v>0</v>
      </c>
      <c r="AF172" s="1">
        <f>MIN($Q172)</f>
        <v>0</v>
      </c>
      <c r="AG172" s="1"/>
      <c r="AH172" s="1"/>
      <c r="AI172" s="1"/>
      <c r="AJ172" s="1"/>
      <c r="AK172" s="1">
        <f>MEDIAN($E172)</f>
        <v>0</v>
      </c>
      <c r="AL172" s="1">
        <f>MEDIAN($F172)</f>
        <v>0</v>
      </c>
      <c r="AM172" s="1">
        <f>MEDIAN($G172)</f>
        <v>0</v>
      </c>
      <c r="AN172" s="1"/>
      <c r="AO172" s="1"/>
      <c r="AP172" s="1">
        <f>MEDIAN($J172)</f>
        <v>0</v>
      </c>
      <c r="AQ172" s="1"/>
      <c r="AR172" s="1"/>
      <c r="AS172" s="1"/>
      <c r="AT172" s="1">
        <f>MEDIAN($P172)</f>
        <v>0</v>
      </c>
      <c r="AU172" s="1">
        <f>MEDIAN($Q172)</f>
        <v>0</v>
      </c>
      <c r="AV172" s="1"/>
      <c r="AW172" s="1"/>
      <c r="AX172" s="1"/>
      <c r="AY172" s="1"/>
      <c r="AZ172" s="1">
        <f>MAX($E172)</f>
        <v>0</v>
      </c>
      <c r="BA172" s="1">
        <f>MAX($F172)</f>
        <v>0</v>
      </c>
      <c r="BB172" s="1">
        <f>MAX($G172)</f>
        <v>0</v>
      </c>
      <c r="BC172" s="1"/>
      <c r="BD172" s="1"/>
      <c r="BE172" s="1">
        <f>MAX($J172)</f>
        <v>0</v>
      </c>
      <c r="BF172" s="1"/>
      <c r="BG172" s="1"/>
      <c r="BH172" s="1"/>
      <c r="BI172" s="1">
        <f>MAX($P172)</f>
        <v>0</v>
      </c>
      <c r="BJ172" s="1">
        <f>MAX($Q172)</f>
        <v>0</v>
      </c>
      <c r="BK172" s="1"/>
    </row>
    <row r="173" spans="1:63">
      <c r="A173" s="1" t="s">
        <v>170</v>
      </c>
      <c r="B173" s="1">
        <v>876</v>
      </c>
      <c r="C173" s="1">
        <v>0</v>
      </c>
      <c r="D173" s="1">
        <v>412828684</v>
      </c>
      <c r="E173" s="1">
        <v>0</v>
      </c>
      <c r="F173" s="1">
        <v>46820</v>
      </c>
      <c r="G173" s="1">
        <v>0</v>
      </c>
      <c r="H173" s="1">
        <v>1</v>
      </c>
      <c r="I173" s="1">
        <v>1062.088</v>
      </c>
      <c r="J173" s="1">
        <v>1091.73</v>
      </c>
      <c r="K173" s="1">
        <v>0</v>
      </c>
      <c r="L173" s="1" t="s">
        <v>205</v>
      </c>
      <c r="M173" s="1">
        <v>119873304</v>
      </c>
      <c r="N173" s="1">
        <v>54.57</v>
      </c>
      <c r="O173" s="1" t="s">
        <v>210</v>
      </c>
      <c r="P173" s="1">
        <v>1091.73</v>
      </c>
      <c r="Q173" s="1">
        <v>0</v>
      </c>
      <c r="R173" s="1">
        <v>110050481</v>
      </c>
      <c r="S173" s="1">
        <f>MIN($B173)</f>
        <v>0</v>
      </c>
      <c r="T173" s="1">
        <f>MIN($C173)</f>
        <v>0</v>
      </c>
      <c r="U173" s="1">
        <f>MIN($D173)</f>
        <v>0</v>
      </c>
      <c r="V173" s="1">
        <f>MIN($E173)</f>
        <v>0</v>
      </c>
      <c r="W173" s="1">
        <f>MIN($F173)</f>
        <v>0</v>
      </c>
      <c r="X173" s="1">
        <f>MIN($G173)</f>
        <v>0</v>
      </c>
      <c r="Y173" s="1">
        <f>MIN($H173)</f>
        <v>0</v>
      </c>
      <c r="Z173" s="1">
        <f>MIN($I173)</f>
        <v>0</v>
      </c>
      <c r="AA173" s="1">
        <f>MIN($J173)</f>
        <v>0</v>
      </c>
      <c r="AB173" s="1">
        <f>MIN($K173)</f>
        <v>0</v>
      </c>
      <c r="AC173" s="1">
        <f>MIN($M173)</f>
        <v>0</v>
      </c>
      <c r="AD173" s="1">
        <f>MIN($N173)</f>
        <v>0</v>
      </c>
      <c r="AE173" s="1">
        <f>MIN($P173)</f>
        <v>0</v>
      </c>
      <c r="AF173" s="1">
        <f>MIN($Q173)</f>
        <v>0</v>
      </c>
      <c r="AG173" s="1">
        <f>MIN($R173)</f>
        <v>0</v>
      </c>
      <c r="AH173" s="1">
        <f>MEDIAN($B173)</f>
        <v>0</v>
      </c>
      <c r="AI173" s="1">
        <f>MEDIAN($C173)</f>
        <v>0</v>
      </c>
      <c r="AJ173" s="1">
        <f>MEDIAN($D173)</f>
        <v>0</v>
      </c>
      <c r="AK173" s="1">
        <f>MEDIAN($E173)</f>
        <v>0</v>
      </c>
      <c r="AL173" s="1">
        <f>MEDIAN($F173)</f>
        <v>0</v>
      </c>
      <c r="AM173" s="1">
        <f>MEDIAN($G173)</f>
        <v>0</v>
      </c>
      <c r="AN173" s="1">
        <f>MEDIAN($H173)</f>
        <v>0</v>
      </c>
      <c r="AO173" s="1">
        <f>MEDIAN($I173)</f>
        <v>0</v>
      </c>
      <c r="AP173" s="1">
        <f>MEDIAN($J173)</f>
        <v>0</v>
      </c>
      <c r="AQ173" s="1">
        <f>MEDIAN($K173)</f>
        <v>0</v>
      </c>
      <c r="AR173" s="1">
        <f>MEDIAN($M173)</f>
        <v>0</v>
      </c>
      <c r="AS173" s="1">
        <f>MEDIAN($N173)</f>
        <v>0</v>
      </c>
      <c r="AT173" s="1">
        <f>MEDIAN($P173)</f>
        <v>0</v>
      </c>
      <c r="AU173" s="1">
        <f>MEDIAN($Q173)</f>
        <v>0</v>
      </c>
      <c r="AV173" s="1">
        <f>MEDIAN($R173)</f>
        <v>0</v>
      </c>
      <c r="AW173" s="1">
        <f>MAX($B173)</f>
        <v>0</v>
      </c>
      <c r="AX173" s="1">
        <f>MAX($C173)</f>
        <v>0</v>
      </c>
      <c r="AY173" s="1">
        <f>MAX($D173)</f>
        <v>0</v>
      </c>
      <c r="AZ173" s="1">
        <f>MAX($E173)</f>
        <v>0</v>
      </c>
      <c r="BA173" s="1">
        <f>MAX($F173)</f>
        <v>0</v>
      </c>
      <c r="BB173" s="1">
        <f>MAX($G173)</f>
        <v>0</v>
      </c>
      <c r="BC173" s="1">
        <f>MAX($H173)</f>
        <v>0</v>
      </c>
      <c r="BD173" s="1">
        <f>MAX($I173)</f>
        <v>0</v>
      </c>
      <c r="BE173" s="1">
        <f>MAX($J173)</f>
        <v>0</v>
      </c>
      <c r="BF173" s="1">
        <f>MAX($K173)</f>
        <v>0</v>
      </c>
      <c r="BG173" s="1">
        <f>MAX($M173)</f>
        <v>0</v>
      </c>
      <c r="BH173" s="1">
        <f>MAX($N173)</f>
        <v>0</v>
      </c>
      <c r="BI173" s="1">
        <f>MAX($P173)</f>
        <v>0</v>
      </c>
      <c r="BJ173" s="1">
        <f>MAX($Q173)</f>
        <v>0</v>
      </c>
      <c r="BK173" s="1">
        <f>MAX($R173)</f>
        <v>0</v>
      </c>
    </row>
    <row r="174" spans="1:63">
      <c r="A174" s="1" t="s">
        <v>171</v>
      </c>
      <c r="B174" s="1"/>
      <c r="C174" s="1"/>
      <c r="D174" s="1"/>
      <c r="E174" s="1">
        <v>1</v>
      </c>
      <c r="F174" s="1">
        <v>20270</v>
      </c>
      <c r="G174" s="1">
        <v>0</v>
      </c>
      <c r="H174" s="1"/>
      <c r="I174" s="1"/>
      <c r="J174" s="1">
        <v>12000</v>
      </c>
      <c r="K174" s="1"/>
      <c r="L174" s="1" t="s">
        <v>203</v>
      </c>
      <c r="M174" s="1"/>
      <c r="N174" s="1"/>
      <c r="O174" s="1"/>
      <c r="P174" s="1">
        <v>6000</v>
      </c>
      <c r="Q174" s="1">
        <v>1</v>
      </c>
      <c r="R174" s="1"/>
      <c r="S174" s="1"/>
      <c r="T174" s="1"/>
      <c r="U174" s="1"/>
      <c r="V174" s="1">
        <f>MIN($E174)</f>
        <v>0</v>
      </c>
      <c r="W174" s="1">
        <f>MIN($F174)</f>
        <v>0</v>
      </c>
      <c r="X174" s="1">
        <f>MIN($G174)</f>
        <v>0</v>
      </c>
      <c r="Y174" s="1"/>
      <c r="Z174" s="1"/>
      <c r="AA174" s="1">
        <f>MIN($J174)</f>
        <v>0</v>
      </c>
      <c r="AB174" s="1"/>
      <c r="AC174" s="1"/>
      <c r="AD174" s="1"/>
      <c r="AE174" s="1">
        <f>MIN($P174)</f>
        <v>0</v>
      </c>
      <c r="AF174" s="1">
        <f>MIN($Q174)</f>
        <v>0</v>
      </c>
      <c r="AG174" s="1"/>
      <c r="AH174" s="1"/>
      <c r="AI174" s="1"/>
      <c r="AJ174" s="1"/>
      <c r="AK174" s="1">
        <f>MEDIAN($E174)</f>
        <v>0</v>
      </c>
      <c r="AL174" s="1">
        <f>MEDIAN($F174)</f>
        <v>0</v>
      </c>
      <c r="AM174" s="1">
        <f>MEDIAN($G174)</f>
        <v>0</v>
      </c>
      <c r="AN174" s="1"/>
      <c r="AO174" s="1"/>
      <c r="AP174" s="1">
        <f>MEDIAN($J174)</f>
        <v>0</v>
      </c>
      <c r="AQ174" s="1"/>
      <c r="AR174" s="1"/>
      <c r="AS174" s="1"/>
      <c r="AT174" s="1">
        <f>MEDIAN($P174)</f>
        <v>0</v>
      </c>
      <c r="AU174" s="1">
        <f>MEDIAN($Q174)</f>
        <v>0</v>
      </c>
      <c r="AV174" s="1"/>
      <c r="AW174" s="1"/>
      <c r="AX174" s="1"/>
      <c r="AY174" s="1"/>
      <c r="AZ174" s="1">
        <f>MAX($E174)</f>
        <v>0</v>
      </c>
      <c r="BA174" s="1">
        <f>MAX($F174)</f>
        <v>0</v>
      </c>
      <c r="BB174" s="1">
        <f>MAX($G174)</f>
        <v>0</v>
      </c>
      <c r="BC174" s="1"/>
      <c r="BD174" s="1"/>
      <c r="BE174" s="1">
        <f>MAX($J174)</f>
        <v>0</v>
      </c>
      <c r="BF174" s="1"/>
      <c r="BG174" s="1"/>
      <c r="BH174" s="1"/>
      <c r="BI174" s="1">
        <f>MAX($P174)</f>
        <v>0</v>
      </c>
      <c r="BJ174" s="1">
        <f>MAX($Q174)</f>
        <v>0</v>
      </c>
      <c r="BK174" s="1"/>
    </row>
    <row r="175" spans="1:63">
      <c r="A175" s="1" t="s">
        <v>172</v>
      </c>
      <c r="B175" s="1"/>
      <c r="C175" s="1"/>
      <c r="D175" s="1"/>
      <c r="E175" s="1">
        <v>1</v>
      </c>
      <c r="F175" s="1"/>
      <c r="G175" s="1">
        <v>0</v>
      </c>
      <c r="H175" s="1"/>
      <c r="I175" s="1"/>
      <c r="J175" s="1">
        <v>12000</v>
      </c>
      <c r="K175" s="1"/>
      <c r="L175" s="1"/>
      <c r="M175" s="1"/>
      <c r="N175" s="1"/>
      <c r="O175" s="1"/>
      <c r="P175" s="1">
        <v>6000</v>
      </c>
      <c r="Q175" s="1">
        <v>1</v>
      </c>
      <c r="R175" s="1"/>
      <c r="S175" s="1"/>
      <c r="T175" s="1"/>
      <c r="U175" s="1"/>
      <c r="V175" s="1">
        <f>MIN($E175)</f>
        <v>0</v>
      </c>
      <c r="W175" s="1"/>
      <c r="X175" s="1">
        <f>MIN($G175)</f>
        <v>0</v>
      </c>
      <c r="Y175" s="1"/>
      <c r="Z175" s="1"/>
      <c r="AA175" s="1">
        <f>MIN($J175)</f>
        <v>0</v>
      </c>
      <c r="AB175" s="1"/>
      <c r="AC175" s="1"/>
      <c r="AD175" s="1"/>
      <c r="AE175" s="1">
        <f>MIN($P175)</f>
        <v>0</v>
      </c>
      <c r="AF175" s="1">
        <f>MIN($Q175)</f>
        <v>0</v>
      </c>
      <c r="AG175" s="1"/>
      <c r="AH175" s="1"/>
      <c r="AI175" s="1"/>
      <c r="AJ175" s="1"/>
      <c r="AK175" s="1">
        <f>MEDIAN($E175)</f>
        <v>0</v>
      </c>
      <c r="AL175" s="1"/>
      <c r="AM175" s="1">
        <f>MEDIAN($G175)</f>
        <v>0</v>
      </c>
      <c r="AN175" s="1"/>
      <c r="AO175" s="1"/>
      <c r="AP175" s="1">
        <f>MEDIAN($J175)</f>
        <v>0</v>
      </c>
      <c r="AQ175" s="1"/>
      <c r="AR175" s="1"/>
      <c r="AS175" s="1"/>
      <c r="AT175" s="1">
        <f>MEDIAN($P175)</f>
        <v>0</v>
      </c>
      <c r="AU175" s="1">
        <f>MEDIAN($Q175)</f>
        <v>0</v>
      </c>
      <c r="AV175" s="1"/>
      <c r="AW175" s="1"/>
      <c r="AX175" s="1"/>
      <c r="AY175" s="1"/>
      <c r="AZ175" s="1">
        <f>MAX($E175)</f>
        <v>0</v>
      </c>
      <c r="BA175" s="1"/>
      <c r="BB175" s="1">
        <f>MAX($G175)</f>
        <v>0</v>
      </c>
      <c r="BC175" s="1"/>
      <c r="BD175" s="1"/>
      <c r="BE175" s="1">
        <f>MAX($J175)</f>
        <v>0</v>
      </c>
      <c r="BF175" s="1"/>
      <c r="BG175" s="1"/>
      <c r="BH175" s="1"/>
      <c r="BI175" s="1">
        <f>MAX($P175)</f>
        <v>0</v>
      </c>
      <c r="BJ175" s="1">
        <f>MAX($Q175)</f>
        <v>0</v>
      </c>
      <c r="BK175" s="1"/>
    </row>
    <row r="176" spans="1:63">
      <c r="A176" s="1" t="s">
        <v>173</v>
      </c>
      <c r="B176" s="1"/>
      <c r="C176" s="1"/>
      <c r="D176" s="1"/>
      <c r="E176" s="1">
        <v>1</v>
      </c>
      <c r="F176" s="1">
        <v>24725</v>
      </c>
      <c r="G176" s="1">
        <v>0</v>
      </c>
      <c r="H176" s="1"/>
      <c r="I176" s="1"/>
      <c r="J176" s="1">
        <v>12000</v>
      </c>
      <c r="K176" s="1"/>
      <c r="L176" s="1" t="s">
        <v>203</v>
      </c>
      <c r="M176" s="1"/>
      <c r="N176" s="1"/>
      <c r="O176" s="1"/>
      <c r="P176" s="1">
        <v>6000</v>
      </c>
      <c r="Q176" s="1">
        <v>1</v>
      </c>
      <c r="R176" s="1"/>
      <c r="S176" s="1"/>
      <c r="T176" s="1"/>
      <c r="U176" s="1"/>
      <c r="V176" s="1">
        <f>MIN($E176)</f>
        <v>0</v>
      </c>
      <c r="W176" s="1">
        <f>MIN($F176)</f>
        <v>0</v>
      </c>
      <c r="X176" s="1">
        <f>MIN($G176)</f>
        <v>0</v>
      </c>
      <c r="Y176" s="1"/>
      <c r="Z176" s="1"/>
      <c r="AA176" s="1">
        <f>MIN($J176)</f>
        <v>0</v>
      </c>
      <c r="AB176" s="1"/>
      <c r="AC176" s="1"/>
      <c r="AD176" s="1"/>
      <c r="AE176" s="1">
        <f>MIN($P176)</f>
        <v>0</v>
      </c>
      <c r="AF176" s="1">
        <f>MIN($Q176)</f>
        <v>0</v>
      </c>
      <c r="AG176" s="1"/>
      <c r="AH176" s="1"/>
      <c r="AI176" s="1"/>
      <c r="AJ176" s="1"/>
      <c r="AK176" s="1">
        <f>MEDIAN($E176)</f>
        <v>0</v>
      </c>
      <c r="AL176" s="1">
        <f>MEDIAN($F176)</f>
        <v>0</v>
      </c>
      <c r="AM176" s="1">
        <f>MEDIAN($G176)</f>
        <v>0</v>
      </c>
      <c r="AN176" s="1"/>
      <c r="AO176" s="1"/>
      <c r="AP176" s="1">
        <f>MEDIAN($J176)</f>
        <v>0</v>
      </c>
      <c r="AQ176" s="1"/>
      <c r="AR176" s="1"/>
      <c r="AS176" s="1"/>
      <c r="AT176" s="1">
        <f>MEDIAN($P176)</f>
        <v>0</v>
      </c>
      <c r="AU176" s="1">
        <f>MEDIAN($Q176)</f>
        <v>0</v>
      </c>
      <c r="AV176" s="1"/>
      <c r="AW176" s="1"/>
      <c r="AX176" s="1"/>
      <c r="AY176" s="1"/>
      <c r="AZ176" s="1">
        <f>MAX($E176)</f>
        <v>0</v>
      </c>
      <c r="BA176" s="1">
        <f>MAX($F176)</f>
        <v>0</v>
      </c>
      <c r="BB176" s="1">
        <f>MAX($G176)</f>
        <v>0</v>
      </c>
      <c r="BC176" s="1"/>
      <c r="BD176" s="1"/>
      <c r="BE176" s="1">
        <f>MAX($J176)</f>
        <v>0</v>
      </c>
      <c r="BF176" s="1"/>
      <c r="BG176" s="1"/>
      <c r="BH176" s="1"/>
      <c r="BI176" s="1">
        <f>MAX($P176)</f>
        <v>0</v>
      </c>
      <c r="BJ176" s="1">
        <f>MAX($Q176)</f>
        <v>0</v>
      </c>
      <c r="BK176" s="1"/>
    </row>
    <row r="177" spans="1:63">
      <c r="A177" s="1" t="s">
        <v>174</v>
      </c>
      <c r="B177" s="1"/>
      <c r="C177" s="1"/>
      <c r="D177" s="1"/>
      <c r="E177" s="1">
        <v>1</v>
      </c>
      <c r="F177" s="1">
        <v>23999</v>
      </c>
      <c r="G177" s="1">
        <v>0</v>
      </c>
      <c r="H177" s="1"/>
      <c r="I177" s="1"/>
      <c r="J177" s="1">
        <v>12000</v>
      </c>
      <c r="K177" s="1"/>
      <c r="L177" s="1" t="s">
        <v>203</v>
      </c>
      <c r="M177" s="1"/>
      <c r="N177" s="1"/>
      <c r="O177" s="1"/>
      <c r="P177" s="1">
        <v>6000</v>
      </c>
      <c r="Q177" s="1">
        <v>1</v>
      </c>
      <c r="R177" s="1"/>
      <c r="S177" s="1"/>
      <c r="T177" s="1"/>
      <c r="U177" s="1"/>
      <c r="V177" s="1">
        <f>MIN($E177)</f>
        <v>0</v>
      </c>
      <c r="W177" s="1">
        <f>MIN($F177)</f>
        <v>0</v>
      </c>
      <c r="X177" s="1">
        <f>MIN($G177)</f>
        <v>0</v>
      </c>
      <c r="Y177" s="1"/>
      <c r="Z177" s="1"/>
      <c r="AA177" s="1">
        <f>MIN($J177)</f>
        <v>0</v>
      </c>
      <c r="AB177" s="1"/>
      <c r="AC177" s="1"/>
      <c r="AD177" s="1"/>
      <c r="AE177" s="1">
        <f>MIN($P177)</f>
        <v>0</v>
      </c>
      <c r="AF177" s="1">
        <f>MIN($Q177)</f>
        <v>0</v>
      </c>
      <c r="AG177" s="1"/>
      <c r="AH177" s="1"/>
      <c r="AI177" s="1"/>
      <c r="AJ177" s="1"/>
      <c r="AK177" s="1">
        <f>MEDIAN($E177)</f>
        <v>0</v>
      </c>
      <c r="AL177" s="1">
        <f>MEDIAN($F177)</f>
        <v>0</v>
      </c>
      <c r="AM177" s="1">
        <f>MEDIAN($G177)</f>
        <v>0</v>
      </c>
      <c r="AN177" s="1"/>
      <c r="AO177" s="1"/>
      <c r="AP177" s="1">
        <f>MEDIAN($J177)</f>
        <v>0</v>
      </c>
      <c r="AQ177" s="1"/>
      <c r="AR177" s="1"/>
      <c r="AS177" s="1"/>
      <c r="AT177" s="1">
        <f>MEDIAN($P177)</f>
        <v>0</v>
      </c>
      <c r="AU177" s="1">
        <f>MEDIAN($Q177)</f>
        <v>0</v>
      </c>
      <c r="AV177" s="1"/>
      <c r="AW177" s="1"/>
      <c r="AX177" s="1"/>
      <c r="AY177" s="1"/>
      <c r="AZ177" s="1">
        <f>MAX($E177)</f>
        <v>0</v>
      </c>
      <c r="BA177" s="1">
        <f>MAX($F177)</f>
        <v>0</v>
      </c>
      <c r="BB177" s="1">
        <f>MAX($G177)</f>
        <v>0</v>
      </c>
      <c r="BC177" s="1"/>
      <c r="BD177" s="1"/>
      <c r="BE177" s="1">
        <f>MAX($J177)</f>
        <v>0</v>
      </c>
      <c r="BF177" s="1"/>
      <c r="BG177" s="1"/>
      <c r="BH177" s="1"/>
      <c r="BI177" s="1">
        <f>MAX($P177)</f>
        <v>0</v>
      </c>
      <c r="BJ177" s="1">
        <f>MAX($Q177)</f>
        <v>0</v>
      </c>
      <c r="BK177" s="1"/>
    </row>
    <row r="178" spans="1:63">
      <c r="A178" s="1" t="s">
        <v>175</v>
      </c>
      <c r="B178" s="1"/>
      <c r="C178" s="1"/>
      <c r="D178" s="1"/>
      <c r="E178" s="1">
        <v>1</v>
      </c>
      <c r="F178" s="1">
        <v>13902</v>
      </c>
      <c r="G178" s="1">
        <v>0</v>
      </c>
      <c r="H178" s="1"/>
      <c r="I178" s="1"/>
      <c r="J178" s="1">
        <v>12000</v>
      </c>
      <c r="K178" s="1"/>
      <c r="L178" s="1" t="s">
        <v>203</v>
      </c>
      <c r="M178" s="1"/>
      <c r="N178" s="1"/>
      <c r="O178" s="1"/>
      <c r="P178" s="1">
        <v>6000</v>
      </c>
      <c r="Q178" s="1">
        <v>1</v>
      </c>
      <c r="R178" s="1"/>
      <c r="S178" s="1"/>
      <c r="T178" s="1"/>
      <c r="U178" s="1"/>
      <c r="V178" s="1">
        <f>MIN($E178)</f>
        <v>0</v>
      </c>
      <c r="W178" s="1">
        <f>MIN($F178)</f>
        <v>0</v>
      </c>
      <c r="X178" s="1">
        <f>MIN($G178)</f>
        <v>0</v>
      </c>
      <c r="Y178" s="1"/>
      <c r="Z178" s="1"/>
      <c r="AA178" s="1">
        <f>MIN($J178)</f>
        <v>0</v>
      </c>
      <c r="AB178" s="1"/>
      <c r="AC178" s="1"/>
      <c r="AD178" s="1"/>
      <c r="AE178" s="1">
        <f>MIN($P178)</f>
        <v>0</v>
      </c>
      <c r="AF178" s="1">
        <f>MIN($Q178)</f>
        <v>0</v>
      </c>
      <c r="AG178" s="1"/>
      <c r="AH178" s="1"/>
      <c r="AI178" s="1"/>
      <c r="AJ178" s="1"/>
      <c r="AK178" s="1">
        <f>MEDIAN($E178)</f>
        <v>0</v>
      </c>
      <c r="AL178" s="1">
        <f>MEDIAN($F178)</f>
        <v>0</v>
      </c>
      <c r="AM178" s="1">
        <f>MEDIAN($G178)</f>
        <v>0</v>
      </c>
      <c r="AN178" s="1"/>
      <c r="AO178" s="1"/>
      <c r="AP178" s="1">
        <f>MEDIAN($J178)</f>
        <v>0</v>
      </c>
      <c r="AQ178" s="1"/>
      <c r="AR178" s="1"/>
      <c r="AS178" s="1"/>
      <c r="AT178" s="1">
        <f>MEDIAN($P178)</f>
        <v>0</v>
      </c>
      <c r="AU178" s="1">
        <f>MEDIAN($Q178)</f>
        <v>0</v>
      </c>
      <c r="AV178" s="1"/>
      <c r="AW178" s="1"/>
      <c r="AX178" s="1"/>
      <c r="AY178" s="1"/>
      <c r="AZ178" s="1">
        <f>MAX($E178)</f>
        <v>0</v>
      </c>
      <c r="BA178" s="1">
        <f>MAX($F178)</f>
        <v>0</v>
      </c>
      <c r="BB178" s="1">
        <f>MAX($G178)</f>
        <v>0</v>
      </c>
      <c r="BC178" s="1"/>
      <c r="BD178" s="1"/>
      <c r="BE178" s="1">
        <f>MAX($J178)</f>
        <v>0</v>
      </c>
      <c r="BF178" s="1"/>
      <c r="BG178" s="1"/>
      <c r="BH178" s="1"/>
      <c r="BI178" s="1">
        <f>MAX($P178)</f>
        <v>0</v>
      </c>
      <c r="BJ178" s="1">
        <f>MAX($Q178)</f>
        <v>0</v>
      </c>
      <c r="BK178" s="1"/>
    </row>
    <row r="179" spans="1:63">
      <c r="A179" s="1" t="s">
        <v>176</v>
      </c>
      <c r="B179" s="1"/>
      <c r="C179" s="1"/>
      <c r="D179" s="1"/>
      <c r="E179" s="1">
        <v>1</v>
      </c>
      <c r="F179" s="1">
        <v>15929</v>
      </c>
      <c r="G179" s="1">
        <v>0</v>
      </c>
      <c r="H179" s="1"/>
      <c r="I179" s="1"/>
      <c r="J179" s="1">
        <v>12000</v>
      </c>
      <c r="K179" s="1"/>
      <c r="L179" s="1" t="s">
        <v>203</v>
      </c>
      <c r="M179" s="1"/>
      <c r="N179" s="1"/>
      <c r="O179" s="1"/>
      <c r="P179" s="1">
        <v>6000</v>
      </c>
      <c r="Q179" s="1">
        <v>1</v>
      </c>
      <c r="R179" s="1"/>
      <c r="S179" s="1"/>
      <c r="T179" s="1"/>
      <c r="U179" s="1"/>
      <c r="V179" s="1">
        <f>MIN($E179)</f>
        <v>0</v>
      </c>
      <c r="W179" s="1">
        <f>MIN($F179)</f>
        <v>0</v>
      </c>
      <c r="X179" s="1">
        <f>MIN($G179)</f>
        <v>0</v>
      </c>
      <c r="Y179" s="1"/>
      <c r="Z179" s="1"/>
      <c r="AA179" s="1">
        <f>MIN($J179)</f>
        <v>0</v>
      </c>
      <c r="AB179" s="1"/>
      <c r="AC179" s="1"/>
      <c r="AD179" s="1"/>
      <c r="AE179" s="1">
        <f>MIN($P179)</f>
        <v>0</v>
      </c>
      <c r="AF179" s="1">
        <f>MIN($Q179)</f>
        <v>0</v>
      </c>
      <c r="AG179" s="1"/>
      <c r="AH179" s="1"/>
      <c r="AI179" s="1"/>
      <c r="AJ179" s="1"/>
      <c r="AK179" s="1">
        <f>MEDIAN($E179)</f>
        <v>0</v>
      </c>
      <c r="AL179" s="1">
        <f>MEDIAN($F179)</f>
        <v>0</v>
      </c>
      <c r="AM179" s="1">
        <f>MEDIAN($G179)</f>
        <v>0</v>
      </c>
      <c r="AN179" s="1"/>
      <c r="AO179" s="1"/>
      <c r="AP179" s="1">
        <f>MEDIAN($J179)</f>
        <v>0</v>
      </c>
      <c r="AQ179" s="1"/>
      <c r="AR179" s="1"/>
      <c r="AS179" s="1"/>
      <c r="AT179" s="1">
        <f>MEDIAN($P179)</f>
        <v>0</v>
      </c>
      <c r="AU179" s="1">
        <f>MEDIAN($Q179)</f>
        <v>0</v>
      </c>
      <c r="AV179" s="1"/>
      <c r="AW179" s="1"/>
      <c r="AX179" s="1"/>
      <c r="AY179" s="1"/>
      <c r="AZ179" s="1">
        <f>MAX($E179)</f>
        <v>0</v>
      </c>
      <c r="BA179" s="1">
        <f>MAX($F179)</f>
        <v>0</v>
      </c>
      <c r="BB179" s="1">
        <f>MAX($G179)</f>
        <v>0</v>
      </c>
      <c r="BC179" s="1"/>
      <c r="BD179" s="1"/>
      <c r="BE179" s="1">
        <f>MAX($J179)</f>
        <v>0</v>
      </c>
      <c r="BF179" s="1"/>
      <c r="BG179" s="1"/>
      <c r="BH179" s="1"/>
      <c r="BI179" s="1">
        <f>MAX($P179)</f>
        <v>0</v>
      </c>
      <c r="BJ179" s="1">
        <f>MAX($Q179)</f>
        <v>0</v>
      </c>
      <c r="BK179" s="1"/>
    </row>
    <row r="180" spans="1:63">
      <c r="A180" s="1" t="s">
        <v>177</v>
      </c>
      <c r="B180" s="1"/>
      <c r="C180" s="1"/>
      <c r="D180" s="1"/>
      <c r="E180" s="1">
        <v>1</v>
      </c>
      <c r="F180" s="1">
        <v>33380</v>
      </c>
      <c r="G180" s="1">
        <v>0</v>
      </c>
      <c r="H180" s="1"/>
      <c r="I180" s="1"/>
      <c r="J180" s="1">
        <v>12000</v>
      </c>
      <c r="K180" s="1"/>
      <c r="L180" s="1" t="s">
        <v>203</v>
      </c>
      <c r="M180" s="1"/>
      <c r="N180" s="1"/>
      <c r="O180" s="1"/>
      <c r="P180" s="1">
        <v>6000</v>
      </c>
      <c r="Q180" s="1">
        <v>1</v>
      </c>
      <c r="R180" s="1"/>
      <c r="S180" s="1"/>
      <c r="T180" s="1"/>
      <c r="U180" s="1"/>
      <c r="V180" s="1">
        <f>MIN($E180)</f>
        <v>0</v>
      </c>
      <c r="W180" s="1">
        <f>MIN($F180)</f>
        <v>0</v>
      </c>
      <c r="X180" s="1">
        <f>MIN($G180)</f>
        <v>0</v>
      </c>
      <c r="Y180" s="1"/>
      <c r="Z180" s="1"/>
      <c r="AA180" s="1">
        <f>MIN($J180)</f>
        <v>0</v>
      </c>
      <c r="AB180" s="1"/>
      <c r="AC180" s="1"/>
      <c r="AD180" s="1"/>
      <c r="AE180" s="1">
        <f>MIN($P180)</f>
        <v>0</v>
      </c>
      <c r="AF180" s="1">
        <f>MIN($Q180)</f>
        <v>0</v>
      </c>
      <c r="AG180" s="1"/>
      <c r="AH180" s="1"/>
      <c r="AI180" s="1"/>
      <c r="AJ180" s="1"/>
      <c r="AK180" s="1">
        <f>MEDIAN($E180)</f>
        <v>0</v>
      </c>
      <c r="AL180" s="1">
        <f>MEDIAN($F180)</f>
        <v>0</v>
      </c>
      <c r="AM180" s="1">
        <f>MEDIAN($G180)</f>
        <v>0</v>
      </c>
      <c r="AN180" s="1"/>
      <c r="AO180" s="1"/>
      <c r="AP180" s="1">
        <f>MEDIAN($J180)</f>
        <v>0</v>
      </c>
      <c r="AQ180" s="1"/>
      <c r="AR180" s="1"/>
      <c r="AS180" s="1"/>
      <c r="AT180" s="1">
        <f>MEDIAN($P180)</f>
        <v>0</v>
      </c>
      <c r="AU180" s="1">
        <f>MEDIAN($Q180)</f>
        <v>0</v>
      </c>
      <c r="AV180" s="1"/>
      <c r="AW180" s="1"/>
      <c r="AX180" s="1"/>
      <c r="AY180" s="1"/>
      <c r="AZ180" s="1">
        <f>MAX($E180)</f>
        <v>0</v>
      </c>
      <c r="BA180" s="1">
        <f>MAX($F180)</f>
        <v>0</v>
      </c>
      <c r="BB180" s="1">
        <f>MAX($G180)</f>
        <v>0</v>
      </c>
      <c r="BC180" s="1"/>
      <c r="BD180" s="1"/>
      <c r="BE180" s="1">
        <f>MAX($J180)</f>
        <v>0</v>
      </c>
      <c r="BF180" s="1"/>
      <c r="BG180" s="1"/>
      <c r="BH180" s="1"/>
      <c r="BI180" s="1">
        <f>MAX($P180)</f>
        <v>0</v>
      </c>
      <c r="BJ180" s="1">
        <f>MAX($Q180)</f>
        <v>0</v>
      </c>
      <c r="BK180" s="1"/>
    </row>
    <row r="181" spans="1:63">
      <c r="A181" s="1" t="s">
        <v>178</v>
      </c>
      <c r="B181" s="1"/>
      <c r="C181" s="1"/>
      <c r="D181" s="1"/>
      <c r="E181" s="1">
        <v>1</v>
      </c>
      <c r="F181" s="1">
        <v>37201</v>
      </c>
      <c r="G181" s="1">
        <v>0</v>
      </c>
      <c r="H181" s="1"/>
      <c r="I181" s="1"/>
      <c r="J181" s="1">
        <v>12000</v>
      </c>
      <c r="K181" s="1"/>
      <c r="L181" s="1" t="s">
        <v>203</v>
      </c>
      <c r="M181" s="1"/>
      <c r="N181" s="1"/>
      <c r="O181" s="1"/>
      <c r="P181" s="1">
        <v>6000</v>
      </c>
      <c r="Q181" s="1">
        <v>1</v>
      </c>
      <c r="R181" s="1"/>
      <c r="S181" s="1"/>
      <c r="T181" s="1"/>
      <c r="U181" s="1"/>
      <c r="V181" s="1">
        <f>MIN($E181)</f>
        <v>0</v>
      </c>
      <c r="W181" s="1">
        <f>MIN($F181)</f>
        <v>0</v>
      </c>
      <c r="X181" s="1">
        <f>MIN($G181)</f>
        <v>0</v>
      </c>
      <c r="Y181" s="1"/>
      <c r="Z181" s="1"/>
      <c r="AA181" s="1">
        <f>MIN($J181)</f>
        <v>0</v>
      </c>
      <c r="AB181" s="1"/>
      <c r="AC181" s="1"/>
      <c r="AD181" s="1"/>
      <c r="AE181" s="1">
        <f>MIN($P181)</f>
        <v>0</v>
      </c>
      <c r="AF181" s="1">
        <f>MIN($Q181)</f>
        <v>0</v>
      </c>
      <c r="AG181" s="1"/>
      <c r="AH181" s="1"/>
      <c r="AI181" s="1"/>
      <c r="AJ181" s="1"/>
      <c r="AK181" s="1">
        <f>MEDIAN($E181)</f>
        <v>0</v>
      </c>
      <c r="AL181" s="1">
        <f>MEDIAN($F181)</f>
        <v>0</v>
      </c>
      <c r="AM181" s="1">
        <f>MEDIAN($G181)</f>
        <v>0</v>
      </c>
      <c r="AN181" s="1"/>
      <c r="AO181" s="1"/>
      <c r="AP181" s="1">
        <f>MEDIAN($J181)</f>
        <v>0</v>
      </c>
      <c r="AQ181" s="1"/>
      <c r="AR181" s="1"/>
      <c r="AS181" s="1"/>
      <c r="AT181" s="1">
        <f>MEDIAN($P181)</f>
        <v>0</v>
      </c>
      <c r="AU181" s="1">
        <f>MEDIAN($Q181)</f>
        <v>0</v>
      </c>
      <c r="AV181" s="1"/>
      <c r="AW181" s="1"/>
      <c r="AX181" s="1"/>
      <c r="AY181" s="1"/>
      <c r="AZ181" s="1">
        <f>MAX($E181)</f>
        <v>0</v>
      </c>
      <c r="BA181" s="1">
        <f>MAX($F181)</f>
        <v>0</v>
      </c>
      <c r="BB181" s="1">
        <f>MAX($G181)</f>
        <v>0</v>
      </c>
      <c r="BC181" s="1"/>
      <c r="BD181" s="1"/>
      <c r="BE181" s="1">
        <f>MAX($J181)</f>
        <v>0</v>
      </c>
      <c r="BF181" s="1"/>
      <c r="BG181" s="1"/>
      <c r="BH181" s="1"/>
      <c r="BI181" s="1">
        <f>MAX($P181)</f>
        <v>0</v>
      </c>
      <c r="BJ181" s="1">
        <f>MAX($Q181)</f>
        <v>0</v>
      </c>
      <c r="BK181" s="1"/>
    </row>
    <row r="182" spans="1:63">
      <c r="A182" s="1" t="s">
        <v>179</v>
      </c>
      <c r="B182" s="1"/>
      <c r="C182" s="1"/>
      <c r="D182" s="1"/>
      <c r="E182" s="1">
        <v>1</v>
      </c>
      <c r="F182" s="1">
        <v>14446</v>
      </c>
      <c r="G182" s="1">
        <v>0</v>
      </c>
      <c r="H182" s="1"/>
      <c r="I182" s="1"/>
      <c r="J182" s="1">
        <v>12000</v>
      </c>
      <c r="K182" s="1"/>
      <c r="L182" s="1" t="s">
        <v>203</v>
      </c>
      <c r="M182" s="1"/>
      <c r="N182" s="1"/>
      <c r="O182" s="1"/>
      <c r="P182" s="1">
        <v>6000</v>
      </c>
      <c r="Q182" s="1">
        <v>1</v>
      </c>
      <c r="R182" s="1"/>
      <c r="S182" s="1"/>
      <c r="T182" s="1"/>
      <c r="U182" s="1"/>
      <c r="V182" s="1">
        <f>MIN($E182)</f>
        <v>0</v>
      </c>
      <c r="W182" s="1">
        <f>MIN($F182)</f>
        <v>0</v>
      </c>
      <c r="X182" s="1">
        <f>MIN($G182)</f>
        <v>0</v>
      </c>
      <c r="Y182" s="1"/>
      <c r="Z182" s="1"/>
      <c r="AA182" s="1">
        <f>MIN($J182)</f>
        <v>0</v>
      </c>
      <c r="AB182" s="1"/>
      <c r="AC182" s="1"/>
      <c r="AD182" s="1"/>
      <c r="AE182" s="1">
        <f>MIN($P182)</f>
        <v>0</v>
      </c>
      <c r="AF182" s="1">
        <f>MIN($Q182)</f>
        <v>0</v>
      </c>
      <c r="AG182" s="1"/>
      <c r="AH182" s="1"/>
      <c r="AI182" s="1"/>
      <c r="AJ182" s="1"/>
      <c r="AK182" s="1">
        <f>MEDIAN($E182)</f>
        <v>0</v>
      </c>
      <c r="AL182" s="1">
        <f>MEDIAN($F182)</f>
        <v>0</v>
      </c>
      <c r="AM182" s="1">
        <f>MEDIAN($G182)</f>
        <v>0</v>
      </c>
      <c r="AN182" s="1"/>
      <c r="AO182" s="1"/>
      <c r="AP182" s="1">
        <f>MEDIAN($J182)</f>
        <v>0</v>
      </c>
      <c r="AQ182" s="1"/>
      <c r="AR182" s="1"/>
      <c r="AS182" s="1"/>
      <c r="AT182" s="1">
        <f>MEDIAN($P182)</f>
        <v>0</v>
      </c>
      <c r="AU182" s="1">
        <f>MEDIAN($Q182)</f>
        <v>0</v>
      </c>
      <c r="AV182" s="1"/>
      <c r="AW182" s="1"/>
      <c r="AX182" s="1"/>
      <c r="AY182" s="1"/>
      <c r="AZ182" s="1">
        <f>MAX($E182)</f>
        <v>0</v>
      </c>
      <c r="BA182" s="1">
        <f>MAX($F182)</f>
        <v>0</v>
      </c>
      <c r="BB182" s="1">
        <f>MAX($G182)</f>
        <v>0</v>
      </c>
      <c r="BC182" s="1"/>
      <c r="BD182" s="1"/>
      <c r="BE182" s="1">
        <f>MAX($J182)</f>
        <v>0</v>
      </c>
      <c r="BF182" s="1"/>
      <c r="BG182" s="1"/>
      <c r="BH182" s="1"/>
      <c r="BI182" s="1">
        <f>MAX($P182)</f>
        <v>0</v>
      </c>
      <c r="BJ182" s="1">
        <f>MAX($Q182)</f>
        <v>0</v>
      </c>
      <c r="BK182" s="1"/>
    </row>
    <row r="183" spans="1:63">
      <c r="A183" s="1" t="s">
        <v>180</v>
      </c>
      <c r="B183" s="1"/>
      <c r="C183" s="1"/>
      <c r="D183" s="1"/>
      <c r="E183" s="1">
        <v>1</v>
      </c>
      <c r="F183" s="1">
        <v>15361</v>
      </c>
      <c r="G183" s="1">
        <v>0</v>
      </c>
      <c r="H183" s="1"/>
      <c r="I183" s="1"/>
      <c r="J183" s="1">
        <v>12000</v>
      </c>
      <c r="K183" s="1"/>
      <c r="L183" s="1" t="s">
        <v>203</v>
      </c>
      <c r="M183" s="1"/>
      <c r="N183" s="1"/>
      <c r="O183" s="1"/>
      <c r="P183" s="1">
        <v>6000</v>
      </c>
      <c r="Q183" s="1">
        <v>1</v>
      </c>
      <c r="R183" s="1"/>
      <c r="S183" s="1"/>
      <c r="T183" s="1"/>
      <c r="U183" s="1"/>
      <c r="V183" s="1">
        <f>MIN($E183)</f>
        <v>0</v>
      </c>
      <c r="W183" s="1">
        <f>MIN($F183)</f>
        <v>0</v>
      </c>
      <c r="X183" s="1">
        <f>MIN($G183)</f>
        <v>0</v>
      </c>
      <c r="Y183" s="1"/>
      <c r="Z183" s="1"/>
      <c r="AA183" s="1">
        <f>MIN($J183)</f>
        <v>0</v>
      </c>
      <c r="AB183" s="1"/>
      <c r="AC183" s="1"/>
      <c r="AD183" s="1"/>
      <c r="AE183" s="1">
        <f>MIN($P183)</f>
        <v>0</v>
      </c>
      <c r="AF183" s="1">
        <f>MIN($Q183)</f>
        <v>0</v>
      </c>
      <c r="AG183" s="1"/>
      <c r="AH183" s="1"/>
      <c r="AI183" s="1"/>
      <c r="AJ183" s="1"/>
      <c r="AK183" s="1">
        <f>MEDIAN($E183)</f>
        <v>0</v>
      </c>
      <c r="AL183" s="1">
        <f>MEDIAN($F183)</f>
        <v>0</v>
      </c>
      <c r="AM183" s="1">
        <f>MEDIAN($G183)</f>
        <v>0</v>
      </c>
      <c r="AN183" s="1"/>
      <c r="AO183" s="1"/>
      <c r="AP183" s="1">
        <f>MEDIAN($J183)</f>
        <v>0</v>
      </c>
      <c r="AQ183" s="1"/>
      <c r="AR183" s="1"/>
      <c r="AS183" s="1"/>
      <c r="AT183" s="1">
        <f>MEDIAN($P183)</f>
        <v>0</v>
      </c>
      <c r="AU183" s="1">
        <f>MEDIAN($Q183)</f>
        <v>0</v>
      </c>
      <c r="AV183" s="1"/>
      <c r="AW183" s="1"/>
      <c r="AX183" s="1"/>
      <c r="AY183" s="1"/>
      <c r="AZ183" s="1">
        <f>MAX($E183)</f>
        <v>0</v>
      </c>
      <c r="BA183" s="1">
        <f>MAX($F183)</f>
        <v>0</v>
      </c>
      <c r="BB183" s="1">
        <f>MAX($G183)</f>
        <v>0</v>
      </c>
      <c r="BC183" s="1"/>
      <c r="BD183" s="1"/>
      <c r="BE183" s="1">
        <f>MAX($J183)</f>
        <v>0</v>
      </c>
      <c r="BF183" s="1"/>
      <c r="BG183" s="1"/>
      <c r="BH183" s="1"/>
      <c r="BI183" s="1">
        <f>MAX($P183)</f>
        <v>0</v>
      </c>
      <c r="BJ183" s="1">
        <f>MAX($Q183)</f>
        <v>0</v>
      </c>
      <c r="BK183" s="1"/>
    </row>
    <row r="184" spans="1:63">
      <c r="A184" s="1" t="s">
        <v>181</v>
      </c>
      <c r="B184" s="1"/>
      <c r="C184" s="1"/>
      <c r="D184" s="1"/>
      <c r="E184" s="1">
        <v>1</v>
      </c>
      <c r="F184" s="1">
        <v>18210</v>
      </c>
      <c r="G184" s="1">
        <v>0</v>
      </c>
      <c r="H184" s="1"/>
      <c r="I184" s="1"/>
      <c r="J184" s="1">
        <v>12000</v>
      </c>
      <c r="K184" s="1"/>
      <c r="L184" s="1" t="s">
        <v>203</v>
      </c>
      <c r="M184" s="1"/>
      <c r="N184" s="1"/>
      <c r="O184" s="1"/>
      <c r="P184" s="1">
        <v>6000</v>
      </c>
      <c r="Q184" s="1">
        <v>1</v>
      </c>
      <c r="R184" s="1"/>
      <c r="S184" s="1"/>
      <c r="T184" s="1"/>
      <c r="U184" s="1"/>
      <c r="V184" s="1">
        <f>MIN($E184)</f>
        <v>0</v>
      </c>
      <c r="W184" s="1">
        <f>MIN($F184)</f>
        <v>0</v>
      </c>
      <c r="X184" s="1">
        <f>MIN($G184)</f>
        <v>0</v>
      </c>
      <c r="Y184" s="1"/>
      <c r="Z184" s="1"/>
      <c r="AA184" s="1">
        <f>MIN($J184)</f>
        <v>0</v>
      </c>
      <c r="AB184" s="1"/>
      <c r="AC184" s="1"/>
      <c r="AD184" s="1"/>
      <c r="AE184" s="1">
        <f>MIN($P184)</f>
        <v>0</v>
      </c>
      <c r="AF184" s="1">
        <f>MIN($Q184)</f>
        <v>0</v>
      </c>
      <c r="AG184" s="1"/>
      <c r="AH184" s="1"/>
      <c r="AI184" s="1"/>
      <c r="AJ184" s="1"/>
      <c r="AK184" s="1">
        <f>MEDIAN($E184)</f>
        <v>0</v>
      </c>
      <c r="AL184" s="1">
        <f>MEDIAN($F184)</f>
        <v>0</v>
      </c>
      <c r="AM184" s="1">
        <f>MEDIAN($G184)</f>
        <v>0</v>
      </c>
      <c r="AN184" s="1"/>
      <c r="AO184" s="1"/>
      <c r="AP184" s="1">
        <f>MEDIAN($J184)</f>
        <v>0</v>
      </c>
      <c r="AQ184" s="1"/>
      <c r="AR184" s="1"/>
      <c r="AS184" s="1"/>
      <c r="AT184" s="1">
        <f>MEDIAN($P184)</f>
        <v>0</v>
      </c>
      <c r="AU184" s="1">
        <f>MEDIAN($Q184)</f>
        <v>0</v>
      </c>
      <c r="AV184" s="1"/>
      <c r="AW184" s="1"/>
      <c r="AX184" s="1"/>
      <c r="AY184" s="1"/>
      <c r="AZ184" s="1">
        <f>MAX($E184)</f>
        <v>0</v>
      </c>
      <c r="BA184" s="1">
        <f>MAX($F184)</f>
        <v>0</v>
      </c>
      <c r="BB184" s="1">
        <f>MAX($G184)</f>
        <v>0</v>
      </c>
      <c r="BC184" s="1"/>
      <c r="BD184" s="1"/>
      <c r="BE184" s="1">
        <f>MAX($J184)</f>
        <v>0</v>
      </c>
      <c r="BF184" s="1"/>
      <c r="BG184" s="1"/>
      <c r="BH184" s="1"/>
      <c r="BI184" s="1">
        <f>MAX($P184)</f>
        <v>0</v>
      </c>
      <c r="BJ184" s="1">
        <f>MAX($Q184)</f>
        <v>0</v>
      </c>
      <c r="BK184" s="1"/>
    </row>
    <row r="185" spans="1:63">
      <c r="A185" s="1" t="s">
        <v>182</v>
      </c>
      <c r="B185" s="1"/>
      <c r="C185" s="1"/>
      <c r="D185" s="1"/>
      <c r="E185" s="1">
        <v>1</v>
      </c>
      <c r="F185" s="1">
        <v>24455</v>
      </c>
      <c r="G185" s="1">
        <v>0</v>
      </c>
      <c r="H185" s="1"/>
      <c r="I185" s="1"/>
      <c r="J185" s="1">
        <v>12000</v>
      </c>
      <c r="K185" s="1"/>
      <c r="L185" s="1" t="s">
        <v>203</v>
      </c>
      <c r="M185" s="1"/>
      <c r="N185" s="1"/>
      <c r="O185" s="1"/>
      <c r="P185" s="1">
        <v>6000</v>
      </c>
      <c r="Q185" s="1">
        <v>1</v>
      </c>
      <c r="R185" s="1"/>
      <c r="S185" s="1"/>
      <c r="T185" s="1"/>
      <c r="U185" s="1"/>
      <c r="V185" s="1">
        <f>MIN($E185)</f>
        <v>0</v>
      </c>
      <c r="W185" s="1">
        <f>MIN($F185)</f>
        <v>0</v>
      </c>
      <c r="X185" s="1">
        <f>MIN($G185)</f>
        <v>0</v>
      </c>
      <c r="Y185" s="1"/>
      <c r="Z185" s="1"/>
      <c r="AA185" s="1">
        <f>MIN($J185)</f>
        <v>0</v>
      </c>
      <c r="AB185" s="1"/>
      <c r="AC185" s="1"/>
      <c r="AD185" s="1"/>
      <c r="AE185" s="1">
        <f>MIN($P185)</f>
        <v>0</v>
      </c>
      <c r="AF185" s="1">
        <f>MIN($Q185)</f>
        <v>0</v>
      </c>
      <c r="AG185" s="1"/>
      <c r="AH185" s="1"/>
      <c r="AI185" s="1"/>
      <c r="AJ185" s="1"/>
      <c r="AK185" s="1">
        <f>MEDIAN($E185)</f>
        <v>0</v>
      </c>
      <c r="AL185" s="1">
        <f>MEDIAN($F185)</f>
        <v>0</v>
      </c>
      <c r="AM185" s="1">
        <f>MEDIAN($G185)</f>
        <v>0</v>
      </c>
      <c r="AN185" s="1"/>
      <c r="AO185" s="1"/>
      <c r="AP185" s="1">
        <f>MEDIAN($J185)</f>
        <v>0</v>
      </c>
      <c r="AQ185" s="1"/>
      <c r="AR185" s="1"/>
      <c r="AS185" s="1"/>
      <c r="AT185" s="1">
        <f>MEDIAN($P185)</f>
        <v>0</v>
      </c>
      <c r="AU185" s="1">
        <f>MEDIAN($Q185)</f>
        <v>0</v>
      </c>
      <c r="AV185" s="1"/>
      <c r="AW185" s="1"/>
      <c r="AX185" s="1"/>
      <c r="AY185" s="1"/>
      <c r="AZ185" s="1">
        <f>MAX($E185)</f>
        <v>0</v>
      </c>
      <c r="BA185" s="1">
        <f>MAX($F185)</f>
        <v>0</v>
      </c>
      <c r="BB185" s="1">
        <f>MAX($G185)</f>
        <v>0</v>
      </c>
      <c r="BC185" s="1"/>
      <c r="BD185" s="1"/>
      <c r="BE185" s="1">
        <f>MAX($J185)</f>
        <v>0</v>
      </c>
      <c r="BF185" s="1"/>
      <c r="BG185" s="1"/>
      <c r="BH185" s="1"/>
      <c r="BI185" s="1">
        <f>MAX($P185)</f>
        <v>0</v>
      </c>
      <c r="BJ185" s="1">
        <f>MAX($Q185)</f>
        <v>0</v>
      </c>
      <c r="BK185" s="1"/>
    </row>
    <row r="186" spans="1:63">
      <c r="A186" s="1" t="s">
        <v>91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0.017</v>
      </c>
      <c r="J186" s="1">
        <v>12000</v>
      </c>
      <c r="K186" s="1">
        <v>0</v>
      </c>
      <c r="L186" s="1" t="s">
        <v>205</v>
      </c>
      <c r="M186" s="1">
        <v>0</v>
      </c>
      <c r="N186" s="1">
        <v>0</v>
      </c>
      <c r="O186" s="1" t="s">
        <v>209</v>
      </c>
      <c r="P186" s="1">
        <v>6000</v>
      </c>
      <c r="Q186" s="1">
        <v>1</v>
      </c>
      <c r="R186" s="1">
        <v>0</v>
      </c>
      <c r="S186" s="1">
        <f>MIN($B186)</f>
        <v>0</v>
      </c>
      <c r="T186" s="1">
        <f>MIN($C186)</f>
        <v>0</v>
      </c>
      <c r="U186" s="1">
        <f>MIN($D186)</f>
        <v>0</v>
      </c>
      <c r="V186" s="1">
        <f>MIN($E186)</f>
        <v>0</v>
      </c>
      <c r="W186" s="1">
        <f>MIN($F186)</f>
        <v>0</v>
      </c>
      <c r="X186" s="1">
        <f>MIN($G186)</f>
        <v>0</v>
      </c>
      <c r="Y186" s="1">
        <f>MIN($H186)</f>
        <v>0</v>
      </c>
      <c r="Z186" s="1">
        <f>MIN($I186)</f>
        <v>0</v>
      </c>
      <c r="AA186" s="1">
        <f>MIN($J186)</f>
        <v>0</v>
      </c>
      <c r="AB186" s="1">
        <f>MIN($K186)</f>
        <v>0</v>
      </c>
      <c r="AC186" s="1">
        <f>MIN($M186)</f>
        <v>0</v>
      </c>
      <c r="AD186" s="1">
        <f>MIN($N186)</f>
        <v>0</v>
      </c>
      <c r="AE186" s="1">
        <f>MIN($P186)</f>
        <v>0</v>
      </c>
      <c r="AF186" s="1">
        <f>MIN($Q186)</f>
        <v>0</v>
      </c>
      <c r="AG186" s="1">
        <f>MIN($R186)</f>
        <v>0</v>
      </c>
      <c r="AH186" s="1">
        <f>MEDIAN($B186)</f>
        <v>0</v>
      </c>
      <c r="AI186" s="1">
        <f>MEDIAN($C186)</f>
        <v>0</v>
      </c>
      <c r="AJ186" s="1">
        <f>MEDIAN($D186)</f>
        <v>0</v>
      </c>
      <c r="AK186" s="1">
        <f>MEDIAN($E186)</f>
        <v>0</v>
      </c>
      <c r="AL186" s="1">
        <f>MEDIAN($F186)</f>
        <v>0</v>
      </c>
      <c r="AM186" s="1">
        <f>MEDIAN($G186)</f>
        <v>0</v>
      </c>
      <c r="AN186" s="1">
        <f>MEDIAN($H186)</f>
        <v>0</v>
      </c>
      <c r="AO186" s="1">
        <f>MEDIAN($I186)</f>
        <v>0</v>
      </c>
      <c r="AP186" s="1">
        <f>MEDIAN($J186)</f>
        <v>0</v>
      </c>
      <c r="AQ186" s="1">
        <f>MEDIAN($K186)</f>
        <v>0</v>
      </c>
      <c r="AR186" s="1">
        <f>MEDIAN($M186)</f>
        <v>0</v>
      </c>
      <c r="AS186" s="1">
        <f>MEDIAN($N186)</f>
        <v>0</v>
      </c>
      <c r="AT186" s="1">
        <f>MEDIAN($P186)</f>
        <v>0</v>
      </c>
      <c r="AU186" s="1">
        <f>MEDIAN($Q186)</f>
        <v>0</v>
      </c>
      <c r="AV186" s="1">
        <f>MEDIAN($R186)</f>
        <v>0</v>
      </c>
      <c r="AW186" s="1">
        <f>MAX($B186)</f>
        <v>0</v>
      </c>
      <c r="AX186" s="1">
        <f>MAX($C186)</f>
        <v>0</v>
      </c>
      <c r="AY186" s="1">
        <f>MAX($D186)</f>
        <v>0</v>
      </c>
      <c r="AZ186" s="1">
        <f>MAX($E186)</f>
        <v>0</v>
      </c>
      <c r="BA186" s="1">
        <f>MAX($F186)</f>
        <v>0</v>
      </c>
      <c r="BB186" s="1">
        <f>MAX($G186)</f>
        <v>0</v>
      </c>
      <c r="BC186" s="1">
        <f>MAX($H186)</f>
        <v>0</v>
      </c>
      <c r="BD186" s="1">
        <f>MAX($I186)</f>
        <v>0</v>
      </c>
      <c r="BE186" s="1">
        <f>MAX($J186)</f>
        <v>0</v>
      </c>
      <c r="BF186" s="1">
        <f>MAX($K186)</f>
        <v>0</v>
      </c>
      <c r="BG186" s="1">
        <f>MAX($M186)</f>
        <v>0</v>
      </c>
      <c r="BH186" s="1">
        <f>MAX($N186)</f>
        <v>0</v>
      </c>
      <c r="BI186" s="1">
        <f>MAX($P186)</f>
        <v>0</v>
      </c>
      <c r="BJ186" s="1">
        <f>MAX($Q186)</f>
        <v>0</v>
      </c>
      <c r="BK186" s="1">
        <f>MAX($R186)</f>
        <v>0</v>
      </c>
    </row>
    <row r="187" spans="1:6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</row>
    <row r="188" spans="1:63">
      <c r="A188" s="1" t="s">
        <v>183</v>
      </c>
      <c r="B188" s="1">
        <f>SUM(B$3:B$186)</f>
        <v>0</v>
      </c>
      <c r="C188" s="1">
        <f>SUM(C$3:C$186)</f>
        <v>0</v>
      </c>
      <c r="D188" s="1">
        <f>SUM(D$3:D$186)</f>
        <v>0</v>
      </c>
      <c r="E188" s="1">
        <f>SUM(E$3:E$186)</f>
        <v>0</v>
      </c>
      <c r="F188" s="1">
        <f>SUM(F$3:F$186)</f>
        <v>0</v>
      </c>
      <c r="G188" s="1">
        <f>SUM(G$3:G$186)</f>
        <v>0</v>
      </c>
      <c r="H188" s="1">
        <f>SUM(H$3:H$186)</f>
        <v>0</v>
      </c>
      <c r="I188" s="1">
        <f>SUM(I$3:I$186)</f>
        <v>0</v>
      </c>
      <c r="J188" s="1">
        <f>SUM(J$3:J$186)</f>
        <v>0</v>
      </c>
      <c r="K188" s="1">
        <f>SUM(K$3:K$186)</f>
        <v>0</v>
      </c>
      <c r="L188" s="1"/>
      <c r="M188" s="1">
        <f>SUM(M$3:M$186)</f>
        <v>0</v>
      </c>
      <c r="N188" s="1">
        <f>SUM(N$3:N$186)</f>
        <v>0</v>
      </c>
      <c r="O188" s="1"/>
      <c r="P188" s="1">
        <f>SUM(P$3:P$186)</f>
        <v>0</v>
      </c>
      <c r="Q188" s="1">
        <f>SUM(Q$3:Q$186)</f>
        <v>0</v>
      </c>
      <c r="R188" s="1">
        <f>SUM(R$3:R$186)</f>
        <v>0</v>
      </c>
      <c r="S188" s="1">
        <f>SUM(S$3:S$186)</f>
        <v>0</v>
      </c>
      <c r="T188" s="1">
        <f>SUM(T$3:T$186)</f>
        <v>0</v>
      </c>
      <c r="U188" s="1">
        <f>SUM(U$3:U$186)</f>
        <v>0</v>
      </c>
      <c r="V188" s="1">
        <f>SUM(V$3:V$186)</f>
        <v>0</v>
      </c>
      <c r="W188" s="1">
        <f>SUM(W$3:W$186)</f>
        <v>0</v>
      </c>
      <c r="X188" s="1">
        <f>SUM(X$3:X$186)</f>
        <v>0</v>
      </c>
      <c r="Y188" s="1">
        <f>SUM(Y$3:Y$186)</f>
        <v>0</v>
      </c>
      <c r="Z188" s="1">
        <f>SUM(Z$3:Z$186)</f>
        <v>0</v>
      </c>
      <c r="AA188" s="1">
        <f>SUM(AA$3:AA$186)</f>
        <v>0</v>
      </c>
      <c r="AB188" s="1">
        <f>SUM(AB$3:AB$186)</f>
        <v>0</v>
      </c>
      <c r="AC188" s="1">
        <f>SUM(AC$3:AC$186)</f>
        <v>0</v>
      </c>
      <c r="AD188" s="1">
        <f>SUM(AD$3:AD$186)</f>
        <v>0</v>
      </c>
      <c r="AE188" s="1">
        <f>SUM(AE$3:AE$186)</f>
        <v>0</v>
      </c>
      <c r="AF188" s="1">
        <f>SUM(AF$3:AF$186)</f>
        <v>0</v>
      </c>
      <c r="AG188" s="1">
        <f>SUM(AG$3:AG$186)</f>
        <v>0</v>
      </c>
      <c r="AH188" s="1">
        <f>SUM(AH$3:AH$186)</f>
        <v>0</v>
      </c>
      <c r="AI188" s="1">
        <f>SUM(AI$3:AI$186)</f>
        <v>0</v>
      </c>
      <c r="AJ188" s="1">
        <f>SUM(AJ$3:AJ$186)</f>
        <v>0</v>
      </c>
      <c r="AK188" s="1">
        <f>SUM(AK$3:AK$186)</f>
        <v>0</v>
      </c>
      <c r="AL188" s="1">
        <f>SUM(AL$3:AL$186)</f>
        <v>0</v>
      </c>
      <c r="AM188" s="1">
        <f>SUM(AM$3:AM$186)</f>
        <v>0</v>
      </c>
      <c r="AN188" s="1">
        <f>SUM(AN$3:AN$186)</f>
        <v>0</v>
      </c>
      <c r="AO188" s="1">
        <f>SUM(AO$3:AO$186)</f>
        <v>0</v>
      </c>
      <c r="AP188" s="1">
        <f>SUM(AP$3:AP$186)</f>
        <v>0</v>
      </c>
      <c r="AQ188" s="1">
        <f>SUM(AQ$3:AQ$186)</f>
        <v>0</v>
      </c>
      <c r="AR188" s="1">
        <f>SUM(AR$3:AR$186)</f>
        <v>0</v>
      </c>
      <c r="AS188" s="1">
        <f>SUM(AS$3:AS$186)</f>
        <v>0</v>
      </c>
      <c r="AT188" s="1">
        <f>SUM(AT$3:AT$186)</f>
        <v>0</v>
      </c>
      <c r="AU188" s="1">
        <f>SUM(AU$3:AU$186)</f>
        <v>0</v>
      </c>
      <c r="AV188" s="1">
        <f>SUM(AV$3:AV$186)</f>
        <v>0</v>
      </c>
      <c r="AW188" s="1">
        <f>SUM(AW$3:AW$186)</f>
        <v>0</v>
      </c>
      <c r="AX188" s="1">
        <f>SUM(AX$3:AX$186)</f>
        <v>0</v>
      </c>
      <c r="AY188" s="1">
        <f>SUM(AY$3:AY$186)</f>
        <v>0</v>
      </c>
      <c r="AZ188" s="1">
        <f>SUM(AZ$3:AZ$186)</f>
        <v>0</v>
      </c>
      <c r="BA188" s="1">
        <f>SUM(BA$3:BA$186)</f>
        <v>0</v>
      </c>
      <c r="BB188" s="1">
        <f>SUM(BB$3:BB$186)</f>
        <v>0</v>
      </c>
      <c r="BC188" s="1">
        <f>SUM(BC$3:BC$186)</f>
        <v>0</v>
      </c>
      <c r="BD188" s="1">
        <f>SUM(BD$3:BD$186)</f>
        <v>0</v>
      </c>
      <c r="BE188" s="1">
        <f>SUM(BE$3:BE$186)</f>
        <v>0</v>
      </c>
      <c r="BF188" s="1">
        <f>SUM(BF$3:BF$186)</f>
        <v>0</v>
      </c>
      <c r="BG188" s="1">
        <f>SUM(BG$3:BG$186)</f>
        <v>0</v>
      </c>
      <c r="BH188" s="1">
        <f>SUM(BH$3:BH$186)</f>
        <v>0</v>
      </c>
      <c r="BI188" s="1">
        <f>SUM(BI$3:BI$186)</f>
        <v>0</v>
      </c>
      <c r="BJ188" s="1">
        <f>SUM(BJ$3:BJ$186)</f>
        <v>0</v>
      </c>
      <c r="BK188" s="1">
        <f>SUM(BK$3:BK$186)</f>
        <v>0</v>
      </c>
    </row>
    <row r="189" spans="1:63">
      <c r="A189" s="1" t="s">
        <v>184</v>
      </c>
      <c r="B189" s="1">
        <f>AVERAGE(B$3:B$186)</f>
        <v>0</v>
      </c>
      <c r="C189" s="1">
        <f>AVERAGE(C$3:C$186)</f>
        <v>0</v>
      </c>
      <c r="D189" s="1">
        <f>AVERAGE(D$3:D$186)</f>
        <v>0</v>
      </c>
      <c r="E189" s="1">
        <f>AVERAGE(E$3:E$186)</f>
        <v>0</v>
      </c>
      <c r="F189" s="1">
        <f>AVERAGE(F$3:F$186)</f>
        <v>0</v>
      </c>
      <c r="G189" s="1">
        <f>AVERAGE(G$3:G$186)</f>
        <v>0</v>
      </c>
      <c r="H189" s="1">
        <f>AVERAGE(H$3:H$186)</f>
        <v>0</v>
      </c>
      <c r="I189" s="1">
        <f>AVERAGE(I$3:I$186)</f>
        <v>0</v>
      </c>
      <c r="J189" s="1">
        <f>AVERAGE(J$3:J$186)</f>
        <v>0</v>
      </c>
      <c r="K189" s="1">
        <f>AVERAGE(K$3:K$186)</f>
        <v>0</v>
      </c>
      <c r="L189" s="1"/>
      <c r="M189" s="1">
        <f>AVERAGE(M$3:M$186)</f>
        <v>0</v>
      </c>
      <c r="N189" s="1">
        <f>AVERAGE(N$3:N$186)</f>
        <v>0</v>
      </c>
      <c r="O189" s="1"/>
      <c r="P189" s="1">
        <f>AVERAGE(P$3:P$186)</f>
        <v>0</v>
      </c>
      <c r="Q189" s="1">
        <f>AVERAGE(Q$3:Q$186)</f>
        <v>0</v>
      </c>
      <c r="R189" s="1">
        <f>AVERAGE(R$3:R$186)</f>
        <v>0</v>
      </c>
      <c r="S189" s="1">
        <f>AVERAGE(S$3:S$186)</f>
        <v>0</v>
      </c>
      <c r="T189" s="1">
        <f>AVERAGE(T$3:T$186)</f>
        <v>0</v>
      </c>
      <c r="U189" s="1">
        <f>AVERAGE(U$3:U$186)</f>
        <v>0</v>
      </c>
      <c r="V189" s="1">
        <f>AVERAGE(V$3:V$186)</f>
        <v>0</v>
      </c>
      <c r="W189" s="1">
        <f>AVERAGE(W$3:W$186)</f>
        <v>0</v>
      </c>
      <c r="X189" s="1">
        <f>AVERAGE(X$3:X$186)</f>
        <v>0</v>
      </c>
      <c r="Y189" s="1">
        <f>AVERAGE(Y$3:Y$186)</f>
        <v>0</v>
      </c>
      <c r="Z189" s="1">
        <f>AVERAGE(Z$3:Z$186)</f>
        <v>0</v>
      </c>
      <c r="AA189" s="1">
        <f>AVERAGE(AA$3:AA$186)</f>
        <v>0</v>
      </c>
      <c r="AB189" s="1">
        <f>AVERAGE(AB$3:AB$186)</f>
        <v>0</v>
      </c>
      <c r="AC189" s="1">
        <f>AVERAGE(AC$3:AC$186)</f>
        <v>0</v>
      </c>
      <c r="AD189" s="1">
        <f>AVERAGE(AD$3:AD$186)</f>
        <v>0</v>
      </c>
      <c r="AE189" s="1">
        <f>AVERAGE(AE$3:AE$186)</f>
        <v>0</v>
      </c>
      <c r="AF189" s="1">
        <f>AVERAGE(AF$3:AF$186)</f>
        <v>0</v>
      </c>
      <c r="AG189" s="1">
        <f>AVERAGE(AG$3:AG$186)</f>
        <v>0</v>
      </c>
      <c r="AH189" s="1">
        <f>AVERAGE(AH$3:AH$186)</f>
        <v>0</v>
      </c>
      <c r="AI189" s="1">
        <f>AVERAGE(AI$3:AI$186)</f>
        <v>0</v>
      </c>
      <c r="AJ189" s="1">
        <f>AVERAGE(AJ$3:AJ$186)</f>
        <v>0</v>
      </c>
      <c r="AK189" s="1">
        <f>AVERAGE(AK$3:AK$186)</f>
        <v>0</v>
      </c>
      <c r="AL189" s="1">
        <f>AVERAGE(AL$3:AL$186)</f>
        <v>0</v>
      </c>
      <c r="AM189" s="1">
        <f>AVERAGE(AM$3:AM$186)</f>
        <v>0</v>
      </c>
      <c r="AN189" s="1">
        <f>AVERAGE(AN$3:AN$186)</f>
        <v>0</v>
      </c>
      <c r="AO189" s="1">
        <f>AVERAGE(AO$3:AO$186)</f>
        <v>0</v>
      </c>
      <c r="AP189" s="1">
        <f>AVERAGE(AP$3:AP$186)</f>
        <v>0</v>
      </c>
      <c r="AQ189" s="1">
        <f>AVERAGE(AQ$3:AQ$186)</f>
        <v>0</v>
      </c>
      <c r="AR189" s="1">
        <f>AVERAGE(AR$3:AR$186)</f>
        <v>0</v>
      </c>
      <c r="AS189" s="1">
        <f>AVERAGE(AS$3:AS$186)</f>
        <v>0</v>
      </c>
      <c r="AT189" s="1">
        <f>AVERAGE(AT$3:AT$186)</f>
        <v>0</v>
      </c>
      <c r="AU189" s="1">
        <f>AVERAGE(AU$3:AU$186)</f>
        <v>0</v>
      </c>
      <c r="AV189" s="1">
        <f>AVERAGE(AV$3:AV$186)</f>
        <v>0</v>
      </c>
      <c r="AW189" s="1">
        <f>AVERAGE(AW$3:AW$186)</f>
        <v>0</v>
      </c>
      <c r="AX189" s="1">
        <f>AVERAGE(AX$3:AX$186)</f>
        <v>0</v>
      </c>
      <c r="AY189" s="1">
        <f>AVERAGE(AY$3:AY$186)</f>
        <v>0</v>
      </c>
      <c r="AZ189" s="1">
        <f>AVERAGE(AZ$3:AZ$186)</f>
        <v>0</v>
      </c>
      <c r="BA189" s="1">
        <f>AVERAGE(BA$3:BA$186)</f>
        <v>0</v>
      </c>
      <c r="BB189" s="1">
        <f>AVERAGE(BB$3:BB$186)</f>
        <v>0</v>
      </c>
      <c r="BC189" s="1">
        <f>AVERAGE(BC$3:BC$186)</f>
        <v>0</v>
      </c>
      <c r="BD189" s="1">
        <f>AVERAGE(BD$3:BD$186)</f>
        <v>0</v>
      </c>
      <c r="BE189" s="1">
        <f>AVERAGE(BE$3:BE$186)</f>
        <v>0</v>
      </c>
      <c r="BF189" s="1">
        <f>AVERAGE(BF$3:BF$186)</f>
        <v>0</v>
      </c>
      <c r="BG189" s="1">
        <f>AVERAGE(BG$3:BG$186)</f>
        <v>0</v>
      </c>
      <c r="BH189" s="1">
        <f>AVERAGE(BH$3:BH$186)</f>
        <v>0</v>
      </c>
      <c r="BI189" s="1">
        <f>AVERAGE(BI$3:BI$186)</f>
        <v>0</v>
      </c>
      <c r="BJ189" s="1">
        <f>AVERAGE(BJ$3:BJ$186)</f>
        <v>0</v>
      </c>
      <c r="BK189" s="1">
        <f>AVERAGE(BK$3:BK$186)</f>
        <v>0</v>
      </c>
    </row>
    <row r="190" spans="1:63">
      <c r="A190" s="1" t="s">
        <v>185</v>
      </c>
      <c r="B190" s="1">
        <f>STDEV(B$3:B$186)</f>
        <v>0</v>
      </c>
      <c r="C190" s="1">
        <f>STDEV(C$3:C$186)</f>
        <v>0</v>
      </c>
      <c r="D190" s="1">
        <f>STDEV(D$3:D$186)</f>
        <v>0</v>
      </c>
      <c r="E190" s="1">
        <f>STDEV(E$3:E$186)</f>
        <v>0</v>
      </c>
      <c r="F190" s="1">
        <f>STDEV(F$3:F$186)</f>
        <v>0</v>
      </c>
      <c r="G190" s="1">
        <f>STDEV(G$3:G$186)</f>
        <v>0</v>
      </c>
      <c r="H190" s="1">
        <f>STDEV(H$3:H$186)</f>
        <v>0</v>
      </c>
      <c r="I190" s="1">
        <f>STDEV(I$3:I$186)</f>
        <v>0</v>
      </c>
      <c r="J190" s="1">
        <f>STDEV(J$3:J$186)</f>
        <v>0</v>
      </c>
      <c r="K190" s="1">
        <f>STDEV(K$3:K$186)</f>
        <v>0</v>
      </c>
      <c r="L190" s="1"/>
      <c r="M190" s="1">
        <f>STDEV(M$3:M$186)</f>
        <v>0</v>
      </c>
      <c r="N190" s="1">
        <f>STDEV(N$3:N$186)</f>
        <v>0</v>
      </c>
      <c r="O190" s="1"/>
      <c r="P190" s="1">
        <f>STDEV(P$3:P$186)</f>
        <v>0</v>
      </c>
      <c r="Q190" s="1">
        <f>STDEV(Q$3:Q$186)</f>
        <v>0</v>
      </c>
      <c r="R190" s="1">
        <f>STDEV(R$3:R$186)</f>
        <v>0</v>
      </c>
      <c r="S190" s="1">
        <f>STDEV(S$3:S$186)</f>
        <v>0</v>
      </c>
      <c r="T190" s="1">
        <f>STDEV(T$3:T$186)</f>
        <v>0</v>
      </c>
      <c r="U190" s="1">
        <f>STDEV(U$3:U$186)</f>
        <v>0</v>
      </c>
      <c r="V190" s="1">
        <f>STDEV(V$3:V$186)</f>
        <v>0</v>
      </c>
      <c r="W190" s="1">
        <f>STDEV(W$3:W$186)</f>
        <v>0</v>
      </c>
      <c r="X190" s="1">
        <f>STDEV(X$3:X$186)</f>
        <v>0</v>
      </c>
      <c r="Y190" s="1">
        <f>STDEV(Y$3:Y$186)</f>
        <v>0</v>
      </c>
      <c r="Z190" s="1">
        <f>STDEV(Z$3:Z$186)</f>
        <v>0</v>
      </c>
      <c r="AA190" s="1">
        <f>STDEV(AA$3:AA$186)</f>
        <v>0</v>
      </c>
      <c r="AB190" s="1">
        <f>STDEV(AB$3:AB$186)</f>
        <v>0</v>
      </c>
      <c r="AC190" s="1">
        <f>STDEV(AC$3:AC$186)</f>
        <v>0</v>
      </c>
      <c r="AD190" s="1">
        <f>STDEV(AD$3:AD$186)</f>
        <v>0</v>
      </c>
      <c r="AE190" s="1">
        <f>STDEV(AE$3:AE$186)</f>
        <v>0</v>
      </c>
      <c r="AF190" s="1">
        <f>STDEV(AF$3:AF$186)</f>
        <v>0</v>
      </c>
      <c r="AG190" s="1">
        <f>STDEV(AG$3:AG$186)</f>
        <v>0</v>
      </c>
      <c r="AH190" s="1">
        <f>STDEV(AH$3:AH$186)</f>
        <v>0</v>
      </c>
      <c r="AI190" s="1">
        <f>STDEV(AI$3:AI$186)</f>
        <v>0</v>
      </c>
      <c r="AJ190" s="1">
        <f>STDEV(AJ$3:AJ$186)</f>
        <v>0</v>
      </c>
      <c r="AK190" s="1">
        <f>STDEV(AK$3:AK$186)</f>
        <v>0</v>
      </c>
      <c r="AL190" s="1">
        <f>STDEV(AL$3:AL$186)</f>
        <v>0</v>
      </c>
      <c r="AM190" s="1">
        <f>STDEV(AM$3:AM$186)</f>
        <v>0</v>
      </c>
      <c r="AN190" s="1">
        <f>STDEV(AN$3:AN$186)</f>
        <v>0</v>
      </c>
      <c r="AO190" s="1">
        <f>STDEV(AO$3:AO$186)</f>
        <v>0</v>
      </c>
      <c r="AP190" s="1">
        <f>STDEV(AP$3:AP$186)</f>
        <v>0</v>
      </c>
      <c r="AQ190" s="1">
        <f>STDEV(AQ$3:AQ$186)</f>
        <v>0</v>
      </c>
      <c r="AR190" s="1">
        <f>STDEV(AR$3:AR$186)</f>
        <v>0</v>
      </c>
      <c r="AS190" s="1">
        <f>STDEV(AS$3:AS$186)</f>
        <v>0</v>
      </c>
      <c r="AT190" s="1">
        <f>STDEV(AT$3:AT$186)</f>
        <v>0</v>
      </c>
      <c r="AU190" s="1">
        <f>STDEV(AU$3:AU$186)</f>
        <v>0</v>
      </c>
      <c r="AV190" s="1">
        <f>STDEV(AV$3:AV$186)</f>
        <v>0</v>
      </c>
      <c r="AW190" s="1">
        <f>STDEV(AW$3:AW$186)</f>
        <v>0</v>
      </c>
      <c r="AX190" s="1">
        <f>STDEV(AX$3:AX$186)</f>
        <v>0</v>
      </c>
      <c r="AY190" s="1">
        <f>STDEV(AY$3:AY$186)</f>
        <v>0</v>
      </c>
      <c r="AZ190" s="1">
        <f>STDEV(AZ$3:AZ$186)</f>
        <v>0</v>
      </c>
      <c r="BA190" s="1">
        <f>STDEV(BA$3:BA$186)</f>
        <v>0</v>
      </c>
      <c r="BB190" s="1">
        <f>STDEV(BB$3:BB$186)</f>
        <v>0</v>
      </c>
      <c r="BC190" s="1">
        <f>STDEV(BC$3:BC$186)</f>
        <v>0</v>
      </c>
      <c r="BD190" s="1">
        <f>STDEV(BD$3:BD$186)</f>
        <v>0</v>
      </c>
      <c r="BE190" s="1">
        <f>STDEV(BE$3:BE$186)</f>
        <v>0</v>
      </c>
      <c r="BF190" s="1">
        <f>STDEV(BF$3:BF$186)</f>
        <v>0</v>
      </c>
      <c r="BG190" s="1">
        <f>STDEV(BG$3:BG$186)</f>
        <v>0</v>
      </c>
      <c r="BH190" s="1">
        <f>STDEV(BH$3:BH$186)</f>
        <v>0</v>
      </c>
      <c r="BI190" s="1">
        <f>STDEV(BI$3:BI$186)</f>
        <v>0</v>
      </c>
      <c r="BJ190" s="1">
        <f>STDEV(BJ$3:BJ$186)</f>
        <v>0</v>
      </c>
      <c r="BK190" s="1">
        <f>STDEV(BK$3:BK$186)</f>
        <v>0</v>
      </c>
    </row>
    <row r="191" spans="1:63">
      <c r="A191" s="1" t="s">
        <v>186</v>
      </c>
      <c r="B191" s="1">
        <f>SUMPRODUCT(--(B$3:B$186-$S$3:$S$186)^2)^0.5</f>
        <v>0</v>
      </c>
      <c r="C191" s="1">
        <f>SUMPRODUCT(--(C$3:C$186-$T$3:$T$186)^2)^0.5</f>
        <v>0</v>
      </c>
      <c r="D191" s="1">
        <f>SUMPRODUCT(--(D$3:D$186-$U$3:$U$186)^2)^0.5</f>
        <v>0</v>
      </c>
      <c r="E191" s="1">
        <f>SUMPRODUCT(--(E$3:E$186-$V$3:$V$186)^2)^0.5</f>
        <v>0</v>
      </c>
      <c r="F191" s="1">
        <f>SUMPRODUCT(--(F$3:F$186-$W$3:$W$186)^2)^0.5</f>
        <v>0</v>
      </c>
      <c r="G191" s="1">
        <f>SUMPRODUCT(--(G$3:G$186-$X$3:$X$186)^2)^0.5</f>
        <v>0</v>
      </c>
      <c r="H191" s="1">
        <f>SUMPRODUCT(--(H$3:H$186-$Y$3:$Y$186)^2)^0.5</f>
        <v>0</v>
      </c>
      <c r="I191" s="1">
        <f>SUMPRODUCT(--(I$3:I$186-$Z$3:$Z$186)^2)^0.5</f>
        <v>0</v>
      </c>
      <c r="J191" s="1">
        <f>SUMPRODUCT(--(J$3:J$186-$AA$3:$AA$186)^2)^0.5</f>
        <v>0</v>
      </c>
      <c r="K191" s="1">
        <f>SUMPRODUCT(--(K$3:K$186-$AB$3:$AB$186)^2)^0.5</f>
        <v>0</v>
      </c>
      <c r="L191" s="1"/>
      <c r="M191" s="1">
        <f>SUMPRODUCT(--(M$3:M$186-$AC$3:$AC$186)^2)^0.5</f>
        <v>0</v>
      </c>
      <c r="N191" s="1">
        <f>SUMPRODUCT(--(N$3:N$186-$AD$3:$AD$186)^2)^0.5</f>
        <v>0</v>
      </c>
      <c r="O191" s="1"/>
      <c r="P191" s="1">
        <f>SUMPRODUCT(--(P$3:P$186-$AE$3:$AE$186)^2)^0.5</f>
        <v>0</v>
      </c>
      <c r="Q191" s="1">
        <f>SUMPRODUCT(--(Q$3:Q$186-$AF$3:$AF$186)^2)^0.5</f>
        <v>0</v>
      </c>
      <c r="R191" s="1">
        <f>SUMPRODUCT(--(R$3:R$186-$AG$3:$AG$186)^2)^0.5</f>
        <v>0</v>
      </c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</row>
    <row r="192" spans="1:63">
      <c r="A192" s="1" t="s">
        <v>187</v>
      </c>
      <c r="B192" s="1">
        <f>SUMPRODUCT(NOT(ISBLANK(B$3:B$186))*(B$3:B$186=$S$3:$S$186))</f>
        <v>0</v>
      </c>
      <c r="C192" s="1">
        <f>SUMPRODUCT(NOT(ISBLANK(C$3:C$186))*(C$3:C$186=$T$3:$T$186))</f>
        <v>0</v>
      </c>
      <c r="D192" s="1">
        <f>SUMPRODUCT(NOT(ISBLANK(D$3:D$186))*(D$3:D$186=$U$3:$U$186))</f>
        <v>0</v>
      </c>
      <c r="E192" s="1">
        <f>SUMPRODUCT(NOT(ISBLANK(E$3:E$186))*(E$3:E$186=$V$3:$V$186))</f>
        <v>0</v>
      </c>
      <c r="F192" s="1">
        <f>SUMPRODUCT(NOT(ISBLANK(F$3:F$186))*(F$3:F$186=$W$3:$W$186))</f>
        <v>0</v>
      </c>
      <c r="G192" s="1">
        <f>SUMPRODUCT(NOT(ISBLANK(G$3:G$186))*(G$3:G$186=$X$3:$X$186))</f>
        <v>0</v>
      </c>
      <c r="H192" s="1">
        <f>SUMPRODUCT(NOT(ISBLANK(H$3:H$186))*(H$3:H$186=$Y$3:$Y$186))</f>
        <v>0</v>
      </c>
      <c r="I192" s="1">
        <f>SUMPRODUCT(NOT(ISBLANK(I$3:I$186))*(I$3:I$186=$Z$3:$Z$186))</f>
        <v>0</v>
      </c>
      <c r="J192" s="1">
        <f>SUMPRODUCT(NOT(ISBLANK(J$3:J$186))*(J$3:J$186=$AA$3:$AA$186))</f>
        <v>0</v>
      </c>
      <c r="K192" s="1">
        <f>SUMPRODUCT(NOT(ISBLANK(K$3:K$186))*(K$3:K$186=$AB$3:$AB$186))</f>
        <v>0</v>
      </c>
      <c r="L192" s="1"/>
      <c r="M192" s="1">
        <f>SUMPRODUCT(NOT(ISBLANK(M$3:M$186))*(M$3:M$186=$AC$3:$AC$186))</f>
        <v>0</v>
      </c>
      <c r="N192" s="1">
        <f>SUMPRODUCT(NOT(ISBLANK(N$3:N$186))*(N$3:N$186=$AD$3:$AD$186))</f>
        <v>0</v>
      </c>
      <c r="O192" s="1"/>
      <c r="P192" s="1">
        <f>SUMPRODUCT(NOT(ISBLANK(P$3:P$186))*(P$3:P$186=$AE$3:$AE$186))</f>
        <v>0</v>
      </c>
      <c r="Q192" s="1">
        <f>SUMPRODUCT(NOT(ISBLANK(Q$3:Q$186))*(Q$3:Q$186=$AF$3:$AF$186))</f>
        <v>0</v>
      </c>
      <c r="R192" s="1">
        <f>SUMPRODUCT(NOT(ISBLANK(R$3:R$186))*(R$3:R$186=$AG$3:$AG$186))</f>
        <v>0</v>
      </c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</row>
    <row r="193" spans="1:63">
      <c r="A193" s="1" t="s">
        <v>188</v>
      </c>
      <c r="B193" s="1">
        <f>SUMPRODUCT(NOT(ISBLANK(B$3:B$186))*(B$3:B$186&lt;$AH$3:$AH$186))</f>
        <v>0</v>
      </c>
      <c r="C193" s="1">
        <f>SUMPRODUCT(NOT(ISBLANK(C$3:C$186))*(C$3:C$186&lt;$AI$3:$AI$186))</f>
        <v>0</v>
      </c>
      <c r="D193" s="1">
        <f>SUMPRODUCT(NOT(ISBLANK(D$3:D$186))*(D$3:D$186&lt;$AJ$3:$AJ$186))</f>
        <v>0</v>
      </c>
      <c r="E193" s="1">
        <f>SUMPRODUCT(NOT(ISBLANK(E$3:E$186))*(E$3:E$186&lt;$AK$3:$AK$186))</f>
        <v>0</v>
      </c>
      <c r="F193" s="1">
        <f>SUMPRODUCT(NOT(ISBLANK(F$3:F$186))*(F$3:F$186&lt;$AL$3:$AL$186))</f>
        <v>0</v>
      </c>
      <c r="G193" s="1">
        <f>SUMPRODUCT(NOT(ISBLANK(G$3:G$186))*(G$3:G$186&lt;$AM$3:$AM$186))</f>
        <v>0</v>
      </c>
      <c r="H193" s="1">
        <f>SUMPRODUCT(NOT(ISBLANK(H$3:H$186))*(H$3:H$186&lt;$AN$3:$AN$186))</f>
        <v>0</v>
      </c>
      <c r="I193" s="1">
        <f>SUMPRODUCT(NOT(ISBLANK(I$3:I$186))*(I$3:I$186&lt;$AO$3:$AO$186))</f>
        <v>0</v>
      </c>
      <c r="J193" s="1">
        <f>SUMPRODUCT(NOT(ISBLANK(J$3:J$186))*(J$3:J$186&lt;$AP$3:$AP$186))</f>
        <v>0</v>
      </c>
      <c r="K193" s="1">
        <f>SUMPRODUCT(NOT(ISBLANK(K$3:K$186))*(K$3:K$186&lt;$AQ$3:$AQ$186))</f>
        <v>0</v>
      </c>
      <c r="L193" s="1"/>
      <c r="M193" s="1">
        <f>SUMPRODUCT(NOT(ISBLANK(M$3:M$186))*(M$3:M$186&lt;$AR$3:$AR$186))</f>
        <v>0</v>
      </c>
      <c r="N193" s="1">
        <f>SUMPRODUCT(NOT(ISBLANK(N$3:N$186))*(N$3:N$186&lt;$AS$3:$AS$186))</f>
        <v>0</v>
      </c>
      <c r="O193" s="1"/>
      <c r="P193" s="1">
        <f>SUMPRODUCT(NOT(ISBLANK(P$3:P$186))*(P$3:P$186&lt;$AT$3:$AT$186))</f>
        <v>0</v>
      </c>
      <c r="Q193" s="1">
        <f>SUMPRODUCT(NOT(ISBLANK(Q$3:Q$186))*(Q$3:Q$186&lt;$AU$3:$AU$186))</f>
        <v>0</v>
      </c>
      <c r="R193" s="1">
        <f>SUMPRODUCT(NOT(ISBLANK(R$3:R$186))*(R$3:R$186&lt;$AV$3:$AV$186))</f>
        <v>0</v>
      </c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</row>
    <row r="194" spans="1:63">
      <c r="A194" s="1" t="s">
        <v>189</v>
      </c>
      <c r="B194" s="1">
        <f>SUMPRODUCT((NOT(ISBLANK(B$3:B$186))*(B$3:B$186&gt;$AH$3:$AH$186))+ISBLANK(B$3:B$186))</f>
        <v>0</v>
      </c>
      <c r="C194" s="1">
        <f>SUMPRODUCT((NOT(ISBLANK(C$3:C$186))*(C$3:C$186&gt;$AI$3:$AI$186))+ISBLANK(C$3:C$186))</f>
        <v>0</v>
      </c>
      <c r="D194" s="1">
        <f>SUMPRODUCT((NOT(ISBLANK(D$3:D$186))*(D$3:D$186&gt;$AJ$3:$AJ$186))+ISBLANK(D$3:D$186))</f>
        <v>0</v>
      </c>
      <c r="E194" s="1">
        <f>SUMPRODUCT((NOT(ISBLANK(E$3:E$186))*(E$3:E$186&gt;$AK$3:$AK$186))+ISBLANK(E$3:E$186))</f>
        <v>0</v>
      </c>
      <c r="F194" s="1">
        <f>SUMPRODUCT((NOT(ISBLANK(F$3:F$186))*(F$3:F$186&gt;$AL$3:$AL$186))+ISBLANK(F$3:F$186))</f>
        <v>0</v>
      </c>
      <c r="G194" s="1">
        <f>SUMPRODUCT((NOT(ISBLANK(G$3:G$186))*(G$3:G$186&gt;$AM$3:$AM$186))+ISBLANK(G$3:G$186))</f>
        <v>0</v>
      </c>
      <c r="H194" s="1">
        <f>SUMPRODUCT((NOT(ISBLANK(H$3:H$186))*(H$3:H$186&gt;$AN$3:$AN$186))+ISBLANK(H$3:H$186))</f>
        <v>0</v>
      </c>
      <c r="I194" s="1">
        <f>SUMPRODUCT((NOT(ISBLANK(I$3:I$186))*(I$3:I$186&gt;$AO$3:$AO$186))+ISBLANK(I$3:I$186))</f>
        <v>0</v>
      </c>
      <c r="J194" s="1">
        <f>SUMPRODUCT((NOT(ISBLANK(J$3:J$186))*(J$3:J$186&gt;$AP$3:$AP$186))+ISBLANK(J$3:J$186))</f>
        <v>0</v>
      </c>
      <c r="K194" s="1">
        <f>SUMPRODUCT((NOT(ISBLANK(K$3:K$186))*(K$3:K$186&gt;$AQ$3:$AQ$186))+ISBLANK(K$3:K$186))</f>
        <v>0</v>
      </c>
      <c r="L194" s="1"/>
      <c r="M194" s="1">
        <f>SUMPRODUCT((NOT(ISBLANK(M$3:M$186))*(M$3:M$186&gt;$AR$3:$AR$186))+ISBLANK(M$3:M$186))</f>
        <v>0</v>
      </c>
      <c r="N194" s="1">
        <f>SUMPRODUCT((NOT(ISBLANK(N$3:N$186))*(N$3:N$186&gt;$AS$3:$AS$186))+ISBLANK(N$3:N$186))</f>
        <v>0</v>
      </c>
      <c r="O194" s="1"/>
      <c r="P194" s="1">
        <f>SUMPRODUCT((NOT(ISBLANK(P$3:P$186))*(P$3:P$186&gt;$AT$3:$AT$186))+ISBLANK(P$3:P$186))</f>
        <v>0</v>
      </c>
      <c r="Q194" s="1">
        <f>SUMPRODUCT((NOT(ISBLANK(Q$3:Q$186))*(Q$3:Q$186&gt;$AU$3:$AU$186))+ISBLANK(Q$3:Q$186))</f>
        <v>0</v>
      </c>
      <c r="R194" s="1">
        <f>SUMPRODUCT((NOT(ISBLANK(R$3:R$186))*(R$3:R$186&gt;$AV$3:$AV$186))+ISBLANK(R$3:R$186))</f>
        <v>0</v>
      </c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</row>
    <row r="195" spans="1:63">
      <c r="A195" s="1" t="s">
        <v>190</v>
      </c>
      <c r="B195" s="1">
        <f>SUMPRODUCT((NOT(ISBLANK(B$3:B$186))*(B$3:B$186=$AW$3:$AW$186))+ISBLANK(B$3:B$186))</f>
        <v>0</v>
      </c>
      <c r="C195" s="1">
        <f>SUMPRODUCT((NOT(ISBLANK(C$3:C$186))*(C$3:C$186=$AX$3:$AX$186))+ISBLANK(C$3:C$186))</f>
        <v>0</v>
      </c>
      <c r="D195" s="1">
        <f>SUMPRODUCT((NOT(ISBLANK(D$3:D$186))*(D$3:D$186=$AY$3:$AY$186))+ISBLANK(D$3:D$186))</f>
        <v>0</v>
      </c>
      <c r="E195" s="1">
        <f>SUMPRODUCT((NOT(ISBLANK(E$3:E$186))*(E$3:E$186=$AZ$3:$AZ$186))+ISBLANK(E$3:E$186))</f>
        <v>0</v>
      </c>
      <c r="F195" s="1">
        <f>SUMPRODUCT((NOT(ISBLANK(F$3:F$186))*(F$3:F$186=$BA$3:$BA$186))+ISBLANK(F$3:F$186))</f>
        <v>0</v>
      </c>
      <c r="G195" s="1">
        <f>SUMPRODUCT((NOT(ISBLANK(G$3:G$186))*(G$3:G$186=$BB$3:$BB$186))+ISBLANK(G$3:G$186))</f>
        <v>0</v>
      </c>
      <c r="H195" s="1">
        <f>SUMPRODUCT((NOT(ISBLANK(H$3:H$186))*(H$3:H$186=$BC$3:$BC$186))+ISBLANK(H$3:H$186))</f>
        <v>0</v>
      </c>
      <c r="I195" s="1">
        <f>SUMPRODUCT((NOT(ISBLANK(I$3:I$186))*(I$3:I$186=$BD$3:$BD$186))+ISBLANK(I$3:I$186))</f>
        <v>0</v>
      </c>
      <c r="J195" s="1">
        <f>SUMPRODUCT((NOT(ISBLANK(J$3:J$186))*(J$3:J$186=$BE$3:$BE$186))+ISBLANK(J$3:J$186))</f>
        <v>0</v>
      </c>
      <c r="K195" s="1">
        <f>SUMPRODUCT((NOT(ISBLANK(K$3:K$186))*(K$3:K$186=$BF$3:$BF$186))+ISBLANK(K$3:K$186))</f>
        <v>0</v>
      </c>
      <c r="L195" s="1"/>
      <c r="M195" s="1">
        <f>SUMPRODUCT((NOT(ISBLANK(M$3:M$186))*(M$3:M$186=$BG$3:$BG$186))+ISBLANK(M$3:M$186))</f>
        <v>0</v>
      </c>
      <c r="N195" s="1">
        <f>SUMPRODUCT((NOT(ISBLANK(N$3:N$186))*(N$3:N$186=$BH$3:$BH$186))+ISBLANK(N$3:N$186))</f>
        <v>0</v>
      </c>
      <c r="O195" s="1"/>
      <c r="P195" s="1">
        <f>SUMPRODUCT((NOT(ISBLANK(P$3:P$186))*(P$3:P$186=$BI$3:$BI$186))+ISBLANK(P$3:P$186))</f>
        <v>0</v>
      </c>
      <c r="Q195" s="1">
        <f>SUMPRODUCT((NOT(ISBLANK(Q$3:Q$186))*(Q$3:Q$186=$BJ$3:$BJ$186))+ISBLANK(Q$3:Q$186))</f>
        <v>0</v>
      </c>
      <c r="R195" s="1">
        <f>SUMPRODUCT((NOT(ISBLANK(R$3:R$186))*(R$3:R$186=$BK$3:$BK$186))+ISBLANK(R$3:R$186))</f>
        <v>0</v>
      </c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95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20.140625" customWidth="1"/>
    <col min="2" max="8" width="11.42578125" customWidth="1"/>
    <col min="9" max="9" width="12" customWidth="1"/>
    <col min="10" max="13" width="11.42578125" customWidth="1"/>
    <col min="14" max="14" width="12.140625" customWidth="1"/>
    <col min="15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 t="s">
        <v>217</v>
      </c>
      <c r="B1" s="1" t="s">
        <v>191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214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215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216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2" t="s">
        <v>215</v>
      </c>
      <c r="B2" s="1" t="s">
        <v>192</v>
      </c>
      <c r="C2" s="1" t="s">
        <v>193</v>
      </c>
      <c r="D2" s="1" t="s">
        <v>194</v>
      </c>
      <c r="E2" s="1" t="s">
        <v>195</v>
      </c>
      <c r="F2" s="1" t="s">
        <v>196</v>
      </c>
      <c r="G2" s="1" t="s">
        <v>197</v>
      </c>
      <c r="H2" s="1" t="s">
        <v>198</v>
      </c>
      <c r="I2" s="1" t="s">
        <v>199</v>
      </c>
      <c r="J2" s="1" t="s">
        <v>200</v>
      </c>
      <c r="K2" s="1" t="s">
        <v>201</v>
      </c>
      <c r="L2" s="1" t="s">
        <v>202</v>
      </c>
      <c r="M2" s="1" t="s">
        <v>206</v>
      </c>
      <c r="N2" s="1" t="s">
        <v>207</v>
      </c>
      <c r="O2" s="1" t="s">
        <v>208</v>
      </c>
      <c r="P2" s="1" t="s">
        <v>211</v>
      </c>
      <c r="Q2" s="1" t="s">
        <v>212</v>
      </c>
      <c r="R2" s="1" t="s">
        <v>213</v>
      </c>
      <c r="S2" s="1" t="s">
        <v>192</v>
      </c>
      <c r="T2" s="1" t="s">
        <v>193</v>
      </c>
      <c r="U2" s="1" t="s">
        <v>194</v>
      </c>
      <c r="V2" s="1" t="s">
        <v>195</v>
      </c>
      <c r="W2" s="1" t="s">
        <v>196</v>
      </c>
      <c r="X2" s="1" t="s">
        <v>197</v>
      </c>
      <c r="Y2" s="1" t="s">
        <v>198</v>
      </c>
      <c r="Z2" s="1" t="s">
        <v>199</v>
      </c>
      <c r="AA2" s="1" t="s">
        <v>200</v>
      </c>
      <c r="AB2" s="1" t="s">
        <v>201</v>
      </c>
      <c r="AC2" s="1" t="s">
        <v>206</v>
      </c>
      <c r="AD2" s="1" t="s">
        <v>207</v>
      </c>
      <c r="AE2" s="1" t="s">
        <v>211</v>
      </c>
      <c r="AF2" s="1" t="s">
        <v>212</v>
      </c>
      <c r="AG2" s="1" t="s">
        <v>213</v>
      </c>
      <c r="AH2" s="1" t="s">
        <v>192</v>
      </c>
      <c r="AI2" s="1" t="s">
        <v>193</v>
      </c>
      <c r="AJ2" s="1" t="s">
        <v>194</v>
      </c>
      <c r="AK2" s="1" t="s">
        <v>195</v>
      </c>
      <c r="AL2" s="1" t="s">
        <v>196</v>
      </c>
      <c r="AM2" s="1" t="s">
        <v>197</v>
      </c>
      <c r="AN2" s="1" t="s">
        <v>198</v>
      </c>
      <c r="AO2" s="1" t="s">
        <v>199</v>
      </c>
      <c r="AP2" s="1" t="s">
        <v>200</v>
      </c>
      <c r="AQ2" s="1" t="s">
        <v>201</v>
      </c>
      <c r="AR2" s="1" t="s">
        <v>206</v>
      </c>
      <c r="AS2" s="1" t="s">
        <v>207</v>
      </c>
      <c r="AT2" s="1" t="s">
        <v>211</v>
      </c>
      <c r="AU2" s="1" t="s">
        <v>212</v>
      </c>
      <c r="AV2" s="1" t="s">
        <v>213</v>
      </c>
      <c r="AW2" s="1" t="s">
        <v>192</v>
      </c>
      <c r="AX2" s="1" t="s">
        <v>193</v>
      </c>
      <c r="AY2" s="1" t="s">
        <v>194</v>
      </c>
      <c r="AZ2" s="1" t="s">
        <v>195</v>
      </c>
      <c r="BA2" s="1" t="s">
        <v>196</v>
      </c>
      <c r="BB2" s="1" t="s">
        <v>197</v>
      </c>
      <c r="BC2" s="1" t="s">
        <v>198</v>
      </c>
      <c r="BD2" s="1" t="s">
        <v>199</v>
      </c>
      <c r="BE2" s="1" t="s">
        <v>200</v>
      </c>
      <c r="BF2" s="1" t="s">
        <v>201</v>
      </c>
      <c r="BG2" s="1" t="s">
        <v>206</v>
      </c>
      <c r="BH2" s="1" t="s">
        <v>207</v>
      </c>
      <c r="BI2" s="1" t="s">
        <v>211</v>
      </c>
      <c r="BJ2" s="1" t="s">
        <v>212</v>
      </c>
      <c r="BK2" s="1" t="s">
        <v>213</v>
      </c>
    </row>
    <row r="3" spans="1:63">
      <c r="A3" s="1" t="s">
        <v>0</v>
      </c>
      <c r="B3" s="1"/>
      <c r="C3" s="1"/>
      <c r="D3" s="1"/>
      <c r="E3" s="1" cm="1">
        <f t="array" ref="E3">_xlfn.SWITCH($A$2,"average", AVERAGE(Instances!E3:Instances!E3),"median", MEDIAN(Instances!E3:Instances!E3),"min", MIN(Instances!E3:Instances!E3),"max", MAX(Instances!E3:Instances!E3),"diff", MAX(Instances!E3:Instances!E3)-MIN(Instances!E3:Instances!E3))</f>
        <v>0</v>
      </c>
      <c r="F3" s="1" cm="1">
        <f t="array" ref="F3">_xlfn.SWITCH($A$2,"average", AVERAGE(Instances!F3:Instances!F3),"median", MEDIAN(Instances!F3:Instances!F3),"min", MIN(Instances!F3:Instances!F3),"max", MAX(Instances!F3:Instances!F3),"diff", MAX(Instances!F3:Instances!F3)-MIN(Instances!F3:Instances!F3))</f>
        <v>0</v>
      </c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/>
      <c r="I3" s="1"/>
      <c r="J3" s="1" cm="1">
        <f t="array" ref="J3">_xlfn.SWITCH($A$2,"average", AVERAGE(Instances!J3:Instances!J3),"median", MEDIAN(Instances!J3:Instances!J3),"min", MIN(Instances!J3:Instances!J3),"max", MAX(Instances!J3:Instances!J3),"diff", MAX(Instances!J3:Instances!J3)-MIN(Instances!J3:Instances!J3))</f>
        <v>0</v>
      </c>
      <c r="K3" s="1"/>
      <c r="L3" s="1"/>
      <c r="M3" s="1"/>
      <c r="N3" s="1"/>
      <c r="O3" s="1"/>
      <c r="P3" s="1" cm="1">
        <f t="array" ref="P3">_xlfn.SWITCH($A$2,"average", AVERAGE(Instances!P3:Instances!P3),"median", MEDIAN(Instances!P3:Instances!P3),"min", MIN(Instances!P3:Instances!P3),"max", MAX(Instances!P3:Instances!P3),"diff", MAX(Instances!P3:Instances!P3)-MIN(Instances!P3:Instances!P3))</f>
        <v>0</v>
      </c>
      <c r="Q3" s="1" cm="1">
        <f t="array" ref="Q3">_xlfn.SWITCH($A$2,"average", AVERAGE(Instances!Q3:Instances!Q3),"median", MEDIAN(Instances!Q3:Instances!Q3),"min", MIN(Instances!Q3:Instances!Q3),"max", MAX(Instances!Q3:Instances!Q3),"diff", MAX(Instances!Q3:Instances!Q3)-MIN(Instances!Q3:Instances!Q3))</f>
        <v>0</v>
      </c>
      <c r="R3" s="1"/>
      <c r="S3" s="1"/>
      <c r="T3" s="1"/>
      <c r="U3" s="1"/>
      <c r="V3" s="1">
        <f>MIN($E3)</f>
        <v>0</v>
      </c>
      <c r="W3" s="1">
        <f>MIN($F3)</f>
        <v>0</v>
      </c>
      <c r="X3" s="1">
        <f>MIN($G3)</f>
        <v>0</v>
      </c>
      <c r="Y3" s="1"/>
      <c r="Z3" s="1"/>
      <c r="AA3" s="1">
        <f>MIN($J3)</f>
        <v>0</v>
      </c>
      <c r="AB3" s="1"/>
      <c r="AC3" s="1"/>
      <c r="AD3" s="1"/>
      <c r="AE3" s="1">
        <f>MIN($P3)</f>
        <v>0</v>
      </c>
      <c r="AF3" s="1">
        <f>MIN($Q3)</f>
        <v>0</v>
      </c>
      <c r="AG3" s="1"/>
      <c r="AH3" s="1"/>
      <c r="AI3" s="1"/>
      <c r="AJ3" s="1"/>
      <c r="AK3" s="1">
        <f>MEDIAN($E3)</f>
        <v>0</v>
      </c>
      <c r="AL3" s="1">
        <f>MEDIAN($F3)</f>
        <v>0</v>
      </c>
      <c r="AM3" s="1">
        <f>MEDIAN($G3)</f>
        <v>0</v>
      </c>
      <c r="AN3" s="1"/>
      <c r="AO3" s="1"/>
      <c r="AP3" s="1">
        <f>MEDIAN($J3)</f>
        <v>0</v>
      </c>
      <c r="AQ3" s="1"/>
      <c r="AR3" s="1"/>
      <c r="AS3" s="1"/>
      <c r="AT3" s="1">
        <f>MEDIAN($P3)</f>
        <v>0</v>
      </c>
      <c r="AU3" s="1">
        <f>MEDIAN($Q3)</f>
        <v>0</v>
      </c>
      <c r="AV3" s="1"/>
      <c r="AW3" s="1"/>
      <c r="AX3" s="1"/>
      <c r="AY3" s="1"/>
      <c r="AZ3" s="1">
        <f>MAX($E3)</f>
        <v>0</v>
      </c>
      <c r="BA3" s="1">
        <f>MAX($F3)</f>
        <v>0</v>
      </c>
      <c r="BB3" s="1">
        <f>MAX($G3)</f>
        <v>0</v>
      </c>
      <c r="BC3" s="1"/>
      <c r="BD3" s="1"/>
      <c r="BE3" s="1">
        <f>MAX($J3)</f>
        <v>0</v>
      </c>
      <c r="BF3" s="1"/>
      <c r="BG3" s="1"/>
      <c r="BH3" s="1"/>
      <c r="BI3" s="1">
        <f>MAX($P3)</f>
        <v>0</v>
      </c>
      <c r="BJ3" s="1">
        <f>MAX($Q3)</f>
        <v>0</v>
      </c>
      <c r="BK3" s="1"/>
    </row>
    <row r="4" spans="1:63">
      <c r="A4" s="1" t="s">
        <v>1</v>
      </c>
      <c r="B4" s="1"/>
      <c r="C4" s="1"/>
      <c r="D4" s="1"/>
      <c r="E4" s="1" cm="1">
        <f t="array" ref="E4">_xlfn.SWITCH($A$2,"average", AVERAGE(Instances!E4:Instances!E4),"median", MEDIAN(Instances!E4:Instances!E4),"min", MIN(Instances!E4:Instances!E4),"max", MAX(Instances!E4:Instances!E4),"diff", MAX(Instances!E4:Instances!E4)-MIN(Instances!E4:Instances!E4))</f>
        <v>0</v>
      </c>
      <c r="F4" s="1" cm="1">
        <f t="array" ref="F4">_xlfn.SWITCH($A$2,"average", AVERAGE(Instances!F4:Instances!F4),"median", MEDIAN(Instances!F4:Instances!F4),"min", MIN(Instances!F4:Instances!F4),"max", MAX(Instances!F4:Instances!F4),"diff", MAX(Instances!F4:Instances!F4)-MIN(Instances!F4:Instances!F4))</f>
        <v>0</v>
      </c>
      <c r="G4" s="1" cm="1">
        <f t="array" ref="G4">_xlfn.SWITCH($A$2,"average", AVERAGE(Instances!G4:Instances!G4),"median", MEDIAN(Instances!G4:Instances!G4),"min", MIN(Instances!G4:Instances!G4),"max", MAX(Instances!G4:Instances!G4),"diff", MAX(Instances!G4:Instances!G4)-MIN(Instances!G4:Instances!G4))</f>
        <v>0</v>
      </c>
      <c r="H4" s="1"/>
      <c r="I4" s="1"/>
      <c r="J4" s="1" cm="1">
        <f t="array" ref="J4">_xlfn.SWITCH($A$2,"average", AVERAGE(Instances!J4:Instances!J4),"median", MEDIAN(Instances!J4:Instances!J4),"min", MIN(Instances!J4:Instances!J4),"max", MAX(Instances!J4:Instances!J4),"diff", MAX(Instances!J4:Instances!J4)-MIN(Instances!J4:Instances!J4))</f>
        <v>0</v>
      </c>
      <c r="K4" s="1"/>
      <c r="L4" s="1"/>
      <c r="M4" s="1"/>
      <c r="N4" s="1"/>
      <c r="O4" s="1"/>
      <c r="P4" s="1" cm="1">
        <f t="array" ref="P4">_xlfn.SWITCH($A$2,"average", AVERAGE(Instances!P4:Instances!P4),"median", MEDIAN(Instances!P4:Instances!P4),"min", MIN(Instances!P4:Instances!P4),"max", MAX(Instances!P4:Instances!P4),"diff", MAX(Instances!P4:Instances!P4)-MIN(Instances!P4:Instances!P4))</f>
        <v>0</v>
      </c>
      <c r="Q4" s="1" cm="1">
        <f t="array" ref="Q4">_xlfn.SWITCH($A$2,"average", AVERAGE(Instances!Q4:Instances!Q4),"median", MEDIAN(Instances!Q4:Instances!Q4),"min", MIN(Instances!Q4:Instances!Q4),"max", MAX(Instances!Q4:Instances!Q4),"diff", MAX(Instances!Q4:Instances!Q4)-MIN(Instances!Q4:Instances!Q4))</f>
        <v>0</v>
      </c>
      <c r="R4" s="1"/>
      <c r="S4" s="1"/>
      <c r="T4" s="1"/>
      <c r="U4" s="1"/>
      <c r="V4" s="1">
        <f>MIN($E4)</f>
        <v>0</v>
      </c>
      <c r="W4" s="1">
        <f>MIN($F4)</f>
        <v>0</v>
      </c>
      <c r="X4" s="1">
        <f>MIN($G4)</f>
        <v>0</v>
      </c>
      <c r="Y4" s="1"/>
      <c r="Z4" s="1"/>
      <c r="AA4" s="1">
        <f>MIN($J4)</f>
        <v>0</v>
      </c>
      <c r="AB4" s="1"/>
      <c r="AC4" s="1"/>
      <c r="AD4" s="1"/>
      <c r="AE4" s="1">
        <f>MIN($P4)</f>
        <v>0</v>
      </c>
      <c r="AF4" s="1">
        <f>MIN($Q4)</f>
        <v>0</v>
      </c>
      <c r="AG4" s="1"/>
      <c r="AH4" s="1"/>
      <c r="AI4" s="1"/>
      <c r="AJ4" s="1"/>
      <c r="AK4" s="1">
        <f>MEDIAN($E4)</f>
        <v>0</v>
      </c>
      <c r="AL4" s="1">
        <f>MEDIAN($F4)</f>
        <v>0</v>
      </c>
      <c r="AM4" s="1">
        <f>MEDIAN($G4)</f>
        <v>0</v>
      </c>
      <c r="AN4" s="1"/>
      <c r="AO4" s="1"/>
      <c r="AP4" s="1">
        <f>MEDIAN($J4)</f>
        <v>0</v>
      </c>
      <c r="AQ4" s="1"/>
      <c r="AR4" s="1"/>
      <c r="AS4" s="1"/>
      <c r="AT4" s="1">
        <f>MEDIAN($P4)</f>
        <v>0</v>
      </c>
      <c r="AU4" s="1">
        <f>MEDIAN($Q4)</f>
        <v>0</v>
      </c>
      <c r="AV4" s="1"/>
      <c r="AW4" s="1"/>
      <c r="AX4" s="1"/>
      <c r="AY4" s="1"/>
      <c r="AZ4" s="1">
        <f>MAX($E4)</f>
        <v>0</v>
      </c>
      <c r="BA4" s="1">
        <f>MAX($F4)</f>
        <v>0</v>
      </c>
      <c r="BB4" s="1">
        <f>MAX($G4)</f>
        <v>0</v>
      </c>
      <c r="BC4" s="1"/>
      <c r="BD4" s="1"/>
      <c r="BE4" s="1">
        <f>MAX($J4)</f>
        <v>0</v>
      </c>
      <c r="BF4" s="1"/>
      <c r="BG4" s="1"/>
      <c r="BH4" s="1"/>
      <c r="BI4" s="1">
        <f>MAX($P4)</f>
        <v>0</v>
      </c>
      <c r="BJ4" s="1">
        <f>MAX($Q4)</f>
        <v>0</v>
      </c>
      <c r="BK4" s="1"/>
    </row>
    <row r="5" spans="1:63">
      <c r="A5" s="1" t="s">
        <v>2</v>
      </c>
      <c r="B5" s="1"/>
      <c r="C5" s="1"/>
      <c r="D5" s="1"/>
      <c r="E5" s="1" cm="1">
        <f t="array" ref="E5">_xlfn.SWITCH($A$2,"average", AVERAGE(Instances!E5:Instances!E5),"median", MEDIAN(Instances!E5:Instances!E5),"min", MIN(Instances!E5:Instances!E5),"max", MAX(Instances!E5:Instances!E5),"diff", MAX(Instances!E5:Instances!E5)-MIN(Instances!E5:Instances!E5))</f>
        <v>0</v>
      </c>
      <c r="F5" s="1" cm="1">
        <f t="array" ref="F5">_xlfn.SWITCH($A$2,"average", AVERAGE(Instances!F5:Instances!F5),"median", MEDIAN(Instances!F5:Instances!F5),"min", MIN(Instances!F5:Instances!F5),"max", MAX(Instances!F5:Instances!F5),"diff", MAX(Instances!F5:Instances!F5)-MIN(Instances!F5:Instances!F5))</f>
        <v>0</v>
      </c>
      <c r="G5" s="1" cm="1">
        <f t="array" ref="G5">_xlfn.SWITCH($A$2,"average", AVERAGE(Instances!G5:Instances!G5),"median", MEDIAN(Instances!G5:Instances!G5),"min", MIN(Instances!G5:Instances!G5),"max", MAX(Instances!G5:Instances!G5),"diff", MAX(Instances!G5:Instances!G5)-MIN(Instances!G5:Instances!G5))</f>
        <v>0</v>
      </c>
      <c r="H5" s="1"/>
      <c r="I5" s="1"/>
      <c r="J5" s="1" cm="1">
        <f t="array" ref="J5">_xlfn.SWITCH($A$2,"average", AVERAGE(Instances!J5:Instances!J5),"median", MEDIAN(Instances!J5:Instances!J5),"min", MIN(Instances!J5:Instances!J5),"max", MAX(Instances!J5:Instances!J5),"diff", MAX(Instances!J5:Instances!J5)-MIN(Instances!J5:Instances!J5))</f>
        <v>0</v>
      </c>
      <c r="K5" s="1"/>
      <c r="L5" s="1"/>
      <c r="M5" s="1"/>
      <c r="N5" s="1"/>
      <c r="O5" s="1"/>
      <c r="P5" s="1" cm="1">
        <f t="array" ref="P5">_xlfn.SWITCH($A$2,"average", AVERAGE(Instances!P5:Instances!P5),"median", MEDIAN(Instances!P5:Instances!P5),"min", MIN(Instances!P5:Instances!P5),"max", MAX(Instances!P5:Instances!P5),"diff", MAX(Instances!P5:Instances!P5)-MIN(Instances!P5:Instances!P5))</f>
        <v>0</v>
      </c>
      <c r="Q5" s="1" cm="1">
        <f t="array" ref="Q5">_xlfn.SWITCH($A$2,"average", AVERAGE(Instances!Q5:Instances!Q5),"median", MEDIAN(Instances!Q5:Instances!Q5),"min", MIN(Instances!Q5:Instances!Q5),"max", MAX(Instances!Q5:Instances!Q5),"diff", MAX(Instances!Q5:Instances!Q5)-MIN(Instances!Q5:Instances!Q5))</f>
        <v>0</v>
      </c>
      <c r="R5" s="1"/>
      <c r="S5" s="1"/>
      <c r="T5" s="1"/>
      <c r="U5" s="1"/>
      <c r="V5" s="1">
        <f>MIN($E5)</f>
        <v>0</v>
      </c>
      <c r="W5" s="1">
        <f>MIN($F5)</f>
        <v>0</v>
      </c>
      <c r="X5" s="1">
        <f>MIN($G5)</f>
        <v>0</v>
      </c>
      <c r="Y5" s="1"/>
      <c r="Z5" s="1"/>
      <c r="AA5" s="1">
        <f>MIN($J5)</f>
        <v>0</v>
      </c>
      <c r="AB5" s="1"/>
      <c r="AC5" s="1"/>
      <c r="AD5" s="1"/>
      <c r="AE5" s="1">
        <f>MIN($P5)</f>
        <v>0</v>
      </c>
      <c r="AF5" s="1">
        <f>MIN($Q5)</f>
        <v>0</v>
      </c>
      <c r="AG5" s="1"/>
      <c r="AH5" s="1"/>
      <c r="AI5" s="1"/>
      <c r="AJ5" s="1"/>
      <c r="AK5" s="1">
        <f>MEDIAN($E5)</f>
        <v>0</v>
      </c>
      <c r="AL5" s="1">
        <f>MEDIAN($F5)</f>
        <v>0</v>
      </c>
      <c r="AM5" s="1">
        <f>MEDIAN($G5)</f>
        <v>0</v>
      </c>
      <c r="AN5" s="1"/>
      <c r="AO5" s="1"/>
      <c r="AP5" s="1">
        <f>MEDIAN($J5)</f>
        <v>0</v>
      </c>
      <c r="AQ5" s="1"/>
      <c r="AR5" s="1"/>
      <c r="AS5" s="1"/>
      <c r="AT5" s="1">
        <f>MEDIAN($P5)</f>
        <v>0</v>
      </c>
      <c r="AU5" s="1">
        <f>MEDIAN($Q5)</f>
        <v>0</v>
      </c>
      <c r="AV5" s="1"/>
      <c r="AW5" s="1"/>
      <c r="AX5" s="1"/>
      <c r="AY5" s="1"/>
      <c r="AZ5" s="1">
        <f>MAX($E5)</f>
        <v>0</v>
      </c>
      <c r="BA5" s="1">
        <f>MAX($F5)</f>
        <v>0</v>
      </c>
      <c r="BB5" s="1">
        <f>MAX($G5)</f>
        <v>0</v>
      </c>
      <c r="BC5" s="1"/>
      <c r="BD5" s="1"/>
      <c r="BE5" s="1">
        <f>MAX($J5)</f>
        <v>0</v>
      </c>
      <c r="BF5" s="1"/>
      <c r="BG5" s="1"/>
      <c r="BH5" s="1"/>
      <c r="BI5" s="1">
        <f>MAX($P5)</f>
        <v>0</v>
      </c>
      <c r="BJ5" s="1">
        <f>MAX($Q5)</f>
        <v>0</v>
      </c>
      <c r="BK5" s="1"/>
    </row>
    <row r="6" spans="1:63">
      <c r="A6" s="1" t="s">
        <v>3</v>
      </c>
      <c r="B6" s="1"/>
      <c r="C6" s="1"/>
      <c r="D6" s="1"/>
      <c r="E6" s="1" cm="1">
        <f t="array" ref="E6">_xlfn.SWITCH($A$2,"average", AVERAGE(Instances!E6:Instances!E6),"median", MEDIAN(Instances!E6:Instances!E6),"min", MIN(Instances!E6:Instances!E6),"max", MAX(Instances!E6:Instances!E6),"diff", MAX(Instances!E6:Instances!E6)-MIN(Instances!E6:Instances!E6))</f>
        <v>0</v>
      </c>
      <c r="F6" s="1" cm="1">
        <f t="array" ref="F6">_xlfn.SWITCH($A$2,"average", AVERAGE(Instances!F6:Instances!F6),"median", MEDIAN(Instances!F6:Instances!F6),"min", MIN(Instances!F6:Instances!F6),"max", MAX(Instances!F6:Instances!F6),"diff", MAX(Instances!F6:Instances!F6)-MIN(Instances!F6:Instances!F6))</f>
        <v>0</v>
      </c>
      <c r="G6" s="1" cm="1">
        <f t="array" ref="G6">_xlfn.SWITCH($A$2,"average", AVERAGE(Instances!G6:Instances!G6),"median", MEDIAN(Instances!G6:Instances!G6),"min", MIN(Instances!G6:Instances!G6),"max", MAX(Instances!G6:Instances!G6),"diff", MAX(Instances!G6:Instances!G6)-MIN(Instances!G6:Instances!G6))</f>
        <v>0</v>
      </c>
      <c r="H6" s="1"/>
      <c r="I6" s="1"/>
      <c r="J6" s="1" cm="1">
        <f t="array" ref="J6">_xlfn.SWITCH($A$2,"average", AVERAGE(Instances!J6:Instances!J6),"median", MEDIAN(Instances!J6:Instances!J6),"min", MIN(Instances!J6:Instances!J6),"max", MAX(Instances!J6:Instances!J6),"diff", MAX(Instances!J6:Instances!J6)-MIN(Instances!J6:Instances!J6))</f>
        <v>0</v>
      </c>
      <c r="K6" s="1"/>
      <c r="L6" s="1"/>
      <c r="M6" s="1"/>
      <c r="N6" s="1"/>
      <c r="O6" s="1"/>
      <c r="P6" s="1" cm="1">
        <f t="array" ref="P6">_xlfn.SWITCH($A$2,"average", AVERAGE(Instances!P6:Instances!P6),"median", MEDIAN(Instances!P6:Instances!P6),"min", MIN(Instances!P6:Instances!P6),"max", MAX(Instances!P6:Instances!P6),"diff", MAX(Instances!P6:Instances!P6)-MIN(Instances!P6:Instances!P6))</f>
        <v>0</v>
      </c>
      <c r="Q6" s="1" cm="1">
        <f t="array" ref="Q6">_xlfn.SWITCH($A$2,"average", AVERAGE(Instances!Q6:Instances!Q6),"median", MEDIAN(Instances!Q6:Instances!Q6),"min", MIN(Instances!Q6:Instances!Q6),"max", MAX(Instances!Q6:Instances!Q6),"diff", MAX(Instances!Q6:Instances!Q6)-MIN(Instances!Q6:Instances!Q6))</f>
        <v>0</v>
      </c>
      <c r="R6" s="1"/>
      <c r="S6" s="1"/>
      <c r="T6" s="1"/>
      <c r="U6" s="1"/>
      <c r="V6" s="1">
        <f>MIN($E6)</f>
        <v>0</v>
      </c>
      <c r="W6" s="1">
        <f>MIN($F6)</f>
        <v>0</v>
      </c>
      <c r="X6" s="1">
        <f>MIN($G6)</f>
        <v>0</v>
      </c>
      <c r="Y6" s="1"/>
      <c r="Z6" s="1"/>
      <c r="AA6" s="1">
        <f>MIN($J6)</f>
        <v>0</v>
      </c>
      <c r="AB6" s="1"/>
      <c r="AC6" s="1"/>
      <c r="AD6" s="1"/>
      <c r="AE6" s="1">
        <f>MIN($P6)</f>
        <v>0</v>
      </c>
      <c r="AF6" s="1">
        <f>MIN($Q6)</f>
        <v>0</v>
      </c>
      <c r="AG6" s="1"/>
      <c r="AH6" s="1"/>
      <c r="AI6" s="1"/>
      <c r="AJ6" s="1"/>
      <c r="AK6" s="1">
        <f>MEDIAN($E6)</f>
        <v>0</v>
      </c>
      <c r="AL6" s="1">
        <f>MEDIAN($F6)</f>
        <v>0</v>
      </c>
      <c r="AM6" s="1">
        <f>MEDIAN($G6)</f>
        <v>0</v>
      </c>
      <c r="AN6" s="1"/>
      <c r="AO6" s="1"/>
      <c r="AP6" s="1">
        <f>MEDIAN($J6)</f>
        <v>0</v>
      </c>
      <c r="AQ6" s="1"/>
      <c r="AR6" s="1"/>
      <c r="AS6" s="1"/>
      <c r="AT6" s="1">
        <f>MEDIAN($P6)</f>
        <v>0</v>
      </c>
      <c r="AU6" s="1">
        <f>MEDIAN($Q6)</f>
        <v>0</v>
      </c>
      <c r="AV6" s="1"/>
      <c r="AW6" s="1"/>
      <c r="AX6" s="1"/>
      <c r="AY6" s="1"/>
      <c r="AZ6" s="1">
        <f>MAX($E6)</f>
        <v>0</v>
      </c>
      <c r="BA6" s="1">
        <f>MAX($F6)</f>
        <v>0</v>
      </c>
      <c r="BB6" s="1">
        <f>MAX($G6)</f>
        <v>0</v>
      </c>
      <c r="BC6" s="1"/>
      <c r="BD6" s="1"/>
      <c r="BE6" s="1">
        <f>MAX($J6)</f>
        <v>0</v>
      </c>
      <c r="BF6" s="1"/>
      <c r="BG6" s="1"/>
      <c r="BH6" s="1"/>
      <c r="BI6" s="1">
        <f>MAX($P6)</f>
        <v>0</v>
      </c>
      <c r="BJ6" s="1">
        <f>MAX($Q6)</f>
        <v>0</v>
      </c>
      <c r="BK6" s="1"/>
    </row>
    <row r="7" spans="1:63">
      <c r="A7" s="1" t="s">
        <v>4</v>
      </c>
      <c r="B7" s="1" cm="1">
        <f t="array" ref="B7">_xlfn.SWITCH($A$2,"average", AVERAGE(Instances!B7:Instances!B7),"median", MEDIAN(Instances!B7:Instances!B7),"min", MIN(Instances!B7:Instances!B7),"max", MAX(Instances!B7:Instances!B7),"diff", MAX(Instances!B7:Instances!B7)-MIN(Instances!B7:Instances!B7))</f>
        <v>0</v>
      </c>
      <c r="C7" s="1" cm="1">
        <f t="array" ref="C7">_xlfn.SWITCH($A$2,"average", AVERAGE(Instances!C7:Instances!C7),"median", MEDIAN(Instances!C7:Instances!C7),"min", MIN(Instances!C7:Instances!C7),"max", MAX(Instances!C7:Instances!C7),"diff", MAX(Instances!C7:Instances!C7)-MIN(Instances!C7:Instances!C7))</f>
        <v>0</v>
      </c>
      <c r="D7" s="1" cm="1">
        <f t="array" ref="D7">_xlfn.SWITCH($A$2,"average", AVERAGE(Instances!D7:Instances!D7),"median", MEDIAN(Instances!D7:Instances!D7),"min", MIN(Instances!D7:Instances!D7),"max", MAX(Instances!D7:Instances!D7),"diff", MAX(Instances!D7:Instances!D7)-MIN(Instances!D7:Instances!D7))</f>
        <v>0</v>
      </c>
      <c r="E7" s="1" cm="1">
        <f t="array" ref="E7">_xlfn.SWITCH($A$2,"average", AVERAGE(Instances!E7:Instances!E7),"median", MEDIAN(Instances!E7:Instances!E7),"min", MIN(Instances!E7:Instances!E7),"max", MAX(Instances!E7:Instances!E7),"diff", MAX(Instances!E7:Instances!E7)-MIN(Instances!E7:Instances!E7))</f>
        <v>0</v>
      </c>
      <c r="F7" s="1" cm="1">
        <f t="array" ref="F7">_xlfn.SWITCH($A$2,"average", AVERAGE(Instances!F7:Instances!F7),"median", MEDIAN(Instances!F7:Instances!F7),"min", MIN(Instances!F7:Instances!F7),"max", MAX(Instances!F7:Instances!F7),"diff", MAX(Instances!F7:Instances!F7)-MIN(Instances!F7:Instances!F7))</f>
        <v>0</v>
      </c>
      <c r="G7" s="1" cm="1">
        <f t="array" ref="G7">_xlfn.SWITCH($A$2,"average", AVERAGE(Instances!G7:Instances!G7),"median", MEDIAN(Instances!G7:Instances!G7),"min", MIN(Instances!G7:Instances!G7),"max", MAX(Instances!G7:Instances!G7),"diff", MAX(Instances!G7:Instances!G7)-MIN(Instances!G7:Instances!G7))</f>
        <v>0</v>
      </c>
      <c r="H7" s="1" cm="1">
        <f t="array" ref="H7">_xlfn.SWITCH($A$2,"average", AVERAGE(Instances!H7:Instances!H7),"median", MEDIAN(Instances!H7:Instances!H7),"min", MIN(Instances!H7:Instances!H7),"max", MAX(Instances!H7:Instances!H7),"diff", MAX(Instances!H7:Instances!H7)-MIN(Instances!H7:Instances!H7))</f>
        <v>0</v>
      </c>
      <c r="I7" s="1" cm="1">
        <f t="array" ref="I7">_xlfn.SWITCH($A$2,"average", AVERAGE(Instances!I7:Instances!I7),"median", MEDIAN(Instances!I7:Instances!I7),"min", MIN(Instances!I7:Instances!I7),"max", MAX(Instances!I7:Instances!I7),"diff", MAX(Instances!I7:Instances!I7)-MIN(Instances!I7:Instances!I7))</f>
        <v>0</v>
      </c>
      <c r="J7" s="1" cm="1">
        <f t="array" ref="J7">_xlfn.SWITCH($A$2,"average", AVERAGE(Instances!J7:Instances!J7),"median", MEDIAN(Instances!J7:Instances!J7),"min", MIN(Instances!J7:Instances!J7),"max", MAX(Instances!J7:Instances!J7),"diff", MAX(Instances!J7:Instances!J7)-MIN(Instances!J7:Instances!J7))</f>
        <v>0</v>
      </c>
      <c r="K7" s="1" cm="1">
        <f t="array" ref="K7">_xlfn.SWITCH($A$2,"average", AVERAGE(Instances!K7:Instances!K7),"median", MEDIAN(Instances!K7:Instances!K7),"min", MIN(Instances!K7:Instances!K7),"max", MAX(Instances!K7:Instances!K7),"diff", MAX(Instances!K7:Instances!K7)-MIN(Instances!K7:Instances!K7))</f>
        <v>0</v>
      </c>
      <c r="L7" s="1"/>
      <c r="M7" s="1" cm="1">
        <f t="array" ref="M7">_xlfn.SWITCH($A$2,"average", AVERAGE(Instances!M7:Instances!M7),"median", MEDIAN(Instances!M7:Instances!M7),"min", MIN(Instances!M7:Instances!M7),"max", MAX(Instances!M7:Instances!M7),"diff", MAX(Instances!M7:Instances!M7)-MIN(Instances!M7:Instances!M7))</f>
        <v>0</v>
      </c>
      <c r="N7" s="1" cm="1">
        <f t="array" ref="N7">_xlfn.SWITCH($A$2,"average", AVERAGE(Instances!N7:Instances!N7),"median", MEDIAN(Instances!N7:Instances!N7),"min", MIN(Instances!N7:Instances!N7),"max", MAX(Instances!N7:Instances!N7),"diff", MAX(Instances!N7:Instances!N7)-MIN(Instances!N7:Instances!N7))</f>
        <v>0</v>
      </c>
      <c r="O7" s="1"/>
      <c r="P7" s="1" cm="1">
        <f t="array" ref="P7">_xlfn.SWITCH($A$2,"average", AVERAGE(Instances!P7:Instances!P7),"median", MEDIAN(Instances!P7:Instances!P7),"min", MIN(Instances!P7:Instances!P7),"max", MAX(Instances!P7:Instances!P7),"diff", MAX(Instances!P7:Instances!P7)-MIN(Instances!P7:Instances!P7))</f>
        <v>0</v>
      </c>
      <c r="Q7" s="1" cm="1">
        <f t="array" ref="Q7">_xlfn.SWITCH($A$2,"average", AVERAGE(Instances!Q7:Instances!Q7),"median", MEDIAN(Instances!Q7:Instances!Q7),"min", MIN(Instances!Q7:Instances!Q7),"max", MAX(Instances!Q7:Instances!Q7),"diff", MAX(Instances!Q7:Instances!Q7)-MIN(Instances!Q7:Instances!Q7))</f>
        <v>0</v>
      </c>
      <c r="R7" s="1" cm="1">
        <f t="array" ref="R7">_xlfn.SWITCH($A$2,"average", AVERAGE(Instances!R7:Instances!R7),"median", MEDIAN(Instances!R7:Instances!R7),"min", MIN(Instances!R7:Instances!R7),"max", MAX(Instances!R7:Instances!R7),"diff", MAX(Instances!R7:Instances!R7)-MIN(Instances!R7:Instances!R7))</f>
        <v>0</v>
      </c>
      <c r="S7" s="1">
        <f>MIN($B7)</f>
        <v>0</v>
      </c>
      <c r="T7" s="1">
        <f>MIN($C7)</f>
        <v>0</v>
      </c>
      <c r="U7" s="1">
        <f>MIN($D7)</f>
        <v>0</v>
      </c>
      <c r="V7" s="1">
        <f>MIN($E7)</f>
        <v>0</v>
      </c>
      <c r="W7" s="1">
        <f>MIN($F7)</f>
        <v>0</v>
      </c>
      <c r="X7" s="1">
        <f>MIN($G7)</f>
        <v>0</v>
      </c>
      <c r="Y7" s="1">
        <f>MIN($H7)</f>
        <v>0</v>
      </c>
      <c r="Z7" s="1">
        <f>MIN($I7)</f>
        <v>0</v>
      </c>
      <c r="AA7" s="1">
        <f>MIN($J7)</f>
        <v>0</v>
      </c>
      <c r="AB7" s="1">
        <f>MIN($K7)</f>
        <v>0</v>
      </c>
      <c r="AC7" s="1">
        <f>MIN($M7)</f>
        <v>0</v>
      </c>
      <c r="AD7" s="1">
        <f>MIN($N7)</f>
        <v>0</v>
      </c>
      <c r="AE7" s="1">
        <f>MIN($P7)</f>
        <v>0</v>
      </c>
      <c r="AF7" s="1">
        <f>MIN($Q7)</f>
        <v>0</v>
      </c>
      <c r="AG7" s="1">
        <f>MIN($R7)</f>
        <v>0</v>
      </c>
      <c r="AH7" s="1">
        <f>MEDIAN($B7)</f>
        <v>0</v>
      </c>
      <c r="AI7" s="1">
        <f>MEDIAN($C7)</f>
        <v>0</v>
      </c>
      <c r="AJ7" s="1">
        <f>MEDIAN($D7)</f>
        <v>0</v>
      </c>
      <c r="AK7" s="1">
        <f>MEDIAN($E7)</f>
        <v>0</v>
      </c>
      <c r="AL7" s="1">
        <f>MEDIAN($F7)</f>
        <v>0</v>
      </c>
      <c r="AM7" s="1">
        <f>MEDIAN($G7)</f>
        <v>0</v>
      </c>
      <c r="AN7" s="1">
        <f>MEDIAN($H7)</f>
        <v>0</v>
      </c>
      <c r="AO7" s="1">
        <f>MEDIAN($I7)</f>
        <v>0</v>
      </c>
      <c r="AP7" s="1">
        <f>MEDIAN($J7)</f>
        <v>0</v>
      </c>
      <c r="AQ7" s="1">
        <f>MEDIAN($K7)</f>
        <v>0</v>
      </c>
      <c r="AR7" s="1">
        <f>MEDIAN($M7)</f>
        <v>0</v>
      </c>
      <c r="AS7" s="1">
        <f>MEDIAN($N7)</f>
        <v>0</v>
      </c>
      <c r="AT7" s="1">
        <f>MEDIAN($P7)</f>
        <v>0</v>
      </c>
      <c r="AU7" s="1">
        <f>MEDIAN($Q7)</f>
        <v>0</v>
      </c>
      <c r="AV7" s="1">
        <f>MEDIAN($R7)</f>
        <v>0</v>
      </c>
      <c r="AW7" s="1">
        <f>MAX($B7)</f>
        <v>0</v>
      </c>
      <c r="AX7" s="1">
        <f>MAX($C7)</f>
        <v>0</v>
      </c>
      <c r="AY7" s="1">
        <f>MAX($D7)</f>
        <v>0</v>
      </c>
      <c r="AZ7" s="1">
        <f>MAX($E7)</f>
        <v>0</v>
      </c>
      <c r="BA7" s="1">
        <f>MAX($F7)</f>
        <v>0</v>
      </c>
      <c r="BB7" s="1">
        <f>MAX($G7)</f>
        <v>0</v>
      </c>
      <c r="BC7" s="1">
        <f>MAX($H7)</f>
        <v>0</v>
      </c>
      <c r="BD7" s="1">
        <f>MAX($I7)</f>
        <v>0</v>
      </c>
      <c r="BE7" s="1">
        <f>MAX($J7)</f>
        <v>0</v>
      </c>
      <c r="BF7" s="1">
        <f>MAX($K7)</f>
        <v>0</v>
      </c>
      <c r="BG7" s="1">
        <f>MAX($M7)</f>
        <v>0</v>
      </c>
      <c r="BH7" s="1">
        <f>MAX($N7)</f>
        <v>0</v>
      </c>
      <c r="BI7" s="1">
        <f>MAX($P7)</f>
        <v>0</v>
      </c>
      <c r="BJ7" s="1">
        <f>MAX($Q7)</f>
        <v>0</v>
      </c>
      <c r="BK7" s="1">
        <f>MAX($R7)</f>
        <v>0</v>
      </c>
    </row>
    <row r="8" spans="1:63">
      <c r="A8" s="1" t="s">
        <v>5</v>
      </c>
      <c r="B8" s="1"/>
      <c r="C8" s="1"/>
      <c r="D8" s="1"/>
      <c r="E8" s="1" cm="1">
        <f t="array" ref="E8">_xlfn.SWITCH($A$2,"average", AVERAGE(Instances!E8:Instances!E8),"median", MEDIAN(Instances!E8:Instances!E8),"min", MIN(Instances!E8:Instances!E8),"max", MAX(Instances!E8:Instances!E8),"diff", MAX(Instances!E8:Instances!E8)-MIN(Instances!E8:Instances!E8))</f>
        <v>0</v>
      </c>
      <c r="F8" s="1" cm="1">
        <f t="array" ref="F8">_xlfn.SWITCH($A$2,"average", AVERAGE(Instances!F8:Instances!F8),"median", MEDIAN(Instances!F8:Instances!F8),"min", MIN(Instances!F8:Instances!F8),"max", MAX(Instances!F8:Instances!F8),"diff", MAX(Instances!F8:Instances!F8)-MIN(Instances!F8:Instances!F8))</f>
        <v>0</v>
      </c>
      <c r="G8" s="1" cm="1">
        <f t="array" ref="G8">_xlfn.SWITCH($A$2,"average", AVERAGE(Instances!G8:Instances!G8),"median", MEDIAN(Instances!G8:Instances!G8),"min", MIN(Instances!G8:Instances!G8),"max", MAX(Instances!G8:Instances!G8),"diff", MAX(Instances!G8:Instances!G8)-MIN(Instances!G8:Instances!G8))</f>
        <v>0</v>
      </c>
      <c r="H8" s="1"/>
      <c r="I8" s="1"/>
      <c r="J8" s="1" cm="1">
        <f t="array" ref="J8">_xlfn.SWITCH($A$2,"average", AVERAGE(Instances!J8:Instances!J8),"median", MEDIAN(Instances!J8:Instances!J8),"min", MIN(Instances!J8:Instances!J8),"max", MAX(Instances!J8:Instances!J8),"diff", MAX(Instances!J8:Instances!J8)-MIN(Instances!J8:Instances!J8))</f>
        <v>0</v>
      </c>
      <c r="K8" s="1"/>
      <c r="L8" s="1"/>
      <c r="M8" s="1"/>
      <c r="N8" s="1"/>
      <c r="O8" s="1"/>
      <c r="P8" s="1" cm="1">
        <f t="array" ref="P8">_xlfn.SWITCH($A$2,"average", AVERAGE(Instances!P8:Instances!P8),"median", MEDIAN(Instances!P8:Instances!P8),"min", MIN(Instances!P8:Instances!P8),"max", MAX(Instances!P8:Instances!P8),"diff", MAX(Instances!P8:Instances!P8)-MIN(Instances!P8:Instances!P8))</f>
        <v>0</v>
      </c>
      <c r="Q8" s="1" cm="1">
        <f t="array" ref="Q8">_xlfn.SWITCH($A$2,"average", AVERAGE(Instances!Q8:Instances!Q8),"median", MEDIAN(Instances!Q8:Instances!Q8),"min", MIN(Instances!Q8:Instances!Q8),"max", MAX(Instances!Q8:Instances!Q8),"diff", MAX(Instances!Q8:Instances!Q8)-MIN(Instances!Q8:Instances!Q8))</f>
        <v>0</v>
      </c>
      <c r="R8" s="1"/>
      <c r="S8" s="1"/>
      <c r="T8" s="1"/>
      <c r="U8" s="1"/>
      <c r="V8" s="1">
        <f>MIN($E8)</f>
        <v>0</v>
      </c>
      <c r="W8" s="1">
        <f>MIN($F8)</f>
        <v>0</v>
      </c>
      <c r="X8" s="1">
        <f>MIN($G8)</f>
        <v>0</v>
      </c>
      <c r="Y8" s="1"/>
      <c r="Z8" s="1"/>
      <c r="AA8" s="1">
        <f>MIN($J8)</f>
        <v>0</v>
      </c>
      <c r="AB8" s="1"/>
      <c r="AC8" s="1"/>
      <c r="AD8" s="1"/>
      <c r="AE8" s="1">
        <f>MIN($P8)</f>
        <v>0</v>
      </c>
      <c r="AF8" s="1">
        <f>MIN($Q8)</f>
        <v>0</v>
      </c>
      <c r="AG8" s="1"/>
      <c r="AH8" s="1"/>
      <c r="AI8" s="1"/>
      <c r="AJ8" s="1"/>
      <c r="AK8" s="1">
        <f>MEDIAN($E8)</f>
        <v>0</v>
      </c>
      <c r="AL8" s="1">
        <f>MEDIAN($F8)</f>
        <v>0</v>
      </c>
      <c r="AM8" s="1">
        <f>MEDIAN($G8)</f>
        <v>0</v>
      </c>
      <c r="AN8" s="1"/>
      <c r="AO8" s="1"/>
      <c r="AP8" s="1">
        <f>MEDIAN($J8)</f>
        <v>0</v>
      </c>
      <c r="AQ8" s="1"/>
      <c r="AR8" s="1"/>
      <c r="AS8" s="1"/>
      <c r="AT8" s="1">
        <f>MEDIAN($P8)</f>
        <v>0</v>
      </c>
      <c r="AU8" s="1">
        <f>MEDIAN($Q8)</f>
        <v>0</v>
      </c>
      <c r="AV8" s="1"/>
      <c r="AW8" s="1"/>
      <c r="AX8" s="1"/>
      <c r="AY8" s="1"/>
      <c r="AZ8" s="1">
        <f>MAX($E8)</f>
        <v>0</v>
      </c>
      <c r="BA8" s="1">
        <f>MAX($F8)</f>
        <v>0</v>
      </c>
      <c r="BB8" s="1">
        <f>MAX($G8)</f>
        <v>0</v>
      </c>
      <c r="BC8" s="1"/>
      <c r="BD8" s="1"/>
      <c r="BE8" s="1">
        <f>MAX($J8)</f>
        <v>0</v>
      </c>
      <c r="BF8" s="1"/>
      <c r="BG8" s="1"/>
      <c r="BH8" s="1"/>
      <c r="BI8" s="1">
        <f>MAX($P8)</f>
        <v>0</v>
      </c>
      <c r="BJ8" s="1">
        <f>MAX($Q8)</f>
        <v>0</v>
      </c>
      <c r="BK8" s="1"/>
    </row>
    <row r="9" spans="1:63">
      <c r="A9" s="1" t="s">
        <v>6</v>
      </c>
      <c r="B9" s="1"/>
      <c r="C9" s="1"/>
      <c r="D9" s="1"/>
      <c r="E9" s="1" cm="1">
        <f t="array" ref="E9">_xlfn.SWITCH($A$2,"average", AVERAGE(Instances!E9:Instances!E9),"median", MEDIAN(Instances!E9:Instances!E9),"min", MIN(Instances!E9:Instances!E9),"max", MAX(Instances!E9:Instances!E9),"diff", MAX(Instances!E9:Instances!E9)-MIN(Instances!E9:Instances!E9))</f>
        <v>0</v>
      </c>
      <c r="F9" s="1" cm="1">
        <f t="array" ref="F9">_xlfn.SWITCH($A$2,"average", AVERAGE(Instances!F9:Instances!F9),"median", MEDIAN(Instances!F9:Instances!F9),"min", MIN(Instances!F9:Instances!F9),"max", MAX(Instances!F9:Instances!F9),"diff", MAX(Instances!F9:Instances!F9)-MIN(Instances!F9:Instances!F9))</f>
        <v>0</v>
      </c>
      <c r="G9" s="1" cm="1">
        <f t="array" ref="G9">_xlfn.SWITCH($A$2,"average", AVERAGE(Instances!G9:Instances!G9),"median", MEDIAN(Instances!G9:Instances!G9),"min", MIN(Instances!G9:Instances!G9),"max", MAX(Instances!G9:Instances!G9),"diff", MAX(Instances!G9:Instances!G9)-MIN(Instances!G9:Instances!G9))</f>
        <v>0</v>
      </c>
      <c r="H9" s="1"/>
      <c r="I9" s="1"/>
      <c r="J9" s="1" cm="1">
        <f t="array" ref="J9">_xlfn.SWITCH($A$2,"average", AVERAGE(Instances!J9:Instances!J9),"median", MEDIAN(Instances!J9:Instances!J9),"min", MIN(Instances!J9:Instances!J9),"max", MAX(Instances!J9:Instances!J9),"diff", MAX(Instances!J9:Instances!J9)-MIN(Instances!J9:Instances!J9))</f>
        <v>0</v>
      </c>
      <c r="K9" s="1"/>
      <c r="L9" s="1"/>
      <c r="M9" s="1"/>
      <c r="N9" s="1"/>
      <c r="O9" s="1"/>
      <c r="P9" s="1" cm="1">
        <f t="array" ref="P9">_xlfn.SWITCH($A$2,"average", AVERAGE(Instances!P9:Instances!P9),"median", MEDIAN(Instances!P9:Instances!P9),"min", MIN(Instances!P9:Instances!P9),"max", MAX(Instances!P9:Instances!P9),"diff", MAX(Instances!P9:Instances!P9)-MIN(Instances!P9:Instances!P9))</f>
        <v>0</v>
      </c>
      <c r="Q9" s="1" cm="1">
        <f t="array" ref="Q9">_xlfn.SWITCH($A$2,"average", AVERAGE(Instances!Q9:Instances!Q9),"median", MEDIAN(Instances!Q9:Instances!Q9),"min", MIN(Instances!Q9:Instances!Q9),"max", MAX(Instances!Q9:Instances!Q9),"diff", MAX(Instances!Q9:Instances!Q9)-MIN(Instances!Q9:Instances!Q9))</f>
        <v>0</v>
      </c>
      <c r="R9" s="1"/>
      <c r="S9" s="1"/>
      <c r="T9" s="1"/>
      <c r="U9" s="1"/>
      <c r="V9" s="1">
        <f>MIN($E9)</f>
        <v>0</v>
      </c>
      <c r="W9" s="1">
        <f>MIN($F9)</f>
        <v>0</v>
      </c>
      <c r="X9" s="1">
        <f>MIN($G9)</f>
        <v>0</v>
      </c>
      <c r="Y9" s="1"/>
      <c r="Z9" s="1"/>
      <c r="AA9" s="1">
        <f>MIN($J9)</f>
        <v>0</v>
      </c>
      <c r="AB9" s="1"/>
      <c r="AC9" s="1"/>
      <c r="AD9" s="1"/>
      <c r="AE9" s="1">
        <f>MIN($P9)</f>
        <v>0</v>
      </c>
      <c r="AF9" s="1">
        <f>MIN($Q9)</f>
        <v>0</v>
      </c>
      <c r="AG9" s="1"/>
      <c r="AH9" s="1"/>
      <c r="AI9" s="1"/>
      <c r="AJ9" s="1"/>
      <c r="AK9" s="1">
        <f>MEDIAN($E9)</f>
        <v>0</v>
      </c>
      <c r="AL9" s="1">
        <f>MEDIAN($F9)</f>
        <v>0</v>
      </c>
      <c r="AM9" s="1">
        <f>MEDIAN($G9)</f>
        <v>0</v>
      </c>
      <c r="AN9" s="1"/>
      <c r="AO9" s="1"/>
      <c r="AP9" s="1">
        <f>MEDIAN($J9)</f>
        <v>0</v>
      </c>
      <c r="AQ9" s="1"/>
      <c r="AR9" s="1"/>
      <c r="AS9" s="1"/>
      <c r="AT9" s="1">
        <f>MEDIAN($P9)</f>
        <v>0</v>
      </c>
      <c r="AU9" s="1">
        <f>MEDIAN($Q9)</f>
        <v>0</v>
      </c>
      <c r="AV9" s="1"/>
      <c r="AW9" s="1"/>
      <c r="AX9" s="1"/>
      <c r="AY9" s="1"/>
      <c r="AZ9" s="1">
        <f>MAX($E9)</f>
        <v>0</v>
      </c>
      <c r="BA9" s="1">
        <f>MAX($F9)</f>
        <v>0</v>
      </c>
      <c r="BB9" s="1">
        <f>MAX($G9)</f>
        <v>0</v>
      </c>
      <c r="BC9" s="1"/>
      <c r="BD9" s="1"/>
      <c r="BE9" s="1">
        <f>MAX($J9)</f>
        <v>0</v>
      </c>
      <c r="BF9" s="1"/>
      <c r="BG9" s="1"/>
      <c r="BH9" s="1"/>
      <c r="BI9" s="1">
        <f>MAX($P9)</f>
        <v>0</v>
      </c>
      <c r="BJ9" s="1">
        <f>MAX($Q9)</f>
        <v>0</v>
      </c>
      <c r="BK9" s="1"/>
    </row>
    <row r="10" spans="1:63">
      <c r="A10" s="1" t="s">
        <v>7</v>
      </c>
      <c r="B10" s="1"/>
      <c r="C10" s="1"/>
      <c r="D10" s="1"/>
      <c r="E10" s="1" cm="1">
        <f t="array" ref="E10">_xlfn.SWITCH($A$2,"average", AVERAGE(Instances!E10:Instances!E10),"median", MEDIAN(Instances!E10:Instances!E10),"min", MIN(Instances!E10:Instances!E10),"max", MAX(Instances!E10:Instances!E10),"diff", MAX(Instances!E10:Instances!E10)-MIN(Instances!E10:Instances!E10))</f>
        <v>0</v>
      </c>
      <c r="F10" s="1" cm="1">
        <f t="array" ref="F10">_xlfn.SWITCH($A$2,"average", AVERAGE(Instances!F10:Instances!F10),"median", MEDIAN(Instances!F10:Instances!F10),"min", MIN(Instances!F10:Instances!F10),"max", MAX(Instances!F10:Instances!F10),"diff", MAX(Instances!F10:Instances!F10)-MIN(Instances!F10:Instances!F10))</f>
        <v>0</v>
      </c>
      <c r="G10" s="1" cm="1">
        <f t="array" ref="G10">_xlfn.SWITCH($A$2,"average", AVERAGE(Instances!G10:Instances!G10),"median", MEDIAN(Instances!G10:Instances!G10),"min", MIN(Instances!G10:Instances!G10),"max", MAX(Instances!G10:Instances!G10),"diff", MAX(Instances!G10:Instances!G10)-MIN(Instances!G10:Instances!G10))</f>
        <v>0</v>
      </c>
      <c r="H10" s="1"/>
      <c r="I10" s="1"/>
      <c r="J10" s="1" cm="1">
        <f t="array" ref="J10">_xlfn.SWITCH($A$2,"average", AVERAGE(Instances!J10:Instances!J10),"median", MEDIAN(Instances!J10:Instances!J10),"min", MIN(Instances!J10:Instances!J10),"max", MAX(Instances!J10:Instances!J10),"diff", MAX(Instances!J10:Instances!J10)-MIN(Instances!J10:Instances!J10))</f>
        <v>0</v>
      </c>
      <c r="K10" s="1"/>
      <c r="L10" s="1"/>
      <c r="M10" s="1"/>
      <c r="N10" s="1"/>
      <c r="O10" s="1"/>
      <c r="P10" s="1" cm="1">
        <f t="array" ref="P10">_xlfn.SWITCH($A$2,"average", AVERAGE(Instances!P10:Instances!P10),"median", MEDIAN(Instances!P10:Instances!P10),"min", MIN(Instances!P10:Instances!P10),"max", MAX(Instances!P10:Instances!P10),"diff", MAX(Instances!P10:Instances!P10)-MIN(Instances!P10:Instances!P10))</f>
        <v>0</v>
      </c>
      <c r="Q10" s="1" cm="1">
        <f t="array" ref="Q10">_xlfn.SWITCH($A$2,"average", AVERAGE(Instances!Q10:Instances!Q10),"median", MEDIAN(Instances!Q10:Instances!Q10),"min", MIN(Instances!Q10:Instances!Q10),"max", MAX(Instances!Q10:Instances!Q10),"diff", MAX(Instances!Q10:Instances!Q10)-MIN(Instances!Q10:Instances!Q10))</f>
        <v>0</v>
      </c>
      <c r="R10" s="1"/>
      <c r="S10" s="1"/>
      <c r="T10" s="1"/>
      <c r="U10" s="1"/>
      <c r="V10" s="1">
        <f>MIN($E10)</f>
        <v>0</v>
      </c>
      <c r="W10" s="1">
        <f>MIN($F10)</f>
        <v>0</v>
      </c>
      <c r="X10" s="1">
        <f>MIN($G10)</f>
        <v>0</v>
      </c>
      <c r="Y10" s="1"/>
      <c r="Z10" s="1"/>
      <c r="AA10" s="1">
        <f>MIN($J10)</f>
        <v>0</v>
      </c>
      <c r="AB10" s="1"/>
      <c r="AC10" s="1"/>
      <c r="AD10" s="1"/>
      <c r="AE10" s="1">
        <f>MIN($P10)</f>
        <v>0</v>
      </c>
      <c r="AF10" s="1">
        <f>MIN($Q10)</f>
        <v>0</v>
      </c>
      <c r="AG10" s="1"/>
      <c r="AH10" s="1"/>
      <c r="AI10" s="1"/>
      <c r="AJ10" s="1"/>
      <c r="AK10" s="1">
        <f>MEDIAN($E10)</f>
        <v>0</v>
      </c>
      <c r="AL10" s="1">
        <f>MEDIAN($F10)</f>
        <v>0</v>
      </c>
      <c r="AM10" s="1">
        <f>MEDIAN($G10)</f>
        <v>0</v>
      </c>
      <c r="AN10" s="1"/>
      <c r="AO10" s="1"/>
      <c r="AP10" s="1">
        <f>MEDIAN($J10)</f>
        <v>0</v>
      </c>
      <c r="AQ10" s="1"/>
      <c r="AR10" s="1"/>
      <c r="AS10" s="1"/>
      <c r="AT10" s="1">
        <f>MEDIAN($P10)</f>
        <v>0</v>
      </c>
      <c r="AU10" s="1">
        <f>MEDIAN($Q10)</f>
        <v>0</v>
      </c>
      <c r="AV10" s="1"/>
      <c r="AW10" s="1"/>
      <c r="AX10" s="1"/>
      <c r="AY10" s="1"/>
      <c r="AZ10" s="1">
        <f>MAX($E10)</f>
        <v>0</v>
      </c>
      <c r="BA10" s="1">
        <f>MAX($F10)</f>
        <v>0</v>
      </c>
      <c r="BB10" s="1">
        <f>MAX($G10)</f>
        <v>0</v>
      </c>
      <c r="BC10" s="1"/>
      <c r="BD10" s="1"/>
      <c r="BE10" s="1">
        <f>MAX($J10)</f>
        <v>0</v>
      </c>
      <c r="BF10" s="1"/>
      <c r="BG10" s="1"/>
      <c r="BH10" s="1"/>
      <c r="BI10" s="1">
        <f>MAX($P10)</f>
        <v>0</v>
      </c>
      <c r="BJ10" s="1">
        <f>MAX($Q10)</f>
        <v>0</v>
      </c>
      <c r="BK10" s="1"/>
    </row>
    <row r="11" spans="1:63">
      <c r="A11" s="1" t="s">
        <v>8</v>
      </c>
      <c r="B11" s="1"/>
      <c r="C11" s="1"/>
      <c r="D11" s="1"/>
      <c r="E11" s="1" cm="1">
        <f t="array" ref="E11">_xlfn.SWITCH($A$2,"average", AVERAGE(Instances!E11:Instances!E11),"median", MEDIAN(Instances!E11:Instances!E11),"min", MIN(Instances!E11:Instances!E11),"max", MAX(Instances!E11:Instances!E11),"diff", MAX(Instances!E11:Instances!E11)-MIN(Instances!E11:Instances!E11))</f>
        <v>0</v>
      </c>
      <c r="F11" s="1" cm="1">
        <f t="array" ref="F11">_xlfn.SWITCH($A$2,"average", AVERAGE(Instances!F11:Instances!F11),"median", MEDIAN(Instances!F11:Instances!F11),"min", MIN(Instances!F11:Instances!F11),"max", MAX(Instances!F11:Instances!F11),"diff", MAX(Instances!F11:Instances!F11)-MIN(Instances!F11:Instances!F11))</f>
        <v>0</v>
      </c>
      <c r="G11" s="1" cm="1">
        <f t="array" ref="G11">_xlfn.SWITCH($A$2,"average", AVERAGE(Instances!G11:Instances!G11),"median", MEDIAN(Instances!G11:Instances!G11),"min", MIN(Instances!G11:Instances!G11),"max", MAX(Instances!G11:Instances!G11),"diff", MAX(Instances!G11:Instances!G11)-MIN(Instances!G11:Instances!G11))</f>
        <v>0</v>
      </c>
      <c r="H11" s="1"/>
      <c r="I11" s="1"/>
      <c r="J11" s="1" cm="1">
        <f t="array" ref="J11">_xlfn.SWITCH($A$2,"average", AVERAGE(Instances!J11:Instances!J11),"median", MEDIAN(Instances!J11:Instances!J11),"min", MIN(Instances!J11:Instances!J11),"max", MAX(Instances!J11:Instances!J11),"diff", MAX(Instances!J11:Instances!J11)-MIN(Instances!J11:Instances!J11))</f>
        <v>0</v>
      </c>
      <c r="K11" s="1"/>
      <c r="L11" s="1"/>
      <c r="M11" s="1"/>
      <c r="N11" s="1"/>
      <c r="O11" s="1"/>
      <c r="P11" s="1" cm="1">
        <f t="array" ref="P11">_xlfn.SWITCH($A$2,"average", AVERAGE(Instances!P11:Instances!P11),"median", MEDIAN(Instances!P11:Instances!P11),"min", MIN(Instances!P11:Instances!P11),"max", MAX(Instances!P11:Instances!P11),"diff", MAX(Instances!P11:Instances!P11)-MIN(Instances!P11:Instances!P11))</f>
        <v>0</v>
      </c>
      <c r="Q11" s="1" cm="1">
        <f t="array" ref="Q11">_xlfn.SWITCH($A$2,"average", AVERAGE(Instances!Q11:Instances!Q11),"median", MEDIAN(Instances!Q11:Instances!Q11),"min", MIN(Instances!Q11:Instances!Q11),"max", MAX(Instances!Q11:Instances!Q11),"diff", MAX(Instances!Q11:Instances!Q11)-MIN(Instances!Q11:Instances!Q11))</f>
        <v>0</v>
      </c>
      <c r="R11" s="1"/>
      <c r="S11" s="1"/>
      <c r="T11" s="1"/>
      <c r="U11" s="1"/>
      <c r="V11" s="1">
        <f>MIN($E11)</f>
        <v>0</v>
      </c>
      <c r="W11" s="1">
        <f>MIN($F11)</f>
        <v>0</v>
      </c>
      <c r="X11" s="1">
        <f>MIN($G11)</f>
        <v>0</v>
      </c>
      <c r="Y11" s="1"/>
      <c r="Z11" s="1"/>
      <c r="AA11" s="1">
        <f>MIN($J11)</f>
        <v>0</v>
      </c>
      <c r="AB11" s="1"/>
      <c r="AC11" s="1"/>
      <c r="AD11" s="1"/>
      <c r="AE11" s="1">
        <f>MIN($P11)</f>
        <v>0</v>
      </c>
      <c r="AF11" s="1">
        <f>MIN($Q11)</f>
        <v>0</v>
      </c>
      <c r="AG11" s="1"/>
      <c r="AH11" s="1"/>
      <c r="AI11" s="1"/>
      <c r="AJ11" s="1"/>
      <c r="AK11" s="1">
        <f>MEDIAN($E11)</f>
        <v>0</v>
      </c>
      <c r="AL11" s="1">
        <f>MEDIAN($F11)</f>
        <v>0</v>
      </c>
      <c r="AM11" s="1">
        <f>MEDIAN($G11)</f>
        <v>0</v>
      </c>
      <c r="AN11" s="1"/>
      <c r="AO11" s="1"/>
      <c r="AP11" s="1">
        <f>MEDIAN($J11)</f>
        <v>0</v>
      </c>
      <c r="AQ11" s="1"/>
      <c r="AR11" s="1"/>
      <c r="AS11" s="1"/>
      <c r="AT11" s="1">
        <f>MEDIAN($P11)</f>
        <v>0</v>
      </c>
      <c r="AU11" s="1">
        <f>MEDIAN($Q11)</f>
        <v>0</v>
      </c>
      <c r="AV11" s="1"/>
      <c r="AW11" s="1"/>
      <c r="AX11" s="1"/>
      <c r="AY11" s="1"/>
      <c r="AZ11" s="1">
        <f>MAX($E11)</f>
        <v>0</v>
      </c>
      <c r="BA11" s="1">
        <f>MAX($F11)</f>
        <v>0</v>
      </c>
      <c r="BB11" s="1">
        <f>MAX($G11)</f>
        <v>0</v>
      </c>
      <c r="BC11" s="1"/>
      <c r="BD11" s="1"/>
      <c r="BE11" s="1">
        <f>MAX($J11)</f>
        <v>0</v>
      </c>
      <c r="BF11" s="1"/>
      <c r="BG11" s="1"/>
      <c r="BH11" s="1"/>
      <c r="BI11" s="1">
        <f>MAX($P11)</f>
        <v>0</v>
      </c>
      <c r="BJ11" s="1">
        <f>MAX($Q11)</f>
        <v>0</v>
      </c>
      <c r="BK11" s="1"/>
    </row>
    <row r="12" spans="1:63">
      <c r="A12" s="1" t="s">
        <v>9</v>
      </c>
      <c r="B12" s="1"/>
      <c r="C12" s="1"/>
      <c r="D12" s="1"/>
      <c r="E12" s="1" cm="1">
        <f t="array" ref="E12">_xlfn.SWITCH($A$2,"average", AVERAGE(Instances!E12:Instances!E12),"median", MEDIAN(Instances!E12:Instances!E12),"min", MIN(Instances!E12:Instances!E12),"max", MAX(Instances!E12:Instances!E12),"diff", MAX(Instances!E12:Instances!E12)-MIN(Instances!E12:Instances!E12))</f>
        <v>0</v>
      </c>
      <c r="F12" s="1" cm="1">
        <f t="array" ref="F12">_xlfn.SWITCH($A$2,"average", AVERAGE(Instances!F12:Instances!F12),"median", MEDIAN(Instances!F12:Instances!F12),"min", MIN(Instances!F12:Instances!F12),"max", MAX(Instances!F12:Instances!F12),"diff", MAX(Instances!F12:Instances!F12)-MIN(Instances!F12:Instances!F12))</f>
        <v>0</v>
      </c>
      <c r="G12" s="1" cm="1">
        <f t="array" ref="G12">_xlfn.SWITCH($A$2,"average", AVERAGE(Instances!G12:Instances!G12),"median", MEDIAN(Instances!G12:Instances!G12),"min", MIN(Instances!G12:Instances!G12),"max", MAX(Instances!G12:Instances!G12),"diff", MAX(Instances!G12:Instances!G12)-MIN(Instances!G12:Instances!G12))</f>
        <v>0</v>
      </c>
      <c r="H12" s="1"/>
      <c r="I12" s="1"/>
      <c r="J12" s="1" cm="1">
        <f t="array" ref="J12">_xlfn.SWITCH($A$2,"average", AVERAGE(Instances!J12:Instances!J12),"median", MEDIAN(Instances!J12:Instances!J12),"min", MIN(Instances!J12:Instances!J12),"max", MAX(Instances!J12:Instances!J12),"diff", MAX(Instances!J12:Instances!J12)-MIN(Instances!J12:Instances!J12))</f>
        <v>0</v>
      </c>
      <c r="K12" s="1"/>
      <c r="L12" s="1"/>
      <c r="M12" s="1"/>
      <c r="N12" s="1"/>
      <c r="O12" s="1"/>
      <c r="P12" s="1" cm="1">
        <f t="array" ref="P12">_xlfn.SWITCH($A$2,"average", AVERAGE(Instances!P12:Instances!P12),"median", MEDIAN(Instances!P12:Instances!P12),"min", MIN(Instances!P12:Instances!P12),"max", MAX(Instances!P12:Instances!P12),"diff", MAX(Instances!P12:Instances!P12)-MIN(Instances!P12:Instances!P12))</f>
        <v>0</v>
      </c>
      <c r="Q12" s="1" cm="1">
        <f t="array" ref="Q12">_xlfn.SWITCH($A$2,"average", AVERAGE(Instances!Q12:Instances!Q12),"median", MEDIAN(Instances!Q12:Instances!Q12),"min", MIN(Instances!Q12:Instances!Q12),"max", MAX(Instances!Q12:Instances!Q12),"diff", MAX(Instances!Q12:Instances!Q12)-MIN(Instances!Q12:Instances!Q12))</f>
        <v>0</v>
      </c>
      <c r="R12" s="1"/>
      <c r="S12" s="1"/>
      <c r="T12" s="1"/>
      <c r="U12" s="1"/>
      <c r="V12" s="1">
        <f>MIN($E12)</f>
        <v>0</v>
      </c>
      <c r="W12" s="1">
        <f>MIN($F12)</f>
        <v>0</v>
      </c>
      <c r="X12" s="1">
        <f>MIN($G12)</f>
        <v>0</v>
      </c>
      <c r="Y12" s="1"/>
      <c r="Z12" s="1"/>
      <c r="AA12" s="1">
        <f>MIN($J12)</f>
        <v>0</v>
      </c>
      <c r="AB12" s="1"/>
      <c r="AC12" s="1"/>
      <c r="AD12" s="1"/>
      <c r="AE12" s="1">
        <f>MIN($P12)</f>
        <v>0</v>
      </c>
      <c r="AF12" s="1">
        <f>MIN($Q12)</f>
        <v>0</v>
      </c>
      <c r="AG12" s="1"/>
      <c r="AH12" s="1"/>
      <c r="AI12" s="1"/>
      <c r="AJ12" s="1"/>
      <c r="AK12" s="1">
        <f>MEDIAN($E12)</f>
        <v>0</v>
      </c>
      <c r="AL12" s="1">
        <f>MEDIAN($F12)</f>
        <v>0</v>
      </c>
      <c r="AM12" s="1">
        <f>MEDIAN($G12)</f>
        <v>0</v>
      </c>
      <c r="AN12" s="1"/>
      <c r="AO12" s="1"/>
      <c r="AP12" s="1">
        <f>MEDIAN($J12)</f>
        <v>0</v>
      </c>
      <c r="AQ12" s="1"/>
      <c r="AR12" s="1"/>
      <c r="AS12" s="1"/>
      <c r="AT12" s="1">
        <f>MEDIAN($P12)</f>
        <v>0</v>
      </c>
      <c r="AU12" s="1">
        <f>MEDIAN($Q12)</f>
        <v>0</v>
      </c>
      <c r="AV12" s="1"/>
      <c r="AW12" s="1"/>
      <c r="AX12" s="1"/>
      <c r="AY12" s="1"/>
      <c r="AZ12" s="1">
        <f>MAX($E12)</f>
        <v>0</v>
      </c>
      <c r="BA12" s="1">
        <f>MAX($F12)</f>
        <v>0</v>
      </c>
      <c r="BB12" s="1">
        <f>MAX($G12)</f>
        <v>0</v>
      </c>
      <c r="BC12" s="1"/>
      <c r="BD12" s="1"/>
      <c r="BE12" s="1">
        <f>MAX($J12)</f>
        <v>0</v>
      </c>
      <c r="BF12" s="1"/>
      <c r="BG12" s="1"/>
      <c r="BH12" s="1"/>
      <c r="BI12" s="1">
        <f>MAX($P12)</f>
        <v>0</v>
      </c>
      <c r="BJ12" s="1">
        <f>MAX($Q12)</f>
        <v>0</v>
      </c>
      <c r="BK12" s="1"/>
    </row>
    <row r="13" spans="1:63">
      <c r="A13" s="1" t="s">
        <v>10</v>
      </c>
      <c r="B13" s="1"/>
      <c r="C13" s="1"/>
      <c r="D13" s="1"/>
      <c r="E13" s="1" cm="1">
        <f t="array" ref="E13">_xlfn.SWITCH($A$2,"average", AVERAGE(Instances!E13:Instances!E13),"median", MEDIAN(Instances!E13:Instances!E13),"min", MIN(Instances!E13:Instances!E13),"max", MAX(Instances!E13:Instances!E13),"diff", MAX(Instances!E13:Instances!E13)-MIN(Instances!E13:Instances!E13))</f>
        <v>0</v>
      </c>
      <c r="F13" s="1" cm="1">
        <f t="array" ref="F13">_xlfn.SWITCH($A$2,"average", AVERAGE(Instances!F13:Instances!F13),"median", MEDIAN(Instances!F13:Instances!F13),"min", MIN(Instances!F13:Instances!F13),"max", MAX(Instances!F13:Instances!F13),"diff", MAX(Instances!F13:Instances!F13)-MIN(Instances!F13:Instances!F13))</f>
        <v>0</v>
      </c>
      <c r="G13" s="1" cm="1">
        <f t="array" ref="G13">_xlfn.SWITCH($A$2,"average", AVERAGE(Instances!G13:Instances!G13),"median", MEDIAN(Instances!G13:Instances!G13),"min", MIN(Instances!G13:Instances!G13),"max", MAX(Instances!G13:Instances!G13),"diff", MAX(Instances!G13:Instances!G13)-MIN(Instances!G13:Instances!G13))</f>
        <v>0</v>
      </c>
      <c r="H13" s="1"/>
      <c r="I13" s="1"/>
      <c r="J13" s="1" cm="1">
        <f t="array" ref="J13">_xlfn.SWITCH($A$2,"average", AVERAGE(Instances!J13:Instances!J13),"median", MEDIAN(Instances!J13:Instances!J13),"min", MIN(Instances!J13:Instances!J13),"max", MAX(Instances!J13:Instances!J13),"diff", MAX(Instances!J13:Instances!J13)-MIN(Instances!J13:Instances!J13))</f>
        <v>0</v>
      </c>
      <c r="K13" s="1"/>
      <c r="L13" s="1"/>
      <c r="M13" s="1"/>
      <c r="N13" s="1"/>
      <c r="O13" s="1"/>
      <c r="P13" s="1" cm="1">
        <f t="array" ref="P13">_xlfn.SWITCH($A$2,"average", AVERAGE(Instances!P13:Instances!P13),"median", MEDIAN(Instances!P13:Instances!P13),"min", MIN(Instances!P13:Instances!P13),"max", MAX(Instances!P13:Instances!P13),"diff", MAX(Instances!P13:Instances!P13)-MIN(Instances!P13:Instances!P13))</f>
        <v>0</v>
      </c>
      <c r="Q13" s="1" cm="1">
        <f t="array" ref="Q13">_xlfn.SWITCH($A$2,"average", AVERAGE(Instances!Q13:Instances!Q13),"median", MEDIAN(Instances!Q13:Instances!Q13),"min", MIN(Instances!Q13:Instances!Q13),"max", MAX(Instances!Q13:Instances!Q13),"diff", MAX(Instances!Q13:Instances!Q13)-MIN(Instances!Q13:Instances!Q13))</f>
        <v>0</v>
      </c>
      <c r="R13" s="1"/>
      <c r="S13" s="1"/>
      <c r="T13" s="1"/>
      <c r="U13" s="1"/>
      <c r="V13" s="1">
        <f>MIN($E13)</f>
        <v>0</v>
      </c>
      <c r="W13" s="1">
        <f>MIN($F13)</f>
        <v>0</v>
      </c>
      <c r="X13" s="1">
        <f>MIN($G13)</f>
        <v>0</v>
      </c>
      <c r="Y13" s="1"/>
      <c r="Z13" s="1"/>
      <c r="AA13" s="1">
        <f>MIN($J13)</f>
        <v>0</v>
      </c>
      <c r="AB13" s="1"/>
      <c r="AC13" s="1"/>
      <c r="AD13" s="1"/>
      <c r="AE13" s="1">
        <f>MIN($P13)</f>
        <v>0</v>
      </c>
      <c r="AF13" s="1">
        <f>MIN($Q13)</f>
        <v>0</v>
      </c>
      <c r="AG13" s="1"/>
      <c r="AH13" s="1"/>
      <c r="AI13" s="1"/>
      <c r="AJ13" s="1"/>
      <c r="AK13" s="1">
        <f>MEDIAN($E13)</f>
        <v>0</v>
      </c>
      <c r="AL13" s="1">
        <f>MEDIAN($F13)</f>
        <v>0</v>
      </c>
      <c r="AM13" s="1">
        <f>MEDIAN($G13)</f>
        <v>0</v>
      </c>
      <c r="AN13" s="1"/>
      <c r="AO13" s="1"/>
      <c r="AP13" s="1">
        <f>MEDIAN($J13)</f>
        <v>0</v>
      </c>
      <c r="AQ13" s="1"/>
      <c r="AR13" s="1"/>
      <c r="AS13" s="1"/>
      <c r="AT13" s="1">
        <f>MEDIAN($P13)</f>
        <v>0</v>
      </c>
      <c r="AU13" s="1">
        <f>MEDIAN($Q13)</f>
        <v>0</v>
      </c>
      <c r="AV13" s="1"/>
      <c r="AW13" s="1"/>
      <c r="AX13" s="1"/>
      <c r="AY13" s="1"/>
      <c r="AZ13" s="1">
        <f>MAX($E13)</f>
        <v>0</v>
      </c>
      <c r="BA13" s="1">
        <f>MAX($F13)</f>
        <v>0</v>
      </c>
      <c r="BB13" s="1">
        <f>MAX($G13)</f>
        <v>0</v>
      </c>
      <c r="BC13" s="1"/>
      <c r="BD13" s="1"/>
      <c r="BE13" s="1">
        <f>MAX($J13)</f>
        <v>0</v>
      </c>
      <c r="BF13" s="1"/>
      <c r="BG13" s="1"/>
      <c r="BH13" s="1"/>
      <c r="BI13" s="1">
        <f>MAX($P13)</f>
        <v>0</v>
      </c>
      <c r="BJ13" s="1">
        <f>MAX($Q13)</f>
        <v>0</v>
      </c>
      <c r="BK13" s="1"/>
    </row>
    <row r="14" spans="1:63">
      <c r="A14" s="1" t="s">
        <v>11</v>
      </c>
      <c r="B14" s="1"/>
      <c r="C14" s="1"/>
      <c r="D14" s="1"/>
      <c r="E14" s="1" cm="1">
        <f t="array" ref="E14">_xlfn.SWITCH($A$2,"average", AVERAGE(Instances!E14:Instances!E14),"median", MEDIAN(Instances!E14:Instances!E14),"min", MIN(Instances!E14:Instances!E14),"max", MAX(Instances!E14:Instances!E14),"diff", MAX(Instances!E14:Instances!E14)-MIN(Instances!E14:Instances!E14))</f>
        <v>0</v>
      </c>
      <c r="F14" s="1" cm="1">
        <f t="array" ref="F14">_xlfn.SWITCH($A$2,"average", AVERAGE(Instances!F14:Instances!F14),"median", MEDIAN(Instances!F14:Instances!F14),"min", MIN(Instances!F14:Instances!F14),"max", MAX(Instances!F14:Instances!F14),"diff", MAX(Instances!F14:Instances!F14)-MIN(Instances!F14:Instances!F14))</f>
        <v>0</v>
      </c>
      <c r="G14" s="1" cm="1">
        <f t="array" ref="G14">_xlfn.SWITCH($A$2,"average", AVERAGE(Instances!G14:Instances!G14),"median", MEDIAN(Instances!G14:Instances!G14),"min", MIN(Instances!G14:Instances!G14),"max", MAX(Instances!G14:Instances!G14),"diff", MAX(Instances!G14:Instances!G14)-MIN(Instances!G14:Instances!G14))</f>
        <v>0</v>
      </c>
      <c r="H14" s="1"/>
      <c r="I14" s="1"/>
      <c r="J14" s="1" cm="1">
        <f t="array" ref="J14">_xlfn.SWITCH($A$2,"average", AVERAGE(Instances!J14:Instances!J14),"median", MEDIAN(Instances!J14:Instances!J14),"min", MIN(Instances!J14:Instances!J14),"max", MAX(Instances!J14:Instances!J14),"diff", MAX(Instances!J14:Instances!J14)-MIN(Instances!J14:Instances!J14))</f>
        <v>0</v>
      </c>
      <c r="K14" s="1"/>
      <c r="L14" s="1"/>
      <c r="M14" s="1"/>
      <c r="N14" s="1"/>
      <c r="O14" s="1"/>
      <c r="P14" s="1" cm="1">
        <f t="array" ref="P14">_xlfn.SWITCH($A$2,"average", AVERAGE(Instances!P14:Instances!P14),"median", MEDIAN(Instances!P14:Instances!P14),"min", MIN(Instances!P14:Instances!P14),"max", MAX(Instances!P14:Instances!P14),"diff", MAX(Instances!P14:Instances!P14)-MIN(Instances!P14:Instances!P14))</f>
        <v>0</v>
      </c>
      <c r="Q14" s="1" cm="1">
        <f t="array" ref="Q14">_xlfn.SWITCH($A$2,"average", AVERAGE(Instances!Q14:Instances!Q14),"median", MEDIAN(Instances!Q14:Instances!Q14),"min", MIN(Instances!Q14:Instances!Q14),"max", MAX(Instances!Q14:Instances!Q14),"diff", MAX(Instances!Q14:Instances!Q14)-MIN(Instances!Q14:Instances!Q14))</f>
        <v>0</v>
      </c>
      <c r="R14" s="1"/>
      <c r="S14" s="1"/>
      <c r="T14" s="1"/>
      <c r="U14" s="1"/>
      <c r="V14" s="1">
        <f>MIN($E14)</f>
        <v>0</v>
      </c>
      <c r="W14" s="1">
        <f>MIN($F14)</f>
        <v>0</v>
      </c>
      <c r="X14" s="1">
        <f>MIN($G14)</f>
        <v>0</v>
      </c>
      <c r="Y14" s="1"/>
      <c r="Z14" s="1"/>
      <c r="AA14" s="1">
        <f>MIN($J14)</f>
        <v>0</v>
      </c>
      <c r="AB14" s="1"/>
      <c r="AC14" s="1"/>
      <c r="AD14" s="1"/>
      <c r="AE14" s="1">
        <f>MIN($P14)</f>
        <v>0</v>
      </c>
      <c r="AF14" s="1">
        <f>MIN($Q14)</f>
        <v>0</v>
      </c>
      <c r="AG14" s="1"/>
      <c r="AH14" s="1"/>
      <c r="AI14" s="1"/>
      <c r="AJ14" s="1"/>
      <c r="AK14" s="1">
        <f>MEDIAN($E14)</f>
        <v>0</v>
      </c>
      <c r="AL14" s="1">
        <f>MEDIAN($F14)</f>
        <v>0</v>
      </c>
      <c r="AM14" s="1">
        <f>MEDIAN($G14)</f>
        <v>0</v>
      </c>
      <c r="AN14" s="1"/>
      <c r="AO14" s="1"/>
      <c r="AP14" s="1">
        <f>MEDIAN($J14)</f>
        <v>0</v>
      </c>
      <c r="AQ14" s="1"/>
      <c r="AR14" s="1"/>
      <c r="AS14" s="1"/>
      <c r="AT14" s="1">
        <f>MEDIAN($P14)</f>
        <v>0</v>
      </c>
      <c r="AU14" s="1">
        <f>MEDIAN($Q14)</f>
        <v>0</v>
      </c>
      <c r="AV14" s="1"/>
      <c r="AW14" s="1"/>
      <c r="AX14" s="1"/>
      <c r="AY14" s="1"/>
      <c r="AZ14" s="1">
        <f>MAX($E14)</f>
        <v>0</v>
      </c>
      <c r="BA14" s="1">
        <f>MAX($F14)</f>
        <v>0</v>
      </c>
      <c r="BB14" s="1">
        <f>MAX($G14)</f>
        <v>0</v>
      </c>
      <c r="BC14" s="1"/>
      <c r="BD14" s="1"/>
      <c r="BE14" s="1">
        <f>MAX($J14)</f>
        <v>0</v>
      </c>
      <c r="BF14" s="1"/>
      <c r="BG14" s="1"/>
      <c r="BH14" s="1"/>
      <c r="BI14" s="1">
        <f>MAX($P14)</f>
        <v>0</v>
      </c>
      <c r="BJ14" s="1">
        <f>MAX($Q14)</f>
        <v>0</v>
      </c>
      <c r="BK14" s="1"/>
    </row>
    <row r="15" spans="1:63">
      <c r="A15" s="1" t="s">
        <v>12</v>
      </c>
      <c r="B15" s="1"/>
      <c r="C15" s="1"/>
      <c r="D15" s="1"/>
      <c r="E15" s="1" cm="1">
        <f t="array" ref="E15">_xlfn.SWITCH($A$2,"average", AVERAGE(Instances!E15:Instances!E15),"median", MEDIAN(Instances!E15:Instances!E15),"min", MIN(Instances!E15:Instances!E15),"max", MAX(Instances!E15:Instances!E15),"diff", MAX(Instances!E15:Instances!E15)-MIN(Instances!E15:Instances!E15))</f>
        <v>0</v>
      </c>
      <c r="F15" s="1" cm="1">
        <f t="array" ref="F15">_xlfn.SWITCH($A$2,"average", AVERAGE(Instances!F15:Instances!F15),"median", MEDIAN(Instances!F15:Instances!F15),"min", MIN(Instances!F15:Instances!F15),"max", MAX(Instances!F15:Instances!F15),"diff", MAX(Instances!F15:Instances!F15)-MIN(Instances!F15:Instances!F15))</f>
        <v>0</v>
      </c>
      <c r="G15" s="1" cm="1">
        <f t="array" ref="G15">_xlfn.SWITCH($A$2,"average", AVERAGE(Instances!G15:Instances!G15),"median", MEDIAN(Instances!G15:Instances!G15),"min", MIN(Instances!G15:Instances!G15),"max", MAX(Instances!G15:Instances!G15),"diff", MAX(Instances!G15:Instances!G15)-MIN(Instances!G15:Instances!G15))</f>
        <v>0</v>
      </c>
      <c r="H15" s="1"/>
      <c r="I15" s="1"/>
      <c r="J15" s="1" cm="1">
        <f t="array" ref="J15">_xlfn.SWITCH($A$2,"average", AVERAGE(Instances!J15:Instances!J15),"median", MEDIAN(Instances!J15:Instances!J15),"min", MIN(Instances!J15:Instances!J15),"max", MAX(Instances!J15:Instances!J15),"diff", MAX(Instances!J15:Instances!J15)-MIN(Instances!J15:Instances!J15))</f>
        <v>0</v>
      </c>
      <c r="K15" s="1"/>
      <c r="L15" s="1"/>
      <c r="M15" s="1"/>
      <c r="N15" s="1"/>
      <c r="O15" s="1"/>
      <c r="P15" s="1" cm="1">
        <f t="array" ref="P15">_xlfn.SWITCH($A$2,"average", AVERAGE(Instances!P15:Instances!P15),"median", MEDIAN(Instances!P15:Instances!P15),"min", MIN(Instances!P15:Instances!P15),"max", MAX(Instances!P15:Instances!P15),"diff", MAX(Instances!P15:Instances!P15)-MIN(Instances!P15:Instances!P15))</f>
        <v>0</v>
      </c>
      <c r="Q15" s="1" cm="1">
        <f t="array" ref="Q15">_xlfn.SWITCH($A$2,"average", AVERAGE(Instances!Q15:Instances!Q15),"median", MEDIAN(Instances!Q15:Instances!Q15),"min", MIN(Instances!Q15:Instances!Q15),"max", MAX(Instances!Q15:Instances!Q15),"diff", MAX(Instances!Q15:Instances!Q15)-MIN(Instances!Q15:Instances!Q15))</f>
        <v>0</v>
      </c>
      <c r="R15" s="1"/>
      <c r="S15" s="1"/>
      <c r="T15" s="1"/>
      <c r="U15" s="1"/>
      <c r="V15" s="1">
        <f>MIN($E15)</f>
        <v>0</v>
      </c>
      <c r="W15" s="1">
        <f>MIN($F15)</f>
        <v>0</v>
      </c>
      <c r="X15" s="1">
        <f>MIN($G15)</f>
        <v>0</v>
      </c>
      <c r="Y15" s="1"/>
      <c r="Z15" s="1"/>
      <c r="AA15" s="1">
        <f>MIN($J15)</f>
        <v>0</v>
      </c>
      <c r="AB15" s="1"/>
      <c r="AC15" s="1"/>
      <c r="AD15" s="1"/>
      <c r="AE15" s="1">
        <f>MIN($P15)</f>
        <v>0</v>
      </c>
      <c r="AF15" s="1">
        <f>MIN($Q15)</f>
        <v>0</v>
      </c>
      <c r="AG15" s="1"/>
      <c r="AH15" s="1"/>
      <c r="AI15" s="1"/>
      <c r="AJ15" s="1"/>
      <c r="AK15" s="1">
        <f>MEDIAN($E15)</f>
        <v>0</v>
      </c>
      <c r="AL15" s="1">
        <f>MEDIAN($F15)</f>
        <v>0</v>
      </c>
      <c r="AM15" s="1">
        <f>MEDIAN($G15)</f>
        <v>0</v>
      </c>
      <c r="AN15" s="1"/>
      <c r="AO15" s="1"/>
      <c r="AP15" s="1">
        <f>MEDIAN($J15)</f>
        <v>0</v>
      </c>
      <c r="AQ15" s="1"/>
      <c r="AR15" s="1"/>
      <c r="AS15" s="1"/>
      <c r="AT15" s="1">
        <f>MEDIAN($P15)</f>
        <v>0</v>
      </c>
      <c r="AU15" s="1">
        <f>MEDIAN($Q15)</f>
        <v>0</v>
      </c>
      <c r="AV15" s="1"/>
      <c r="AW15" s="1"/>
      <c r="AX15" s="1"/>
      <c r="AY15" s="1"/>
      <c r="AZ15" s="1">
        <f>MAX($E15)</f>
        <v>0</v>
      </c>
      <c r="BA15" s="1">
        <f>MAX($F15)</f>
        <v>0</v>
      </c>
      <c r="BB15" s="1">
        <f>MAX($G15)</f>
        <v>0</v>
      </c>
      <c r="BC15" s="1"/>
      <c r="BD15" s="1"/>
      <c r="BE15" s="1">
        <f>MAX($J15)</f>
        <v>0</v>
      </c>
      <c r="BF15" s="1"/>
      <c r="BG15" s="1"/>
      <c r="BH15" s="1"/>
      <c r="BI15" s="1">
        <f>MAX($P15)</f>
        <v>0</v>
      </c>
      <c r="BJ15" s="1">
        <f>MAX($Q15)</f>
        <v>0</v>
      </c>
      <c r="BK15" s="1"/>
    </row>
    <row r="16" spans="1:63">
      <c r="A16" s="1" t="s">
        <v>13</v>
      </c>
      <c r="B16" s="1"/>
      <c r="C16" s="1"/>
      <c r="D16" s="1"/>
      <c r="E16" s="1" cm="1">
        <f t="array" ref="E16">_xlfn.SWITCH($A$2,"average", AVERAGE(Instances!E16:Instances!E16),"median", MEDIAN(Instances!E16:Instances!E16),"min", MIN(Instances!E16:Instances!E16),"max", MAX(Instances!E16:Instances!E16),"diff", MAX(Instances!E16:Instances!E16)-MIN(Instances!E16:Instances!E16))</f>
        <v>0</v>
      </c>
      <c r="F16" s="1" cm="1">
        <f t="array" ref="F16">_xlfn.SWITCH($A$2,"average", AVERAGE(Instances!F16:Instances!F16),"median", MEDIAN(Instances!F16:Instances!F16),"min", MIN(Instances!F16:Instances!F16),"max", MAX(Instances!F16:Instances!F16),"diff", MAX(Instances!F16:Instances!F16)-MIN(Instances!F16:Instances!F16))</f>
        <v>0</v>
      </c>
      <c r="G16" s="1" cm="1">
        <f t="array" ref="G16">_xlfn.SWITCH($A$2,"average", AVERAGE(Instances!G16:Instances!G16),"median", MEDIAN(Instances!G16:Instances!G16),"min", MIN(Instances!G16:Instances!G16),"max", MAX(Instances!G16:Instances!G16),"diff", MAX(Instances!G16:Instances!G16)-MIN(Instances!G16:Instances!G16))</f>
        <v>0</v>
      </c>
      <c r="H16" s="1"/>
      <c r="I16" s="1"/>
      <c r="J16" s="1" cm="1">
        <f t="array" ref="J16">_xlfn.SWITCH($A$2,"average", AVERAGE(Instances!J16:Instances!J16),"median", MEDIAN(Instances!J16:Instances!J16),"min", MIN(Instances!J16:Instances!J16),"max", MAX(Instances!J16:Instances!J16),"diff", MAX(Instances!J16:Instances!J16)-MIN(Instances!J16:Instances!J16))</f>
        <v>0</v>
      </c>
      <c r="K16" s="1"/>
      <c r="L16" s="1"/>
      <c r="M16" s="1"/>
      <c r="N16" s="1"/>
      <c r="O16" s="1"/>
      <c r="P16" s="1" cm="1">
        <f t="array" ref="P16">_xlfn.SWITCH($A$2,"average", AVERAGE(Instances!P16:Instances!P16),"median", MEDIAN(Instances!P16:Instances!P16),"min", MIN(Instances!P16:Instances!P16),"max", MAX(Instances!P16:Instances!P16),"diff", MAX(Instances!P16:Instances!P16)-MIN(Instances!P16:Instances!P16))</f>
        <v>0</v>
      </c>
      <c r="Q16" s="1" cm="1">
        <f t="array" ref="Q16">_xlfn.SWITCH($A$2,"average", AVERAGE(Instances!Q16:Instances!Q16),"median", MEDIAN(Instances!Q16:Instances!Q16),"min", MIN(Instances!Q16:Instances!Q16),"max", MAX(Instances!Q16:Instances!Q16),"diff", MAX(Instances!Q16:Instances!Q16)-MIN(Instances!Q16:Instances!Q16))</f>
        <v>0</v>
      </c>
      <c r="R16" s="1"/>
      <c r="S16" s="1"/>
      <c r="T16" s="1"/>
      <c r="U16" s="1"/>
      <c r="V16" s="1">
        <f>MIN($E16)</f>
        <v>0</v>
      </c>
      <c r="W16" s="1">
        <f>MIN($F16)</f>
        <v>0</v>
      </c>
      <c r="X16" s="1">
        <f>MIN($G16)</f>
        <v>0</v>
      </c>
      <c r="Y16" s="1"/>
      <c r="Z16" s="1"/>
      <c r="AA16" s="1">
        <f>MIN($J16)</f>
        <v>0</v>
      </c>
      <c r="AB16" s="1"/>
      <c r="AC16" s="1"/>
      <c r="AD16" s="1"/>
      <c r="AE16" s="1">
        <f>MIN($P16)</f>
        <v>0</v>
      </c>
      <c r="AF16" s="1">
        <f>MIN($Q16)</f>
        <v>0</v>
      </c>
      <c r="AG16" s="1"/>
      <c r="AH16" s="1"/>
      <c r="AI16" s="1"/>
      <c r="AJ16" s="1"/>
      <c r="AK16" s="1">
        <f>MEDIAN($E16)</f>
        <v>0</v>
      </c>
      <c r="AL16" s="1">
        <f>MEDIAN($F16)</f>
        <v>0</v>
      </c>
      <c r="AM16" s="1">
        <f>MEDIAN($G16)</f>
        <v>0</v>
      </c>
      <c r="AN16" s="1"/>
      <c r="AO16" s="1"/>
      <c r="AP16" s="1">
        <f>MEDIAN($J16)</f>
        <v>0</v>
      </c>
      <c r="AQ16" s="1"/>
      <c r="AR16" s="1"/>
      <c r="AS16" s="1"/>
      <c r="AT16" s="1">
        <f>MEDIAN($P16)</f>
        <v>0</v>
      </c>
      <c r="AU16" s="1">
        <f>MEDIAN($Q16)</f>
        <v>0</v>
      </c>
      <c r="AV16" s="1"/>
      <c r="AW16" s="1"/>
      <c r="AX16" s="1"/>
      <c r="AY16" s="1"/>
      <c r="AZ16" s="1">
        <f>MAX($E16)</f>
        <v>0</v>
      </c>
      <c r="BA16" s="1">
        <f>MAX($F16)</f>
        <v>0</v>
      </c>
      <c r="BB16" s="1">
        <f>MAX($G16)</f>
        <v>0</v>
      </c>
      <c r="BC16" s="1"/>
      <c r="BD16" s="1"/>
      <c r="BE16" s="1">
        <f>MAX($J16)</f>
        <v>0</v>
      </c>
      <c r="BF16" s="1"/>
      <c r="BG16" s="1"/>
      <c r="BH16" s="1"/>
      <c r="BI16" s="1">
        <f>MAX($P16)</f>
        <v>0</v>
      </c>
      <c r="BJ16" s="1">
        <f>MAX($Q16)</f>
        <v>0</v>
      </c>
      <c r="BK16" s="1"/>
    </row>
    <row r="17" spans="1:63">
      <c r="A17" s="1" t="s">
        <v>14</v>
      </c>
      <c r="B17" s="1"/>
      <c r="C17" s="1"/>
      <c r="D17" s="1"/>
      <c r="E17" s="1" cm="1">
        <f t="array" ref="E17">_xlfn.SWITCH($A$2,"average", AVERAGE(Instances!E17:Instances!E17),"median", MEDIAN(Instances!E17:Instances!E17),"min", MIN(Instances!E17:Instances!E17),"max", MAX(Instances!E17:Instances!E17),"diff", MAX(Instances!E17:Instances!E17)-MIN(Instances!E17:Instances!E17))</f>
        <v>0</v>
      </c>
      <c r="F17" s="1" cm="1">
        <f t="array" ref="F17">_xlfn.SWITCH($A$2,"average", AVERAGE(Instances!F17:Instances!F17),"median", MEDIAN(Instances!F17:Instances!F17),"min", MIN(Instances!F17:Instances!F17),"max", MAX(Instances!F17:Instances!F17),"diff", MAX(Instances!F17:Instances!F17)-MIN(Instances!F17:Instances!F17))</f>
        <v>0</v>
      </c>
      <c r="G17" s="1" cm="1">
        <f t="array" ref="G17">_xlfn.SWITCH($A$2,"average", AVERAGE(Instances!G17:Instances!G17),"median", MEDIAN(Instances!G17:Instances!G17),"min", MIN(Instances!G17:Instances!G17),"max", MAX(Instances!G17:Instances!G17),"diff", MAX(Instances!G17:Instances!G17)-MIN(Instances!G17:Instances!G17))</f>
        <v>0</v>
      </c>
      <c r="H17" s="1"/>
      <c r="I17" s="1"/>
      <c r="J17" s="1" cm="1">
        <f t="array" ref="J17">_xlfn.SWITCH($A$2,"average", AVERAGE(Instances!J17:Instances!J17),"median", MEDIAN(Instances!J17:Instances!J17),"min", MIN(Instances!J17:Instances!J17),"max", MAX(Instances!J17:Instances!J17),"diff", MAX(Instances!J17:Instances!J17)-MIN(Instances!J17:Instances!J17))</f>
        <v>0</v>
      </c>
      <c r="K17" s="1"/>
      <c r="L17" s="1"/>
      <c r="M17" s="1"/>
      <c r="N17" s="1"/>
      <c r="O17" s="1"/>
      <c r="P17" s="1" cm="1">
        <f t="array" ref="P17">_xlfn.SWITCH($A$2,"average", AVERAGE(Instances!P17:Instances!P17),"median", MEDIAN(Instances!P17:Instances!P17),"min", MIN(Instances!P17:Instances!P17),"max", MAX(Instances!P17:Instances!P17),"diff", MAX(Instances!P17:Instances!P17)-MIN(Instances!P17:Instances!P17))</f>
        <v>0</v>
      </c>
      <c r="Q17" s="1" cm="1">
        <f t="array" ref="Q17">_xlfn.SWITCH($A$2,"average", AVERAGE(Instances!Q17:Instances!Q17),"median", MEDIAN(Instances!Q17:Instances!Q17),"min", MIN(Instances!Q17:Instances!Q17),"max", MAX(Instances!Q17:Instances!Q17),"diff", MAX(Instances!Q17:Instances!Q17)-MIN(Instances!Q17:Instances!Q17))</f>
        <v>0</v>
      </c>
      <c r="R17" s="1"/>
      <c r="S17" s="1"/>
      <c r="T17" s="1"/>
      <c r="U17" s="1"/>
      <c r="V17" s="1">
        <f>MIN($E17)</f>
        <v>0</v>
      </c>
      <c r="W17" s="1">
        <f>MIN($F17)</f>
        <v>0</v>
      </c>
      <c r="X17" s="1">
        <f>MIN($G17)</f>
        <v>0</v>
      </c>
      <c r="Y17" s="1"/>
      <c r="Z17" s="1"/>
      <c r="AA17" s="1">
        <f>MIN($J17)</f>
        <v>0</v>
      </c>
      <c r="AB17" s="1"/>
      <c r="AC17" s="1"/>
      <c r="AD17" s="1"/>
      <c r="AE17" s="1">
        <f>MIN($P17)</f>
        <v>0</v>
      </c>
      <c r="AF17" s="1">
        <f>MIN($Q17)</f>
        <v>0</v>
      </c>
      <c r="AG17" s="1"/>
      <c r="AH17" s="1"/>
      <c r="AI17" s="1"/>
      <c r="AJ17" s="1"/>
      <c r="AK17" s="1">
        <f>MEDIAN($E17)</f>
        <v>0</v>
      </c>
      <c r="AL17" s="1">
        <f>MEDIAN($F17)</f>
        <v>0</v>
      </c>
      <c r="AM17" s="1">
        <f>MEDIAN($G17)</f>
        <v>0</v>
      </c>
      <c r="AN17" s="1"/>
      <c r="AO17" s="1"/>
      <c r="AP17" s="1">
        <f>MEDIAN($J17)</f>
        <v>0</v>
      </c>
      <c r="AQ17" s="1"/>
      <c r="AR17" s="1"/>
      <c r="AS17" s="1"/>
      <c r="AT17" s="1">
        <f>MEDIAN($P17)</f>
        <v>0</v>
      </c>
      <c r="AU17" s="1">
        <f>MEDIAN($Q17)</f>
        <v>0</v>
      </c>
      <c r="AV17" s="1"/>
      <c r="AW17" s="1"/>
      <c r="AX17" s="1"/>
      <c r="AY17" s="1"/>
      <c r="AZ17" s="1">
        <f>MAX($E17)</f>
        <v>0</v>
      </c>
      <c r="BA17" s="1">
        <f>MAX($F17)</f>
        <v>0</v>
      </c>
      <c r="BB17" s="1">
        <f>MAX($G17)</f>
        <v>0</v>
      </c>
      <c r="BC17" s="1"/>
      <c r="BD17" s="1"/>
      <c r="BE17" s="1">
        <f>MAX($J17)</f>
        <v>0</v>
      </c>
      <c r="BF17" s="1"/>
      <c r="BG17" s="1"/>
      <c r="BH17" s="1"/>
      <c r="BI17" s="1">
        <f>MAX($P17)</f>
        <v>0</v>
      </c>
      <c r="BJ17" s="1">
        <f>MAX($Q17)</f>
        <v>0</v>
      </c>
      <c r="BK17" s="1"/>
    </row>
    <row r="18" spans="1:63">
      <c r="A18" s="1" t="s">
        <v>15</v>
      </c>
      <c r="B18" s="1"/>
      <c r="C18" s="1"/>
      <c r="D18" s="1"/>
      <c r="E18" s="1" cm="1">
        <f t="array" ref="E18">_xlfn.SWITCH($A$2,"average", AVERAGE(Instances!E18:Instances!E18),"median", MEDIAN(Instances!E18:Instances!E18),"min", MIN(Instances!E18:Instances!E18),"max", MAX(Instances!E18:Instances!E18),"diff", MAX(Instances!E18:Instances!E18)-MIN(Instances!E18:Instances!E18))</f>
        <v>0</v>
      </c>
      <c r="F18" s="1" cm="1">
        <f t="array" ref="F18">_xlfn.SWITCH($A$2,"average", AVERAGE(Instances!F18:Instances!F18),"median", MEDIAN(Instances!F18:Instances!F18),"min", MIN(Instances!F18:Instances!F18),"max", MAX(Instances!F18:Instances!F18),"diff", MAX(Instances!F18:Instances!F18)-MIN(Instances!F18:Instances!F18))</f>
        <v>0</v>
      </c>
      <c r="G18" s="1" cm="1">
        <f t="array" ref="G18">_xlfn.SWITCH($A$2,"average", AVERAGE(Instances!G18:Instances!G18),"median", MEDIAN(Instances!G18:Instances!G18),"min", MIN(Instances!G18:Instances!G18),"max", MAX(Instances!G18:Instances!G18),"diff", MAX(Instances!G18:Instances!G18)-MIN(Instances!G18:Instances!G18))</f>
        <v>0</v>
      </c>
      <c r="H18" s="1"/>
      <c r="I18" s="1"/>
      <c r="J18" s="1" cm="1">
        <f t="array" ref="J18">_xlfn.SWITCH($A$2,"average", AVERAGE(Instances!J18:Instances!J18),"median", MEDIAN(Instances!J18:Instances!J18),"min", MIN(Instances!J18:Instances!J18),"max", MAX(Instances!J18:Instances!J18),"diff", MAX(Instances!J18:Instances!J18)-MIN(Instances!J18:Instances!J18))</f>
        <v>0</v>
      </c>
      <c r="K18" s="1"/>
      <c r="L18" s="1"/>
      <c r="M18" s="1"/>
      <c r="N18" s="1"/>
      <c r="O18" s="1"/>
      <c r="P18" s="1" cm="1">
        <f t="array" ref="P18">_xlfn.SWITCH($A$2,"average", AVERAGE(Instances!P18:Instances!P18),"median", MEDIAN(Instances!P18:Instances!P18),"min", MIN(Instances!P18:Instances!P18),"max", MAX(Instances!P18:Instances!P18),"diff", MAX(Instances!P18:Instances!P18)-MIN(Instances!P18:Instances!P18))</f>
        <v>0</v>
      </c>
      <c r="Q18" s="1" cm="1">
        <f t="array" ref="Q18">_xlfn.SWITCH($A$2,"average", AVERAGE(Instances!Q18:Instances!Q18),"median", MEDIAN(Instances!Q18:Instances!Q18),"min", MIN(Instances!Q18:Instances!Q18),"max", MAX(Instances!Q18:Instances!Q18),"diff", MAX(Instances!Q18:Instances!Q18)-MIN(Instances!Q18:Instances!Q18))</f>
        <v>0</v>
      </c>
      <c r="R18" s="1"/>
      <c r="S18" s="1"/>
      <c r="T18" s="1"/>
      <c r="U18" s="1"/>
      <c r="V18" s="1">
        <f>MIN($E18)</f>
        <v>0</v>
      </c>
      <c r="W18" s="1">
        <f>MIN($F18)</f>
        <v>0</v>
      </c>
      <c r="X18" s="1">
        <f>MIN($G18)</f>
        <v>0</v>
      </c>
      <c r="Y18" s="1"/>
      <c r="Z18" s="1"/>
      <c r="AA18" s="1">
        <f>MIN($J18)</f>
        <v>0</v>
      </c>
      <c r="AB18" s="1"/>
      <c r="AC18" s="1"/>
      <c r="AD18" s="1"/>
      <c r="AE18" s="1">
        <f>MIN($P18)</f>
        <v>0</v>
      </c>
      <c r="AF18" s="1">
        <f>MIN($Q18)</f>
        <v>0</v>
      </c>
      <c r="AG18" s="1"/>
      <c r="AH18" s="1"/>
      <c r="AI18" s="1"/>
      <c r="AJ18" s="1"/>
      <c r="AK18" s="1">
        <f>MEDIAN($E18)</f>
        <v>0</v>
      </c>
      <c r="AL18" s="1">
        <f>MEDIAN($F18)</f>
        <v>0</v>
      </c>
      <c r="AM18" s="1">
        <f>MEDIAN($G18)</f>
        <v>0</v>
      </c>
      <c r="AN18" s="1"/>
      <c r="AO18" s="1"/>
      <c r="AP18" s="1">
        <f>MEDIAN($J18)</f>
        <v>0</v>
      </c>
      <c r="AQ18" s="1"/>
      <c r="AR18" s="1"/>
      <c r="AS18" s="1"/>
      <c r="AT18" s="1">
        <f>MEDIAN($P18)</f>
        <v>0</v>
      </c>
      <c r="AU18" s="1">
        <f>MEDIAN($Q18)</f>
        <v>0</v>
      </c>
      <c r="AV18" s="1"/>
      <c r="AW18" s="1"/>
      <c r="AX18" s="1"/>
      <c r="AY18" s="1"/>
      <c r="AZ18" s="1">
        <f>MAX($E18)</f>
        <v>0</v>
      </c>
      <c r="BA18" s="1">
        <f>MAX($F18)</f>
        <v>0</v>
      </c>
      <c r="BB18" s="1">
        <f>MAX($G18)</f>
        <v>0</v>
      </c>
      <c r="BC18" s="1"/>
      <c r="BD18" s="1"/>
      <c r="BE18" s="1">
        <f>MAX($J18)</f>
        <v>0</v>
      </c>
      <c r="BF18" s="1"/>
      <c r="BG18" s="1"/>
      <c r="BH18" s="1"/>
      <c r="BI18" s="1">
        <f>MAX($P18)</f>
        <v>0</v>
      </c>
      <c r="BJ18" s="1">
        <f>MAX($Q18)</f>
        <v>0</v>
      </c>
      <c r="BK18" s="1"/>
    </row>
    <row r="19" spans="1:63">
      <c r="A19" s="1" t="s">
        <v>16</v>
      </c>
      <c r="B19" s="1"/>
      <c r="C19" s="1"/>
      <c r="D19" s="1"/>
      <c r="E19" s="1" cm="1">
        <f t="array" ref="E19">_xlfn.SWITCH($A$2,"average", AVERAGE(Instances!E19:Instances!E19),"median", MEDIAN(Instances!E19:Instances!E19),"min", MIN(Instances!E19:Instances!E19),"max", MAX(Instances!E19:Instances!E19),"diff", MAX(Instances!E19:Instances!E19)-MIN(Instances!E19:Instances!E19))</f>
        <v>0</v>
      </c>
      <c r="F19" s="1" cm="1">
        <f t="array" ref="F19">_xlfn.SWITCH($A$2,"average", AVERAGE(Instances!F19:Instances!F19),"median", MEDIAN(Instances!F19:Instances!F19),"min", MIN(Instances!F19:Instances!F19),"max", MAX(Instances!F19:Instances!F19),"diff", MAX(Instances!F19:Instances!F19)-MIN(Instances!F19:Instances!F19))</f>
        <v>0</v>
      </c>
      <c r="G19" s="1" cm="1">
        <f t="array" ref="G19">_xlfn.SWITCH($A$2,"average", AVERAGE(Instances!G19:Instances!G19),"median", MEDIAN(Instances!G19:Instances!G19),"min", MIN(Instances!G19:Instances!G19),"max", MAX(Instances!G19:Instances!G19),"diff", MAX(Instances!G19:Instances!G19)-MIN(Instances!G19:Instances!G19))</f>
        <v>0</v>
      </c>
      <c r="H19" s="1"/>
      <c r="I19" s="1"/>
      <c r="J19" s="1" cm="1">
        <f t="array" ref="J19">_xlfn.SWITCH($A$2,"average", AVERAGE(Instances!J19:Instances!J19),"median", MEDIAN(Instances!J19:Instances!J19),"min", MIN(Instances!J19:Instances!J19),"max", MAX(Instances!J19:Instances!J19),"diff", MAX(Instances!J19:Instances!J19)-MIN(Instances!J19:Instances!J19))</f>
        <v>0</v>
      </c>
      <c r="K19" s="1"/>
      <c r="L19" s="1"/>
      <c r="M19" s="1"/>
      <c r="N19" s="1"/>
      <c r="O19" s="1"/>
      <c r="P19" s="1" cm="1">
        <f t="array" ref="P19">_xlfn.SWITCH($A$2,"average", AVERAGE(Instances!P19:Instances!P19),"median", MEDIAN(Instances!P19:Instances!P19),"min", MIN(Instances!P19:Instances!P19),"max", MAX(Instances!P19:Instances!P19),"diff", MAX(Instances!P19:Instances!P19)-MIN(Instances!P19:Instances!P19))</f>
        <v>0</v>
      </c>
      <c r="Q19" s="1" cm="1">
        <f t="array" ref="Q19">_xlfn.SWITCH($A$2,"average", AVERAGE(Instances!Q19:Instances!Q19),"median", MEDIAN(Instances!Q19:Instances!Q19),"min", MIN(Instances!Q19:Instances!Q19),"max", MAX(Instances!Q19:Instances!Q19),"diff", MAX(Instances!Q19:Instances!Q19)-MIN(Instances!Q19:Instances!Q19))</f>
        <v>0</v>
      </c>
      <c r="R19" s="1"/>
      <c r="S19" s="1"/>
      <c r="T19" s="1"/>
      <c r="U19" s="1"/>
      <c r="V19" s="1">
        <f>MIN($E19)</f>
        <v>0</v>
      </c>
      <c r="W19" s="1">
        <f>MIN($F19)</f>
        <v>0</v>
      </c>
      <c r="X19" s="1">
        <f>MIN($G19)</f>
        <v>0</v>
      </c>
      <c r="Y19" s="1"/>
      <c r="Z19" s="1"/>
      <c r="AA19" s="1">
        <f>MIN($J19)</f>
        <v>0</v>
      </c>
      <c r="AB19" s="1"/>
      <c r="AC19" s="1"/>
      <c r="AD19" s="1"/>
      <c r="AE19" s="1">
        <f>MIN($P19)</f>
        <v>0</v>
      </c>
      <c r="AF19" s="1">
        <f>MIN($Q19)</f>
        <v>0</v>
      </c>
      <c r="AG19" s="1"/>
      <c r="AH19" s="1"/>
      <c r="AI19" s="1"/>
      <c r="AJ19" s="1"/>
      <c r="AK19" s="1">
        <f>MEDIAN($E19)</f>
        <v>0</v>
      </c>
      <c r="AL19" s="1">
        <f>MEDIAN($F19)</f>
        <v>0</v>
      </c>
      <c r="AM19" s="1">
        <f>MEDIAN($G19)</f>
        <v>0</v>
      </c>
      <c r="AN19" s="1"/>
      <c r="AO19" s="1"/>
      <c r="AP19" s="1">
        <f>MEDIAN($J19)</f>
        <v>0</v>
      </c>
      <c r="AQ19" s="1"/>
      <c r="AR19" s="1"/>
      <c r="AS19" s="1"/>
      <c r="AT19" s="1">
        <f>MEDIAN($P19)</f>
        <v>0</v>
      </c>
      <c r="AU19" s="1">
        <f>MEDIAN($Q19)</f>
        <v>0</v>
      </c>
      <c r="AV19" s="1"/>
      <c r="AW19" s="1"/>
      <c r="AX19" s="1"/>
      <c r="AY19" s="1"/>
      <c r="AZ19" s="1">
        <f>MAX($E19)</f>
        <v>0</v>
      </c>
      <c r="BA19" s="1">
        <f>MAX($F19)</f>
        <v>0</v>
      </c>
      <c r="BB19" s="1">
        <f>MAX($G19)</f>
        <v>0</v>
      </c>
      <c r="BC19" s="1"/>
      <c r="BD19" s="1"/>
      <c r="BE19" s="1">
        <f>MAX($J19)</f>
        <v>0</v>
      </c>
      <c r="BF19" s="1"/>
      <c r="BG19" s="1"/>
      <c r="BH19" s="1"/>
      <c r="BI19" s="1">
        <f>MAX($P19)</f>
        <v>0</v>
      </c>
      <c r="BJ19" s="1">
        <f>MAX($Q19)</f>
        <v>0</v>
      </c>
      <c r="BK19" s="1"/>
    </row>
    <row r="20" spans="1:63">
      <c r="A20" s="1" t="s">
        <v>17</v>
      </c>
      <c r="B20" s="1"/>
      <c r="C20" s="1"/>
      <c r="D20" s="1"/>
      <c r="E20" s="1" cm="1">
        <f t="array" ref="E20">_xlfn.SWITCH($A$2,"average", AVERAGE(Instances!E20:Instances!E20),"median", MEDIAN(Instances!E20:Instances!E20),"min", MIN(Instances!E20:Instances!E20),"max", MAX(Instances!E20:Instances!E20),"diff", MAX(Instances!E20:Instances!E20)-MIN(Instances!E20:Instances!E20))</f>
        <v>0</v>
      </c>
      <c r="F20" s="1" cm="1">
        <f t="array" ref="F20">_xlfn.SWITCH($A$2,"average", AVERAGE(Instances!F20:Instances!F20),"median", MEDIAN(Instances!F20:Instances!F20),"min", MIN(Instances!F20:Instances!F20),"max", MAX(Instances!F20:Instances!F20),"diff", MAX(Instances!F20:Instances!F20)-MIN(Instances!F20:Instances!F20))</f>
        <v>0</v>
      </c>
      <c r="G20" s="1" cm="1">
        <f t="array" ref="G20">_xlfn.SWITCH($A$2,"average", AVERAGE(Instances!G20:Instances!G20),"median", MEDIAN(Instances!G20:Instances!G20),"min", MIN(Instances!G20:Instances!G20),"max", MAX(Instances!G20:Instances!G20),"diff", MAX(Instances!G20:Instances!G20)-MIN(Instances!G20:Instances!G20))</f>
        <v>0</v>
      </c>
      <c r="H20" s="1"/>
      <c r="I20" s="1"/>
      <c r="J20" s="1" cm="1">
        <f t="array" ref="J20">_xlfn.SWITCH($A$2,"average", AVERAGE(Instances!J20:Instances!J20),"median", MEDIAN(Instances!J20:Instances!J20),"min", MIN(Instances!J20:Instances!J20),"max", MAX(Instances!J20:Instances!J20),"diff", MAX(Instances!J20:Instances!J20)-MIN(Instances!J20:Instances!J20))</f>
        <v>0</v>
      </c>
      <c r="K20" s="1"/>
      <c r="L20" s="1"/>
      <c r="M20" s="1"/>
      <c r="N20" s="1"/>
      <c r="O20" s="1"/>
      <c r="P20" s="1" cm="1">
        <f t="array" ref="P20">_xlfn.SWITCH($A$2,"average", AVERAGE(Instances!P20:Instances!P20),"median", MEDIAN(Instances!P20:Instances!P20),"min", MIN(Instances!P20:Instances!P20),"max", MAX(Instances!P20:Instances!P20),"diff", MAX(Instances!P20:Instances!P20)-MIN(Instances!P20:Instances!P20))</f>
        <v>0</v>
      </c>
      <c r="Q20" s="1" cm="1">
        <f t="array" ref="Q20">_xlfn.SWITCH($A$2,"average", AVERAGE(Instances!Q20:Instances!Q20),"median", MEDIAN(Instances!Q20:Instances!Q20),"min", MIN(Instances!Q20:Instances!Q20),"max", MAX(Instances!Q20:Instances!Q20),"diff", MAX(Instances!Q20:Instances!Q20)-MIN(Instances!Q20:Instances!Q20))</f>
        <v>0</v>
      </c>
      <c r="R20" s="1"/>
      <c r="S20" s="1"/>
      <c r="T20" s="1"/>
      <c r="U20" s="1"/>
      <c r="V20" s="1">
        <f>MIN($E20)</f>
        <v>0</v>
      </c>
      <c r="W20" s="1">
        <f>MIN($F20)</f>
        <v>0</v>
      </c>
      <c r="X20" s="1">
        <f>MIN($G20)</f>
        <v>0</v>
      </c>
      <c r="Y20" s="1"/>
      <c r="Z20" s="1"/>
      <c r="AA20" s="1">
        <f>MIN($J20)</f>
        <v>0</v>
      </c>
      <c r="AB20" s="1"/>
      <c r="AC20" s="1"/>
      <c r="AD20" s="1"/>
      <c r="AE20" s="1">
        <f>MIN($P20)</f>
        <v>0</v>
      </c>
      <c r="AF20" s="1">
        <f>MIN($Q20)</f>
        <v>0</v>
      </c>
      <c r="AG20" s="1"/>
      <c r="AH20" s="1"/>
      <c r="AI20" s="1"/>
      <c r="AJ20" s="1"/>
      <c r="AK20" s="1">
        <f>MEDIAN($E20)</f>
        <v>0</v>
      </c>
      <c r="AL20" s="1">
        <f>MEDIAN($F20)</f>
        <v>0</v>
      </c>
      <c r="AM20" s="1">
        <f>MEDIAN($G20)</f>
        <v>0</v>
      </c>
      <c r="AN20" s="1"/>
      <c r="AO20" s="1"/>
      <c r="AP20" s="1">
        <f>MEDIAN($J20)</f>
        <v>0</v>
      </c>
      <c r="AQ20" s="1"/>
      <c r="AR20" s="1"/>
      <c r="AS20" s="1"/>
      <c r="AT20" s="1">
        <f>MEDIAN($P20)</f>
        <v>0</v>
      </c>
      <c r="AU20" s="1">
        <f>MEDIAN($Q20)</f>
        <v>0</v>
      </c>
      <c r="AV20" s="1"/>
      <c r="AW20" s="1"/>
      <c r="AX20" s="1"/>
      <c r="AY20" s="1"/>
      <c r="AZ20" s="1">
        <f>MAX($E20)</f>
        <v>0</v>
      </c>
      <c r="BA20" s="1">
        <f>MAX($F20)</f>
        <v>0</v>
      </c>
      <c r="BB20" s="1">
        <f>MAX($G20)</f>
        <v>0</v>
      </c>
      <c r="BC20" s="1"/>
      <c r="BD20" s="1"/>
      <c r="BE20" s="1">
        <f>MAX($J20)</f>
        <v>0</v>
      </c>
      <c r="BF20" s="1"/>
      <c r="BG20" s="1"/>
      <c r="BH20" s="1"/>
      <c r="BI20" s="1">
        <f>MAX($P20)</f>
        <v>0</v>
      </c>
      <c r="BJ20" s="1">
        <f>MAX($Q20)</f>
        <v>0</v>
      </c>
      <c r="BK20" s="1"/>
    </row>
    <row r="21" spans="1:63">
      <c r="A21" s="1" t="s">
        <v>18</v>
      </c>
      <c r="B21" s="1"/>
      <c r="C21" s="1"/>
      <c r="D21" s="1"/>
      <c r="E21" s="1" cm="1">
        <f t="array" ref="E21">_xlfn.SWITCH($A$2,"average", AVERAGE(Instances!E21:Instances!E21),"median", MEDIAN(Instances!E21:Instances!E21),"min", MIN(Instances!E21:Instances!E21),"max", MAX(Instances!E21:Instances!E21),"diff", MAX(Instances!E21:Instances!E21)-MIN(Instances!E21:Instances!E21))</f>
        <v>0</v>
      </c>
      <c r="F21" s="1" cm="1">
        <f t="array" ref="F21">_xlfn.SWITCH($A$2,"average", AVERAGE(Instances!F21:Instances!F21),"median", MEDIAN(Instances!F21:Instances!F21),"min", MIN(Instances!F21:Instances!F21),"max", MAX(Instances!F21:Instances!F21),"diff", MAX(Instances!F21:Instances!F21)-MIN(Instances!F21:Instances!F21))</f>
        <v>0</v>
      </c>
      <c r="G21" s="1" cm="1">
        <f t="array" ref="G21">_xlfn.SWITCH($A$2,"average", AVERAGE(Instances!G21:Instances!G21),"median", MEDIAN(Instances!G21:Instances!G21),"min", MIN(Instances!G21:Instances!G21),"max", MAX(Instances!G21:Instances!G21),"diff", MAX(Instances!G21:Instances!G21)-MIN(Instances!G21:Instances!G21))</f>
        <v>0</v>
      </c>
      <c r="H21" s="1"/>
      <c r="I21" s="1"/>
      <c r="J21" s="1" cm="1">
        <f t="array" ref="J21">_xlfn.SWITCH($A$2,"average", AVERAGE(Instances!J21:Instances!J21),"median", MEDIAN(Instances!J21:Instances!J21),"min", MIN(Instances!J21:Instances!J21),"max", MAX(Instances!J21:Instances!J21),"diff", MAX(Instances!J21:Instances!J21)-MIN(Instances!J21:Instances!J21))</f>
        <v>0</v>
      </c>
      <c r="K21" s="1"/>
      <c r="L21" s="1"/>
      <c r="M21" s="1"/>
      <c r="N21" s="1"/>
      <c r="O21" s="1"/>
      <c r="P21" s="1" cm="1">
        <f t="array" ref="P21">_xlfn.SWITCH($A$2,"average", AVERAGE(Instances!P21:Instances!P21),"median", MEDIAN(Instances!P21:Instances!P21),"min", MIN(Instances!P21:Instances!P21),"max", MAX(Instances!P21:Instances!P21),"diff", MAX(Instances!P21:Instances!P21)-MIN(Instances!P21:Instances!P21))</f>
        <v>0</v>
      </c>
      <c r="Q21" s="1" cm="1">
        <f t="array" ref="Q21">_xlfn.SWITCH($A$2,"average", AVERAGE(Instances!Q21:Instances!Q21),"median", MEDIAN(Instances!Q21:Instances!Q21),"min", MIN(Instances!Q21:Instances!Q21),"max", MAX(Instances!Q21:Instances!Q21),"diff", MAX(Instances!Q21:Instances!Q21)-MIN(Instances!Q21:Instances!Q21))</f>
        <v>0</v>
      </c>
      <c r="R21" s="1"/>
      <c r="S21" s="1"/>
      <c r="T21" s="1"/>
      <c r="U21" s="1"/>
      <c r="V21" s="1">
        <f>MIN($E21)</f>
        <v>0</v>
      </c>
      <c r="W21" s="1">
        <f>MIN($F21)</f>
        <v>0</v>
      </c>
      <c r="X21" s="1">
        <f>MIN($G21)</f>
        <v>0</v>
      </c>
      <c r="Y21" s="1"/>
      <c r="Z21" s="1"/>
      <c r="AA21" s="1">
        <f>MIN($J21)</f>
        <v>0</v>
      </c>
      <c r="AB21" s="1"/>
      <c r="AC21" s="1"/>
      <c r="AD21" s="1"/>
      <c r="AE21" s="1">
        <f>MIN($P21)</f>
        <v>0</v>
      </c>
      <c r="AF21" s="1">
        <f>MIN($Q21)</f>
        <v>0</v>
      </c>
      <c r="AG21" s="1"/>
      <c r="AH21" s="1"/>
      <c r="AI21" s="1"/>
      <c r="AJ21" s="1"/>
      <c r="AK21" s="1">
        <f>MEDIAN($E21)</f>
        <v>0</v>
      </c>
      <c r="AL21" s="1">
        <f>MEDIAN($F21)</f>
        <v>0</v>
      </c>
      <c r="AM21" s="1">
        <f>MEDIAN($G21)</f>
        <v>0</v>
      </c>
      <c r="AN21" s="1"/>
      <c r="AO21" s="1"/>
      <c r="AP21" s="1">
        <f>MEDIAN($J21)</f>
        <v>0</v>
      </c>
      <c r="AQ21" s="1"/>
      <c r="AR21" s="1"/>
      <c r="AS21" s="1"/>
      <c r="AT21" s="1">
        <f>MEDIAN($P21)</f>
        <v>0</v>
      </c>
      <c r="AU21" s="1">
        <f>MEDIAN($Q21)</f>
        <v>0</v>
      </c>
      <c r="AV21" s="1"/>
      <c r="AW21" s="1"/>
      <c r="AX21" s="1"/>
      <c r="AY21" s="1"/>
      <c r="AZ21" s="1">
        <f>MAX($E21)</f>
        <v>0</v>
      </c>
      <c r="BA21" s="1">
        <f>MAX($F21)</f>
        <v>0</v>
      </c>
      <c r="BB21" s="1">
        <f>MAX($G21)</f>
        <v>0</v>
      </c>
      <c r="BC21" s="1"/>
      <c r="BD21" s="1"/>
      <c r="BE21" s="1">
        <f>MAX($J21)</f>
        <v>0</v>
      </c>
      <c r="BF21" s="1"/>
      <c r="BG21" s="1"/>
      <c r="BH21" s="1"/>
      <c r="BI21" s="1">
        <f>MAX($P21)</f>
        <v>0</v>
      </c>
      <c r="BJ21" s="1">
        <f>MAX($Q21)</f>
        <v>0</v>
      </c>
      <c r="BK21" s="1"/>
    </row>
    <row r="22" spans="1:63">
      <c r="A22" s="1" t="s">
        <v>19</v>
      </c>
      <c r="B22" s="1"/>
      <c r="C22" s="1"/>
      <c r="D22" s="1"/>
      <c r="E22" s="1" cm="1">
        <f t="array" ref="E22">_xlfn.SWITCH($A$2,"average", AVERAGE(Instances!E22:Instances!E22),"median", MEDIAN(Instances!E22:Instances!E22),"min", MIN(Instances!E22:Instances!E22),"max", MAX(Instances!E22:Instances!E22),"diff", MAX(Instances!E22:Instances!E22)-MIN(Instances!E22:Instances!E22))</f>
        <v>0</v>
      </c>
      <c r="F22" s="1" cm="1">
        <f t="array" ref="F22">_xlfn.SWITCH($A$2,"average", AVERAGE(Instances!F22:Instances!F22),"median", MEDIAN(Instances!F22:Instances!F22),"min", MIN(Instances!F22:Instances!F22),"max", MAX(Instances!F22:Instances!F22),"diff", MAX(Instances!F22:Instances!F22)-MIN(Instances!F22:Instances!F22))</f>
        <v>0</v>
      </c>
      <c r="G22" s="1" cm="1">
        <f t="array" ref="G22">_xlfn.SWITCH($A$2,"average", AVERAGE(Instances!G22:Instances!G22),"median", MEDIAN(Instances!G22:Instances!G22),"min", MIN(Instances!G22:Instances!G22),"max", MAX(Instances!G22:Instances!G22),"diff", MAX(Instances!G22:Instances!G22)-MIN(Instances!G22:Instances!G22))</f>
        <v>0</v>
      </c>
      <c r="H22" s="1"/>
      <c r="I22" s="1"/>
      <c r="J22" s="1" cm="1">
        <f t="array" ref="J22">_xlfn.SWITCH($A$2,"average", AVERAGE(Instances!J22:Instances!J22),"median", MEDIAN(Instances!J22:Instances!J22),"min", MIN(Instances!J22:Instances!J22),"max", MAX(Instances!J22:Instances!J22),"diff", MAX(Instances!J22:Instances!J22)-MIN(Instances!J22:Instances!J22))</f>
        <v>0</v>
      </c>
      <c r="K22" s="1"/>
      <c r="L22" s="1"/>
      <c r="M22" s="1"/>
      <c r="N22" s="1"/>
      <c r="O22" s="1"/>
      <c r="P22" s="1" cm="1">
        <f t="array" ref="P22">_xlfn.SWITCH($A$2,"average", AVERAGE(Instances!P22:Instances!P22),"median", MEDIAN(Instances!P22:Instances!P22),"min", MIN(Instances!P22:Instances!P22),"max", MAX(Instances!P22:Instances!P22),"diff", MAX(Instances!P22:Instances!P22)-MIN(Instances!P22:Instances!P22))</f>
        <v>0</v>
      </c>
      <c r="Q22" s="1" cm="1">
        <f t="array" ref="Q22">_xlfn.SWITCH($A$2,"average", AVERAGE(Instances!Q22:Instances!Q22),"median", MEDIAN(Instances!Q22:Instances!Q22),"min", MIN(Instances!Q22:Instances!Q22),"max", MAX(Instances!Q22:Instances!Q22),"diff", MAX(Instances!Q22:Instances!Q22)-MIN(Instances!Q22:Instances!Q22))</f>
        <v>0</v>
      </c>
      <c r="R22" s="1"/>
      <c r="S22" s="1"/>
      <c r="T22" s="1"/>
      <c r="U22" s="1"/>
      <c r="V22" s="1">
        <f>MIN($E22)</f>
        <v>0</v>
      </c>
      <c r="W22" s="1">
        <f>MIN($F22)</f>
        <v>0</v>
      </c>
      <c r="X22" s="1">
        <f>MIN($G22)</f>
        <v>0</v>
      </c>
      <c r="Y22" s="1"/>
      <c r="Z22" s="1"/>
      <c r="AA22" s="1">
        <f>MIN($J22)</f>
        <v>0</v>
      </c>
      <c r="AB22" s="1"/>
      <c r="AC22" s="1"/>
      <c r="AD22" s="1"/>
      <c r="AE22" s="1">
        <f>MIN($P22)</f>
        <v>0</v>
      </c>
      <c r="AF22" s="1">
        <f>MIN($Q22)</f>
        <v>0</v>
      </c>
      <c r="AG22" s="1"/>
      <c r="AH22" s="1"/>
      <c r="AI22" s="1"/>
      <c r="AJ22" s="1"/>
      <c r="AK22" s="1">
        <f>MEDIAN($E22)</f>
        <v>0</v>
      </c>
      <c r="AL22" s="1">
        <f>MEDIAN($F22)</f>
        <v>0</v>
      </c>
      <c r="AM22" s="1">
        <f>MEDIAN($G22)</f>
        <v>0</v>
      </c>
      <c r="AN22" s="1"/>
      <c r="AO22" s="1"/>
      <c r="AP22" s="1">
        <f>MEDIAN($J22)</f>
        <v>0</v>
      </c>
      <c r="AQ22" s="1"/>
      <c r="AR22" s="1"/>
      <c r="AS22" s="1"/>
      <c r="AT22" s="1">
        <f>MEDIAN($P22)</f>
        <v>0</v>
      </c>
      <c r="AU22" s="1">
        <f>MEDIAN($Q22)</f>
        <v>0</v>
      </c>
      <c r="AV22" s="1"/>
      <c r="AW22" s="1"/>
      <c r="AX22" s="1"/>
      <c r="AY22" s="1"/>
      <c r="AZ22" s="1">
        <f>MAX($E22)</f>
        <v>0</v>
      </c>
      <c r="BA22" s="1">
        <f>MAX($F22)</f>
        <v>0</v>
      </c>
      <c r="BB22" s="1">
        <f>MAX($G22)</f>
        <v>0</v>
      </c>
      <c r="BC22" s="1"/>
      <c r="BD22" s="1"/>
      <c r="BE22" s="1">
        <f>MAX($J22)</f>
        <v>0</v>
      </c>
      <c r="BF22" s="1"/>
      <c r="BG22" s="1"/>
      <c r="BH22" s="1"/>
      <c r="BI22" s="1">
        <f>MAX($P22)</f>
        <v>0</v>
      </c>
      <c r="BJ22" s="1">
        <f>MAX($Q22)</f>
        <v>0</v>
      </c>
      <c r="BK22" s="1"/>
    </row>
    <row r="23" spans="1:63">
      <c r="A23" s="1" t="s">
        <v>20</v>
      </c>
      <c r="B23" s="1"/>
      <c r="C23" s="1"/>
      <c r="D23" s="1"/>
      <c r="E23" s="1" cm="1">
        <f t="array" ref="E23">_xlfn.SWITCH($A$2,"average", AVERAGE(Instances!E23:Instances!E23),"median", MEDIAN(Instances!E23:Instances!E23),"min", MIN(Instances!E23:Instances!E23),"max", MAX(Instances!E23:Instances!E23),"diff", MAX(Instances!E23:Instances!E23)-MIN(Instances!E23:Instances!E23))</f>
        <v>0</v>
      </c>
      <c r="F23" s="1" cm="1">
        <f t="array" ref="F23">_xlfn.SWITCH($A$2,"average", AVERAGE(Instances!F23:Instances!F23),"median", MEDIAN(Instances!F23:Instances!F23),"min", MIN(Instances!F23:Instances!F23),"max", MAX(Instances!F23:Instances!F23),"diff", MAX(Instances!F23:Instances!F23)-MIN(Instances!F23:Instances!F23))</f>
        <v>0</v>
      </c>
      <c r="G23" s="1" cm="1">
        <f t="array" ref="G23">_xlfn.SWITCH($A$2,"average", AVERAGE(Instances!G23:Instances!G23),"median", MEDIAN(Instances!G23:Instances!G23),"min", MIN(Instances!G23:Instances!G23),"max", MAX(Instances!G23:Instances!G23),"diff", MAX(Instances!G23:Instances!G23)-MIN(Instances!G23:Instances!G23))</f>
        <v>0</v>
      </c>
      <c r="H23" s="1"/>
      <c r="I23" s="1"/>
      <c r="J23" s="1" cm="1">
        <f t="array" ref="J23">_xlfn.SWITCH($A$2,"average", AVERAGE(Instances!J23:Instances!J23),"median", MEDIAN(Instances!J23:Instances!J23),"min", MIN(Instances!J23:Instances!J23),"max", MAX(Instances!J23:Instances!J23),"diff", MAX(Instances!J23:Instances!J23)-MIN(Instances!J23:Instances!J23))</f>
        <v>0</v>
      </c>
      <c r="K23" s="1"/>
      <c r="L23" s="1"/>
      <c r="M23" s="1"/>
      <c r="N23" s="1"/>
      <c r="O23" s="1"/>
      <c r="P23" s="1" cm="1">
        <f t="array" ref="P23">_xlfn.SWITCH($A$2,"average", AVERAGE(Instances!P23:Instances!P23),"median", MEDIAN(Instances!P23:Instances!P23),"min", MIN(Instances!P23:Instances!P23),"max", MAX(Instances!P23:Instances!P23),"diff", MAX(Instances!P23:Instances!P23)-MIN(Instances!P23:Instances!P23))</f>
        <v>0</v>
      </c>
      <c r="Q23" s="1" cm="1">
        <f t="array" ref="Q23">_xlfn.SWITCH($A$2,"average", AVERAGE(Instances!Q23:Instances!Q23),"median", MEDIAN(Instances!Q23:Instances!Q23),"min", MIN(Instances!Q23:Instances!Q23),"max", MAX(Instances!Q23:Instances!Q23),"diff", MAX(Instances!Q23:Instances!Q23)-MIN(Instances!Q23:Instances!Q23))</f>
        <v>0</v>
      </c>
      <c r="R23" s="1"/>
      <c r="S23" s="1"/>
      <c r="T23" s="1"/>
      <c r="U23" s="1"/>
      <c r="V23" s="1">
        <f>MIN($E23)</f>
        <v>0</v>
      </c>
      <c r="W23" s="1">
        <f>MIN($F23)</f>
        <v>0</v>
      </c>
      <c r="X23" s="1">
        <f>MIN($G23)</f>
        <v>0</v>
      </c>
      <c r="Y23" s="1"/>
      <c r="Z23" s="1"/>
      <c r="AA23" s="1">
        <f>MIN($J23)</f>
        <v>0</v>
      </c>
      <c r="AB23" s="1"/>
      <c r="AC23" s="1"/>
      <c r="AD23" s="1"/>
      <c r="AE23" s="1">
        <f>MIN($P23)</f>
        <v>0</v>
      </c>
      <c r="AF23" s="1">
        <f>MIN($Q23)</f>
        <v>0</v>
      </c>
      <c r="AG23" s="1"/>
      <c r="AH23" s="1"/>
      <c r="AI23" s="1"/>
      <c r="AJ23" s="1"/>
      <c r="AK23" s="1">
        <f>MEDIAN($E23)</f>
        <v>0</v>
      </c>
      <c r="AL23" s="1">
        <f>MEDIAN($F23)</f>
        <v>0</v>
      </c>
      <c r="AM23" s="1">
        <f>MEDIAN($G23)</f>
        <v>0</v>
      </c>
      <c r="AN23" s="1"/>
      <c r="AO23" s="1"/>
      <c r="AP23" s="1">
        <f>MEDIAN($J23)</f>
        <v>0</v>
      </c>
      <c r="AQ23" s="1"/>
      <c r="AR23" s="1"/>
      <c r="AS23" s="1"/>
      <c r="AT23" s="1">
        <f>MEDIAN($P23)</f>
        <v>0</v>
      </c>
      <c r="AU23" s="1">
        <f>MEDIAN($Q23)</f>
        <v>0</v>
      </c>
      <c r="AV23" s="1"/>
      <c r="AW23" s="1"/>
      <c r="AX23" s="1"/>
      <c r="AY23" s="1"/>
      <c r="AZ23" s="1">
        <f>MAX($E23)</f>
        <v>0</v>
      </c>
      <c r="BA23" s="1">
        <f>MAX($F23)</f>
        <v>0</v>
      </c>
      <c r="BB23" s="1">
        <f>MAX($G23)</f>
        <v>0</v>
      </c>
      <c r="BC23" s="1"/>
      <c r="BD23" s="1"/>
      <c r="BE23" s="1">
        <f>MAX($J23)</f>
        <v>0</v>
      </c>
      <c r="BF23" s="1"/>
      <c r="BG23" s="1"/>
      <c r="BH23" s="1"/>
      <c r="BI23" s="1">
        <f>MAX($P23)</f>
        <v>0</v>
      </c>
      <c r="BJ23" s="1">
        <f>MAX($Q23)</f>
        <v>0</v>
      </c>
      <c r="BK23" s="1"/>
    </row>
    <row r="24" spans="1:63">
      <c r="A24" s="1" t="s">
        <v>21</v>
      </c>
      <c r="B24" s="1"/>
      <c r="C24" s="1"/>
      <c r="D24" s="1"/>
      <c r="E24" s="1" cm="1">
        <f t="array" ref="E24">_xlfn.SWITCH($A$2,"average", AVERAGE(Instances!E24:Instances!E24),"median", MEDIAN(Instances!E24:Instances!E24),"min", MIN(Instances!E24:Instances!E24),"max", MAX(Instances!E24:Instances!E24),"diff", MAX(Instances!E24:Instances!E24)-MIN(Instances!E24:Instances!E24))</f>
        <v>0</v>
      </c>
      <c r="F24" s="1" cm="1">
        <f t="array" ref="F24">_xlfn.SWITCH($A$2,"average", AVERAGE(Instances!F24:Instances!F24),"median", MEDIAN(Instances!F24:Instances!F24),"min", MIN(Instances!F24:Instances!F24),"max", MAX(Instances!F24:Instances!F24),"diff", MAX(Instances!F24:Instances!F24)-MIN(Instances!F24:Instances!F24))</f>
        <v>0</v>
      </c>
      <c r="G24" s="1" cm="1">
        <f t="array" ref="G24">_xlfn.SWITCH($A$2,"average", AVERAGE(Instances!G24:Instances!G24),"median", MEDIAN(Instances!G24:Instances!G24),"min", MIN(Instances!G24:Instances!G24),"max", MAX(Instances!G24:Instances!G24),"diff", MAX(Instances!G24:Instances!G24)-MIN(Instances!G24:Instances!G24))</f>
        <v>0</v>
      </c>
      <c r="H24" s="1"/>
      <c r="I24" s="1"/>
      <c r="J24" s="1" cm="1">
        <f t="array" ref="J24">_xlfn.SWITCH($A$2,"average", AVERAGE(Instances!J24:Instances!J24),"median", MEDIAN(Instances!J24:Instances!J24),"min", MIN(Instances!J24:Instances!J24),"max", MAX(Instances!J24:Instances!J24),"diff", MAX(Instances!J24:Instances!J24)-MIN(Instances!J24:Instances!J24))</f>
        <v>0</v>
      </c>
      <c r="K24" s="1"/>
      <c r="L24" s="1"/>
      <c r="M24" s="1"/>
      <c r="N24" s="1"/>
      <c r="O24" s="1"/>
      <c r="P24" s="1" cm="1">
        <f t="array" ref="P24">_xlfn.SWITCH($A$2,"average", AVERAGE(Instances!P24:Instances!P24),"median", MEDIAN(Instances!P24:Instances!P24),"min", MIN(Instances!P24:Instances!P24),"max", MAX(Instances!P24:Instances!P24),"diff", MAX(Instances!P24:Instances!P24)-MIN(Instances!P24:Instances!P24))</f>
        <v>0</v>
      </c>
      <c r="Q24" s="1" cm="1">
        <f t="array" ref="Q24">_xlfn.SWITCH($A$2,"average", AVERAGE(Instances!Q24:Instances!Q24),"median", MEDIAN(Instances!Q24:Instances!Q24),"min", MIN(Instances!Q24:Instances!Q24),"max", MAX(Instances!Q24:Instances!Q24),"diff", MAX(Instances!Q24:Instances!Q24)-MIN(Instances!Q24:Instances!Q24))</f>
        <v>0</v>
      </c>
      <c r="R24" s="1"/>
      <c r="S24" s="1"/>
      <c r="T24" s="1"/>
      <c r="U24" s="1"/>
      <c r="V24" s="1">
        <f>MIN($E24)</f>
        <v>0</v>
      </c>
      <c r="W24" s="1">
        <f>MIN($F24)</f>
        <v>0</v>
      </c>
      <c r="X24" s="1">
        <f>MIN($G24)</f>
        <v>0</v>
      </c>
      <c r="Y24" s="1"/>
      <c r="Z24" s="1"/>
      <c r="AA24" s="1">
        <f>MIN($J24)</f>
        <v>0</v>
      </c>
      <c r="AB24" s="1"/>
      <c r="AC24" s="1"/>
      <c r="AD24" s="1"/>
      <c r="AE24" s="1">
        <f>MIN($P24)</f>
        <v>0</v>
      </c>
      <c r="AF24" s="1">
        <f>MIN($Q24)</f>
        <v>0</v>
      </c>
      <c r="AG24" s="1"/>
      <c r="AH24" s="1"/>
      <c r="AI24" s="1"/>
      <c r="AJ24" s="1"/>
      <c r="AK24" s="1">
        <f>MEDIAN($E24)</f>
        <v>0</v>
      </c>
      <c r="AL24" s="1">
        <f>MEDIAN($F24)</f>
        <v>0</v>
      </c>
      <c r="AM24" s="1">
        <f>MEDIAN($G24)</f>
        <v>0</v>
      </c>
      <c r="AN24" s="1"/>
      <c r="AO24" s="1"/>
      <c r="AP24" s="1">
        <f>MEDIAN($J24)</f>
        <v>0</v>
      </c>
      <c r="AQ24" s="1"/>
      <c r="AR24" s="1"/>
      <c r="AS24" s="1"/>
      <c r="AT24" s="1">
        <f>MEDIAN($P24)</f>
        <v>0</v>
      </c>
      <c r="AU24" s="1">
        <f>MEDIAN($Q24)</f>
        <v>0</v>
      </c>
      <c r="AV24" s="1"/>
      <c r="AW24" s="1"/>
      <c r="AX24" s="1"/>
      <c r="AY24" s="1"/>
      <c r="AZ24" s="1">
        <f>MAX($E24)</f>
        <v>0</v>
      </c>
      <c r="BA24" s="1">
        <f>MAX($F24)</f>
        <v>0</v>
      </c>
      <c r="BB24" s="1">
        <f>MAX($G24)</f>
        <v>0</v>
      </c>
      <c r="BC24" s="1"/>
      <c r="BD24" s="1"/>
      <c r="BE24" s="1">
        <f>MAX($J24)</f>
        <v>0</v>
      </c>
      <c r="BF24" s="1"/>
      <c r="BG24" s="1"/>
      <c r="BH24" s="1"/>
      <c r="BI24" s="1">
        <f>MAX($P24)</f>
        <v>0</v>
      </c>
      <c r="BJ24" s="1">
        <f>MAX($Q24)</f>
        <v>0</v>
      </c>
      <c r="BK24" s="1"/>
    </row>
    <row r="25" spans="1:63">
      <c r="A25" s="1" t="s">
        <v>22</v>
      </c>
      <c r="B25" s="1"/>
      <c r="C25" s="1"/>
      <c r="D25" s="1"/>
      <c r="E25" s="1" cm="1">
        <f t="array" ref="E25">_xlfn.SWITCH($A$2,"average", AVERAGE(Instances!E25:Instances!E25),"median", MEDIAN(Instances!E25:Instances!E25),"min", MIN(Instances!E25:Instances!E25),"max", MAX(Instances!E25:Instances!E25),"diff", MAX(Instances!E25:Instances!E25)-MIN(Instances!E25:Instances!E25))</f>
        <v>0</v>
      </c>
      <c r="F25" s="1" cm="1">
        <f t="array" ref="F25">_xlfn.SWITCH($A$2,"average", AVERAGE(Instances!F25:Instances!F25),"median", MEDIAN(Instances!F25:Instances!F25),"min", MIN(Instances!F25:Instances!F25),"max", MAX(Instances!F25:Instances!F25),"diff", MAX(Instances!F25:Instances!F25)-MIN(Instances!F25:Instances!F25))</f>
        <v>0</v>
      </c>
      <c r="G25" s="1" cm="1">
        <f t="array" ref="G25">_xlfn.SWITCH($A$2,"average", AVERAGE(Instances!G25:Instances!G25),"median", MEDIAN(Instances!G25:Instances!G25),"min", MIN(Instances!G25:Instances!G25),"max", MAX(Instances!G25:Instances!G25),"diff", MAX(Instances!G25:Instances!G25)-MIN(Instances!G25:Instances!G25))</f>
        <v>0</v>
      </c>
      <c r="H25" s="1"/>
      <c r="I25" s="1"/>
      <c r="J25" s="1" cm="1">
        <f t="array" ref="J25">_xlfn.SWITCH($A$2,"average", AVERAGE(Instances!J25:Instances!J25),"median", MEDIAN(Instances!J25:Instances!J25),"min", MIN(Instances!J25:Instances!J25),"max", MAX(Instances!J25:Instances!J25),"diff", MAX(Instances!J25:Instances!J25)-MIN(Instances!J25:Instances!J25))</f>
        <v>0</v>
      </c>
      <c r="K25" s="1"/>
      <c r="L25" s="1"/>
      <c r="M25" s="1"/>
      <c r="N25" s="1"/>
      <c r="O25" s="1"/>
      <c r="P25" s="1" cm="1">
        <f t="array" ref="P25">_xlfn.SWITCH($A$2,"average", AVERAGE(Instances!P25:Instances!P25),"median", MEDIAN(Instances!P25:Instances!P25),"min", MIN(Instances!P25:Instances!P25),"max", MAX(Instances!P25:Instances!P25),"diff", MAX(Instances!P25:Instances!P25)-MIN(Instances!P25:Instances!P25))</f>
        <v>0</v>
      </c>
      <c r="Q25" s="1" cm="1">
        <f t="array" ref="Q25">_xlfn.SWITCH($A$2,"average", AVERAGE(Instances!Q25:Instances!Q25),"median", MEDIAN(Instances!Q25:Instances!Q25),"min", MIN(Instances!Q25:Instances!Q25),"max", MAX(Instances!Q25:Instances!Q25),"diff", MAX(Instances!Q25:Instances!Q25)-MIN(Instances!Q25:Instances!Q25))</f>
        <v>0</v>
      </c>
      <c r="R25" s="1"/>
      <c r="S25" s="1"/>
      <c r="T25" s="1"/>
      <c r="U25" s="1"/>
      <c r="V25" s="1">
        <f>MIN($E25)</f>
        <v>0</v>
      </c>
      <c r="W25" s="1">
        <f>MIN($F25)</f>
        <v>0</v>
      </c>
      <c r="X25" s="1">
        <f>MIN($G25)</f>
        <v>0</v>
      </c>
      <c r="Y25" s="1"/>
      <c r="Z25" s="1"/>
      <c r="AA25" s="1">
        <f>MIN($J25)</f>
        <v>0</v>
      </c>
      <c r="AB25" s="1"/>
      <c r="AC25" s="1"/>
      <c r="AD25" s="1"/>
      <c r="AE25" s="1">
        <f>MIN($P25)</f>
        <v>0</v>
      </c>
      <c r="AF25" s="1">
        <f>MIN($Q25)</f>
        <v>0</v>
      </c>
      <c r="AG25" s="1"/>
      <c r="AH25" s="1"/>
      <c r="AI25" s="1"/>
      <c r="AJ25" s="1"/>
      <c r="AK25" s="1">
        <f>MEDIAN($E25)</f>
        <v>0</v>
      </c>
      <c r="AL25" s="1">
        <f>MEDIAN($F25)</f>
        <v>0</v>
      </c>
      <c r="AM25" s="1">
        <f>MEDIAN($G25)</f>
        <v>0</v>
      </c>
      <c r="AN25" s="1"/>
      <c r="AO25" s="1"/>
      <c r="AP25" s="1">
        <f>MEDIAN($J25)</f>
        <v>0</v>
      </c>
      <c r="AQ25" s="1"/>
      <c r="AR25" s="1"/>
      <c r="AS25" s="1"/>
      <c r="AT25" s="1">
        <f>MEDIAN($P25)</f>
        <v>0</v>
      </c>
      <c r="AU25" s="1">
        <f>MEDIAN($Q25)</f>
        <v>0</v>
      </c>
      <c r="AV25" s="1"/>
      <c r="AW25" s="1"/>
      <c r="AX25" s="1"/>
      <c r="AY25" s="1"/>
      <c r="AZ25" s="1">
        <f>MAX($E25)</f>
        <v>0</v>
      </c>
      <c r="BA25" s="1">
        <f>MAX($F25)</f>
        <v>0</v>
      </c>
      <c r="BB25" s="1">
        <f>MAX($G25)</f>
        <v>0</v>
      </c>
      <c r="BC25" s="1"/>
      <c r="BD25" s="1"/>
      <c r="BE25" s="1">
        <f>MAX($J25)</f>
        <v>0</v>
      </c>
      <c r="BF25" s="1"/>
      <c r="BG25" s="1"/>
      <c r="BH25" s="1"/>
      <c r="BI25" s="1">
        <f>MAX($P25)</f>
        <v>0</v>
      </c>
      <c r="BJ25" s="1">
        <f>MAX($Q25)</f>
        <v>0</v>
      </c>
      <c r="BK25" s="1"/>
    </row>
    <row r="26" spans="1:63">
      <c r="A26" s="1" t="s">
        <v>23</v>
      </c>
      <c r="B26" s="1"/>
      <c r="C26" s="1"/>
      <c r="D26" s="1"/>
      <c r="E26" s="1" cm="1">
        <f t="array" ref="E26">_xlfn.SWITCH($A$2,"average", AVERAGE(Instances!E26:Instances!E26),"median", MEDIAN(Instances!E26:Instances!E26),"min", MIN(Instances!E26:Instances!E26),"max", MAX(Instances!E26:Instances!E26),"diff", MAX(Instances!E26:Instances!E26)-MIN(Instances!E26:Instances!E26))</f>
        <v>0</v>
      </c>
      <c r="F26" s="1" cm="1">
        <f t="array" ref="F26">_xlfn.SWITCH($A$2,"average", AVERAGE(Instances!F26:Instances!F26),"median", MEDIAN(Instances!F26:Instances!F26),"min", MIN(Instances!F26:Instances!F26),"max", MAX(Instances!F26:Instances!F26),"diff", MAX(Instances!F26:Instances!F26)-MIN(Instances!F26:Instances!F26))</f>
        <v>0</v>
      </c>
      <c r="G26" s="1" cm="1">
        <f t="array" ref="G26">_xlfn.SWITCH($A$2,"average", AVERAGE(Instances!G26:Instances!G26),"median", MEDIAN(Instances!G26:Instances!G26),"min", MIN(Instances!G26:Instances!G26),"max", MAX(Instances!G26:Instances!G26),"diff", MAX(Instances!G26:Instances!G26)-MIN(Instances!G26:Instances!G26))</f>
        <v>0</v>
      </c>
      <c r="H26" s="1"/>
      <c r="I26" s="1"/>
      <c r="J26" s="1" cm="1">
        <f t="array" ref="J26">_xlfn.SWITCH($A$2,"average", AVERAGE(Instances!J26:Instances!J26),"median", MEDIAN(Instances!J26:Instances!J26),"min", MIN(Instances!J26:Instances!J26),"max", MAX(Instances!J26:Instances!J26),"diff", MAX(Instances!J26:Instances!J26)-MIN(Instances!J26:Instances!J26))</f>
        <v>0</v>
      </c>
      <c r="K26" s="1"/>
      <c r="L26" s="1"/>
      <c r="M26" s="1"/>
      <c r="N26" s="1"/>
      <c r="O26" s="1"/>
      <c r="P26" s="1" cm="1">
        <f t="array" ref="P26">_xlfn.SWITCH($A$2,"average", AVERAGE(Instances!P26:Instances!P26),"median", MEDIAN(Instances!P26:Instances!P26),"min", MIN(Instances!P26:Instances!P26),"max", MAX(Instances!P26:Instances!P26),"diff", MAX(Instances!P26:Instances!P26)-MIN(Instances!P26:Instances!P26))</f>
        <v>0</v>
      </c>
      <c r="Q26" s="1" cm="1">
        <f t="array" ref="Q26">_xlfn.SWITCH($A$2,"average", AVERAGE(Instances!Q26:Instances!Q26),"median", MEDIAN(Instances!Q26:Instances!Q26),"min", MIN(Instances!Q26:Instances!Q26),"max", MAX(Instances!Q26:Instances!Q26),"diff", MAX(Instances!Q26:Instances!Q26)-MIN(Instances!Q26:Instances!Q26))</f>
        <v>0</v>
      </c>
      <c r="R26" s="1"/>
      <c r="S26" s="1"/>
      <c r="T26" s="1"/>
      <c r="U26" s="1"/>
      <c r="V26" s="1">
        <f>MIN($E26)</f>
        <v>0</v>
      </c>
      <c r="W26" s="1">
        <f>MIN($F26)</f>
        <v>0</v>
      </c>
      <c r="X26" s="1">
        <f>MIN($G26)</f>
        <v>0</v>
      </c>
      <c r="Y26" s="1"/>
      <c r="Z26" s="1"/>
      <c r="AA26" s="1">
        <f>MIN($J26)</f>
        <v>0</v>
      </c>
      <c r="AB26" s="1"/>
      <c r="AC26" s="1"/>
      <c r="AD26" s="1"/>
      <c r="AE26" s="1">
        <f>MIN($P26)</f>
        <v>0</v>
      </c>
      <c r="AF26" s="1">
        <f>MIN($Q26)</f>
        <v>0</v>
      </c>
      <c r="AG26" s="1"/>
      <c r="AH26" s="1"/>
      <c r="AI26" s="1"/>
      <c r="AJ26" s="1"/>
      <c r="AK26" s="1">
        <f>MEDIAN($E26)</f>
        <v>0</v>
      </c>
      <c r="AL26" s="1">
        <f>MEDIAN($F26)</f>
        <v>0</v>
      </c>
      <c r="AM26" s="1">
        <f>MEDIAN($G26)</f>
        <v>0</v>
      </c>
      <c r="AN26" s="1"/>
      <c r="AO26" s="1"/>
      <c r="AP26" s="1">
        <f>MEDIAN($J26)</f>
        <v>0</v>
      </c>
      <c r="AQ26" s="1"/>
      <c r="AR26" s="1"/>
      <c r="AS26" s="1"/>
      <c r="AT26" s="1">
        <f>MEDIAN($P26)</f>
        <v>0</v>
      </c>
      <c r="AU26" s="1">
        <f>MEDIAN($Q26)</f>
        <v>0</v>
      </c>
      <c r="AV26" s="1"/>
      <c r="AW26" s="1"/>
      <c r="AX26" s="1"/>
      <c r="AY26" s="1"/>
      <c r="AZ26" s="1">
        <f>MAX($E26)</f>
        <v>0</v>
      </c>
      <c r="BA26" s="1">
        <f>MAX($F26)</f>
        <v>0</v>
      </c>
      <c r="BB26" s="1">
        <f>MAX($G26)</f>
        <v>0</v>
      </c>
      <c r="BC26" s="1"/>
      <c r="BD26" s="1"/>
      <c r="BE26" s="1">
        <f>MAX($J26)</f>
        <v>0</v>
      </c>
      <c r="BF26" s="1"/>
      <c r="BG26" s="1"/>
      <c r="BH26" s="1"/>
      <c r="BI26" s="1">
        <f>MAX($P26)</f>
        <v>0</v>
      </c>
      <c r="BJ26" s="1">
        <f>MAX($Q26)</f>
        <v>0</v>
      </c>
      <c r="BK26" s="1"/>
    </row>
    <row r="27" spans="1:63">
      <c r="A27" s="1" t="s">
        <v>24</v>
      </c>
      <c r="B27" s="1"/>
      <c r="C27" s="1"/>
      <c r="D27" s="1"/>
      <c r="E27" s="1" cm="1">
        <f t="array" ref="E27">_xlfn.SWITCH($A$2,"average", AVERAGE(Instances!E27:Instances!E27),"median", MEDIAN(Instances!E27:Instances!E27),"min", MIN(Instances!E27:Instances!E27),"max", MAX(Instances!E27:Instances!E27),"diff", MAX(Instances!E27:Instances!E27)-MIN(Instances!E27:Instances!E27))</f>
        <v>0</v>
      </c>
      <c r="F27" s="1" cm="1">
        <f t="array" ref="F27">_xlfn.SWITCH($A$2,"average", AVERAGE(Instances!F27:Instances!F27),"median", MEDIAN(Instances!F27:Instances!F27),"min", MIN(Instances!F27:Instances!F27),"max", MAX(Instances!F27:Instances!F27),"diff", MAX(Instances!F27:Instances!F27)-MIN(Instances!F27:Instances!F27))</f>
        <v>0</v>
      </c>
      <c r="G27" s="1" cm="1">
        <f t="array" ref="G27">_xlfn.SWITCH($A$2,"average", AVERAGE(Instances!G27:Instances!G27),"median", MEDIAN(Instances!G27:Instances!G27),"min", MIN(Instances!G27:Instances!G27),"max", MAX(Instances!G27:Instances!G27),"diff", MAX(Instances!G27:Instances!G27)-MIN(Instances!G27:Instances!G27))</f>
        <v>0</v>
      </c>
      <c r="H27" s="1"/>
      <c r="I27" s="1"/>
      <c r="J27" s="1" cm="1">
        <f t="array" ref="J27">_xlfn.SWITCH($A$2,"average", AVERAGE(Instances!J27:Instances!J27),"median", MEDIAN(Instances!J27:Instances!J27),"min", MIN(Instances!J27:Instances!J27),"max", MAX(Instances!J27:Instances!J27),"diff", MAX(Instances!J27:Instances!J27)-MIN(Instances!J27:Instances!J27))</f>
        <v>0</v>
      </c>
      <c r="K27" s="1"/>
      <c r="L27" s="1"/>
      <c r="M27" s="1"/>
      <c r="N27" s="1"/>
      <c r="O27" s="1"/>
      <c r="P27" s="1" cm="1">
        <f t="array" ref="P27">_xlfn.SWITCH($A$2,"average", AVERAGE(Instances!P27:Instances!P27),"median", MEDIAN(Instances!P27:Instances!P27),"min", MIN(Instances!P27:Instances!P27),"max", MAX(Instances!P27:Instances!P27),"diff", MAX(Instances!P27:Instances!P27)-MIN(Instances!P27:Instances!P27))</f>
        <v>0</v>
      </c>
      <c r="Q27" s="1" cm="1">
        <f t="array" ref="Q27">_xlfn.SWITCH($A$2,"average", AVERAGE(Instances!Q27:Instances!Q27),"median", MEDIAN(Instances!Q27:Instances!Q27),"min", MIN(Instances!Q27:Instances!Q27),"max", MAX(Instances!Q27:Instances!Q27),"diff", MAX(Instances!Q27:Instances!Q27)-MIN(Instances!Q27:Instances!Q27))</f>
        <v>0</v>
      </c>
      <c r="R27" s="1"/>
      <c r="S27" s="1"/>
      <c r="T27" s="1"/>
      <c r="U27" s="1"/>
      <c r="V27" s="1">
        <f>MIN($E27)</f>
        <v>0</v>
      </c>
      <c r="W27" s="1">
        <f>MIN($F27)</f>
        <v>0</v>
      </c>
      <c r="X27" s="1">
        <f>MIN($G27)</f>
        <v>0</v>
      </c>
      <c r="Y27" s="1"/>
      <c r="Z27" s="1"/>
      <c r="AA27" s="1">
        <f>MIN($J27)</f>
        <v>0</v>
      </c>
      <c r="AB27" s="1"/>
      <c r="AC27" s="1"/>
      <c r="AD27" s="1"/>
      <c r="AE27" s="1">
        <f>MIN($P27)</f>
        <v>0</v>
      </c>
      <c r="AF27" s="1">
        <f>MIN($Q27)</f>
        <v>0</v>
      </c>
      <c r="AG27" s="1"/>
      <c r="AH27" s="1"/>
      <c r="AI27" s="1"/>
      <c r="AJ27" s="1"/>
      <c r="AK27" s="1">
        <f>MEDIAN($E27)</f>
        <v>0</v>
      </c>
      <c r="AL27" s="1">
        <f>MEDIAN($F27)</f>
        <v>0</v>
      </c>
      <c r="AM27" s="1">
        <f>MEDIAN($G27)</f>
        <v>0</v>
      </c>
      <c r="AN27" s="1"/>
      <c r="AO27" s="1"/>
      <c r="AP27" s="1">
        <f>MEDIAN($J27)</f>
        <v>0</v>
      </c>
      <c r="AQ27" s="1"/>
      <c r="AR27" s="1"/>
      <c r="AS27" s="1"/>
      <c r="AT27" s="1">
        <f>MEDIAN($P27)</f>
        <v>0</v>
      </c>
      <c r="AU27" s="1">
        <f>MEDIAN($Q27)</f>
        <v>0</v>
      </c>
      <c r="AV27" s="1"/>
      <c r="AW27" s="1"/>
      <c r="AX27" s="1"/>
      <c r="AY27" s="1"/>
      <c r="AZ27" s="1">
        <f>MAX($E27)</f>
        <v>0</v>
      </c>
      <c r="BA27" s="1">
        <f>MAX($F27)</f>
        <v>0</v>
      </c>
      <c r="BB27" s="1">
        <f>MAX($G27)</f>
        <v>0</v>
      </c>
      <c r="BC27" s="1"/>
      <c r="BD27" s="1"/>
      <c r="BE27" s="1">
        <f>MAX($J27)</f>
        <v>0</v>
      </c>
      <c r="BF27" s="1"/>
      <c r="BG27" s="1"/>
      <c r="BH27" s="1"/>
      <c r="BI27" s="1">
        <f>MAX($P27)</f>
        <v>0</v>
      </c>
      <c r="BJ27" s="1">
        <f>MAX($Q27)</f>
        <v>0</v>
      </c>
      <c r="BK27" s="1"/>
    </row>
    <row r="28" spans="1:63">
      <c r="A28" s="1" t="s">
        <v>25</v>
      </c>
      <c r="B28" s="1"/>
      <c r="C28" s="1"/>
      <c r="D28" s="1"/>
      <c r="E28" s="1" cm="1">
        <f t="array" ref="E28">_xlfn.SWITCH($A$2,"average", AVERAGE(Instances!E28:Instances!E28),"median", MEDIAN(Instances!E28:Instances!E28),"min", MIN(Instances!E28:Instances!E28),"max", MAX(Instances!E28:Instances!E28),"diff", MAX(Instances!E28:Instances!E28)-MIN(Instances!E28:Instances!E28))</f>
        <v>0</v>
      </c>
      <c r="F28" s="1" cm="1">
        <f t="array" ref="F28">_xlfn.SWITCH($A$2,"average", AVERAGE(Instances!F28:Instances!F28),"median", MEDIAN(Instances!F28:Instances!F28),"min", MIN(Instances!F28:Instances!F28),"max", MAX(Instances!F28:Instances!F28),"diff", MAX(Instances!F28:Instances!F28)-MIN(Instances!F28:Instances!F28))</f>
        <v>0</v>
      </c>
      <c r="G28" s="1" cm="1">
        <f t="array" ref="G28">_xlfn.SWITCH($A$2,"average", AVERAGE(Instances!G28:Instances!G28),"median", MEDIAN(Instances!G28:Instances!G28),"min", MIN(Instances!G28:Instances!G28),"max", MAX(Instances!G28:Instances!G28),"diff", MAX(Instances!G28:Instances!G28)-MIN(Instances!G28:Instances!G28))</f>
        <v>0</v>
      </c>
      <c r="H28" s="1"/>
      <c r="I28" s="1"/>
      <c r="J28" s="1" cm="1">
        <f t="array" ref="J28">_xlfn.SWITCH($A$2,"average", AVERAGE(Instances!J28:Instances!J28),"median", MEDIAN(Instances!J28:Instances!J28),"min", MIN(Instances!J28:Instances!J28),"max", MAX(Instances!J28:Instances!J28),"diff", MAX(Instances!J28:Instances!J28)-MIN(Instances!J28:Instances!J28))</f>
        <v>0</v>
      </c>
      <c r="K28" s="1"/>
      <c r="L28" s="1"/>
      <c r="M28" s="1"/>
      <c r="N28" s="1"/>
      <c r="O28" s="1"/>
      <c r="P28" s="1" cm="1">
        <f t="array" ref="P28">_xlfn.SWITCH($A$2,"average", AVERAGE(Instances!P28:Instances!P28),"median", MEDIAN(Instances!P28:Instances!P28),"min", MIN(Instances!P28:Instances!P28),"max", MAX(Instances!P28:Instances!P28),"diff", MAX(Instances!P28:Instances!P28)-MIN(Instances!P28:Instances!P28))</f>
        <v>0</v>
      </c>
      <c r="Q28" s="1" cm="1">
        <f t="array" ref="Q28">_xlfn.SWITCH($A$2,"average", AVERAGE(Instances!Q28:Instances!Q28),"median", MEDIAN(Instances!Q28:Instances!Q28),"min", MIN(Instances!Q28:Instances!Q28),"max", MAX(Instances!Q28:Instances!Q28),"diff", MAX(Instances!Q28:Instances!Q28)-MIN(Instances!Q28:Instances!Q28))</f>
        <v>0</v>
      </c>
      <c r="R28" s="1"/>
      <c r="S28" s="1"/>
      <c r="T28" s="1"/>
      <c r="U28" s="1"/>
      <c r="V28" s="1">
        <f>MIN($E28)</f>
        <v>0</v>
      </c>
      <c r="W28" s="1">
        <f>MIN($F28)</f>
        <v>0</v>
      </c>
      <c r="X28" s="1">
        <f>MIN($G28)</f>
        <v>0</v>
      </c>
      <c r="Y28" s="1"/>
      <c r="Z28" s="1"/>
      <c r="AA28" s="1">
        <f>MIN($J28)</f>
        <v>0</v>
      </c>
      <c r="AB28" s="1"/>
      <c r="AC28" s="1"/>
      <c r="AD28" s="1"/>
      <c r="AE28" s="1">
        <f>MIN($P28)</f>
        <v>0</v>
      </c>
      <c r="AF28" s="1">
        <f>MIN($Q28)</f>
        <v>0</v>
      </c>
      <c r="AG28" s="1"/>
      <c r="AH28" s="1"/>
      <c r="AI28" s="1"/>
      <c r="AJ28" s="1"/>
      <c r="AK28" s="1">
        <f>MEDIAN($E28)</f>
        <v>0</v>
      </c>
      <c r="AL28" s="1">
        <f>MEDIAN($F28)</f>
        <v>0</v>
      </c>
      <c r="AM28" s="1">
        <f>MEDIAN($G28)</f>
        <v>0</v>
      </c>
      <c r="AN28" s="1"/>
      <c r="AO28" s="1"/>
      <c r="AP28" s="1">
        <f>MEDIAN($J28)</f>
        <v>0</v>
      </c>
      <c r="AQ28" s="1"/>
      <c r="AR28" s="1"/>
      <c r="AS28" s="1"/>
      <c r="AT28" s="1">
        <f>MEDIAN($P28)</f>
        <v>0</v>
      </c>
      <c r="AU28" s="1">
        <f>MEDIAN($Q28)</f>
        <v>0</v>
      </c>
      <c r="AV28" s="1"/>
      <c r="AW28" s="1"/>
      <c r="AX28" s="1"/>
      <c r="AY28" s="1"/>
      <c r="AZ28" s="1">
        <f>MAX($E28)</f>
        <v>0</v>
      </c>
      <c r="BA28" s="1">
        <f>MAX($F28)</f>
        <v>0</v>
      </c>
      <c r="BB28" s="1">
        <f>MAX($G28)</f>
        <v>0</v>
      </c>
      <c r="BC28" s="1"/>
      <c r="BD28" s="1"/>
      <c r="BE28" s="1">
        <f>MAX($J28)</f>
        <v>0</v>
      </c>
      <c r="BF28" s="1"/>
      <c r="BG28" s="1"/>
      <c r="BH28" s="1"/>
      <c r="BI28" s="1">
        <f>MAX($P28)</f>
        <v>0</v>
      </c>
      <c r="BJ28" s="1">
        <f>MAX($Q28)</f>
        <v>0</v>
      </c>
      <c r="BK28" s="1"/>
    </row>
    <row r="29" spans="1:63">
      <c r="A29" s="1" t="s">
        <v>26</v>
      </c>
      <c r="B29" s="1"/>
      <c r="C29" s="1"/>
      <c r="D29" s="1"/>
      <c r="E29" s="1" cm="1">
        <f t="array" ref="E29">_xlfn.SWITCH($A$2,"average", AVERAGE(Instances!E29:Instances!E29),"median", MEDIAN(Instances!E29:Instances!E29),"min", MIN(Instances!E29:Instances!E29),"max", MAX(Instances!E29:Instances!E29),"diff", MAX(Instances!E29:Instances!E29)-MIN(Instances!E29:Instances!E29))</f>
        <v>0</v>
      </c>
      <c r="F29" s="1" cm="1">
        <f t="array" ref="F29">_xlfn.SWITCH($A$2,"average", AVERAGE(Instances!F29:Instances!F29),"median", MEDIAN(Instances!F29:Instances!F29),"min", MIN(Instances!F29:Instances!F29),"max", MAX(Instances!F29:Instances!F29),"diff", MAX(Instances!F29:Instances!F29)-MIN(Instances!F29:Instances!F29))</f>
        <v>0</v>
      </c>
      <c r="G29" s="1" cm="1">
        <f t="array" ref="G29">_xlfn.SWITCH($A$2,"average", AVERAGE(Instances!G29:Instances!G29),"median", MEDIAN(Instances!G29:Instances!G29),"min", MIN(Instances!G29:Instances!G29),"max", MAX(Instances!G29:Instances!G29),"diff", MAX(Instances!G29:Instances!G29)-MIN(Instances!G29:Instances!G29))</f>
        <v>0</v>
      </c>
      <c r="H29" s="1"/>
      <c r="I29" s="1"/>
      <c r="J29" s="1" cm="1">
        <f t="array" ref="J29">_xlfn.SWITCH($A$2,"average", AVERAGE(Instances!J29:Instances!J29),"median", MEDIAN(Instances!J29:Instances!J29),"min", MIN(Instances!J29:Instances!J29),"max", MAX(Instances!J29:Instances!J29),"diff", MAX(Instances!J29:Instances!J29)-MIN(Instances!J29:Instances!J29))</f>
        <v>0</v>
      </c>
      <c r="K29" s="1"/>
      <c r="L29" s="1"/>
      <c r="M29" s="1"/>
      <c r="N29" s="1"/>
      <c r="O29" s="1"/>
      <c r="P29" s="1" cm="1">
        <f t="array" ref="P29">_xlfn.SWITCH($A$2,"average", AVERAGE(Instances!P29:Instances!P29),"median", MEDIAN(Instances!P29:Instances!P29),"min", MIN(Instances!P29:Instances!P29),"max", MAX(Instances!P29:Instances!P29),"diff", MAX(Instances!P29:Instances!P29)-MIN(Instances!P29:Instances!P29))</f>
        <v>0</v>
      </c>
      <c r="Q29" s="1" cm="1">
        <f t="array" ref="Q29">_xlfn.SWITCH($A$2,"average", AVERAGE(Instances!Q29:Instances!Q29),"median", MEDIAN(Instances!Q29:Instances!Q29),"min", MIN(Instances!Q29:Instances!Q29),"max", MAX(Instances!Q29:Instances!Q29),"diff", MAX(Instances!Q29:Instances!Q29)-MIN(Instances!Q29:Instances!Q29))</f>
        <v>0</v>
      </c>
      <c r="R29" s="1"/>
      <c r="S29" s="1"/>
      <c r="T29" s="1"/>
      <c r="U29" s="1"/>
      <c r="V29" s="1">
        <f>MIN($E29)</f>
        <v>0</v>
      </c>
      <c r="W29" s="1">
        <f>MIN($F29)</f>
        <v>0</v>
      </c>
      <c r="X29" s="1">
        <f>MIN($G29)</f>
        <v>0</v>
      </c>
      <c r="Y29" s="1"/>
      <c r="Z29" s="1"/>
      <c r="AA29" s="1">
        <f>MIN($J29)</f>
        <v>0</v>
      </c>
      <c r="AB29" s="1"/>
      <c r="AC29" s="1"/>
      <c r="AD29" s="1"/>
      <c r="AE29" s="1">
        <f>MIN($P29)</f>
        <v>0</v>
      </c>
      <c r="AF29" s="1">
        <f>MIN($Q29)</f>
        <v>0</v>
      </c>
      <c r="AG29" s="1"/>
      <c r="AH29" s="1"/>
      <c r="AI29" s="1"/>
      <c r="AJ29" s="1"/>
      <c r="AK29" s="1">
        <f>MEDIAN($E29)</f>
        <v>0</v>
      </c>
      <c r="AL29" s="1">
        <f>MEDIAN($F29)</f>
        <v>0</v>
      </c>
      <c r="AM29" s="1">
        <f>MEDIAN($G29)</f>
        <v>0</v>
      </c>
      <c r="AN29" s="1"/>
      <c r="AO29" s="1"/>
      <c r="AP29" s="1">
        <f>MEDIAN($J29)</f>
        <v>0</v>
      </c>
      <c r="AQ29" s="1"/>
      <c r="AR29" s="1"/>
      <c r="AS29" s="1"/>
      <c r="AT29" s="1">
        <f>MEDIAN($P29)</f>
        <v>0</v>
      </c>
      <c r="AU29" s="1">
        <f>MEDIAN($Q29)</f>
        <v>0</v>
      </c>
      <c r="AV29" s="1"/>
      <c r="AW29" s="1"/>
      <c r="AX29" s="1"/>
      <c r="AY29" s="1"/>
      <c r="AZ29" s="1">
        <f>MAX($E29)</f>
        <v>0</v>
      </c>
      <c r="BA29" s="1">
        <f>MAX($F29)</f>
        <v>0</v>
      </c>
      <c r="BB29" s="1">
        <f>MAX($G29)</f>
        <v>0</v>
      </c>
      <c r="BC29" s="1"/>
      <c r="BD29" s="1"/>
      <c r="BE29" s="1">
        <f>MAX($J29)</f>
        <v>0</v>
      </c>
      <c r="BF29" s="1"/>
      <c r="BG29" s="1"/>
      <c r="BH29" s="1"/>
      <c r="BI29" s="1">
        <f>MAX($P29)</f>
        <v>0</v>
      </c>
      <c r="BJ29" s="1">
        <f>MAX($Q29)</f>
        <v>0</v>
      </c>
      <c r="BK29" s="1"/>
    </row>
    <row r="30" spans="1:63">
      <c r="A30" s="1" t="s">
        <v>27</v>
      </c>
      <c r="B30" s="1"/>
      <c r="C30" s="1"/>
      <c r="D30" s="1"/>
      <c r="E30" s="1" cm="1">
        <f t="array" ref="E30">_xlfn.SWITCH($A$2,"average", AVERAGE(Instances!E30:Instances!E30),"median", MEDIAN(Instances!E30:Instances!E30),"min", MIN(Instances!E30:Instances!E30),"max", MAX(Instances!E30:Instances!E30),"diff", MAX(Instances!E30:Instances!E30)-MIN(Instances!E30:Instances!E30))</f>
        <v>0</v>
      </c>
      <c r="F30" s="1" cm="1">
        <f t="array" ref="F30">_xlfn.SWITCH($A$2,"average", AVERAGE(Instances!F30:Instances!F30),"median", MEDIAN(Instances!F30:Instances!F30),"min", MIN(Instances!F30:Instances!F30),"max", MAX(Instances!F30:Instances!F30),"diff", MAX(Instances!F30:Instances!F30)-MIN(Instances!F30:Instances!F30))</f>
        <v>0</v>
      </c>
      <c r="G30" s="1" cm="1">
        <f t="array" ref="G30">_xlfn.SWITCH($A$2,"average", AVERAGE(Instances!G30:Instances!G30),"median", MEDIAN(Instances!G30:Instances!G30),"min", MIN(Instances!G30:Instances!G30),"max", MAX(Instances!G30:Instances!G30),"diff", MAX(Instances!G30:Instances!G30)-MIN(Instances!G30:Instances!G30))</f>
        <v>0</v>
      </c>
      <c r="H30" s="1"/>
      <c r="I30" s="1"/>
      <c r="J30" s="1" cm="1">
        <f t="array" ref="J30">_xlfn.SWITCH($A$2,"average", AVERAGE(Instances!J30:Instances!J30),"median", MEDIAN(Instances!J30:Instances!J30),"min", MIN(Instances!J30:Instances!J30),"max", MAX(Instances!J30:Instances!J30),"diff", MAX(Instances!J30:Instances!J30)-MIN(Instances!J30:Instances!J30))</f>
        <v>0</v>
      </c>
      <c r="K30" s="1"/>
      <c r="L30" s="1"/>
      <c r="M30" s="1"/>
      <c r="N30" s="1"/>
      <c r="O30" s="1"/>
      <c r="P30" s="1" cm="1">
        <f t="array" ref="P30">_xlfn.SWITCH($A$2,"average", AVERAGE(Instances!P30:Instances!P30),"median", MEDIAN(Instances!P30:Instances!P30),"min", MIN(Instances!P30:Instances!P30),"max", MAX(Instances!P30:Instances!P30),"diff", MAX(Instances!P30:Instances!P30)-MIN(Instances!P30:Instances!P30))</f>
        <v>0</v>
      </c>
      <c r="Q30" s="1" cm="1">
        <f t="array" ref="Q30">_xlfn.SWITCH($A$2,"average", AVERAGE(Instances!Q30:Instances!Q30),"median", MEDIAN(Instances!Q30:Instances!Q30),"min", MIN(Instances!Q30:Instances!Q30),"max", MAX(Instances!Q30:Instances!Q30),"diff", MAX(Instances!Q30:Instances!Q30)-MIN(Instances!Q30:Instances!Q30))</f>
        <v>0</v>
      </c>
      <c r="R30" s="1"/>
      <c r="S30" s="1"/>
      <c r="T30" s="1"/>
      <c r="U30" s="1"/>
      <c r="V30" s="1">
        <f>MIN($E30)</f>
        <v>0</v>
      </c>
      <c r="W30" s="1">
        <f>MIN($F30)</f>
        <v>0</v>
      </c>
      <c r="X30" s="1">
        <f>MIN($G30)</f>
        <v>0</v>
      </c>
      <c r="Y30" s="1"/>
      <c r="Z30" s="1"/>
      <c r="AA30" s="1">
        <f>MIN($J30)</f>
        <v>0</v>
      </c>
      <c r="AB30" s="1"/>
      <c r="AC30" s="1"/>
      <c r="AD30" s="1"/>
      <c r="AE30" s="1">
        <f>MIN($P30)</f>
        <v>0</v>
      </c>
      <c r="AF30" s="1">
        <f>MIN($Q30)</f>
        <v>0</v>
      </c>
      <c r="AG30" s="1"/>
      <c r="AH30" s="1"/>
      <c r="AI30" s="1"/>
      <c r="AJ30" s="1"/>
      <c r="AK30" s="1">
        <f>MEDIAN($E30)</f>
        <v>0</v>
      </c>
      <c r="AL30" s="1">
        <f>MEDIAN($F30)</f>
        <v>0</v>
      </c>
      <c r="AM30" s="1">
        <f>MEDIAN($G30)</f>
        <v>0</v>
      </c>
      <c r="AN30" s="1"/>
      <c r="AO30" s="1"/>
      <c r="AP30" s="1">
        <f>MEDIAN($J30)</f>
        <v>0</v>
      </c>
      <c r="AQ30" s="1"/>
      <c r="AR30" s="1"/>
      <c r="AS30" s="1"/>
      <c r="AT30" s="1">
        <f>MEDIAN($P30)</f>
        <v>0</v>
      </c>
      <c r="AU30" s="1">
        <f>MEDIAN($Q30)</f>
        <v>0</v>
      </c>
      <c r="AV30" s="1"/>
      <c r="AW30" s="1"/>
      <c r="AX30" s="1"/>
      <c r="AY30" s="1"/>
      <c r="AZ30" s="1">
        <f>MAX($E30)</f>
        <v>0</v>
      </c>
      <c r="BA30" s="1">
        <f>MAX($F30)</f>
        <v>0</v>
      </c>
      <c r="BB30" s="1">
        <f>MAX($G30)</f>
        <v>0</v>
      </c>
      <c r="BC30" s="1"/>
      <c r="BD30" s="1"/>
      <c r="BE30" s="1">
        <f>MAX($J30)</f>
        <v>0</v>
      </c>
      <c r="BF30" s="1"/>
      <c r="BG30" s="1"/>
      <c r="BH30" s="1"/>
      <c r="BI30" s="1">
        <f>MAX($P30)</f>
        <v>0</v>
      </c>
      <c r="BJ30" s="1">
        <f>MAX($Q30)</f>
        <v>0</v>
      </c>
      <c r="BK30" s="1"/>
    </row>
    <row r="31" spans="1:63">
      <c r="A31" s="1" t="s">
        <v>28</v>
      </c>
      <c r="B31" s="1"/>
      <c r="C31" s="1"/>
      <c r="D31" s="1"/>
      <c r="E31" s="1" cm="1">
        <f t="array" ref="E31">_xlfn.SWITCH($A$2,"average", AVERAGE(Instances!E31:Instances!E31),"median", MEDIAN(Instances!E31:Instances!E31),"min", MIN(Instances!E31:Instances!E31),"max", MAX(Instances!E31:Instances!E31),"diff", MAX(Instances!E31:Instances!E31)-MIN(Instances!E31:Instances!E31))</f>
        <v>0</v>
      </c>
      <c r="F31" s="1" cm="1">
        <f t="array" ref="F31">_xlfn.SWITCH($A$2,"average", AVERAGE(Instances!F31:Instances!F31),"median", MEDIAN(Instances!F31:Instances!F31),"min", MIN(Instances!F31:Instances!F31),"max", MAX(Instances!F31:Instances!F31),"diff", MAX(Instances!F31:Instances!F31)-MIN(Instances!F31:Instances!F31))</f>
        <v>0</v>
      </c>
      <c r="G31" s="1" cm="1">
        <f t="array" ref="G31">_xlfn.SWITCH($A$2,"average", AVERAGE(Instances!G31:Instances!G31),"median", MEDIAN(Instances!G31:Instances!G31),"min", MIN(Instances!G31:Instances!G31),"max", MAX(Instances!G31:Instances!G31),"diff", MAX(Instances!G31:Instances!G31)-MIN(Instances!G31:Instances!G31))</f>
        <v>0</v>
      </c>
      <c r="H31" s="1"/>
      <c r="I31" s="1"/>
      <c r="J31" s="1" cm="1">
        <f t="array" ref="J31">_xlfn.SWITCH($A$2,"average", AVERAGE(Instances!J31:Instances!J31),"median", MEDIAN(Instances!J31:Instances!J31),"min", MIN(Instances!J31:Instances!J31),"max", MAX(Instances!J31:Instances!J31),"diff", MAX(Instances!J31:Instances!J31)-MIN(Instances!J31:Instances!J31))</f>
        <v>0</v>
      </c>
      <c r="K31" s="1"/>
      <c r="L31" s="1"/>
      <c r="M31" s="1"/>
      <c r="N31" s="1"/>
      <c r="O31" s="1"/>
      <c r="P31" s="1" cm="1">
        <f t="array" ref="P31">_xlfn.SWITCH($A$2,"average", AVERAGE(Instances!P31:Instances!P31),"median", MEDIAN(Instances!P31:Instances!P31),"min", MIN(Instances!P31:Instances!P31),"max", MAX(Instances!P31:Instances!P31),"diff", MAX(Instances!P31:Instances!P31)-MIN(Instances!P31:Instances!P31))</f>
        <v>0</v>
      </c>
      <c r="Q31" s="1" cm="1">
        <f t="array" ref="Q31">_xlfn.SWITCH($A$2,"average", AVERAGE(Instances!Q31:Instances!Q31),"median", MEDIAN(Instances!Q31:Instances!Q31),"min", MIN(Instances!Q31:Instances!Q31),"max", MAX(Instances!Q31:Instances!Q31),"diff", MAX(Instances!Q31:Instances!Q31)-MIN(Instances!Q31:Instances!Q31))</f>
        <v>0</v>
      </c>
      <c r="R31" s="1"/>
      <c r="S31" s="1"/>
      <c r="T31" s="1"/>
      <c r="U31" s="1"/>
      <c r="V31" s="1">
        <f>MIN($E31)</f>
        <v>0</v>
      </c>
      <c r="W31" s="1">
        <f>MIN($F31)</f>
        <v>0</v>
      </c>
      <c r="X31" s="1">
        <f>MIN($G31)</f>
        <v>0</v>
      </c>
      <c r="Y31" s="1"/>
      <c r="Z31" s="1"/>
      <c r="AA31" s="1">
        <f>MIN($J31)</f>
        <v>0</v>
      </c>
      <c r="AB31" s="1"/>
      <c r="AC31" s="1"/>
      <c r="AD31" s="1"/>
      <c r="AE31" s="1">
        <f>MIN($P31)</f>
        <v>0</v>
      </c>
      <c r="AF31" s="1">
        <f>MIN($Q31)</f>
        <v>0</v>
      </c>
      <c r="AG31" s="1"/>
      <c r="AH31" s="1"/>
      <c r="AI31" s="1"/>
      <c r="AJ31" s="1"/>
      <c r="AK31" s="1">
        <f>MEDIAN($E31)</f>
        <v>0</v>
      </c>
      <c r="AL31" s="1">
        <f>MEDIAN($F31)</f>
        <v>0</v>
      </c>
      <c r="AM31" s="1">
        <f>MEDIAN($G31)</f>
        <v>0</v>
      </c>
      <c r="AN31" s="1"/>
      <c r="AO31" s="1"/>
      <c r="AP31" s="1">
        <f>MEDIAN($J31)</f>
        <v>0</v>
      </c>
      <c r="AQ31" s="1"/>
      <c r="AR31" s="1"/>
      <c r="AS31" s="1"/>
      <c r="AT31" s="1">
        <f>MEDIAN($P31)</f>
        <v>0</v>
      </c>
      <c r="AU31" s="1">
        <f>MEDIAN($Q31)</f>
        <v>0</v>
      </c>
      <c r="AV31" s="1"/>
      <c r="AW31" s="1"/>
      <c r="AX31" s="1"/>
      <c r="AY31" s="1"/>
      <c r="AZ31" s="1">
        <f>MAX($E31)</f>
        <v>0</v>
      </c>
      <c r="BA31" s="1">
        <f>MAX($F31)</f>
        <v>0</v>
      </c>
      <c r="BB31" s="1">
        <f>MAX($G31)</f>
        <v>0</v>
      </c>
      <c r="BC31" s="1"/>
      <c r="BD31" s="1"/>
      <c r="BE31" s="1">
        <f>MAX($J31)</f>
        <v>0</v>
      </c>
      <c r="BF31" s="1"/>
      <c r="BG31" s="1"/>
      <c r="BH31" s="1"/>
      <c r="BI31" s="1">
        <f>MAX($P31)</f>
        <v>0</v>
      </c>
      <c r="BJ31" s="1">
        <f>MAX($Q31)</f>
        <v>0</v>
      </c>
      <c r="BK31" s="1"/>
    </row>
    <row r="32" spans="1:63">
      <c r="A32" s="1" t="s">
        <v>29</v>
      </c>
      <c r="B32" s="1" cm="1">
        <f t="array" ref="B32">_xlfn.SWITCH($A$2,"average", AVERAGE(Instances!B32:Instances!B32),"median", MEDIAN(Instances!B32:Instances!B32),"min", MIN(Instances!B32:Instances!B32),"max", MAX(Instances!B32:Instances!B32),"diff", MAX(Instances!B32:Instances!B32)-MIN(Instances!B32:Instances!B32))</f>
        <v>0</v>
      </c>
      <c r="C32" s="1" cm="1">
        <f t="array" ref="C32">_xlfn.SWITCH($A$2,"average", AVERAGE(Instances!C32:Instances!C32),"median", MEDIAN(Instances!C32:Instances!C32),"min", MIN(Instances!C32:Instances!C32),"max", MAX(Instances!C32:Instances!C32),"diff", MAX(Instances!C32:Instances!C32)-MIN(Instances!C32:Instances!C32))</f>
        <v>0</v>
      </c>
      <c r="D32" s="1" cm="1">
        <f t="array" ref="D32">_xlfn.SWITCH($A$2,"average", AVERAGE(Instances!D32:Instances!D32),"median", MEDIAN(Instances!D32:Instances!D32),"min", MIN(Instances!D32:Instances!D32),"max", MAX(Instances!D32:Instances!D32),"diff", MAX(Instances!D32:Instances!D32)-MIN(Instances!D32:Instances!D32))</f>
        <v>0</v>
      </c>
      <c r="E32" s="1" cm="1">
        <f t="array" ref="E32">_xlfn.SWITCH($A$2,"average", AVERAGE(Instances!E32:Instances!E32),"median", MEDIAN(Instances!E32:Instances!E32),"min", MIN(Instances!E32:Instances!E32),"max", MAX(Instances!E32:Instances!E32),"diff", MAX(Instances!E32:Instances!E32)-MIN(Instances!E32:Instances!E32))</f>
        <v>0</v>
      </c>
      <c r="F32" s="1" cm="1">
        <f t="array" ref="F32">_xlfn.SWITCH($A$2,"average", AVERAGE(Instances!F32:Instances!F32),"median", MEDIAN(Instances!F32:Instances!F32),"min", MIN(Instances!F32:Instances!F32),"max", MAX(Instances!F32:Instances!F32),"diff", MAX(Instances!F32:Instances!F32)-MIN(Instances!F32:Instances!F32))</f>
        <v>0</v>
      </c>
      <c r="G32" s="1" cm="1">
        <f t="array" ref="G32">_xlfn.SWITCH($A$2,"average", AVERAGE(Instances!G32:Instances!G32),"median", MEDIAN(Instances!G32:Instances!G32),"min", MIN(Instances!G32:Instances!G32),"max", MAX(Instances!G32:Instances!G32),"diff", MAX(Instances!G32:Instances!G32)-MIN(Instances!G32:Instances!G32))</f>
        <v>0</v>
      </c>
      <c r="H32" s="1" cm="1">
        <f t="array" ref="H32">_xlfn.SWITCH($A$2,"average", AVERAGE(Instances!H32:Instances!H32),"median", MEDIAN(Instances!H32:Instances!H32),"min", MIN(Instances!H32:Instances!H32),"max", MAX(Instances!H32:Instances!H32),"diff", MAX(Instances!H32:Instances!H32)-MIN(Instances!H32:Instances!H32))</f>
        <v>0</v>
      </c>
      <c r="I32" s="1" cm="1">
        <f t="array" ref="I32">_xlfn.SWITCH($A$2,"average", AVERAGE(Instances!I32:Instances!I32),"median", MEDIAN(Instances!I32:Instances!I32),"min", MIN(Instances!I32:Instances!I32),"max", MAX(Instances!I32:Instances!I32),"diff", MAX(Instances!I32:Instances!I32)-MIN(Instances!I32:Instances!I32))</f>
        <v>0</v>
      </c>
      <c r="J32" s="1" cm="1">
        <f t="array" ref="J32">_xlfn.SWITCH($A$2,"average", AVERAGE(Instances!J32:Instances!J32),"median", MEDIAN(Instances!J32:Instances!J32),"min", MIN(Instances!J32:Instances!J32),"max", MAX(Instances!J32:Instances!J32),"diff", MAX(Instances!J32:Instances!J32)-MIN(Instances!J32:Instances!J32))</f>
        <v>0</v>
      </c>
      <c r="K32" s="1" cm="1">
        <f t="array" ref="K32">_xlfn.SWITCH($A$2,"average", AVERAGE(Instances!K32:Instances!K32),"median", MEDIAN(Instances!K32:Instances!K32),"min", MIN(Instances!K32:Instances!K32),"max", MAX(Instances!K32:Instances!K32),"diff", MAX(Instances!K32:Instances!K32)-MIN(Instances!K32:Instances!K32))</f>
        <v>0</v>
      </c>
      <c r="L32" s="1"/>
      <c r="M32" s="1" cm="1">
        <f t="array" ref="M32">_xlfn.SWITCH($A$2,"average", AVERAGE(Instances!M32:Instances!M32),"median", MEDIAN(Instances!M32:Instances!M32),"min", MIN(Instances!M32:Instances!M32),"max", MAX(Instances!M32:Instances!M32),"diff", MAX(Instances!M32:Instances!M32)-MIN(Instances!M32:Instances!M32))</f>
        <v>0</v>
      </c>
      <c r="N32" s="1" cm="1">
        <f t="array" ref="N32">_xlfn.SWITCH($A$2,"average", AVERAGE(Instances!N32:Instances!N32),"median", MEDIAN(Instances!N32:Instances!N32),"min", MIN(Instances!N32:Instances!N32),"max", MAX(Instances!N32:Instances!N32),"diff", MAX(Instances!N32:Instances!N32)-MIN(Instances!N32:Instances!N32))</f>
        <v>0</v>
      </c>
      <c r="O32" s="1"/>
      <c r="P32" s="1" cm="1">
        <f t="array" ref="P32">_xlfn.SWITCH($A$2,"average", AVERAGE(Instances!P32:Instances!P32),"median", MEDIAN(Instances!P32:Instances!P32),"min", MIN(Instances!P32:Instances!P32),"max", MAX(Instances!P32:Instances!P32),"diff", MAX(Instances!P32:Instances!P32)-MIN(Instances!P32:Instances!P32))</f>
        <v>0</v>
      </c>
      <c r="Q32" s="1" cm="1">
        <f t="array" ref="Q32">_xlfn.SWITCH($A$2,"average", AVERAGE(Instances!Q32:Instances!Q32),"median", MEDIAN(Instances!Q32:Instances!Q32),"min", MIN(Instances!Q32:Instances!Q32),"max", MAX(Instances!Q32:Instances!Q32),"diff", MAX(Instances!Q32:Instances!Q32)-MIN(Instances!Q32:Instances!Q32))</f>
        <v>0</v>
      </c>
      <c r="R32" s="1" cm="1">
        <f t="array" ref="R32">_xlfn.SWITCH($A$2,"average", AVERAGE(Instances!R32:Instances!R32),"median", MEDIAN(Instances!R32:Instances!R32),"min", MIN(Instances!R32:Instances!R32),"max", MAX(Instances!R32:Instances!R32),"diff", MAX(Instances!R32:Instances!R32)-MIN(Instances!R32:Instances!R32))</f>
        <v>0</v>
      </c>
      <c r="S32" s="1">
        <f>MIN($B32)</f>
        <v>0</v>
      </c>
      <c r="T32" s="1">
        <f>MIN($C32)</f>
        <v>0</v>
      </c>
      <c r="U32" s="1">
        <f>MIN($D32)</f>
        <v>0</v>
      </c>
      <c r="V32" s="1">
        <f>MIN($E32)</f>
        <v>0</v>
      </c>
      <c r="W32" s="1">
        <f>MIN($F32)</f>
        <v>0</v>
      </c>
      <c r="X32" s="1">
        <f>MIN($G32)</f>
        <v>0</v>
      </c>
      <c r="Y32" s="1">
        <f>MIN($H32)</f>
        <v>0</v>
      </c>
      <c r="Z32" s="1">
        <f>MIN($I32)</f>
        <v>0</v>
      </c>
      <c r="AA32" s="1">
        <f>MIN($J32)</f>
        <v>0</v>
      </c>
      <c r="AB32" s="1">
        <f>MIN($K32)</f>
        <v>0</v>
      </c>
      <c r="AC32" s="1">
        <f>MIN($M32)</f>
        <v>0</v>
      </c>
      <c r="AD32" s="1">
        <f>MIN($N32)</f>
        <v>0</v>
      </c>
      <c r="AE32" s="1">
        <f>MIN($P32)</f>
        <v>0</v>
      </c>
      <c r="AF32" s="1">
        <f>MIN($Q32)</f>
        <v>0</v>
      </c>
      <c r="AG32" s="1">
        <f>MIN($R32)</f>
        <v>0</v>
      </c>
      <c r="AH32" s="1">
        <f>MEDIAN($B32)</f>
        <v>0</v>
      </c>
      <c r="AI32" s="1">
        <f>MEDIAN($C32)</f>
        <v>0</v>
      </c>
      <c r="AJ32" s="1">
        <f>MEDIAN($D32)</f>
        <v>0</v>
      </c>
      <c r="AK32" s="1">
        <f>MEDIAN($E32)</f>
        <v>0</v>
      </c>
      <c r="AL32" s="1">
        <f>MEDIAN($F32)</f>
        <v>0</v>
      </c>
      <c r="AM32" s="1">
        <f>MEDIAN($G32)</f>
        <v>0</v>
      </c>
      <c r="AN32" s="1">
        <f>MEDIAN($H32)</f>
        <v>0</v>
      </c>
      <c r="AO32" s="1">
        <f>MEDIAN($I32)</f>
        <v>0</v>
      </c>
      <c r="AP32" s="1">
        <f>MEDIAN($J32)</f>
        <v>0</v>
      </c>
      <c r="AQ32" s="1">
        <f>MEDIAN($K32)</f>
        <v>0</v>
      </c>
      <c r="AR32" s="1">
        <f>MEDIAN($M32)</f>
        <v>0</v>
      </c>
      <c r="AS32" s="1">
        <f>MEDIAN($N32)</f>
        <v>0</v>
      </c>
      <c r="AT32" s="1">
        <f>MEDIAN($P32)</f>
        <v>0</v>
      </c>
      <c r="AU32" s="1">
        <f>MEDIAN($Q32)</f>
        <v>0</v>
      </c>
      <c r="AV32" s="1">
        <f>MEDIAN($R32)</f>
        <v>0</v>
      </c>
      <c r="AW32" s="1">
        <f>MAX($B32)</f>
        <v>0</v>
      </c>
      <c r="AX32" s="1">
        <f>MAX($C32)</f>
        <v>0</v>
      </c>
      <c r="AY32" s="1">
        <f>MAX($D32)</f>
        <v>0</v>
      </c>
      <c r="AZ32" s="1">
        <f>MAX($E32)</f>
        <v>0</v>
      </c>
      <c r="BA32" s="1">
        <f>MAX($F32)</f>
        <v>0</v>
      </c>
      <c r="BB32" s="1">
        <f>MAX($G32)</f>
        <v>0</v>
      </c>
      <c r="BC32" s="1">
        <f>MAX($H32)</f>
        <v>0</v>
      </c>
      <c r="BD32" s="1">
        <f>MAX($I32)</f>
        <v>0</v>
      </c>
      <c r="BE32" s="1">
        <f>MAX($J32)</f>
        <v>0</v>
      </c>
      <c r="BF32" s="1">
        <f>MAX($K32)</f>
        <v>0</v>
      </c>
      <c r="BG32" s="1">
        <f>MAX($M32)</f>
        <v>0</v>
      </c>
      <c r="BH32" s="1">
        <f>MAX($N32)</f>
        <v>0</v>
      </c>
      <c r="BI32" s="1">
        <f>MAX($P32)</f>
        <v>0</v>
      </c>
      <c r="BJ32" s="1">
        <f>MAX($Q32)</f>
        <v>0</v>
      </c>
      <c r="BK32" s="1">
        <f>MAX($R32)</f>
        <v>0</v>
      </c>
    </row>
    <row r="33" spans="1:63">
      <c r="A33" s="1" t="s">
        <v>30</v>
      </c>
      <c r="B33" s="1"/>
      <c r="C33" s="1"/>
      <c r="D33" s="1"/>
      <c r="E33" s="1" cm="1">
        <f t="array" ref="E33">_xlfn.SWITCH($A$2,"average", AVERAGE(Instances!E33:Instances!E33),"median", MEDIAN(Instances!E33:Instances!E33),"min", MIN(Instances!E33:Instances!E33),"max", MAX(Instances!E33:Instances!E33),"diff", MAX(Instances!E33:Instances!E33)-MIN(Instances!E33:Instances!E33))</f>
        <v>0</v>
      </c>
      <c r="F33" s="1" cm="1">
        <f t="array" ref="F33">_xlfn.SWITCH($A$2,"average", AVERAGE(Instances!F33:Instances!F33),"median", MEDIAN(Instances!F33:Instances!F33),"min", MIN(Instances!F33:Instances!F33),"max", MAX(Instances!F33:Instances!F33),"diff", MAX(Instances!F33:Instances!F33)-MIN(Instances!F33:Instances!F33))</f>
        <v>0</v>
      </c>
      <c r="G33" s="1" cm="1">
        <f t="array" ref="G33">_xlfn.SWITCH($A$2,"average", AVERAGE(Instances!G33:Instances!G33),"median", MEDIAN(Instances!G33:Instances!G33),"min", MIN(Instances!G33:Instances!G33),"max", MAX(Instances!G33:Instances!G33),"diff", MAX(Instances!G33:Instances!G33)-MIN(Instances!G33:Instances!G33))</f>
        <v>0</v>
      </c>
      <c r="H33" s="1"/>
      <c r="I33" s="1"/>
      <c r="J33" s="1" cm="1">
        <f t="array" ref="J33">_xlfn.SWITCH($A$2,"average", AVERAGE(Instances!J33:Instances!J33),"median", MEDIAN(Instances!J33:Instances!J33),"min", MIN(Instances!J33:Instances!J33),"max", MAX(Instances!J33:Instances!J33),"diff", MAX(Instances!J33:Instances!J33)-MIN(Instances!J33:Instances!J33))</f>
        <v>0</v>
      </c>
      <c r="K33" s="1"/>
      <c r="L33" s="1"/>
      <c r="M33" s="1"/>
      <c r="N33" s="1"/>
      <c r="O33" s="1"/>
      <c r="P33" s="1" cm="1">
        <f t="array" ref="P33">_xlfn.SWITCH($A$2,"average", AVERAGE(Instances!P33:Instances!P33),"median", MEDIAN(Instances!P33:Instances!P33),"min", MIN(Instances!P33:Instances!P33),"max", MAX(Instances!P33:Instances!P33),"diff", MAX(Instances!P33:Instances!P33)-MIN(Instances!P33:Instances!P33))</f>
        <v>0</v>
      </c>
      <c r="Q33" s="1" cm="1">
        <f t="array" ref="Q33">_xlfn.SWITCH($A$2,"average", AVERAGE(Instances!Q33:Instances!Q33),"median", MEDIAN(Instances!Q33:Instances!Q33),"min", MIN(Instances!Q33:Instances!Q33),"max", MAX(Instances!Q33:Instances!Q33),"diff", MAX(Instances!Q33:Instances!Q33)-MIN(Instances!Q33:Instances!Q33))</f>
        <v>0</v>
      </c>
      <c r="R33" s="1"/>
      <c r="S33" s="1"/>
      <c r="T33" s="1"/>
      <c r="U33" s="1"/>
      <c r="V33" s="1">
        <f>MIN($E33)</f>
        <v>0</v>
      </c>
      <c r="W33" s="1">
        <f>MIN($F33)</f>
        <v>0</v>
      </c>
      <c r="X33" s="1">
        <f>MIN($G33)</f>
        <v>0</v>
      </c>
      <c r="Y33" s="1"/>
      <c r="Z33" s="1"/>
      <c r="AA33" s="1">
        <f>MIN($J33)</f>
        <v>0</v>
      </c>
      <c r="AB33" s="1"/>
      <c r="AC33" s="1"/>
      <c r="AD33" s="1"/>
      <c r="AE33" s="1">
        <f>MIN($P33)</f>
        <v>0</v>
      </c>
      <c r="AF33" s="1">
        <f>MIN($Q33)</f>
        <v>0</v>
      </c>
      <c r="AG33" s="1"/>
      <c r="AH33" s="1"/>
      <c r="AI33" s="1"/>
      <c r="AJ33" s="1"/>
      <c r="AK33" s="1">
        <f>MEDIAN($E33)</f>
        <v>0</v>
      </c>
      <c r="AL33" s="1">
        <f>MEDIAN($F33)</f>
        <v>0</v>
      </c>
      <c r="AM33" s="1">
        <f>MEDIAN($G33)</f>
        <v>0</v>
      </c>
      <c r="AN33" s="1"/>
      <c r="AO33" s="1"/>
      <c r="AP33" s="1">
        <f>MEDIAN($J33)</f>
        <v>0</v>
      </c>
      <c r="AQ33" s="1"/>
      <c r="AR33" s="1"/>
      <c r="AS33" s="1"/>
      <c r="AT33" s="1">
        <f>MEDIAN($P33)</f>
        <v>0</v>
      </c>
      <c r="AU33" s="1">
        <f>MEDIAN($Q33)</f>
        <v>0</v>
      </c>
      <c r="AV33" s="1"/>
      <c r="AW33" s="1"/>
      <c r="AX33" s="1"/>
      <c r="AY33" s="1"/>
      <c r="AZ33" s="1">
        <f>MAX($E33)</f>
        <v>0</v>
      </c>
      <c r="BA33" s="1">
        <f>MAX($F33)</f>
        <v>0</v>
      </c>
      <c r="BB33" s="1">
        <f>MAX($G33)</f>
        <v>0</v>
      </c>
      <c r="BC33" s="1"/>
      <c r="BD33" s="1"/>
      <c r="BE33" s="1">
        <f>MAX($J33)</f>
        <v>0</v>
      </c>
      <c r="BF33" s="1"/>
      <c r="BG33" s="1"/>
      <c r="BH33" s="1"/>
      <c r="BI33" s="1">
        <f>MAX($P33)</f>
        <v>0</v>
      </c>
      <c r="BJ33" s="1">
        <f>MAX($Q33)</f>
        <v>0</v>
      </c>
      <c r="BK33" s="1"/>
    </row>
    <row r="34" spans="1:63">
      <c r="A34" s="1" t="s">
        <v>31</v>
      </c>
      <c r="B34" s="1"/>
      <c r="C34" s="1"/>
      <c r="D34" s="1"/>
      <c r="E34" s="1" cm="1">
        <f t="array" ref="E34">_xlfn.SWITCH($A$2,"average", AVERAGE(Instances!E34:Instances!E34),"median", MEDIAN(Instances!E34:Instances!E34),"min", MIN(Instances!E34:Instances!E34),"max", MAX(Instances!E34:Instances!E34),"diff", MAX(Instances!E34:Instances!E34)-MIN(Instances!E34:Instances!E34))</f>
        <v>0</v>
      </c>
      <c r="F34" s="1" cm="1">
        <f t="array" ref="F34">_xlfn.SWITCH($A$2,"average", AVERAGE(Instances!F34:Instances!F34),"median", MEDIAN(Instances!F34:Instances!F34),"min", MIN(Instances!F34:Instances!F34),"max", MAX(Instances!F34:Instances!F34),"diff", MAX(Instances!F34:Instances!F34)-MIN(Instances!F34:Instances!F34))</f>
        <v>0</v>
      </c>
      <c r="G34" s="1" cm="1">
        <f t="array" ref="G34">_xlfn.SWITCH($A$2,"average", AVERAGE(Instances!G34:Instances!G34),"median", MEDIAN(Instances!G34:Instances!G34),"min", MIN(Instances!G34:Instances!G34),"max", MAX(Instances!G34:Instances!G34),"diff", MAX(Instances!G34:Instances!G34)-MIN(Instances!G34:Instances!G34))</f>
        <v>0</v>
      </c>
      <c r="H34" s="1"/>
      <c r="I34" s="1"/>
      <c r="J34" s="1" cm="1">
        <f t="array" ref="J34">_xlfn.SWITCH($A$2,"average", AVERAGE(Instances!J34:Instances!J34),"median", MEDIAN(Instances!J34:Instances!J34),"min", MIN(Instances!J34:Instances!J34),"max", MAX(Instances!J34:Instances!J34),"diff", MAX(Instances!J34:Instances!J34)-MIN(Instances!J34:Instances!J34))</f>
        <v>0</v>
      </c>
      <c r="K34" s="1"/>
      <c r="L34" s="1"/>
      <c r="M34" s="1"/>
      <c r="N34" s="1"/>
      <c r="O34" s="1"/>
      <c r="P34" s="1" cm="1">
        <f t="array" ref="P34">_xlfn.SWITCH($A$2,"average", AVERAGE(Instances!P34:Instances!P34),"median", MEDIAN(Instances!P34:Instances!P34),"min", MIN(Instances!P34:Instances!P34),"max", MAX(Instances!P34:Instances!P34),"diff", MAX(Instances!P34:Instances!P34)-MIN(Instances!P34:Instances!P34))</f>
        <v>0</v>
      </c>
      <c r="Q34" s="1" cm="1">
        <f t="array" ref="Q34">_xlfn.SWITCH($A$2,"average", AVERAGE(Instances!Q34:Instances!Q34),"median", MEDIAN(Instances!Q34:Instances!Q34),"min", MIN(Instances!Q34:Instances!Q34),"max", MAX(Instances!Q34:Instances!Q34),"diff", MAX(Instances!Q34:Instances!Q34)-MIN(Instances!Q34:Instances!Q34))</f>
        <v>0</v>
      </c>
      <c r="R34" s="1"/>
      <c r="S34" s="1"/>
      <c r="T34" s="1"/>
      <c r="U34" s="1"/>
      <c r="V34" s="1">
        <f>MIN($E34)</f>
        <v>0</v>
      </c>
      <c r="W34" s="1">
        <f>MIN($F34)</f>
        <v>0</v>
      </c>
      <c r="X34" s="1">
        <f>MIN($G34)</f>
        <v>0</v>
      </c>
      <c r="Y34" s="1"/>
      <c r="Z34" s="1"/>
      <c r="AA34" s="1">
        <f>MIN($J34)</f>
        <v>0</v>
      </c>
      <c r="AB34" s="1"/>
      <c r="AC34" s="1"/>
      <c r="AD34" s="1"/>
      <c r="AE34" s="1">
        <f>MIN($P34)</f>
        <v>0</v>
      </c>
      <c r="AF34" s="1">
        <f>MIN($Q34)</f>
        <v>0</v>
      </c>
      <c r="AG34" s="1"/>
      <c r="AH34" s="1"/>
      <c r="AI34" s="1"/>
      <c r="AJ34" s="1"/>
      <c r="AK34" s="1">
        <f>MEDIAN($E34)</f>
        <v>0</v>
      </c>
      <c r="AL34" s="1">
        <f>MEDIAN($F34)</f>
        <v>0</v>
      </c>
      <c r="AM34" s="1">
        <f>MEDIAN($G34)</f>
        <v>0</v>
      </c>
      <c r="AN34" s="1"/>
      <c r="AO34" s="1"/>
      <c r="AP34" s="1">
        <f>MEDIAN($J34)</f>
        <v>0</v>
      </c>
      <c r="AQ34" s="1"/>
      <c r="AR34" s="1"/>
      <c r="AS34" s="1"/>
      <c r="AT34" s="1">
        <f>MEDIAN($P34)</f>
        <v>0</v>
      </c>
      <c r="AU34" s="1">
        <f>MEDIAN($Q34)</f>
        <v>0</v>
      </c>
      <c r="AV34" s="1"/>
      <c r="AW34" s="1"/>
      <c r="AX34" s="1"/>
      <c r="AY34" s="1"/>
      <c r="AZ34" s="1">
        <f>MAX($E34)</f>
        <v>0</v>
      </c>
      <c r="BA34" s="1">
        <f>MAX($F34)</f>
        <v>0</v>
      </c>
      <c r="BB34" s="1">
        <f>MAX($G34)</f>
        <v>0</v>
      </c>
      <c r="BC34" s="1"/>
      <c r="BD34" s="1"/>
      <c r="BE34" s="1">
        <f>MAX($J34)</f>
        <v>0</v>
      </c>
      <c r="BF34" s="1"/>
      <c r="BG34" s="1"/>
      <c r="BH34" s="1"/>
      <c r="BI34" s="1">
        <f>MAX($P34)</f>
        <v>0</v>
      </c>
      <c r="BJ34" s="1">
        <f>MAX($Q34)</f>
        <v>0</v>
      </c>
      <c r="BK34" s="1"/>
    </row>
    <row r="35" spans="1:63">
      <c r="A35" s="1" t="s">
        <v>32</v>
      </c>
      <c r="B35" s="1"/>
      <c r="C35" s="1"/>
      <c r="D35" s="1"/>
      <c r="E35" s="1" cm="1">
        <f t="array" ref="E35">_xlfn.SWITCH($A$2,"average", AVERAGE(Instances!E35:Instances!E35),"median", MEDIAN(Instances!E35:Instances!E35),"min", MIN(Instances!E35:Instances!E35),"max", MAX(Instances!E35:Instances!E35),"diff", MAX(Instances!E35:Instances!E35)-MIN(Instances!E35:Instances!E35))</f>
        <v>0</v>
      </c>
      <c r="F35" s="1" cm="1">
        <f t="array" ref="F35">_xlfn.SWITCH($A$2,"average", AVERAGE(Instances!F35:Instances!F35),"median", MEDIAN(Instances!F35:Instances!F35),"min", MIN(Instances!F35:Instances!F35),"max", MAX(Instances!F35:Instances!F35),"diff", MAX(Instances!F35:Instances!F35)-MIN(Instances!F35:Instances!F35))</f>
        <v>0</v>
      </c>
      <c r="G35" s="1" cm="1">
        <f t="array" ref="G35">_xlfn.SWITCH($A$2,"average", AVERAGE(Instances!G35:Instances!G35),"median", MEDIAN(Instances!G35:Instances!G35),"min", MIN(Instances!G35:Instances!G35),"max", MAX(Instances!G35:Instances!G35),"diff", MAX(Instances!G35:Instances!G35)-MIN(Instances!G35:Instances!G35))</f>
        <v>0</v>
      </c>
      <c r="H35" s="1"/>
      <c r="I35" s="1"/>
      <c r="J35" s="1" cm="1">
        <f t="array" ref="J35">_xlfn.SWITCH($A$2,"average", AVERAGE(Instances!J35:Instances!J35),"median", MEDIAN(Instances!J35:Instances!J35),"min", MIN(Instances!J35:Instances!J35),"max", MAX(Instances!J35:Instances!J35),"diff", MAX(Instances!J35:Instances!J35)-MIN(Instances!J35:Instances!J35))</f>
        <v>0</v>
      </c>
      <c r="K35" s="1"/>
      <c r="L35" s="1"/>
      <c r="M35" s="1"/>
      <c r="N35" s="1"/>
      <c r="O35" s="1"/>
      <c r="P35" s="1" cm="1">
        <f t="array" ref="P35">_xlfn.SWITCH($A$2,"average", AVERAGE(Instances!P35:Instances!P35),"median", MEDIAN(Instances!P35:Instances!P35),"min", MIN(Instances!P35:Instances!P35),"max", MAX(Instances!P35:Instances!P35),"diff", MAX(Instances!P35:Instances!P35)-MIN(Instances!P35:Instances!P35))</f>
        <v>0</v>
      </c>
      <c r="Q35" s="1" cm="1">
        <f t="array" ref="Q35">_xlfn.SWITCH($A$2,"average", AVERAGE(Instances!Q35:Instances!Q35),"median", MEDIAN(Instances!Q35:Instances!Q35),"min", MIN(Instances!Q35:Instances!Q35),"max", MAX(Instances!Q35:Instances!Q35),"diff", MAX(Instances!Q35:Instances!Q35)-MIN(Instances!Q35:Instances!Q35))</f>
        <v>0</v>
      </c>
      <c r="R35" s="1"/>
      <c r="S35" s="1"/>
      <c r="T35" s="1"/>
      <c r="U35" s="1"/>
      <c r="V35" s="1">
        <f>MIN($E35)</f>
        <v>0</v>
      </c>
      <c r="W35" s="1">
        <f>MIN($F35)</f>
        <v>0</v>
      </c>
      <c r="X35" s="1">
        <f>MIN($G35)</f>
        <v>0</v>
      </c>
      <c r="Y35" s="1"/>
      <c r="Z35" s="1"/>
      <c r="AA35" s="1">
        <f>MIN($J35)</f>
        <v>0</v>
      </c>
      <c r="AB35" s="1"/>
      <c r="AC35" s="1"/>
      <c r="AD35" s="1"/>
      <c r="AE35" s="1">
        <f>MIN($P35)</f>
        <v>0</v>
      </c>
      <c r="AF35" s="1">
        <f>MIN($Q35)</f>
        <v>0</v>
      </c>
      <c r="AG35" s="1"/>
      <c r="AH35" s="1"/>
      <c r="AI35" s="1"/>
      <c r="AJ35" s="1"/>
      <c r="AK35" s="1">
        <f>MEDIAN($E35)</f>
        <v>0</v>
      </c>
      <c r="AL35" s="1">
        <f>MEDIAN($F35)</f>
        <v>0</v>
      </c>
      <c r="AM35" s="1">
        <f>MEDIAN($G35)</f>
        <v>0</v>
      </c>
      <c r="AN35" s="1"/>
      <c r="AO35" s="1"/>
      <c r="AP35" s="1">
        <f>MEDIAN($J35)</f>
        <v>0</v>
      </c>
      <c r="AQ35" s="1"/>
      <c r="AR35" s="1"/>
      <c r="AS35" s="1"/>
      <c r="AT35" s="1">
        <f>MEDIAN($P35)</f>
        <v>0</v>
      </c>
      <c r="AU35" s="1">
        <f>MEDIAN($Q35)</f>
        <v>0</v>
      </c>
      <c r="AV35" s="1"/>
      <c r="AW35" s="1"/>
      <c r="AX35" s="1"/>
      <c r="AY35" s="1"/>
      <c r="AZ35" s="1">
        <f>MAX($E35)</f>
        <v>0</v>
      </c>
      <c r="BA35" s="1">
        <f>MAX($F35)</f>
        <v>0</v>
      </c>
      <c r="BB35" s="1">
        <f>MAX($G35)</f>
        <v>0</v>
      </c>
      <c r="BC35" s="1"/>
      <c r="BD35" s="1"/>
      <c r="BE35" s="1">
        <f>MAX($J35)</f>
        <v>0</v>
      </c>
      <c r="BF35" s="1"/>
      <c r="BG35" s="1"/>
      <c r="BH35" s="1"/>
      <c r="BI35" s="1">
        <f>MAX($P35)</f>
        <v>0</v>
      </c>
      <c r="BJ35" s="1">
        <f>MAX($Q35)</f>
        <v>0</v>
      </c>
      <c r="BK35" s="1"/>
    </row>
    <row r="36" spans="1:63">
      <c r="A36" s="1" t="s">
        <v>33</v>
      </c>
      <c r="B36" s="1"/>
      <c r="C36" s="1"/>
      <c r="D36" s="1"/>
      <c r="E36" s="1" cm="1">
        <f t="array" ref="E36">_xlfn.SWITCH($A$2,"average", AVERAGE(Instances!E36:Instances!E36),"median", MEDIAN(Instances!E36:Instances!E36),"min", MIN(Instances!E36:Instances!E36),"max", MAX(Instances!E36:Instances!E36),"diff", MAX(Instances!E36:Instances!E36)-MIN(Instances!E36:Instances!E36))</f>
        <v>0</v>
      </c>
      <c r="F36" s="1" cm="1">
        <f t="array" ref="F36">_xlfn.SWITCH($A$2,"average", AVERAGE(Instances!F36:Instances!F36),"median", MEDIAN(Instances!F36:Instances!F36),"min", MIN(Instances!F36:Instances!F36),"max", MAX(Instances!F36:Instances!F36),"diff", MAX(Instances!F36:Instances!F36)-MIN(Instances!F36:Instances!F36))</f>
        <v>0</v>
      </c>
      <c r="G36" s="1" cm="1">
        <f t="array" ref="G36">_xlfn.SWITCH($A$2,"average", AVERAGE(Instances!G36:Instances!G36),"median", MEDIAN(Instances!G36:Instances!G36),"min", MIN(Instances!G36:Instances!G36),"max", MAX(Instances!G36:Instances!G36),"diff", MAX(Instances!G36:Instances!G36)-MIN(Instances!G36:Instances!G36))</f>
        <v>0</v>
      </c>
      <c r="H36" s="1"/>
      <c r="I36" s="1"/>
      <c r="J36" s="1" cm="1">
        <f t="array" ref="J36">_xlfn.SWITCH($A$2,"average", AVERAGE(Instances!J36:Instances!J36),"median", MEDIAN(Instances!J36:Instances!J36),"min", MIN(Instances!J36:Instances!J36),"max", MAX(Instances!J36:Instances!J36),"diff", MAX(Instances!J36:Instances!J36)-MIN(Instances!J36:Instances!J36))</f>
        <v>0</v>
      </c>
      <c r="K36" s="1"/>
      <c r="L36" s="1"/>
      <c r="M36" s="1"/>
      <c r="N36" s="1"/>
      <c r="O36" s="1"/>
      <c r="P36" s="1" cm="1">
        <f t="array" ref="P36">_xlfn.SWITCH($A$2,"average", AVERAGE(Instances!P36:Instances!P36),"median", MEDIAN(Instances!P36:Instances!P36),"min", MIN(Instances!P36:Instances!P36),"max", MAX(Instances!P36:Instances!P36),"diff", MAX(Instances!P36:Instances!P36)-MIN(Instances!P36:Instances!P36))</f>
        <v>0</v>
      </c>
      <c r="Q36" s="1" cm="1">
        <f t="array" ref="Q36">_xlfn.SWITCH($A$2,"average", AVERAGE(Instances!Q36:Instances!Q36),"median", MEDIAN(Instances!Q36:Instances!Q36),"min", MIN(Instances!Q36:Instances!Q36),"max", MAX(Instances!Q36:Instances!Q36),"diff", MAX(Instances!Q36:Instances!Q36)-MIN(Instances!Q36:Instances!Q36))</f>
        <v>0</v>
      </c>
      <c r="R36" s="1"/>
      <c r="S36" s="1"/>
      <c r="T36" s="1"/>
      <c r="U36" s="1"/>
      <c r="V36" s="1">
        <f>MIN($E36)</f>
        <v>0</v>
      </c>
      <c r="W36" s="1">
        <f>MIN($F36)</f>
        <v>0</v>
      </c>
      <c r="X36" s="1">
        <f>MIN($G36)</f>
        <v>0</v>
      </c>
      <c r="Y36" s="1"/>
      <c r="Z36" s="1"/>
      <c r="AA36" s="1">
        <f>MIN($J36)</f>
        <v>0</v>
      </c>
      <c r="AB36" s="1"/>
      <c r="AC36" s="1"/>
      <c r="AD36" s="1"/>
      <c r="AE36" s="1">
        <f>MIN($P36)</f>
        <v>0</v>
      </c>
      <c r="AF36" s="1">
        <f>MIN($Q36)</f>
        <v>0</v>
      </c>
      <c r="AG36" s="1"/>
      <c r="AH36" s="1"/>
      <c r="AI36" s="1"/>
      <c r="AJ36" s="1"/>
      <c r="AK36" s="1">
        <f>MEDIAN($E36)</f>
        <v>0</v>
      </c>
      <c r="AL36" s="1">
        <f>MEDIAN($F36)</f>
        <v>0</v>
      </c>
      <c r="AM36" s="1">
        <f>MEDIAN($G36)</f>
        <v>0</v>
      </c>
      <c r="AN36" s="1"/>
      <c r="AO36" s="1"/>
      <c r="AP36" s="1">
        <f>MEDIAN($J36)</f>
        <v>0</v>
      </c>
      <c r="AQ36" s="1"/>
      <c r="AR36" s="1"/>
      <c r="AS36" s="1"/>
      <c r="AT36" s="1">
        <f>MEDIAN($P36)</f>
        <v>0</v>
      </c>
      <c r="AU36" s="1">
        <f>MEDIAN($Q36)</f>
        <v>0</v>
      </c>
      <c r="AV36" s="1"/>
      <c r="AW36" s="1"/>
      <c r="AX36" s="1"/>
      <c r="AY36" s="1"/>
      <c r="AZ36" s="1">
        <f>MAX($E36)</f>
        <v>0</v>
      </c>
      <c r="BA36" s="1">
        <f>MAX($F36)</f>
        <v>0</v>
      </c>
      <c r="BB36" s="1">
        <f>MAX($G36)</f>
        <v>0</v>
      </c>
      <c r="BC36" s="1"/>
      <c r="BD36" s="1"/>
      <c r="BE36" s="1">
        <f>MAX($J36)</f>
        <v>0</v>
      </c>
      <c r="BF36" s="1"/>
      <c r="BG36" s="1"/>
      <c r="BH36" s="1"/>
      <c r="BI36" s="1">
        <f>MAX($P36)</f>
        <v>0</v>
      </c>
      <c r="BJ36" s="1">
        <f>MAX($Q36)</f>
        <v>0</v>
      </c>
      <c r="BK36" s="1"/>
    </row>
    <row r="37" spans="1:63">
      <c r="A37" s="1" t="s">
        <v>34</v>
      </c>
      <c r="B37" s="1"/>
      <c r="C37" s="1"/>
      <c r="D37" s="1"/>
      <c r="E37" s="1" cm="1">
        <f t="array" ref="E37">_xlfn.SWITCH($A$2,"average", AVERAGE(Instances!E37:Instances!E37),"median", MEDIAN(Instances!E37:Instances!E37),"min", MIN(Instances!E37:Instances!E37),"max", MAX(Instances!E37:Instances!E37),"diff", MAX(Instances!E37:Instances!E37)-MIN(Instances!E37:Instances!E37))</f>
        <v>0</v>
      </c>
      <c r="F37" s="1" cm="1">
        <f t="array" ref="F37">_xlfn.SWITCH($A$2,"average", AVERAGE(Instances!F37:Instances!F37),"median", MEDIAN(Instances!F37:Instances!F37),"min", MIN(Instances!F37:Instances!F37),"max", MAX(Instances!F37:Instances!F37),"diff", MAX(Instances!F37:Instances!F37)-MIN(Instances!F37:Instances!F37))</f>
        <v>0</v>
      </c>
      <c r="G37" s="1" cm="1">
        <f t="array" ref="G37">_xlfn.SWITCH($A$2,"average", AVERAGE(Instances!G37:Instances!G37),"median", MEDIAN(Instances!G37:Instances!G37),"min", MIN(Instances!G37:Instances!G37),"max", MAX(Instances!G37:Instances!G37),"diff", MAX(Instances!G37:Instances!G37)-MIN(Instances!G37:Instances!G37))</f>
        <v>0</v>
      </c>
      <c r="H37" s="1"/>
      <c r="I37" s="1"/>
      <c r="J37" s="1" cm="1">
        <f t="array" ref="J37">_xlfn.SWITCH($A$2,"average", AVERAGE(Instances!J37:Instances!J37),"median", MEDIAN(Instances!J37:Instances!J37),"min", MIN(Instances!J37:Instances!J37),"max", MAX(Instances!J37:Instances!J37),"diff", MAX(Instances!J37:Instances!J37)-MIN(Instances!J37:Instances!J37))</f>
        <v>0</v>
      </c>
      <c r="K37" s="1"/>
      <c r="L37" s="1"/>
      <c r="M37" s="1"/>
      <c r="N37" s="1"/>
      <c r="O37" s="1"/>
      <c r="P37" s="1" cm="1">
        <f t="array" ref="P37">_xlfn.SWITCH($A$2,"average", AVERAGE(Instances!P37:Instances!P37),"median", MEDIAN(Instances!P37:Instances!P37),"min", MIN(Instances!P37:Instances!P37),"max", MAX(Instances!P37:Instances!P37),"diff", MAX(Instances!P37:Instances!P37)-MIN(Instances!P37:Instances!P37))</f>
        <v>0</v>
      </c>
      <c r="Q37" s="1" cm="1">
        <f t="array" ref="Q37">_xlfn.SWITCH($A$2,"average", AVERAGE(Instances!Q37:Instances!Q37),"median", MEDIAN(Instances!Q37:Instances!Q37),"min", MIN(Instances!Q37:Instances!Q37),"max", MAX(Instances!Q37:Instances!Q37),"diff", MAX(Instances!Q37:Instances!Q37)-MIN(Instances!Q37:Instances!Q37))</f>
        <v>0</v>
      </c>
      <c r="R37" s="1"/>
      <c r="S37" s="1"/>
      <c r="T37" s="1"/>
      <c r="U37" s="1"/>
      <c r="V37" s="1">
        <f>MIN($E37)</f>
        <v>0</v>
      </c>
      <c r="W37" s="1">
        <f>MIN($F37)</f>
        <v>0</v>
      </c>
      <c r="X37" s="1">
        <f>MIN($G37)</f>
        <v>0</v>
      </c>
      <c r="Y37" s="1"/>
      <c r="Z37" s="1"/>
      <c r="AA37" s="1">
        <f>MIN($J37)</f>
        <v>0</v>
      </c>
      <c r="AB37" s="1"/>
      <c r="AC37" s="1"/>
      <c r="AD37" s="1"/>
      <c r="AE37" s="1">
        <f>MIN($P37)</f>
        <v>0</v>
      </c>
      <c r="AF37" s="1">
        <f>MIN($Q37)</f>
        <v>0</v>
      </c>
      <c r="AG37" s="1"/>
      <c r="AH37" s="1"/>
      <c r="AI37" s="1"/>
      <c r="AJ37" s="1"/>
      <c r="AK37" s="1">
        <f>MEDIAN($E37)</f>
        <v>0</v>
      </c>
      <c r="AL37" s="1">
        <f>MEDIAN($F37)</f>
        <v>0</v>
      </c>
      <c r="AM37" s="1">
        <f>MEDIAN($G37)</f>
        <v>0</v>
      </c>
      <c r="AN37" s="1"/>
      <c r="AO37" s="1"/>
      <c r="AP37" s="1">
        <f>MEDIAN($J37)</f>
        <v>0</v>
      </c>
      <c r="AQ37" s="1"/>
      <c r="AR37" s="1"/>
      <c r="AS37" s="1"/>
      <c r="AT37" s="1">
        <f>MEDIAN($P37)</f>
        <v>0</v>
      </c>
      <c r="AU37" s="1">
        <f>MEDIAN($Q37)</f>
        <v>0</v>
      </c>
      <c r="AV37" s="1"/>
      <c r="AW37" s="1"/>
      <c r="AX37" s="1"/>
      <c r="AY37" s="1"/>
      <c r="AZ37" s="1">
        <f>MAX($E37)</f>
        <v>0</v>
      </c>
      <c r="BA37" s="1">
        <f>MAX($F37)</f>
        <v>0</v>
      </c>
      <c r="BB37" s="1">
        <f>MAX($G37)</f>
        <v>0</v>
      </c>
      <c r="BC37" s="1"/>
      <c r="BD37" s="1"/>
      <c r="BE37" s="1">
        <f>MAX($J37)</f>
        <v>0</v>
      </c>
      <c r="BF37" s="1"/>
      <c r="BG37" s="1"/>
      <c r="BH37" s="1"/>
      <c r="BI37" s="1">
        <f>MAX($P37)</f>
        <v>0</v>
      </c>
      <c r="BJ37" s="1">
        <f>MAX($Q37)</f>
        <v>0</v>
      </c>
      <c r="BK37" s="1"/>
    </row>
    <row r="38" spans="1:63">
      <c r="A38" s="1" t="s">
        <v>35</v>
      </c>
      <c r="B38" s="1" cm="1">
        <f t="array" ref="B38">_xlfn.SWITCH($A$2,"average", AVERAGE(Instances!B38:Instances!B38),"median", MEDIAN(Instances!B38:Instances!B38),"min", MIN(Instances!B38:Instances!B38),"max", MAX(Instances!B38:Instances!B38),"diff", MAX(Instances!B38:Instances!B38)-MIN(Instances!B38:Instances!B38))</f>
        <v>0</v>
      </c>
      <c r="C38" s="1" cm="1">
        <f t="array" ref="C38">_xlfn.SWITCH($A$2,"average", AVERAGE(Instances!C38:Instances!C38),"median", MEDIAN(Instances!C38:Instances!C38),"min", MIN(Instances!C38:Instances!C38),"max", MAX(Instances!C38:Instances!C38),"diff", MAX(Instances!C38:Instances!C38)-MIN(Instances!C38:Instances!C38))</f>
        <v>0</v>
      </c>
      <c r="D38" s="1" cm="1">
        <f t="array" ref="D38">_xlfn.SWITCH($A$2,"average", AVERAGE(Instances!D38:Instances!D38),"median", MEDIAN(Instances!D38:Instances!D38),"min", MIN(Instances!D38:Instances!D38),"max", MAX(Instances!D38:Instances!D38),"diff", MAX(Instances!D38:Instances!D38)-MIN(Instances!D38:Instances!D38))</f>
        <v>0</v>
      </c>
      <c r="E38" s="1" cm="1">
        <f t="array" ref="E38">_xlfn.SWITCH($A$2,"average", AVERAGE(Instances!E38:Instances!E38),"median", MEDIAN(Instances!E38:Instances!E38),"min", MIN(Instances!E38:Instances!E38),"max", MAX(Instances!E38:Instances!E38),"diff", MAX(Instances!E38:Instances!E38)-MIN(Instances!E38:Instances!E38))</f>
        <v>0</v>
      </c>
      <c r="F38" s="1" cm="1">
        <f t="array" ref="F38">_xlfn.SWITCH($A$2,"average", AVERAGE(Instances!F38:Instances!F38),"median", MEDIAN(Instances!F38:Instances!F38),"min", MIN(Instances!F38:Instances!F38),"max", MAX(Instances!F38:Instances!F38),"diff", MAX(Instances!F38:Instances!F38)-MIN(Instances!F38:Instances!F38))</f>
        <v>0</v>
      </c>
      <c r="G38" s="1" cm="1">
        <f t="array" ref="G38">_xlfn.SWITCH($A$2,"average", AVERAGE(Instances!G38:Instances!G38),"median", MEDIAN(Instances!G38:Instances!G38),"min", MIN(Instances!G38:Instances!G38),"max", MAX(Instances!G38:Instances!G38),"diff", MAX(Instances!G38:Instances!G38)-MIN(Instances!G38:Instances!G38))</f>
        <v>0</v>
      </c>
      <c r="H38" s="1" cm="1">
        <f t="array" ref="H38">_xlfn.SWITCH($A$2,"average", AVERAGE(Instances!H38:Instances!H38),"median", MEDIAN(Instances!H38:Instances!H38),"min", MIN(Instances!H38:Instances!H38),"max", MAX(Instances!H38:Instances!H38),"diff", MAX(Instances!H38:Instances!H38)-MIN(Instances!H38:Instances!H38))</f>
        <v>0</v>
      </c>
      <c r="I38" s="1" cm="1">
        <f t="array" ref="I38">_xlfn.SWITCH($A$2,"average", AVERAGE(Instances!I38:Instances!I38),"median", MEDIAN(Instances!I38:Instances!I38),"min", MIN(Instances!I38:Instances!I38),"max", MAX(Instances!I38:Instances!I38),"diff", MAX(Instances!I38:Instances!I38)-MIN(Instances!I38:Instances!I38))</f>
        <v>0</v>
      </c>
      <c r="J38" s="1" cm="1">
        <f t="array" ref="J38">_xlfn.SWITCH($A$2,"average", AVERAGE(Instances!J38:Instances!J38),"median", MEDIAN(Instances!J38:Instances!J38),"min", MIN(Instances!J38:Instances!J38),"max", MAX(Instances!J38:Instances!J38),"diff", MAX(Instances!J38:Instances!J38)-MIN(Instances!J38:Instances!J38))</f>
        <v>0</v>
      </c>
      <c r="K38" s="1" cm="1">
        <f t="array" ref="K38">_xlfn.SWITCH($A$2,"average", AVERAGE(Instances!K38:Instances!K38),"median", MEDIAN(Instances!K38:Instances!K38),"min", MIN(Instances!K38:Instances!K38),"max", MAX(Instances!K38:Instances!K38),"diff", MAX(Instances!K38:Instances!K38)-MIN(Instances!K38:Instances!K38))</f>
        <v>0</v>
      </c>
      <c r="L38" s="1"/>
      <c r="M38" s="1" cm="1">
        <f t="array" ref="M38">_xlfn.SWITCH($A$2,"average", AVERAGE(Instances!M38:Instances!M38),"median", MEDIAN(Instances!M38:Instances!M38),"min", MIN(Instances!M38:Instances!M38),"max", MAX(Instances!M38:Instances!M38),"diff", MAX(Instances!M38:Instances!M38)-MIN(Instances!M38:Instances!M38))</f>
        <v>0</v>
      </c>
      <c r="N38" s="1" cm="1">
        <f t="array" ref="N38">_xlfn.SWITCH($A$2,"average", AVERAGE(Instances!N38:Instances!N38),"median", MEDIAN(Instances!N38:Instances!N38),"min", MIN(Instances!N38:Instances!N38),"max", MAX(Instances!N38:Instances!N38),"diff", MAX(Instances!N38:Instances!N38)-MIN(Instances!N38:Instances!N38))</f>
        <v>0</v>
      </c>
      <c r="O38" s="1"/>
      <c r="P38" s="1" cm="1">
        <f t="array" ref="P38">_xlfn.SWITCH($A$2,"average", AVERAGE(Instances!P38:Instances!P38),"median", MEDIAN(Instances!P38:Instances!P38),"min", MIN(Instances!P38:Instances!P38),"max", MAX(Instances!P38:Instances!P38),"diff", MAX(Instances!P38:Instances!P38)-MIN(Instances!P38:Instances!P38))</f>
        <v>0</v>
      </c>
      <c r="Q38" s="1" cm="1">
        <f t="array" ref="Q38">_xlfn.SWITCH($A$2,"average", AVERAGE(Instances!Q38:Instances!Q38),"median", MEDIAN(Instances!Q38:Instances!Q38),"min", MIN(Instances!Q38:Instances!Q38),"max", MAX(Instances!Q38:Instances!Q38),"diff", MAX(Instances!Q38:Instances!Q38)-MIN(Instances!Q38:Instances!Q38))</f>
        <v>0</v>
      </c>
      <c r="R38" s="1" cm="1">
        <f t="array" ref="R38">_xlfn.SWITCH($A$2,"average", AVERAGE(Instances!R38:Instances!R38),"median", MEDIAN(Instances!R38:Instances!R38),"min", MIN(Instances!R38:Instances!R38),"max", MAX(Instances!R38:Instances!R38),"diff", MAX(Instances!R38:Instances!R38)-MIN(Instances!R38:Instances!R38))</f>
        <v>0</v>
      </c>
      <c r="S38" s="1">
        <f>MIN($B38)</f>
        <v>0</v>
      </c>
      <c r="T38" s="1">
        <f>MIN($C38)</f>
        <v>0</v>
      </c>
      <c r="U38" s="1">
        <f>MIN($D38)</f>
        <v>0</v>
      </c>
      <c r="V38" s="1">
        <f>MIN($E38)</f>
        <v>0</v>
      </c>
      <c r="W38" s="1">
        <f>MIN($F38)</f>
        <v>0</v>
      </c>
      <c r="X38" s="1">
        <f>MIN($G38)</f>
        <v>0</v>
      </c>
      <c r="Y38" s="1">
        <f>MIN($H38)</f>
        <v>0</v>
      </c>
      <c r="Z38" s="1">
        <f>MIN($I38)</f>
        <v>0</v>
      </c>
      <c r="AA38" s="1">
        <f>MIN($J38)</f>
        <v>0</v>
      </c>
      <c r="AB38" s="1">
        <f>MIN($K38)</f>
        <v>0</v>
      </c>
      <c r="AC38" s="1">
        <f>MIN($M38)</f>
        <v>0</v>
      </c>
      <c r="AD38" s="1">
        <f>MIN($N38)</f>
        <v>0</v>
      </c>
      <c r="AE38" s="1">
        <f>MIN($P38)</f>
        <v>0</v>
      </c>
      <c r="AF38" s="1">
        <f>MIN($Q38)</f>
        <v>0</v>
      </c>
      <c r="AG38" s="1">
        <f>MIN($R38)</f>
        <v>0</v>
      </c>
      <c r="AH38" s="1">
        <f>MEDIAN($B38)</f>
        <v>0</v>
      </c>
      <c r="AI38" s="1">
        <f>MEDIAN($C38)</f>
        <v>0</v>
      </c>
      <c r="AJ38" s="1">
        <f>MEDIAN($D38)</f>
        <v>0</v>
      </c>
      <c r="AK38" s="1">
        <f>MEDIAN($E38)</f>
        <v>0</v>
      </c>
      <c r="AL38" s="1">
        <f>MEDIAN($F38)</f>
        <v>0</v>
      </c>
      <c r="AM38" s="1">
        <f>MEDIAN($G38)</f>
        <v>0</v>
      </c>
      <c r="AN38" s="1">
        <f>MEDIAN($H38)</f>
        <v>0</v>
      </c>
      <c r="AO38" s="1">
        <f>MEDIAN($I38)</f>
        <v>0</v>
      </c>
      <c r="AP38" s="1">
        <f>MEDIAN($J38)</f>
        <v>0</v>
      </c>
      <c r="AQ38" s="1">
        <f>MEDIAN($K38)</f>
        <v>0</v>
      </c>
      <c r="AR38" s="1">
        <f>MEDIAN($M38)</f>
        <v>0</v>
      </c>
      <c r="AS38" s="1">
        <f>MEDIAN($N38)</f>
        <v>0</v>
      </c>
      <c r="AT38" s="1">
        <f>MEDIAN($P38)</f>
        <v>0</v>
      </c>
      <c r="AU38" s="1">
        <f>MEDIAN($Q38)</f>
        <v>0</v>
      </c>
      <c r="AV38" s="1">
        <f>MEDIAN($R38)</f>
        <v>0</v>
      </c>
      <c r="AW38" s="1">
        <f>MAX($B38)</f>
        <v>0</v>
      </c>
      <c r="AX38" s="1">
        <f>MAX($C38)</f>
        <v>0</v>
      </c>
      <c r="AY38" s="1">
        <f>MAX($D38)</f>
        <v>0</v>
      </c>
      <c r="AZ38" s="1">
        <f>MAX($E38)</f>
        <v>0</v>
      </c>
      <c r="BA38" s="1">
        <f>MAX($F38)</f>
        <v>0</v>
      </c>
      <c r="BB38" s="1">
        <f>MAX($G38)</f>
        <v>0</v>
      </c>
      <c r="BC38" s="1">
        <f>MAX($H38)</f>
        <v>0</v>
      </c>
      <c r="BD38" s="1">
        <f>MAX($I38)</f>
        <v>0</v>
      </c>
      <c r="BE38" s="1">
        <f>MAX($J38)</f>
        <v>0</v>
      </c>
      <c r="BF38" s="1">
        <f>MAX($K38)</f>
        <v>0</v>
      </c>
      <c r="BG38" s="1">
        <f>MAX($M38)</f>
        <v>0</v>
      </c>
      <c r="BH38" s="1">
        <f>MAX($N38)</f>
        <v>0</v>
      </c>
      <c r="BI38" s="1">
        <f>MAX($P38)</f>
        <v>0</v>
      </c>
      <c r="BJ38" s="1">
        <f>MAX($Q38)</f>
        <v>0</v>
      </c>
      <c r="BK38" s="1">
        <f>MAX($R38)</f>
        <v>0</v>
      </c>
    </row>
    <row r="39" spans="1:63">
      <c r="A39" s="1" t="s">
        <v>36</v>
      </c>
      <c r="B39" s="1" cm="1">
        <f t="array" ref="B39">_xlfn.SWITCH($A$2,"average", AVERAGE(Instances!B39:Instances!B39),"median", MEDIAN(Instances!B39:Instances!B39),"min", MIN(Instances!B39:Instances!B39),"max", MAX(Instances!B39:Instances!B39),"diff", MAX(Instances!B39:Instances!B39)-MIN(Instances!B39:Instances!B39))</f>
        <v>0</v>
      </c>
      <c r="C39" s="1" cm="1">
        <f t="array" ref="C39">_xlfn.SWITCH($A$2,"average", AVERAGE(Instances!C39:Instances!C39),"median", MEDIAN(Instances!C39:Instances!C39),"min", MIN(Instances!C39:Instances!C39),"max", MAX(Instances!C39:Instances!C39),"diff", MAX(Instances!C39:Instances!C39)-MIN(Instances!C39:Instances!C39))</f>
        <v>0</v>
      </c>
      <c r="D39" s="1" cm="1">
        <f t="array" ref="D39">_xlfn.SWITCH($A$2,"average", AVERAGE(Instances!D39:Instances!D39),"median", MEDIAN(Instances!D39:Instances!D39),"min", MIN(Instances!D39:Instances!D39),"max", MAX(Instances!D39:Instances!D39),"diff", MAX(Instances!D39:Instances!D39)-MIN(Instances!D39:Instances!D39))</f>
        <v>0</v>
      </c>
      <c r="E39" s="1" cm="1">
        <f t="array" ref="E39">_xlfn.SWITCH($A$2,"average", AVERAGE(Instances!E39:Instances!E39),"median", MEDIAN(Instances!E39:Instances!E39),"min", MIN(Instances!E39:Instances!E39),"max", MAX(Instances!E39:Instances!E39),"diff", MAX(Instances!E39:Instances!E39)-MIN(Instances!E39:Instances!E39))</f>
        <v>0</v>
      </c>
      <c r="F39" s="1" cm="1">
        <f t="array" ref="F39">_xlfn.SWITCH($A$2,"average", AVERAGE(Instances!F39:Instances!F39),"median", MEDIAN(Instances!F39:Instances!F39),"min", MIN(Instances!F39:Instances!F39),"max", MAX(Instances!F39:Instances!F39),"diff", MAX(Instances!F39:Instances!F39)-MIN(Instances!F39:Instances!F39))</f>
        <v>0</v>
      </c>
      <c r="G39" s="1" cm="1">
        <f t="array" ref="G39">_xlfn.SWITCH($A$2,"average", AVERAGE(Instances!G39:Instances!G39),"median", MEDIAN(Instances!G39:Instances!G39),"min", MIN(Instances!G39:Instances!G39),"max", MAX(Instances!G39:Instances!G39),"diff", MAX(Instances!G39:Instances!G39)-MIN(Instances!G39:Instances!G39))</f>
        <v>0</v>
      </c>
      <c r="H39" s="1" cm="1">
        <f t="array" ref="H39">_xlfn.SWITCH($A$2,"average", AVERAGE(Instances!H39:Instances!H39),"median", MEDIAN(Instances!H39:Instances!H39),"min", MIN(Instances!H39:Instances!H39),"max", MAX(Instances!H39:Instances!H39),"diff", MAX(Instances!H39:Instances!H39)-MIN(Instances!H39:Instances!H39))</f>
        <v>0</v>
      </c>
      <c r="I39" s="1" cm="1">
        <f t="array" ref="I39">_xlfn.SWITCH($A$2,"average", AVERAGE(Instances!I39:Instances!I39),"median", MEDIAN(Instances!I39:Instances!I39),"min", MIN(Instances!I39:Instances!I39),"max", MAX(Instances!I39:Instances!I39),"diff", MAX(Instances!I39:Instances!I39)-MIN(Instances!I39:Instances!I39))</f>
        <v>0</v>
      </c>
      <c r="J39" s="1" cm="1">
        <f t="array" ref="J39">_xlfn.SWITCH($A$2,"average", AVERAGE(Instances!J39:Instances!J39),"median", MEDIAN(Instances!J39:Instances!J39),"min", MIN(Instances!J39:Instances!J39),"max", MAX(Instances!J39:Instances!J39),"diff", MAX(Instances!J39:Instances!J39)-MIN(Instances!J39:Instances!J39))</f>
        <v>0</v>
      </c>
      <c r="K39" s="1" cm="1">
        <f t="array" ref="K39">_xlfn.SWITCH($A$2,"average", AVERAGE(Instances!K39:Instances!K39),"median", MEDIAN(Instances!K39:Instances!K39),"min", MIN(Instances!K39:Instances!K39),"max", MAX(Instances!K39:Instances!K39),"diff", MAX(Instances!K39:Instances!K39)-MIN(Instances!K39:Instances!K39))</f>
        <v>0</v>
      </c>
      <c r="L39" s="1"/>
      <c r="M39" s="1" cm="1">
        <f t="array" ref="M39">_xlfn.SWITCH($A$2,"average", AVERAGE(Instances!M39:Instances!M39),"median", MEDIAN(Instances!M39:Instances!M39),"min", MIN(Instances!M39:Instances!M39),"max", MAX(Instances!M39:Instances!M39),"diff", MAX(Instances!M39:Instances!M39)-MIN(Instances!M39:Instances!M39))</f>
        <v>0</v>
      </c>
      <c r="N39" s="1" cm="1">
        <f t="array" ref="N39">_xlfn.SWITCH($A$2,"average", AVERAGE(Instances!N39:Instances!N39),"median", MEDIAN(Instances!N39:Instances!N39),"min", MIN(Instances!N39:Instances!N39),"max", MAX(Instances!N39:Instances!N39),"diff", MAX(Instances!N39:Instances!N39)-MIN(Instances!N39:Instances!N39))</f>
        <v>0</v>
      </c>
      <c r="O39" s="1"/>
      <c r="P39" s="1" cm="1">
        <f t="array" ref="P39">_xlfn.SWITCH($A$2,"average", AVERAGE(Instances!P39:Instances!P39),"median", MEDIAN(Instances!P39:Instances!P39),"min", MIN(Instances!P39:Instances!P39),"max", MAX(Instances!P39:Instances!P39),"diff", MAX(Instances!P39:Instances!P39)-MIN(Instances!P39:Instances!P39))</f>
        <v>0</v>
      </c>
      <c r="Q39" s="1" cm="1">
        <f t="array" ref="Q39">_xlfn.SWITCH($A$2,"average", AVERAGE(Instances!Q39:Instances!Q39),"median", MEDIAN(Instances!Q39:Instances!Q39),"min", MIN(Instances!Q39:Instances!Q39),"max", MAX(Instances!Q39:Instances!Q39),"diff", MAX(Instances!Q39:Instances!Q39)-MIN(Instances!Q39:Instances!Q39))</f>
        <v>0</v>
      </c>
      <c r="R39" s="1" cm="1">
        <f t="array" ref="R39">_xlfn.SWITCH($A$2,"average", AVERAGE(Instances!R39:Instances!R39),"median", MEDIAN(Instances!R39:Instances!R39),"min", MIN(Instances!R39:Instances!R39),"max", MAX(Instances!R39:Instances!R39),"diff", MAX(Instances!R39:Instances!R39)-MIN(Instances!R39:Instances!R39))</f>
        <v>0</v>
      </c>
      <c r="S39" s="1">
        <f>MIN($B39)</f>
        <v>0</v>
      </c>
      <c r="T39" s="1">
        <f>MIN($C39)</f>
        <v>0</v>
      </c>
      <c r="U39" s="1">
        <f>MIN($D39)</f>
        <v>0</v>
      </c>
      <c r="V39" s="1">
        <f>MIN($E39)</f>
        <v>0</v>
      </c>
      <c r="W39" s="1">
        <f>MIN($F39)</f>
        <v>0</v>
      </c>
      <c r="X39" s="1">
        <f>MIN($G39)</f>
        <v>0</v>
      </c>
      <c r="Y39" s="1">
        <f>MIN($H39)</f>
        <v>0</v>
      </c>
      <c r="Z39" s="1">
        <f>MIN($I39)</f>
        <v>0</v>
      </c>
      <c r="AA39" s="1">
        <f>MIN($J39)</f>
        <v>0</v>
      </c>
      <c r="AB39" s="1">
        <f>MIN($K39)</f>
        <v>0</v>
      </c>
      <c r="AC39" s="1">
        <f>MIN($M39)</f>
        <v>0</v>
      </c>
      <c r="AD39" s="1">
        <f>MIN($N39)</f>
        <v>0</v>
      </c>
      <c r="AE39" s="1">
        <f>MIN($P39)</f>
        <v>0</v>
      </c>
      <c r="AF39" s="1">
        <f>MIN($Q39)</f>
        <v>0</v>
      </c>
      <c r="AG39" s="1">
        <f>MIN($R39)</f>
        <v>0</v>
      </c>
      <c r="AH39" s="1">
        <f>MEDIAN($B39)</f>
        <v>0</v>
      </c>
      <c r="AI39" s="1">
        <f>MEDIAN($C39)</f>
        <v>0</v>
      </c>
      <c r="AJ39" s="1">
        <f>MEDIAN($D39)</f>
        <v>0</v>
      </c>
      <c r="AK39" s="1">
        <f>MEDIAN($E39)</f>
        <v>0</v>
      </c>
      <c r="AL39" s="1">
        <f>MEDIAN($F39)</f>
        <v>0</v>
      </c>
      <c r="AM39" s="1">
        <f>MEDIAN($G39)</f>
        <v>0</v>
      </c>
      <c r="AN39" s="1">
        <f>MEDIAN($H39)</f>
        <v>0</v>
      </c>
      <c r="AO39" s="1">
        <f>MEDIAN($I39)</f>
        <v>0</v>
      </c>
      <c r="AP39" s="1">
        <f>MEDIAN($J39)</f>
        <v>0</v>
      </c>
      <c r="AQ39" s="1">
        <f>MEDIAN($K39)</f>
        <v>0</v>
      </c>
      <c r="AR39" s="1">
        <f>MEDIAN($M39)</f>
        <v>0</v>
      </c>
      <c r="AS39" s="1">
        <f>MEDIAN($N39)</f>
        <v>0</v>
      </c>
      <c r="AT39" s="1">
        <f>MEDIAN($P39)</f>
        <v>0</v>
      </c>
      <c r="AU39" s="1">
        <f>MEDIAN($Q39)</f>
        <v>0</v>
      </c>
      <c r="AV39" s="1">
        <f>MEDIAN($R39)</f>
        <v>0</v>
      </c>
      <c r="AW39" s="1">
        <f>MAX($B39)</f>
        <v>0</v>
      </c>
      <c r="AX39" s="1">
        <f>MAX($C39)</f>
        <v>0</v>
      </c>
      <c r="AY39" s="1">
        <f>MAX($D39)</f>
        <v>0</v>
      </c>
      <c r="AZ39" s="1">
        <f>MAX($E39)</f>
        <v>0</v>
      </c>
      <c r="BA39" s="1">
        <f>MAX($F39)</f>
        <v>0</v>
      </c>
      <c r="BB39" s="1">
        <f>MAX($G39)</f>
        <v>0</v>
      </c>
      <c r="BC39" s="1">
        <f>MAX($H39)</f>
        <v>0</v>
      </c>
      <c r="BD39" s="1">
        <f>MAX($I39)</f>
        <v>0</v>
      </c>
      <c r="BE39" s="1">
        <f>MAX($J39)</f>
        <v>0</v>
      </c>
      <c r="BF39" s="1">
        <f>MAX($K39)</f>
        <v>0</v>
      </c>
      <c r="BG39" s="1">
        <f>MAX($M39)</f>
        <v>0</v>
      </c>
      <c r="BH39" s="1">
        <f>MAX($N39)</f>
        <v>0</v>
      </c>
      <c r="BI39" s="1">
        <f>MAX($P39)</f>
        <v>0</v>
      </c>
      <c r="BJ39" s="1">
        <f>MAX($Q39)</f>
        <v>0</v>
      </c>
      <c r="BK39" s="1">
        <f>MAX($R39)</f>
        <v>0</v>
      </c>
    </row>
    <row r="40" spans="1:63">
      <c r="A40" s="1" t="s">
        <v>37</v>
      </c>
      <c r="B40" s="1" cm="1">
        <f t="array" ref="B40">_xlfn.SWITCH($A$2,"average", AVERAGE(Instances!B40:Instances!B40),"median", MEDIAN(Instances!B40:Instances!B40),"min", MIN(Instances!B40:Instances!B40),"max", MAX(Instances!B40:Instances!B40),"diff", MAX(Instances!B40:Instances!B40)-MIN(Instances!B40:Instances!B40))</f>
        <v>0</v>
      </c>
      <c r="C40" s="1" cm="1">
        <f t="array" ref="C40">_xlfn.SWITCH($A$2,"average", AVERAGE(Instances!C40:Instances!C40),"median", MEDIAN(Instances!C40:Instances!C40),"min", MIN(Instances!C40:Instances!C40),"max", MAX(Instances!C40:Instances!C40),"diff", MAX(Instances!C40:Instances!C40)-MIN(Instances!C40:Instances!C40))</f>
        <v>0</v>
      </c>
      <c r="D40" s="1" cm="1">
        <f t="array" ref="D40">_xlfn.SWITCH($A$2,"average", AVERAGE(Instances!D40:Instances!D40),"median", MEDIAN(Instances!D40:Instances!D40),"min", MIN(Instances!D40:Instances!D40),"max", MAX(Instances!D40:Instances!D40),"diff", MAX(Instances!D40:Instances!D40)-MIN(Instances!D40:Instances!D40))</f>
        <v>0</v>
      </c>
      <c r="E40" s="1" cm="1">
        <f t="array" ref="E40">_xlfn.SWITCH($A$2,"average", AVERAGE(Instances!E40:Instances!E40),"median", MEDIAN(Instances!E40:Instances!E40),"min", MIN(Instances!E40:Instances!E40),"max", MAX(Instances!E40:Instances!E40),"diff", MAX(Instances!E40:Instances!E40)-MIN(Instances!E40:Instances!E40))</f>
        <v>0</v>
      </c>
      <c r="F40" s="1" cm="1">
        <f t="array" ref="F40">_xlfn.SWITCH($A$2,"average", AVERAGE(Instances!F40:Instances!F40),"median", MEDIAN(Instances!F40:Instances!F40),"min", MIN(Instances!F40:Instances!F40),"max", MAX(Instances!F40:Instances!F40),"diff", MAX(Instances!F40:Instances!F40)-MIN(Instances!F40:Instances!F40))</f>
        <v>0</v>
      </c>
      <c r="G40" s="1" cm="1">
        <f t="array" ref="G40">_xlfn.SWITCH($A$2,"average", AVERAGE(Instances!G40:Instances!G40),"median", MEDIAN(Instances!G40:Instances!G40),"min", MIN(Instances!G40:Instances!G40),"max", MAX(Instances!G40:Instances!G40),"diff", MAX(Instances!G40:Instances!G40)-MIN(Instances!G40:Instances!G40))</f>
        <v>0</v>
      </c>
      <c r="H40" s="1" cm="1">
        <f t="array" ref="H40">_xlfn.SWITCH($A$2,"average", AVERAGE(Instances!H40:Instances!H40),"median", MEDIAN(Instances!H40:Instances!H40),"min", MIN(Instances!H40:Instances!H40),"max", MAX(Instances!H40:Instances!H40),"diff", MAX(Instances!H40:Instances!H40)-MIN(Instances!H40:Instances!H40))</f>
        <v>0</v>
      </c>
      <c r="I40" s="1" cm="1">
        <f t="array" ref="I40">_xlfn.SWITCH($A$2,"average", AVERAGE(Instances!I40:Instances!I40),"median", MEDIAN(Instances!I40:Instances!I40),"min", MIN(Instances!I40:Instances!I40),"max", MAX(Instances!I40:Instances!I40),"diff", MAX(Instances!I40:Instances!I40)-MIN(Instances!I40:Instances!I40))</f>
        <v>0</v>
      </c>
      <c r="J40" s="1" cm="1">
        <f t="array" ref="J40">_xlfn.SWITCH($A$2,"average", AVERAGE(Instances!J40:Instances!J40),"median", MEDIAN(Instances!J40:Instances!J40),"min", MIN(Instances!J40:Instances!J40),"max", MAX(Instances!J40:Instances!J40),"diff", MAX(Instances!J40:Instances!J40)-MIN(Instances!J40:Instances!J40))</f>
        <v>0</v>
      </c>
      <c r="K40" s="1" cm="1">
        <f t="array" ref="K40">_xlfn.SWITCH($A$2,"average", AVERAGE(Instances!K40:Instances!K40),"median", MEDIAN(Instances!K40:Instances!K40),"min", MIN(Instances!K40:Instances!K40),"max", MAX(Instances!K40:Instances!K40),"diff", MAX(Instances!K40:Instances!K40)-MIN(Instances!K40:Instances!K40))</f>
        <v>0</v>
      </c>
      <c r="L40" s="1"/>
      <c r="M40" s="1" cm="1">
        <f t="array" ref="M40">_xlfn.SWITCH($A$2,"average", AVERAGE(Instances!M40:Instances!M40),"median", MEDIAN(Instances!M40:Instances!M40),"min", MIN(Instances!M40:Instances!M40),"max", MAX(Instances!M40:Instances!M40),"diff", MAX(Instances!M40:Instances!M40)-MIN(Instances!M40:Instances!M40))</f>
        <v>0</v>
      </c>
      <c r="N40" s="1" cm="1">
        <f t="array" ref="N40">_xlfn.SWITCH($A$2,"average", AVERAGE(Instances!N40:Instances!N40),"median", MEDIAN(Instances!N40:Instances!N40),"min", MIN(Instances!N40:Instances!N40),"max", MAX(Instances!N40:Instances!N40),"diff", MAX(Instances!N40:Instances!N40)-MIN(Instances!N40:Instances!N40))</f>
        <v>0</v>
      </c>
      <c r="O40" s="1"/>
      <c r="P40" s="1" cm="1">
        <f t="array" ref="P40">_xlfn.SWITCH($A$2,"average", AVERAGE(Instances!P40:Instances!P40),"median", MEDIAN(Instances!P40:Instances!P40),"min", MIN(Instances!P40:Instances!P40),"max", MAX(Instances!P40:Instances!P40),"diff", MAX(Instances!P40:Instances!P40)-MIN(Instances!P40:Instances!P40))</f>
        <v>0</v>
      </c>
      <c r="Q40" s="1" cm="1">
        <f t="array" ref="Q40">_xlfn.SWITCH($A$2,"average", AVERAGE(Instances!Q40:Instances!Q40),"median", MEDIAN(Instances!Q40:Instances!Q40),"min", MIN(Instances!Q40:Instances!Q40),"max", MAX(Instances!Q40:Instances!Q40),"diff", MAX(Instances!Q40:Instances!Q40)-MIN(Instances!Q40:Instances!Q40))</f>
        <v>0</v>
      </c>
      <c r="R40" s="1" cm="1">
        <f t="array" ref="R40">_xlfn.SWITCH($A$2,"average", AVERAGE(Instances!R40:Instances!R40),"median", MEDIAN(Instances!R40:Instances!R40),"min", MIN(Instances!R40:Instances!R40),"max", MAX(Instances!R40:Instances!R40),"diff", MAX(Instances!R40:Instances!R40)-MIN(Instances!R40:Instances!R40))</f>
        <v>0</v>
      </c>
      <c r="S40" s="1">
        <f>MIN($B40)</f>
        <v>0</v>
      </c>
      <c r="T40" s="1">
        <f>MIN($C40)</f>
        <v>0</v>
      </c>
      <c r="U40" s="1">
        <f>MIN($D40)</f>
        <v>0</v>
      </c>
      <c r="V40" s="1">
        <f>MIN($E40)</f>
        <v>0</v>
      </c>
      <c r="W40" s="1">
        <f>MIN($F40)</f>
        <v>0</v>
      </c>
      <c r="X40" s="1">
        <f>MIN($G40)</f>
        <v>0</v>
      </c>
      <c r="Y40" s="1">
        <f>MIN($H40)</f>
        <v>0</v>
      </c>
      <c r="Z40" s="1">
        <f>MIN($I40)</f>
        <v>0</v>
      </c>
      <c r="AA40" s="1">
        <f>MIN($J40)</f>
        <v>0</v>
      </c>
      <c r="AB40" s="1">
        <f>MIN($K40)</f>
        <v>0</v>
      </c>
      <c r="AC40" s="1">
        <f>MIN($M40)</f>
        <v>0</v>
      </c>
      <c r="AD40" s="1">
        <f>MIN($N40)</f>
        <v>0</v>
      </c>
      <c r="AE40" s="1">
        <f>MIN($P40)</f>
        <v>0</v>
      </c>
      <c r="AF40" s="1">
        <f>MIN($Q40)</f>
        <v>0</v>
      </c>
      <c r="AG40" s="1">
        <f>MIN($R40)</f>
        <v>0</v>
      </c>
      <c r="AH40" s="1">
        <f>MEDIAN($B40)</f>
        <v>0</v>
      </c>
      <c r="AI40" s="1">
        <f>MEDIAN($C40)</f>
        <v>0</v>
      </c>
      <c r="AJ40" s="1">
        <f>MEDIAN($D40)</f>
        <v>0</v>
      </c>
      <c r="AK40" s="1">
        <f>MEDIAN($E40)</f>
        <v>0</v>
      </c>
      <c r="AL40" s="1">
        <f>MEDIAN($F40)</f>
        <v>0</v>
      </c>
      <c r="AM40" s="1">
        <f>MEDIAN($G40)</f>
        <v>0</v>
      </c>
      <c r="AN40" s="1">
        <f>MEDIAN($H40)</f>
        <v>0</v>
      </c>
      <c r="AO40" s="1">
        <f>MEDIAN($I40)</f>
        <v>0</v>
      </c>
      <c r="AP40" s="1">
        <f>MEDIAN($J40)</f>
        <v>0</v>
      </c>
      <c r="AQ40" s="1">
        <f>MEDIAN($K40)</f>
        <v>0</v>
      </c>
      <c r="AR40" s="1">
        <f>MEDIAN($M40)</f>
        <v>0</v>
      </c>
      <c r="AS40" s="1">
        <f>MEDIAN($N40)</f>
        <v>0</v>
      </c>
      <c r="AT40" s="1">
        <f>MEDIAN($P40)</f>
        <v>0</v>
      </c>
      <c r="AU40" s="1">
        <f>MEDIAN($Q40)</f>
        <v>0</v>
      </c>
      <c r="AV40" s="1">
        <f>MEDIAN($R40)</f>
        <v>0</v>
      </c>
      <c r="AW40" s="1">
        <f>MAX($B40)</f>
        <v>0</v>
      </c>
      <c r="AX40" s="1">
        <f>MAX($C40)</f>
        <v>0</v>
      </c>
      <c r="AY40" s="1">
        <f>MAX($D40)</f>
        <v>0</v>
      </c>
      <c r="AZ40" s="1">
        <f>MAX($E40)</f>
        <v>0</v>
      </c>
      <c r="BA40" s="1">
        <f>MAX($F40)</f>
        <v>0</v>
      </c>
      <c r="BB40" s="1">
        <f>MAX($G40)</f>
        <v>0</v>
      </c>
      <c r="BC40" s="1">
        <f>MAX($H40)</f>
        <v>0</v>
      </c>
      <c r="BD40" s="1">
        <f>MAX($I40)</f>
        <v>0</v>
      </c>
      <c r="BE40" s="1">
        <f>MAX($J40)</f>
        <v>0</v>
      </c>
      <c r="BF40" s="1">
        <f>MAX($K40)</f>
        <v>0</v>
      </c>
      <c r="BG40" s="1">
        <f>MAX($M40)</f>
        <v>0</v>
      </c>
      <c r="BH40" s="1">
        <f>MAX($N40)</f>
        <v>0</v>
      </c>
      <c r="BI40" s="1">
        <f>MAX($P40)</f>
        <v>0</v>
      </c>
      <c r="BJ40" s="1">
        <f>MAX($Q40)</f>
        <v>0</v>
      </c>
      <c r="BK40" s="1">
        <f>MAX($R40)</f>
        <v>0</v>
      </c>
    </row>
    <row r="41" spans="1:63">
      <c r="A41" s="1" t="s">
        <v>38</v>
      </c>
      <c r="B41" s="1" cm="1">
        <f t="array" ref="B41">_xlfn.SWITCH($A$2,"average", AVERAGE(Instances!B41:Instances!B41),"median", MEDIAN(Instances!B41:Instances!B41),"min", MIN(Instances!B41:Instances!B41),"max", MAX(Instances!B41:Instances!B41),"diff", MAX(Instances!B41:Instances!B41)-MIN(Instances!B41:Instances!B41))</f>
        <v>0</v>
      </c>
      <c r="C41" s="1" cm="1">
        <f t="array" ref="C41">_xlfn.SWITCH($A$2,"average", AVERAGE(Instances!C41:Instances!C41),"median", MEDIAN(Instances!C41:Instances!C41),"min", MIN(Instances!C41:Instances!C41),"max", MAX(Instances!C41:Instances!C41),"diff", MAX(Instances!C41:Instances!C41)-MIN(Instances!C41:Instances!C41))</f>
        <v>0</v>
      </c>
      <c r="D41" s="1" cm="1">
        <f t="array" ref="D41">_xlfn.SWITCH($A$2,"average", AVERAGE(Instances!D41:Instances!D41),"median", MEDIAN(Instances!D41:Instances!D41),"min", MIN(Instances!D41:Instances!D41),"max", MAX(Instances!D41:Instances!D41),"diff", MAX(Instances!D41:Instances!D41)-MIN(Instances!D41:Instances!D41))</f>
        <v>0</v>
      </c>
      <c r="E41" s="1" cm="1">
        <f t="array" ref="E41">_xlfn.SWITCH($A$2,"average", AVERAGE(Instances!E41:Instances!E41),"median", MEDIAN(Instances!E41:Instances!E41),"min", MIN(Instances!E41:Instances!E41),"max", MAX(Instances!E41:Instances!E41),"diff", MAX(Instances!E41:Instances!E41)-MIN(Instances!E41:Instances!E41))</f>
        <v>0</v>
      </c>
      <c r="F41" s="1" cm="1">
        <f t="array" ref="F41">_xlfn.SWITCH($A$2,"average", AVERAGE(Instances!F41:Instances!F41),"median", MEDIAN(Instances!F41:Instances!F41),"min", MIN(Instances!F41:Instances!F41),"max", MAX(Instances!F41:Instances!F41),"diff", MAX(Instances!F41:Instances!F41)-MIN(Instances!F41:Instances!F41))</f>
        <v>0</v>
      </c>
      <c r="G41" s="1" cm="1">
        <f t="array" ref="G41">_xlfn.SWITCH($A$2,"average", AVERAGE(Instances!G41:Instances!G41),"median", MEDIAN(Instances!G41:Instances!G41),"min", MIN(Instances!G41:Instances!G41),"max", MAX(Instances!G41:Instances!G41),"diff", MAX(Instances!G41:Instances!G41)-MIN(Instances!G41:Instances!G41))</f>
        <v>0</v>
      </c>
      <c r="H41" s="1" cm="1">
        <f t="array" ref="H41">_xlfn.SWITCH($A$2,"average", AVERAGE(Instances!H41:Instances!H41),"median", MEDIAN(Instances!H41:Instances!H41),"min", MIN(Instances!H41:Instances!H41),"max", MAX(Instances!H41:Instances!H41),"diff", MAX(Instances!H41:Instances!H41)-MIN(Instances!H41:Instances!H41))</f>
        <v>0</v>
      </c>
      <c r="I41" s="1" cm="1">
        <f t="array" ref="I41">_xlfn.SWITCH($A$2,"average", AVERAGE(Instances!I41:Instances!I41),"median", MEDIAN(Instances!I41:Instances!I41),"min", MIN(Instances!I41:Instances!I41),"max", MAX(Instances!I41:Instances!I41),"diff", MAX(Instances!I41:Instances!I41)-MIN(Instances!I41:Instances!I41))</f>
        <v>0</v>
      </c>
      <c r="J41" s="1" cm="1">
        <f t="array" ref="J41">_xlfn.SWITCH($A$2,"average", AVERAGE(Instances!J41:Instances!J41),"median", MEDIAN(Instances!J41:Instances!J41),"min", MIN(Instances!J41:Instances!J41),"max", MAX(Instances!J41:Instances!J41),"diff", MAX(Instances!J41:Instances!J41)-MIN(Instances!J41:Instances!J41))</f>
        <v>0</v>
      </c>
      <c r="K41" s="1" cm="1">
        <f t="array" ref="K41">_xlfn.SWITCH($A$2,"average", AVERAGE(Instances!K41:Instances!K41),"median", MEDIAN(Instances!K41:Instances!K41),"min", MIN(Instances!K41:Instances!K41),"max", MAX(Instances!K41:Instances!K41),"diff", MAX(Instances!K41:Instances!K41)-MIN(Instances!K41:Instances!K41))</f>
        <v>0</v>
      </c>
      <c r="L41" s="1"/>
      <c r="M41" s="1" cm="1">
        <f t="array" ref="M41">_xlfn.SWITCH($A$2,"average", AVERAGE(Instances!M41:Instances!M41),"median", MEDIAN(Instances!M41:Instances!M41),"min", MIN(Instances!M41:Instances!M41),"max", MAX(Instances!M41:Instances!M41),"diff", MAX(Instances!M41:Instances!M41)-MIN(Instances!M41:Instances!M41))</f>
        <v>0</v>
      </c>
      <c r="N41" s="1" cm="1">
        <f t="array" ref="N41">_xlfn.SWITCH($A$2,"average", AVERAGE(Instances!N41:Instances!N41),"median", MEDIAN(Instances!N41:Instances!N41),"min", MIN(Instances!N41:Instances!N41),"max", MAX(Instances!N41:Instances!N41),"diff", MAX(Instances!N41:Instances!N41)-MIN(Instances!N41:Instances!N41))</f>
        <v>0</v>
      </c>
      <c r="O41" s="1"/>
      <c r="P41" s="1" cm="1">
        <f t="array" ref="P41">_xlfn.SWITCH($A$2,"average", AVERAGE(Instances!P41:Instances!P41),"median", MEDIAN(Instances!P41:Instances!P41),"min", MIN(Instances!P41:Instances!P41),"max", MAX(Instances!P41:Instances!P41),"diff", MAX(Instances!P41:Instances!P41)-MIN(Instances!P41:Instances!P41))</f>
        <v>0</v>
      </c>
      <c r="Q41" s="1" cm="1">
        <f t="array" ref="Q41">_xlfn.SWITCH($A$2,"average", AVERAGE(Instances!Q41:Instances!Q41),"median", MEDIAN(Instances!Q41:Instances!Q41),"min", MIN(Instances!Q41:Instances!Q41),"max", MAX(Instances!Q41:Instances!Q41),"diff", MAX(Instances!Q41:Instances!Q41)-MIN(Instances!Q41:Instances!Q41))</f>
        <v>0</v>
      </c>
      <c r="R41" s="1" cm="1">
        <f t="array" ref="R41">_xlfn.SWITCH($A$2,"average", AVERAGE(Instances!R41:Instances!R41),"median", MEDIAN(Instances!R41:Instances!R41),"min", MIN(Instances!R41:Instances!R41),"max", MAX(Instances!R41:Instances!R41),"diff", MAX(Instances!R41:Instances!R41)-MIN(Instances!R41:Instances!R41))</f>
        <v>0</v>
      </c>
      <c r="S41" s="1">
        <f>MIN($B41)</f>
        <v>0</v>
      </c>
      <c r="T41" s="1">
        <f>MIN($C41)</f>
        <v>0</v>
      </c>
      <c r="U41" s="1">
        <f>MIN($D41)</f>
        <v>0</v>
      </c>
      <c r="V41" s="1">
        <f>MIN($E41)</f>
        <v>0</v>
      </c>
      <c r="W41" s="1">
        <f>MIN($F41)</f>
        <v>0</v>
      </c>
      <c r="X41" s="1">
        <f>MIN($G41)</f>
        <v>0</v>
      </c>
      <c r="Y41" s="1">
        <f>MIN($H41)</f>
        <v>0</v>
      </c>
      <c r="Z41" s="1">
        <f>MIN($I41)</f>
        <v>0</v>
      </c>
      <c r="AA41" s="1">
        <f>MIN($J41)</f>
        <v>0</v>
      </c>
      <c r="AB41" s="1">
        <f>MIN($K41)</f>
        <v>0</v>
      </c>
      <c r="AC41" s="1">
        <f>MIN($M41)</f>
        <v>0</v>
      </c>
      <c r="AD41" s="1">
        <f>MIN($N41)</f>
        <v>0</v>
      </c>
      <c r="AE41" s="1">
        <f>MIN($P41)</f>
        <v>0</v>
      </c>
      <c r="AF41" s="1">
        <f>MIN($Q41)</f>
        <v>0</v>
      </c>
      <c r="AG41" s="1">
        <f>MIN($R41)</f>
        <v>0</v>
      </c>
      <c r="AH41" s="1">
        <f>MEDIAN($B41)</f>
        <v>0</v>
      </c>
      <c r="AI41" s="1">
        <f>MEDIAN($C41)</f>
        <v>0</v>
      </c>
      <c r="AJ41" s="1">
        <f>MEDIAN($D41)</f>
        <v>0</v>
      </c>
      <c r="AK41" s="1">
        <f>MEDIAN($E41)</f>
        <v>0</v>
      </c>
      <c r="AL41" s="1">
        <f>MEDIAN($F41)</f>
        <v>0</v>
      </c>
      <c r="AM41" s="1">
        <f>MEDIAN($G41)</f>
        <v>0</v>
      </c>
      <c r="AN41" s="1">
        <f>MEDIAN($H41)</f>
        <v>0</v>
      </c>
      <c r="AO41" s="1">
        <f>MEDIAN($I41)</f>
        <v>0</v>
      </c>
      <c r="AP41" s="1">
        <f>MEDIAN($J41)</f>
        <v>0</v>
      </c>
      <c r="AQ41" s="1">
        <f>MEDIAN($K41)</f>
        <v>0</v>
      </c>
      <c r="AR41" s="1">
        <f>MEDIAN($M41)</f>
        <v>0</v>
      </c>
      <c r="AS41" s="1">
        <f>MEDIAN($N41)</f>
        <v>0</v>
      </c>
      <c r="AT41" s="1">
        <f>MEDIAN($P41)</f>
        <v>0</v>
      </c>
      <c r="AU41" s="1">
        <f>MEDIAN($Q41)</f>
        <v>0</v>
      </c>
      <c r="AV41" s="1">
        <f>MEDIAN($R41)</f>
        <v>0</v>
      </c>
      <c r="AW41" s="1">
        <f>MAX($B41)</f>
        <v>0</v>
      </c>
      <c r="AX41" s="1">
        <f>MAX($C41)</f>
        <v>0</v>
      </c>
      <c r="AY41" s="1">
        <f>MAX($D41)</f>
        <v>0</v>
      </c>
      <c r="AZ41" s="1">
        <f>MAX($E41)</f>
        <v>0</v>
      </c>
      <c r="BA41" s="1">
        <f>MAX($F41)</f>
        <v>0</v>
      </c>
      <c r="BB41" s="1">
        <f>MAX($G41)</f>
        <v>0</v>
      </c>
      <c r="BC41" s="1">
        <f>MAX($H41)</f>
        <v>0</v>
      </c>
      <c r="BD41" s="1">
        <f>MAX($I41)</f>
        <v>0</v>
      </c>
      <c r="BE41" s="1">
        <f>MAX($J41)</f>
        <v>0</v>
      </c>
      <c r="BF41" s="1">
        <f>MAX($K41)</f>
        <v>0</v>
      </c>
      <c r="BG41" s="1">
        <f>MAX($M41)</f>
        <v>0</v>
      </c>
      <c r="BH41" s="1">
        <f>MAX($N41)</f>
        <v>0</v>
      </c>
      <c r="BI41" s="1">
        <f>MAX($P41)</f>
        <v>0</v>
      </c>
      <c r="BJ41" s="1">
        <f>MAX($Q41)</f>
        <v>0</v>
      </c>
      <c r="BK41" s="1">
        <f>MAX($R41)</f>
        <v>0</v>
      </c>
    </row>
    <row r="42" spans="1:63">
      <c r="A42" s="1" t="s">
        <v>39</v>
      </c>
      <c r="B42" s="1" cm="1">
        <f t="array" ref="B42">_xlfn.SWITCH($A$2,"average", AVERAGE(Instances!B42:Instances!B42),"median", MEDIAN(Instances!B42:Instances!B42),"min", MIN(Instances!B42:Instances!B42),"max", MAX(Instances!B42:Instances!B42),"diff", MAX(Instances!B42:Instances!B42)-MIN(Instances!B42:Instances!B42))</f>
        <v>0</v>
      </c>
      <c r="C42" s="1" cm="1">
        <f t="array" ref="C42">_xlfn.SWITCH($A$2,"average", AVERAGE(Instances!C42:Instances!C42),"median", MEDIAN(Instances!C42:Instances!C42),"min", MIN(Instances!C42:Instances!C42),"max", MAX(Instances!C42:Instances!C42),"diff", MAX(Instances!C42:Instances!C42)-MIN(Instances!C42:Instances!C42))</f>
        <v>0</v>
      </c>
      <c r="D42" s="1" cm="1">
        <f t="array" ref="D42">_xlfn.SWITCH($A$2,"average", AVERAGE(Instances!D42:Instances!D42),"median", MEDIAN(Instances!D42:Instances!D42),"min", MIN(Instances!D42:Instances!D42),"max", MAX(Instances!D42:Instances!D42),"diff", MAX(Instances!D42:Instances!D42)-MIN(Instances!D42:Instances!D42))</f>
        <v>0</v>
      </c>
      <c r="E42" s="1" cm="1">
        <f t="array" ref="E42">_xlfn.SWITCH($A$2,"average", AVERAGE(Instances!E42:Instances!E42),"median", MEDIAN(Instances!E42:Instances!E42),"min", MIN(Instances!E42:Instances!E42),"max", MAX(Instances!E42:Instances!E42),"diff", MAX(Instances!E42:Instances!E42)-MIN(Instances!E42:Instances!E42))</f>
        <v>0</v>
      </c>
      <c r="F42" s="1" cm="1">
        <f t="array" ref="F42">_xlfn.SWITCH($A$2,"average", AVERAGE(Instances!F42:Instances!F42),"median", MEDIAN(Instances!F42:Instances!F42),"min", MIN(Instances!F42:Instances!F42),"max", MAX(Instances!F42:Instances!F42),"diff", MAX(Instances!F42:Instances!F42)-MIN(Instances!F42:Instances!F42))</f>
        <v>0</v>
      </c>
      <c r="G42" s="1" cm="1">
        <f t="array" ref="G42">_xlfn.SWITCH($A$2,"average", AVERAGE(Instances!G42:Instances!G42),"median", MEDIAN(Instances!G42:Instances!G42),"min", MIN(Instances!G42:Instances!G42),"max", MAX(Instances!G42:Instances!G42),"diff", MAX(Instances!G42:Instances!G42)-MIN(Instances!G42:Instances!G42))</f>
        <v>0</v>
      </c>
      <c r="H42" s="1" cm="1">
        <f t="array" ref="H42">_xlfn.SWITCH($A$2,"average", AVERAGE(Instances!H42:Instances!H42),"median", MEDIAN(Instances!H42:Instances!H42),"min", MIN(Instances!H42:Instances!H42),"max", MAX(Instances!H42:Instances!H42),"diff", MAX(Instances!H42:Instances!H42)-MIN(Instances!H42:Instances!H42))</f>
        <v>0</v>
      </c>
      <c r="I42" s="1" cm="1">
        <f t="array" ref="I42">_xlfn.SWITCH($A$2,"average", AVERAGE(Instances!I42:Instances!I42),"median", MEDIAN(Instances!I42:Instances!I42),"min", MIN(Instances!I42:Instances!I42),"max", MAX(Instances!I42:Instances!I42),"diff", MAX(Instances!I42:Instances!I42)-MIN(Instances!I42:Instances!I42))</f>
        <v>0</v>
      </c>
      <c r="J42" s="1" cm="1">
        <f t="array" ref="J42">_xlfn.SWITCH($A$2,"average", AVERAGE(Instances!J42:Instances!J42),"median", MEDIAN(Instances!J42:Instances!J42),"min", MIN(Instances!J42:Instances!J42),"max", MAX(Instances!J42:Instances!J42),"diff", MAX(Instances!J42:Instances!J42)-MIN(Instances!J42:Instances!J42))</f>
        <v>0</v>
      </c>
      <c r="K42" s="1" cm="1">
        <f t="array" ref="K42">_xlfn.SWITCH($A$2,"average", AVERAGE(Instances!K42:Instances!K42),"median", MEDIAN(Instances!K42:Instances!K42),"min", MIN(Instances!K42:Instances!K42),"max", MAX(Instances!K42:Instances!K42),"diff", MAX(Instances!K42:Instances!K42)-MIN(Instances!K42:Instances!K42))</f>
        <v>0</v>
      </c>
      <c r="L42" s="1"/>
      <c r="M42" s="1" cm="1">
        <f t="array" ref="M42">_xlfn.SWITCH($A$2,"average", AVERAGE(Instances!M42:Instances!M42),"median", MEDIAN(Instances!M42:Instances!M42),"min", MIN(Instances!M42:Instances!M42),"max", MAX(Instances!M42:Instances!M42),"diff", MAX(Instances!M42:Instances!M42)-MIN(Instances!M42:Instances!M42))</f>
        <v>0</v>
      </c>
      <c r="N42" s="1" cm="1">
        <f t="array" ref="N42">_xlfn.SWITCH($A$2,"average", AVERAGE(Instances!N42:Instances!N42),"median", MEDIAN(Instances!N42:Instances!N42),"min", MIN(Instances!N42:Instances!N42),"max", MAX(Instances!N42:Instances!N42),"diff", MAX(Instances!N42:Instances!N42)-MIN(Instances!N42:Instances!N42))</f>
        <v>0</v>
      </c>
      <c r="O42" s="1"/>
      <c r="P42" s="1" cm="1">
        <f t="array" ref="P42">_xlfn.SWITCH($A$2,"average", AVERAGE(Instances!P42:Instances!P42),"median", MEDIAN(Instances!P42:Instances!P42),"min", MIN(Instances!P42:Instances!P42),"max", MAX(Instances!P42:Instances!P42),"diff", MAX(Instances!P42:Instances!P42)-MIN(Instances!P42:Instances!P42))</f>
        <v>0</v>
      </c>
      <c r="Q42" s="1" cm="1">
        <f t="array" ref="Q42">_xlfn.SWITCH($A$2,"average", AVERAGE(Instances!Q42:Instances!Q42),"median", MEDIAN(Instances!Q42:Instances!Q42),"min", MIN(Instances!Q42:Instances!Q42),"max", MAX(Instances!Q42:Instances!Q42),"diff", MAX(Instances!Q42:Instances!Q42)-MIN(Instances!Q42:Instances!Q42))</f>
        <v>0</v>
      </c>
      <c r="R42" s="1" cm="1">
        <f t="array" ref="R42">_xlfn.SWITCH($A$2,"average", AVERAGE(Instances!R42:Instances!R42),"median", MEDIAN(Instances!R42:Instances!R42),"min", MIN(Instances!R42:Instances!R42),"max", MAX(Instances!R42:Instances!R42),"diff", MAX(Instances!R42:Instances!R42)-MIN(Instances!R42:Instances!R42))</f>
        <v>0</v>
      </c>
      <c r="S42" s="1">
        <f>MIN($B42)</f>
        <v>0</v>
      </c>
      <c r="T42" s="1">
        <f>MIN($C42)</f>
        <v>0</v>
      </c>
      <c r="U42" s="1">
        <f>MIN($D42)</f>
        <v>0</v>
      </c>
      <c r="V42" s="1">
        <f>MIN($E42)</f>
        <v>0</v>
      </c>
      <c r="W42" s="1">
        <f>MIN($F42)</f>
        <v>0</v>
      </c>
      <c r="X42" s="1">
        <f>MIN($G42)</f>
        <v>0</v>
      </c>
      <c r="Y42" s="1">
        <f>MIN($H42)</f>
        <v>0</v>
      </c>
      <c r="Z42" s="1">
        <f>MIN($I42)</f>
        <v>0</v>
      </c>
      <c r="AA42" s="1">
        <f>MIN($J42)</f>
        <v>0</v>
      </c>
      <c r="AB42" s="1">
        <f>MIN($K42)</f>
        <v>0</v>
      </c>
      <c r="AC42" s="1">
        <f>MIN($M42)</f>
        <v>0</v>
      </c>
      <c r="AD42" s="1">
        <f>MIN($N42)</f>
        <v>0</v>
      </c>
      <c r="AE42" s="1">
        <f>MIN($P42)</f>
        <v>0</v>
      </c>
      <c r="AF42" s="1">
        <f>MIN($Q42)</f>
        <v>0</v>
      </c>
      <c r="AG42" s="1">
        <f>MIN($R42)</f>
        <v>0</v>
      </c>
      <c r="AH42" s="1">
        <f>MEDIAN($B42)</f>
        <v>0</v>
      </c>
      <c r="AI42" s="1">
        <f>MEDIAN($C42)</f>
        <v>0</v>
      </c>
      <c r="AJ42" s="1">
        <f>MEDIAN($D42)</f>
        <v>0</v>
      </c>
      <c r="AK42" s="1">
        <f>MEDIAN($E42)</f>
        <v>0</v>
      </c>
      <c r="AL42" s="1">
        <f>MEDIAN($F42)</f>
        <v>0</v>
      </c>
      <c r="AM42" s="1">
        <f>MEDIAN($G42)</f>
        <v>0</v>
      </c>
      <c r="AN42" s="1">
        <f>MEDIAN($H42)</f>
        <v>0</v>
      </c>
      <c r="AO42" s="1">
        <f>MEDIAN($I42)</f>
        <v>0</v>
      </c>
      <c r="AP42" s="1">
        <f>MEDIAN($J42)</f>
        <v>0</v>
      </c>
      <c r="AQ42" s="1">
        <f>MEDIAN($K42)</f>
        <v>0</v>
      </c>
      <c r="AR42" s="1">
        <f>MEDIAN($M42)</f>
        <v>0</v>
      </c>
      <c r="AS42" s="1">
        <f>MEDIAN($N42)</f>
        <v>0</v>
      </c>
      <c r="AT42" s="1">
        <f>MEDIAN($P42)</f>
        <v>0</v>
      </c>
      <c r="AU42" s="1">
        <f>MEDIAN($Q42)</f>
        <v>0</v>
      </c>
      <c r="AV42" s="1">
        <f>MEDIAN($R42)</f>
        <v>0</v>
      </c>
      <c r="AW42" s="1">
        <f>MAX($B42)</f>
        <v>0</v>
      </c>
      <c r="AX42" s="1">
        <f>MAX($C42)</f>
        <v>0</v>
      </c>
      <c r="AY42" s="1">
        <f>MAX($D42)</f>
        <v>0</v>
      </c>
      <c r="AZ42" s="1">
        <f>MAX($E42)</f>
        <v>0</v>
      </c>
      <c r="BA42" s="1">
        <f>MAX($F42)</f>
        <v>0</v>
      </c>
      <c r="BB42" s="1">
        <f>MAX($G42)</f>
        <v>0</v>
      </c>
      <c r="BC42" s="1">
        <f>MAX($H42)</f>
        <v>0</v>
      </c>
      <c r="BD42" s="1">
        <f>MAX($I42)</f>
        <v>0</v>
      </c>
      <c r="BE42" s="1">
        <f>MAX($J42)</f>
        <v>0</v>
      </c>
      <c r="BF42" s="1">
        <f>MAX($K42)</f>
        <v>0</v>
      </c>
      <c r="BG42" s="1">
        <f>MAX($M42)</f>
        <v>0</v>
      </c>
      <c r="BH42" s="1">
        <f>MAX($N42)</f>
        <v>0</v>
      </c>
      <c r="BI42" s="1">
        <f>MAX($P42)</f>
        <v>0</v>
      </c>
      <c r="BJ42" s="1">
        <f>MAX($Q42)</f>
        <v>0</v>
      </c>
      <c r="BK42" s="1">
        <f>MAX($R42)</f>
        <v>0</v>
      </c>
    </row>
    <row r="43" spans="1:63">
      <c r="A43" s="1" t="s">
        <v>40</v>
      </c>
      <c r="B43" s="1" cm="1">
        <f t="array" ref="B43">_xlfn.SWITCH($A$2,"average", AVERAGE(Instances!B43:Instances!B43),"median", MEDIAN(Instances!B43:Instances!B43),"min", MIN(Instances!B43:Instances!B43),"max", MAX(Instances!B43:Instances!B43),"diff", MAX(Instances!B43:Instances!B43)-MIN(Instances!B43:Instances!B43))</f>
        <v>0</v>
      </c>
      <c r="C43" s="1" cm="1">
        <f t="array" ref="C43">_xlfn.SWITCH($A$2,"average", AVERAGE(Instances!C43:Instances!C43),"median", MEDIAN(Instances!C43:Instances!C43),"min", MIN(Instances!C43:Instances!C43),"max", MAX(Instances!C43:Instances!C43),"diff", MAX(Instances!C43:Instances!C43)-MIN(Instances!C43:Instances!C43))</f>
        <v>0</v>
      </c>
      <c r="D43" s="1" cm="1">
        <f t="array" ref="D43">_xlfn.SWITCH($A$2,"average", AVERAGE(Instances!D43:Instances!D43),"median", MEDIAN(Instances!D43:Instances!D43),"min", MIN(Instances!D43:Instances!D43),"max", MAX(Instances!D43:Instances!D43),"diff", MAX(Instances!D43:Instances!D43)-MIN(Instances!D43:Instances!D43))</f>
        <v>0</v>
      </c>
      <c r="E43" s="1" cm="1">
        <f t="array" ref="E43">_xlfn.SWITCH($A$2,"average", AVERAGE(Instances!E43:Instances!E43),"median", MEDIAN(Instances!E43:Instances!E43),"min", MIN(Instances!E43:Instances!E43),"max", MAX(Instances!E43:Instances!E43),"diff", MAX(Instances!E43:Instances!E43)-MIN(Instances!E43:Instances!E43))</f>
        <v>0</v>
      </c>
      <c r="F43" s="1" cm="1">
        <f t="array" ref="F43">_xlfn.SWITCH($A$2,"average", AVERAGE(Instances!F43:Instances!F43),"median", MEDIAN(Instances!F43:Instances!F43),"min", MIN(Instances!F43:Instances!F43),"max", MAX(Instances!F43:Instances!F43),"diff", MAX(Instances!F43:Instances!F43)-MIN(Instances!F43:Instances!F43))</f>
        <v>0</v>
      </c>
      <c r="G43" s="1" cm="1">
        <f t="array" ref="G43">_xlfn.SWITCH($A$2,"average", AVERAGE(Instances!G43:Instances!G43),"median", MEDIAN(Instances!G43:Instances!G43),"min", MIN(Instances!G43:Instances!G43),"max", MAX(Instances!G43:Instances!G43),"diff", MAX(Instances!G43:Instances!G43)-MIN(Instances!G43:Instances!G43))</f>
        <v>0</v>
      </c>
      <c r="H43" s="1" cm="1">
        <f t="array" ref="H43">_xlfn.SWITCH($A$2,"average", AVERAGE(Instances!H43:Instances!H43),"median", MEDIAN(Instances!H43:Instances!H43),"min", MIN(Instances!H43:Instances!H43),"max", MAX(Instances!H43:Instances!H43),"diff", MAX(Instances!H43:Instances!H43)-MIN(Instances!H43:Instances!H43))</f>
        <v>0</v>
      </c>
      <c r="I43" s="1" cm="1">
        <f t="array" ref="I43">_xlfn.SWITCH($A$2,"average", AVERAGE(Instances!I43:Instances!I43),"median", MEDIAN(Instances!I43:Instances!I43),"min", MIN(Instances!I43:Instances!I43),"max", MAX(Instances!I43:Instances!I43),"diff", MAX(Instances!I43:Instances!I43)-MIN(Instances!I43:Instances!I43))</f>
        <v>0</v>
      </c>
      <c r="J43" s="1" cm="1">
        <f t="array" ref="J43">_xlfn.SWITCH($A$2,"average", AVERAGE(Instances!J43:Instances!J43),"median", MEDIAN(Instances!J43:Instances!J43),"min", MIN(Instances!J43:Instances!J43),"max", MAX(Instances!J43:Instances!J43),"diff", MAX(Instances!J43:Instances!J43)-MIN(Instances!J43:Instances!J43))</f>
        <v>0</v>
      </c>
      <c r="K43" s="1" cm="1">
        <f t="array" ref="K43">_xlfn.SWITCH($A$2,"average", AVERAGE(Instances!K43:Instances!K43),"median", MEDIAN(Instances!K43:Instances!K43),"min", MIN(Instances!K43:Instances!K43),"max", MAX(Instances!K43:Instances!K43),"diff", MAX(Instances!K43:Instances!K43)-MIN(Instances!K43:Instances!K43))</f>
        <v>0</v>
      </c>
      <c r="L43" s="1"/>
      <c r="M43" s="1" cm="1">
        <f t="array" ref="M43">_xlfn.SWITCH($A$2,"average", AVERAGE(Instances!M43:Instances!M43),"median", MEDIAN(Instances!M43:Instances!M43),"min", MIN(Instances!M43:Instances!M43),"max", MAX(Instances!M43:Instances!M43),"diff", MAX(Instances!M43:Instances!M43)-MIN(Instances!M43:Instances!M43))</f>
        <v>0</v>
      </c>
      <c r="N43" s="1" cm="1">
        <f t="array" ref="N43">_xlfn.SWITCH($A$2,"average", AVERAGE(Instances!N43:Instances!N43),"median", MEDIAN(Instances!N43:Instances!N43),"min", MIN(Instances!N43:Instances!N43),"max", MAX(Instances!N43:Instances!N43),"diff", MAX(Instances!N43:Instances!N43)-MIN(Instances!N43:Instances!N43))</f>
        <v>0</v>
      </c>
      <c r="O43" s="1"/>
      <c r="P43" s="1" cm="1">
        <f t="array" ref="P43">_xlfn.SWITCH($A$2,"average", AVERAGE(Instances!P43:Instances!P43),"median", MEDIAN(Instances!P43:Instances!P43),"min", MIN(Instances!P43:Instances!P43),"max", MAX(Instances!P43:Instances!P43),"diff", MAX(Instances!P43:Instances!P43)-MIN(Instances!P43:Instances!P43))</f>
        <v>0</v>
      </c>
      <c r="Q43" s="1" cm="1">
        <f t="array" ref="Q43">_xlfn.SWITCH($A$2,"average", AVERAGE(Instances!Q43:Instances!Q43),"median", MEDIAN(Instances!Q43:Instances!Q43),"min", MIN(Instances!Q43:Instances!Q43),"max", MAX(Instances!Q43:Instances!Q43),"diff", MAX(Instances!Q43:Instances!Q43)-MIN(Instances!Q43:Instances!Q43))</f>
        <v>0</v>
      </c>
      <c r="R43" s="1" cm="1">
        <f t="array" ref="R43">_xlfn.SWITCH($A$2,"average", AVERAGE(Instances!R43:Instances!R43),"median", MEDIAN(Instances!R43:Instances!R43),"min", MIN(Instances!R43:Instances!R43),"max", MAX(Instances!R43:Instances!R43),"diff", MAX(Instances!R43:Instances!R43)-MIN(Instances!R43:Instances!R43))</f>
        <v>0</v>
      </c>
      <c r="S43" s="1">
        <f>MIN($B43)</f>
        <v>0</v>
      </c>
      <c r="T43" s="1">
        <f>MIN($C43)</f>
        <v>0</v>
      </c>
      <c r="U43" s="1">
        <f>MIN($D43)</f>
        <v>0</v>
      </c>
      <c r="V43" s="1">
        <f>MIN($E43)</f>
        <v>0</v>
      </c>
      <c r="W43" s="1">
        <f>MIN($F43)</f>
        <v>0</v>
      </c>
      <c r="X43" s="1">
        <f>MIN($G43)</f>
        <v>0</v>
      </c>
      <c r="Y43" s="1">
        <f>MIN($H43)</f>
        <v>0</v>
      </c>
      <c r="Z43" s="1">
        <f>MIN($I43)</f>
        <v>0</v>
      </c>
      <c r="AA43" s="1">
        <f>MIN($J43)</f>
        <v>0</v>
      </c>
      <c r="AB43" s="1">
        <f>MIN($K43)</f>
        <v>0</v>
      </c>
      <c r="AC43" s="1">
        <f>MIN($M43)</f>
        <v>0</v>
      </c>
      <c r="AD43" s="1">
        <f>MIN($N43)</f>
        <v>0</v>
      </c>
      <c r="AE43" s="1">
        <f>MIN($P43)</f>
        <v>0</v>
      </c>
      <c r="AF43" s="1">
        <f>MIN($Q43)</f>
        <v>0</v>
      </c>
      <c r="AG43" s="1">
        <f>MIN($R43)</f>
        <v>0</v>
      </c>
      <c r="AH43" s="1">
        <f>MEDIAN($B43)</f>
        <v>0</v>
      </c>
      <c r="AI43" s="1">
        <f>MEDIAN($C43)</f>
        <v>0</v>
      </c>
      <c r="AJ43" s="1">
        <f>MEDIAN($D43)</f>
        <v>0</v>
      </c>
      <c r="AK43" s="1">
        <f>MEDIAN($E43)</f>
        <v>0</v>
      </c>
      <c r="AL43" s="1">
        <f>MEDIAN($F43)</f>
        <v>0</v>
      </c>
      <c r="AM43" s="1">
        <f>MEDIAN($G43)</f>
        <v>0</v>
      </c>
      <c r="AN43" s="1">
        <f>MEDIAN($H43)</f>
        <v>0</v>
      </c>
      <c r="AO43" s="1">
        <f>MEDIAN($I43)</f>
        <v>0</v>
      </c>
      <c r="AP43" s="1">
        <f>MEDIAN($J43)</f>
        <v>0</v>
      </c>
      <c r="AQ43" s="1">
        <f>MEDIAN($K43)</f>
        <v>0</v>
      </c>
      <c r="AR43" s="1">
        <f>MEDIAN($M43)</f>
        <v>0</v>
      </c>
      <c r="AS43" s="1">
        <f>MEDIAN($N43)</f>
        <v>0</v>
      </c>
      <c r="AT43" s="1">
        <f>MEDIAN($P43)</f>
        <v>0</v>
      </c>
      <c r="AU43" s="1">
        <f>MEDIAN($Q43)</f>
        <v>0</v>
      </c>
      <c r="AV43" s="1">
        <f>MEDIAN($R43)</f>
        <v>0</v>
      </c>
      <c r="AW43" s="1">
        <f>MAX($B43)</f>
        <v>0</v>
      </c>
      <c r="AX43" s="1">
        <f>MAX($C43)</f>
        <v>0</v>
      </c>
      <c r="AY43" s="1">
        <f>MAX($D43)</f>
        <v>0</v>
      </c>
      <c r="AZ43" s="1">
        <f>MAX($E43)</f>
        <v>0</v>
      </c>
      <c r="BA43" s="1">
        <f>MAX($F43)</f>
        <v>0</v>
      </c>
      <c r="BB43" s="1">
        <f>MAX($G43)</f>
        <v>0</v>
      </c>
      <c r="BC43" s="1">
        <f>MAX($H43)</f>
        <v>0</v>
      </c>
      <c r="BD43" s="1">
        <f>MAX($I43)</f>
        <v>0</v>
      </c>
      <c r="BE43" s="1">
        <f>MAX($J43)</f>
        <v>0</v>
      </c>
      <c r="BF43" s="1">
        <f>MAX($K43)</f>
        <v>0</v>
      </c>
      <c r="BG43" s="1">
        <f>MAX($M43)</f>
        <v>0</v>
      </c>
      <c r="BH43" s="1">
        <f>MAX($N43)</f>
        <v>0</v>
      </c>
      <c r="BI43" s="1">
        <f>MAX($P43)</f>
        <v>0</v>
      </c>
      <c r="BJ43" s="1">
        <f>MAX($Q43)</f>
        <v>0</v>
      </c>
      <c r="BK43" s="1">
        <f>MAX($R43)</f>
        <v>0</v>
      </c>
    </row>
    <row r="44" spans="1:63">
      <c r="A44" s="1" t="s">
        <v>41</v>
      </c>
      <c r="B44" s="1" cm="1">
        <f t="array" ref="B44">_xlfn.SWITCH($A$2,"average", AVERAGE(Instances!B44:Instances!B44),"median", MEDIAN(Instances!B44:Instances!B44),"min", MIN(Instances!B44:Instances!B44),"max", MAX(Instances!B44:Instances!B44),"diff", MAX(Instances!B44:Instances!B44)-MIN(Instances!B44:Instances!B44))</f>
        <v>0</v>
      </c>
      <c r="C44" s="1" cm="1">
        <f t="array" ref="C44">_xlfn.SWITCH($A$2,"average", AVERAGE(Instances!C44:Instances!C44),"median", MEDIAN(Instances!C44:Instances!C44),"min", MIN(Instances!C44:Instances!C44),"max", MAX(Instances!C44:Instances!C44),"diff", MAX(Instances!C44:Instances!C44)-MIN(Instances!C44:Instances!C44))</f>
        <v>0</v>
      </c>
      <c r="D44" s="1" cm="1">
        <f t="array" ref="D44">_xlfn.SWITCH($A$2,"average", AVERAGE(Instances!D44:Instances!D44),"median", MEDIAN(Instances!D44:Instances!D44),"min", MIN(Instances!D44:Instances!D44),"max", MAX(Instances!D44:Instances!D44),"diff", MAX(Instances!D44:Instances!D44)-MIN(Instances!D44:Instances!D44))</f>
        <v>0</v>
      </c>
      <c r="E44" s="1" cm="1">
        <f t="array" ref="E44">_xlfn.SWITCH($A$2,"average", AVERAGE(Instances!E44:Instances!E44),"median", MEDIAN(Instances!E44:Instances!E44),"min", MIN(Instances!E44:Instances!E44),"max", MAX(Instances!E44:Instances!E44),"diff", MAX(Instances!E44:Instances!E44)-MIN(Instances!E44:Instances!E44))</f>
        <v>0</v>
      </c>
      <c r="F44" s="1" cm="1">
        <f t="array" ref="F44">_xlfn.SWITCH($A$2,"average", AVERAGE(Instances!F44:Instances!F44),"median", MEDIAN(Instances!F44:Instances!F44),"min", MIN(Instances!F44:Instances!F44),"max", MAX(Instances!F44:Instances!F44),"diff", MAX(Instances!F44:Instances!F44)-MIN(Instances!F44:Instances!F44))</f>
        <v>0</v>
      </c>
      <c r="G44" s="1" cm="1">
        <f t="array" ref="G44">_xlfn.SWITCH($A$2,"average", AVERAGE(Instances!G44:Instances!G44),"median", MEDIAN(Instances!G44:Instances!G44),"min", MIN(Instances!G44:Instances!G44),"max", MAX(Instances!G44:Instances!G44),"diff", MAX(Instances!G44:Instances!G44)-MIN(Instances!G44:Instances!G44))</f>
        <v>0</v>
      </c>
      <c r="H44" s="1" cm="1">
        <f t="array" ref="H44">_xlfn.SWITCH($A$2,"average", AVERAGE(Instances!H44:Instances!H44),"median", MEDIAN(Instances!H44:Instances!H44),"min", MIN(Instances!H44:Instances!H44),"max", MAX(Instances!H44:Instances!H44),"diff", MAX(Instances!H44:Instances!H44)-MIN(Instances!H44:Instances!H44))</f>
        <v>0</v>
      </c>
      <c r="I44" s="1" cm="1">
        <f t="array" ref="I44">_xlfn.SWITCH($A$2,"average", AVERAGE(Instances!I44:Instances!I44),"median", MEDIAN(Instances!I44:Instances!I44),"min", MIN(Instances!I44:Instances!I44),"max", MAX(Instances!I44:Instances!I44),"diff", MAX(Instances!I44:Instances!I44)-MIN(Instances!I44:Instances!I44))</f>
        <v>0</v>
      </c>
      <c r="J44" s="1" cm="1">
        <f t="array" ref="J44">_xlfn.SWITCH($A$2,"average", AVERAGE(Instances!J44:Instances!J44),"median", MEDIAN(Instances!J44:Instances!J44),"min", MIN(Instances!J44:Instances!J44),"max", MAX(Instances!J44:Instances!J44),"diff", MAX(Instances!J44:Instances!J44)-MIN(Instances!J44:Instances!J44))</f>
        <v>0</v>
      </c>
      <c r="K44" s="1" cm="1">
        <f t="array" ref="K44">_xlfn.SWITCH($A$2,"average", AVERAGE(Instances!K44:Instances!K44),"median", MEDIAN(Instances!K44:Instances!K44),"min", MIN(Instances!K44:Instances!K44),"max", MAX(Instances!K44:Instances!K44),"diff", MAX(Instances!K44:Instances!K44)-MIN(Instances!K44:Instances!K44))</f>
        <v>0</v>
      </c>
      <c r="L44" s="1"/>
      <c r="M44" s="1" cm="1">
        <f t="array" ref="M44">_xlfn.SWITCH($A$2,"average", AVERAGE(Instances!M44:Instances!M44),"median", MEDIAN(Instances!M44:Instances!M44),"min", MIN(Instances!M44:Instances!M44),"max", MAX(Instances!M44:Instances!M44),"diff", MAX(Instances!M44:Instances!M44)-MIN(Instances!M44:Instances!M44))</f>
        <v>0</v>
      </c>
      <c r="N44" s="1" cm="1">
        <f t="array" ref="N44">_xlfn.SWITCH($A$2,"average", AVERAGE(Instances!N44:Instances!N44),"median", MEDIAN(Instances!N44:Instances!N44),"min", MIN(Instances!N44:Instances!N44),"max", MAX(Instances!N44:Instances!N44),"diff", MAX(Instances!N44:Instances!N44)-MIN(Instances!N44:Instances!N44))</f>
        <v>0</v>
      </c>
      <c r="O44" s="1"/>
      <c r="P44" s="1" cm="1">
        <f t="array" ref="P44">_xlfn.SWITCH($A$2,"average", AVERAGE(Instances!P44:Instances!P44),"median", MEDIAN(Instances!P44:Instances!P44),"min", MIN(Instances!P44:Instances!P44),"max", MAX(Instances!P44:Instances!P44),"diff", MAX(Instances!P44:Instances!P44)-MIN(Instances!P44:Instances!P44))</f>
        <v>0</v>
      </c>
      <c r="Q44" s="1" cm="1">
        <f t="array" ref="Q44">_xlfn.SWITCH($A$2,"average", AVERAGE(Instances!Q44:Instances!Q44),"median", MEDIAN(Instances!Q44:Instances!Q44),"min", MIN(Instances!Q44:Instances!Q44),"max", MAX(Instances!Q44:Instances!Q44),"diff", MAX(Instances!Q44:Instances!Q44)-MIN(Instances!Q44:Instances!Q44))</f>
        <v>0</v>
      </c>
      <c r="R44" s="1" cm="1">
        <f t="array" ref="R44">_xlfn.SWITCH($A$2,"average", AVERAGE(Instances!R44:Instances!R44),"median", MEDIAN(Instances!R44:Instances!R44),"min", MIN(Instances!R44:Instances!R44),"max", MAX(Instances!R44:Instances!R44),"diff", MAX(Instances!R44:Instances!R44)-MIN(Instances!R44:Instances!R44))</f>
        <v>0</v>
      </c>
      <c r="S44" s="1">
        <f>MIN($B44)</f>
        <v>0</v>
      </c>
      <c r="T44" s="1">
        <f>MIN($C44)</f>
        <v>0</v>
      </c>
      <c r="U44" s="1">
        <f>MIN($D44)</f>
        <v>0</v>
      </c>
      <c r="V44" s="1">
        <f>MIN($E44)</f>
        <v>0</v>
      </c>
      <c r="W44" s="1">
        <f>MIN($F44)</f>
        <v>0</v>
      </c>
      <c r="X44" s="1">
        <f>MIN($G44)</f>
        <v>0</v>
      </c>
      <c r="Y44" s="1">
        <f>MIN($H44)</f>
        <v>0</v>
      </c>
      <c r="Z44" s="1">
        <f>MIN($I44)</f>
        <v>0</v>
      </c>
      <c r="AA44" s="1">
        <f>MIN($J44)</f>
        <v>0</v>
      </c>
      <c r="AB44" s="1">
        <f>MIN($K44)</f>
        <v>0</v>
      </c>
      <c r="AC44" s="1">
        <f>MIN($M44)</f>
        <v>0</v>
      </c>
      <c r="AD44" s="1">
        <f>MIN($N44)</f>
        <v>0</v>
      </c>
      <c r="AE44" s="1">
        <f>MIN($P44)</f>
        <v>0</v>
      </c>
      <c r="AF44" s="1">
        <f>MIN($Q44)</f>
        <v>0</v>
      </c>
      <c r="AG44" s="1">
        <f>MIN($R44)</f>
        <v>0</v>
      </c>
      <c r="AH44" s="1">
        <f>MEDIAN($B44)</f>
        <v>0</v>
      </c>
      <c r="AI44" s="1">
        <f>MEDIAN($C44)</f>
        <v>0</v>
      </c>
      <c r="AJ44" s="1">
        <f>MEDIAN($D44)</f>
        <v>0</v>
      </c>
      <c r="AK44" s="1">
        <f>MEDIAN($E44)</f>
        <v>0</v>
      </c>
      <c r="AL44" s="1">
        <f>MEDIAN($F44)</f>
        <v>0</v>
      </c>
      <c r="AM44" s="1">
        <f>MEDIAN($G44)</f>
        <v>0</v>
      </c>
      <c r="AN44" s="1">
        <f>MEDIAN($H44)</f>
        <v>0</v>
      </c>
      <c r="AO44" s="1">
        <f>MEDIAN($I44)</f>
        <v>0</v>
      </c>
      <c r="AP44" s="1">
        <f>MEDIAN($J44)</f>
        <v>0</v>
      </c>
      <c r="AQ44" s="1">
        <f>MEDIAN($K44)</f>
        <v>0</v>
      </c>
      <c r="AR44" s="1">
        <f>MEDIAN($M44)</f>
        <v>0</v>
      </c>
      <c r="AS44" s="1">
        <f>MEDIAN($N44)</f>
        <v>0</v>
      </c>
      <c r="AT44" s="1">
        <f>MEDIAN($P44)</f>
        <v>0</v>
      </c>
      <c r="AU44" s="1">
        <f>MEDIAN($Q44)</f>
        <v>0</v>
      </c>
      <c r="AV44" s="1">
        <f>MEDIAN($R44)</f>
        <v>0</v>
      </c>
      <c r="AW44" s="1">
        <f>MAX($B44)</f>
        <v>0</v>
      </c>
      <c r="AX44" s="1">
        <f>MAX($C44)</f>
        <v>0</v>
      </c>
      <c r="AY44" s="1">
        <f>MAX($D44)</f>
        <v>0</v>
      </c>
      <c r="AZ44" s="1">
        <f>MAX($E44)</f>
        <v>0</v>
      </c>
      <c r="BA44" s="1">
        <f>MAX($F44)</f>
        <v>0</v>
      </c>
      <c r="BB44" s="1">
        <f>MAX($G44)</f>
        <v>0</v>
      </c>
      <c r="BC44" s="1">
        <f>MAX($H44)</f>
        <v>0</v>
      </c>
      <c r="BD44" s="1">
        <f>MAX($I44)</f>
        <v>0</v>
      </c>
      <c r="BE44" s="1">
        <f>MAX($J44)</f>
        <v>0</v>
      </c>
      <c r="BF44" s="1">
        <f>MAX($K44)</f>
        <v>0</v>
      </c>
      <c r="BG44" s="1">
        <f>MAX($M44)</f>
        <v>0</v>
      </c>
      <c r="BH44" s="1">
        <f>MAX($N44)</f>
        <v>0</v>
      </c>
      <c r="BI44" s="1">
        <f>MAX($P44)</f>
        <v>0</v>
      </c>
      <c r="BJ44" s="1">
        <f>MAX($Q44)</f>
        <v>0</v>
      </c>
      <c r="BK44" s="1">
        <f>MAX($R44)</f>
        <v>0</v>
      </c>
    </row>
    <row r="45" spans="1:63">
      <c r="A45" s="1" t="s">
        <v>42</v>
      </c>
      <c r="B45" s="1" cm="1">
        <f t="array" ref="B45">_xlfn.SWITCH($A$2,"average", AVERAGE(Instances!B45:Instances!B45),"median", MEDIAN(Instances!B45:Instances!B45),"min", MIN(Instances!B45:Instances!B45),"max", MAX(Instances!B45:Instances!B45),"diff", MAX(Instances!B45:Instances!B45)-MIN(Instances!B45:Instances!B45))</f>
        <v>0</v>
      </c>
      <c r="C45" s="1" cm="1">
        <f t="array" ref="C45">_xlfn.SWITCH($A$2,"average", AVERAGE(Instances!C45:Instances!C45),"median", MEDIAN(Instances!C45:Instances!C45),"min", MIN(Instances!C45:Instances!C45),"max", MAX(Instances!C45:Instances!C45),"diff", MAX(Instances!C45:Instances!C45)-MIN(Instances!C45:Instances!C45))</f>
        <v>0</v>
      </c>
      <c r="D45" s="1" cm="1">
        <f t="array" ref="D45">_xlfn.SWITCH($A$2,"average", AVERAGE(Instances!D45:Instances!D45),"median", MEDIAN(Instances!D45:Instances!D45),"min", MIN(Instances!D45:Instances!D45),"max", MAX(Instances!D45:Instances!D45),"diff", MAX(Instances!D45:Instances!D45)-MIN(Instances!D45:Instances!D45))</f>
        <v>0</v>
      </c>
      <c r="E45" s="1" cm="1">
        <f t="array" ref="E45">_xlfn.SWITCH($A$2,"average", AVERAGE(Instances!E45:Instances!E45),"median", MEDIAN(Instances!E45:Instances!E45),"min", MIN(Instances!E45:Instances!E45),"max", MAX(Instances!E45:Instances!E45),"diff", MAX(Instances!E45:Instances!E45)-MIN(Instances!E45:Instances!E45))</f>
        <v>0</v>
      </c>
      <c r="F45" s="1" cm="1">
        <f t="array" ref="F45">_xlfn.SWITCH($A$2,"average", AVERAGE(Instances!F45:Instances!F45),"median", MEDIAN(Instances!F45:Instances!F45),"min", MIN(Instances!F45:Instances!F45),"max", MAX(Instances!F45:Instances!F45),"diff", MAX(Instances!F45:Instances!F45)-MIN(Instances!F45:Instances!F45))</f>
        <v>0</v>
      </c>
      <c r="G45" s="1" cm="1">
        <f t="array" ref="G45">_xlfn.SWITCH($A$2,"average", AVERAGE(Instances!G45:Instances!G45),"median", MEDIAN(Instances!G45:Instances!G45),"min", MIN(Instances!G45:Instances!G45),"max", MAX(Instances!G45:Instances!G45),"diff", MAX(Instances!G45:Instances!G45)-MIN(Instances!G45:Instances!G45))</f>
        <v>0</v>
      </c>
      <c r="H45" s="1" cm="1">
        <f t="array" ref="H45">_xlfn.SWITCH($A$2,"average", AVERAGE(Instances!H45:Instances!H45),"median", MEDIAN(Instances!H45:Instances!H45),"min", MIN(Instances!H45:Instances!H45),"max", MAX(Instances!H45:Instances!H45),"diff", MAX(Instances!H45:Instances!H45)-MIN(Instances!H45:Instances!H45))</f>
        <v>0</v>
      </c>
      <c r="I45" s="1" cm="1">
        <f t="array" ref="I45">_xlfn.SWITCH($A$2,"average", AVERAGE(Instances!I45:Instances!I45),"median", MEDIAN(Instances!I45:Instances!I45),"min", MIN(Instances!I45:Instances!I45),"max", MAX(Instances!I45:Instances!I45),"diff", MAX(Instances!I45:Instances!I45)-MIN(Instances!I45:Instances!I45))</f>
        <v>0</v>
      </c>
      <c r="J45" s="1" cm="1">
        <f t="array" ref="J45">_xlfn.SWITCH($A$2,"average", AVERAGE(Instances!J45:Instances!J45),"median", MEDIAN(Instances!J45:Instances!J45),"min", MIN(Instances!J45:Instances!J45),"max", MAX(Instances!J45:Instances!J45),"diff", MAX(Instances!J45:Instances!J45)-MIN(Instances!J45:Instances!J45))</f>
        <v>0</v>
      </c>
      <c r="K45" s="1" cm="1">
        <f t="array" ref="K45">_xlfn.SWITCH($A$2,"average", AVERAGE(Instances!K45:Instances!K45),"median", MEDIAN(Instances!K45:Instances!K45),"min", MIN(Instances!K45:Instances!K45),"max", MAX(Instances!K45:Instances!K45),"diff", MAX(Instances!K45:Instances!K45)-MIN(Instances!K45:Instances!K45))</f>
        <v>0</v>
      </c>
      <c r="L45" s="1"/>
      <c r="M45" s="1" cm="1">
        <f t="array" ref="M45">_xlfn.SWITCH($A$2,"average", AVERAGE(Instances!M45:Instances!M45),"median", MEDIAN(Instances!M45:Instances!M45),"min", MIN(Instances!M45:Instances!M45),"max", MAX(Instances!M45:Instances!M45),"diff", MAX(Instances!M45:Instances!M45)-MIN(Instances!M45:Instances!M45))</f>
        <v>0</v>
      </c>
      <c r="N45" s="1" cm="1">
        <f t="array" ref="N45">_xlfn.SWITCH($A$2,"average", AVERAGE(Instances!N45:Instances!N45),"median", MEDIAN(Instances!N45:Instances!N45),"min", MIN(Instances!N45:Instances!N45),"max", MAX(Instances!N45:Instances!N45),"diff", MAX(Instances!N45:Instances!N45)-MIN(Instances!N45:Instances!N45))</f>
        <v>0</v>
      </c>
      <c r="O45" s="1"/>
      <c r="P45" s="1" cm="1">
        <f t="array" ref="P45">_xlfn.SWITCH($A$2,"average", AVERAGE(Instances!P45:Instances!P45),"median", MEDIAN(Instances!P45:Instances!P45),"min", MIN(Instances!P45:Instances!P45),"max", MAX(Instances!P45:Instances!P45),"diff", MAX(Instances!P45:Instances!P45)-MIN(Instances!P45:Instances!P45))</f>
        <v>0</v>
      </c>
      <c r="Q45" s="1" cm="1">
        <f t="array" ref="Q45">_xlfn.SWITCH($A$2,"average", AVERAGE(Instances!Q45:Instances!Q45),"median", MEDIAN(Instances!Q45:Instances!Q45),"min", MIN(Instances!Q45:Instances!Q45),"max", MAX(Instances!Q45:Instances!Q45),"diff", MAX(Instances!Q45:Instances!Q45)-MIN(Instances!Q45:Instances!Q45))</f>
        <v>0</v>
      </c>
      <c r="R45" s="1" cm="1">
        <f t="array" ref="R45">_xlfn.SWITCH($A$2,"average", AVERAGE(Instances!R45:Instances!R45),"median", MEDIAN(Instances!R45:Instances!R45),"min", MIN(Instances!R45:Instances!R45),"max", MAX(Instances!R45:Instances!R45),"diff", MAX(Instances!R45:Instances!R45)-MIN(Instances!R45:Instances!R45))</f>
        <v>0</v>
      </c>
      <c r="S45" s="1">
        <f>MIN($B45)</f>
        <v>0</v>
      </c>
      <c r="T45" s="1">
        <f>MIN($C45)</f>
        <v>0</v>
      </c>
      <c r="U45" s="1">
        <f>MIN($D45)</f>
        <v>0</v>
      </c>
      <c r="V45" s="1">
        <f>MIN($E45)</f>
        <v>0</v>
      </c>
      <c r="W45" s="1">
        <f>MIN($F45)</f>
        <v>0</v>
      </c>
      <c r="X45" s="1">
        <f>MIN($G45)</f>
        <v>0</v>
      </c>
      <c r="Y45" s="1">
        <f>MIN($H45)</f>
        <v>0</v>
      </c>
      <c r="Z45" s="1">
        <f>MIN($I45)</f>
        <v>0</v>
      </c>
      <c r="AA45" s="1">
        <f>MIN($J45)</f>
        <v>0</v>
      </c>
      <c r="AB45" s="1">
        <f>MIN($K45)</f>
        <v>0</v>
      </c>
      <c r="AC45" s="1">
        <f>MIN($M45)</f>
        <v>0</v>
      </c>
      <c r="AD45" s="1">
        <f>MIN($N45)</f>
        <v>0</v>
      </c>
      <c r="AE45" s="1">
        <f>MIN($P45)</f>
        <v>0</v>
      </c>
      <c r="AF45" s="1">
        <f>MIN($Q45)</f>
        <v>0</v>
      </c>
      <c r="AG45" s="1">
        <f>MIN($R45)</f>
        <v>0</v>
      </c>
      <c r="AH45" s="1">
        <f>MEDIAN($B45)</f>
        <v>0</v>
      </c>
      <c r="AI45" s="1">
        <f>MEDIAN($C45)</f>
        <v>0</v>
      </c>
      <c r="AJ45" s="1">
        <f>MEDIAN($D45)</f>
        <v>0</v>
      </c>
      <c r="AK45" s="1">
        <f>MEDIAN($E45)</f>
        <v>0</v>
      </c>
      <c r="AL45" s="1">
        <f>MEDIAN($F45)</f>
        <v>0</v>
      </c>
      <c r="AM45" s="1">
        <f>MEDIAN($G45)</f>
        <v>0</v>
      </c>
      <c r="AN45" s="1">
        <f>MEDIAN($H45)</f>
        <v>0</v>
      </c>
      <c r="AO45" s="1">
        <f>MEDIAN($I45)</f>
        <v>0</v>
      </c>
      <c r="AP45" s="1">
        <f>MEDIAN($J45)</f>
        <v>0</v>
      </c>
      <c r="AQ45" s="1">
        <f>MEDIAN($K45)</f>
        <v>0</v>
      </c>
      <c r="AR45" s="1">
        <f>MEDIAN($M45)</f>
        <v>0</v>
      </c>
      <c r="AS45" s="1">
        <f>MEDIAN($N45)</f>
        <v>0</v>
      </c>
      <c r="AT45" s="1">
        <f>MEDIAN($P45)</f>
        <v>0</v>
      </c>
      <c r="AU45" s="1">
        <f>MEDIAN($Q45)</f>
        <v>0</v>
      </c>
      <c r="AV45" s="1">
        <f>MEDIAN($R45)</f>
        <v>0</v>
      </c>
      <c r="AW45" s="1">
        <f>MAX($B45)</f>
        <v>0</v>
      </c>
      <c r="AX45" s="1">
        <f>MAX($C45)</f>
        <v>0</v>
      </c>
      <c r="AY45" s="1">
        <f>MAX($D45)</f>
        <v>0</v>
      </c>
      <c r="AZ45" s="1">
        <f>MAX($E45)</f>
        <v>0</v>
      </c>
      <c r="BA45" s="1">
        <f>MAX($F45)</f>
        <v>0</v>
      </c>
      <c r="BB45" s="1">
        <f>MAX($G45)</f>
        <v>0</v>
      </c>
      <c r="BC45" s="1">
        <f>MAX($H45)</f>
        <v>0</v>
      </c>
      <c r="BD45" s="1">
        <f>MAX($I45)</f>
        <v>0</v>
      </c>
      <c r="BE45" s="1">
        <f>MAX($J45)</f>
        <v>0</v>
      </c>
      <c r="BF45" s="1">
        <f>MAX($K45)</f>
        <v>0</v>
      </c>
      <c r="BG45" s="1">
        <f>MAX($M45)</f>
        <v>0</v>
      </c>
      <c r="BH45" s="1">
        <f>MAX($N45)</f>
        <v>0</v>
      </c>
      <c r="BI45" s="1">
        <f>MAX($P45)</f>
        <v>0</v>
      </c>
      <c r="BJ45" s="1">
        <f>MAX($Q45)</f>
        <v>0</v>
      </c>
      <c r="BK45" s="1">
        <f>MAX($R45)</f>
        <v>0</v>
      </c>
    </row>
    <row r="46" spans="1:63">
      <c r="A46" s="1" t="s">
        <v>43</v>
      </c>
      <c r="B46" s="1" cm="1">
        <f t="array" ref="B46">_xlfn.SWITCH($A$2,"average", AVERAGE(Instances!B46:Instances!B46),"median", MEDIAN(Instances!B46:Instances!B46),"min", MIN(Instances!B46:Instances!B46),"max", MAX(Instances!B46:Instances!B46),"diff", MAX(Instances!B46:Instances!B46)-MIN(Instances!B46:Instances!B46))</f>
        <v>0</v>
      </c>
      <c r="C46" s="1" cm="1">
        <f t="array" ref="C46">_xlfn.SWITCH($A$2,"average", AVERAGE(Instances!C46:Instances!C46),"median", MEDIAN(Instances!C46:Instances!C46),"min", MIN(Instances!C46:Instances!C46),"max", MAX(Instances!C46:Instances!C46),"diff", MAX(Instances!C46:Instances!C46)-MIN(Instances!C46:Instances!C46))</f>
        <v>0</v>
      </c>
      <c r="D46" s="1" cm="1">
        <f t="array" ref="D46">_xlfn.SWITCH($A$2,"average", AVERAGE(Instances!D46:Instances!D46),"median", MEDIAN(Instances!D46:Instances!D46),"min", MIN(Instances!D46:Instances!D46),"max", MAX(Instances!D46:Instances!D46),"diff", MAX(Instances!D46:Instances!D46)-MIN(Instances!D46:Instances!D46))</f>
        <v>0</v>
      </c>
      <c r="E46" s="1" cm="1">
        <f t="array" ref="E46">_xlfn.SWITCH($A$2,"average", AVERAGE(Instances!E46:Instances!E46),"median", MEDIAN(Instances!E46:Instances!E46),"min", MIN(Instances!E46:Instances!E46),"max", MAX(Instances!E46:Instances!E46),"diff", MAX(Instances!E46:Instances!E46)-MIN(Instances!E46:Instances!E46))</f>
        <v>0</v>
      </c>
      <c r="F46" s="1" cm="1">
        <f t="array" ref="F46">_xlfn.SWITCH($A$2,"average", AVERAGE(Instances!F46:Instances!F46),"median", MEDIAN(Instances!F46:Instances!F46),"min", MIN(Instances!F46:Instances!F46),"max", MAX(Instances!F46:Instances!F46),"diff", MAX(Instances!F46:Instances!F46)-MIN(Instances!F46:Instances!F46))</f>
        <v>0</v>
      </c>
      <c r="G46" s="1" cm="1">
        <f t="array" ref="G46">_xlfn.SWITCH($A$2,"average", AVERAGE(Instances!G46:Instances!G46),"median", MEDIAN(Instances!G46:Instances!G46),"min", MIN(Instances!G46:Instances!G46),"max", MAX(Instances!G46:Instances!G46),"diff", MAX(Instances!G46:Instances!G46)-MIN(Instances!G46:Instances!G46))</f>
        <v>0</v>
      </c>
      <c r="H46" s="1" cm="1">
        <f t="array" ref="H46">_xlfn.SWITCH($A$2,"average", AVERAGE(Instances!H46:Instances!H46),"median", MEDIAN(Instances!H46:Instances!H46),"min", MIN(Instances!H46:Instances!H46),"max", MAX(Instances!H46:Instances!H46),"diff", MAX(Instances!H46:Instances!H46)-MIN(Instances!H46:Instances!H46))</f>
        <v>0</v>
      </c>
      <c r="I46" s="1" cm="1">
        <f t="array" ref="I46">_xlfn.SWITCH($A$2,"average", AVERAGE(Instances!I46:Instances!I46),"median", MEDIAN(Instances!I46:Instances!I46),"min", MIN(Instances!I46:Instances!I46),"max", MAX(Instances!I46:Instances!I46),"diff", MAX(Instances!I46:Instances!I46)-MIN(Instances!I46:Instances!I46))</f>
        <v>0</v>
      </c>
      <c r="J46" s="1" cm="1">
        <f t="array" ref="J46">_xlfn.SWITCH($A$2,"average", AVERAGE(Instances!J46:Instances!J46),"median", MEDIAN(Instances!J46:Instances!J46),"min", MIN(Instances!J46:Instances!J46),"max", MAX(Instances!J46:Instances!J46),"diff", MAX(Instances!J46:Instances!J46)-MIN(Instances!J46:Instances!J46))</f>
        <v>0</v>
      </c>
      <c r="K46" s="1" cm="1">
        <f t="array" ref="K46">_xlfn.SWITCH($A$2,"average", AVERAGE(Instances!K46:Instances!K46),"median", MEDIAN(Instances!K46:Instances!K46),"min", MIN(Instances!K46:Instances!K46),"max", MAX(Instances!K46:Instances!K46),"diff", MAX(Instances!K46:Instances!K46)-MIN(Instances!K46:Instances!K46))</f>
        <v>0</v>
      </c>
      <c r="L46" s="1"/>
      <c r="M46" s="1" cm="1">
        <f t="array" ref="M46">_xlfn.SWITCH($A$2,"average", AVERAGE(Instances!M46:Instances!M46),"median", MEDIAN(Instances!M46:Instances!M46),"min", MIN(Instances!M46:Instances!M46),"max", MAX(Instances!M46:Instances!M46),"diff", MAX(Instances!M46:Instances!M46)-MIN(Instances!M46:Instances!M46))</f>
        <v>0</v>
      </c>
      <c r="N46" s="1" cm="1">
        <f t="array" ref="N46">_xlfn.SWITCH($A$2,"average", AVERAGE(Instances!N46:Instances!N46),"median", MEDIAN(Instances!N46:Instances!N46),"min", MIN(Instances!N46:Instances!N46),"max", MAX(Instances!N46:Instances!N46),"diff", MAX(Instances!N46:Instances!N46)-MIN(Instances!N46:Instances!N46))</f>
        <v>0</v>
      </c>
      <c r="O46" s="1"/>
      <c r="P46" s="1" cm="1">
        <f t="array" ref="P46">_xlfn.SWITCH($A$2,"average", AVERAGE(Instances!P46:Instances!P46),"median", MEDIAN(Instances!P46:Instances!P46),"min", MIN(Instances!P46:Instances!P46),"max", MAX(Instances!P46:Instances!P46),"diff", MAX(Instances!P46:Instances!P46)-MIN(Instances!P46:Instances!P46))</f>
        <v>0</v>
      </c>
      <c r="Q46" s="1" cm="1">
        <f t="array" ref="Q46">_xlfn.SWITCH($A$2,"average", AVERAGE(Instances!Q46:Instances!Q46),"median", MEDIAN(Instances!Q46:Instances!Q46),"min", MIN(Instances!Q46:Instances!Q46),"max", MAX(Instances!Q46:Instances!Q46),"diff", MAX(Instances!Q46:Instances!Q46)-MIN(Instances!Q46:Instances!Q46))</f>
        <v>0</v>
      </c>
      <c r="R46" s="1" cm="1">
        <f t="array" ref="R46">_xlfn.SWITCH($A$2,"average", AVERAGE(Instances!R46:Instances!R46),"median", MEDIAN(Instances!R46:Instances!R46),"min", MIN(Instances!R46:Instances!R46),"max", MAX(Instances!R46:Instances!R46),"diff", MAX(Instances!R46:Instances!R46)-MIN(Instances!R46:Instances!R46))</f>
        <v>0</v>
      </c>
      <c r="S46" s="1">
        <f>MIN($B46)</f>
        <v>0</v>
      </c>
      <c r="T46" s="1">
        <f>MIN($C46)</f>
        <v>0</v>
      </c>
      <c r="U46" s="1">
        <f>MIN($D46)</f>
        <v>0</v>
      </c>
      <c r="V46" s="1">
        <f>MIN($E46)</f>
        <v>0</v>
      </c>
      <c r="W46" s="1">
        <f>MIN($F46)</f>
        <v>0</v>
      </c>
      <c r="X46" s="1">
        <f>MIN($G46)</f>
        <v>0</v>
      </c>
      <c r="Y46" s="1">
        <f>MIN($H46)</f>
        <v>0</v>
      </c>
      <c r="Z46" s="1">
        <f>MIN($I46)</f>
        <v>0</v>
      </c>
      <c r="AA46" s="1">
        <f>MIN($J46)</f>
        <v>0</v>
      </c>
      <c r="AB46" s="1">
        <f>MIN($K46)</f>
        <v>0</v>
      </c>
      <c r="AC46" s="1">
        <f>MIN($M46)</f>
        <v>0</v>
      </c>
      <c r="AD46" s="1">
        <f>MIN($N46)</f>
        <v>0</v>
      </c>
      <c r="AE46" s="1">
        <f>MIN($P46)</f>
        <v>0</v>
      </c>
      <c r="AF46" s="1">
        <f>MIN($Q46)</f>
        <v>0</v>
      </c>
      <c r="AG46" s="1">
        <f>MIN($R46)</f>
        <v>0</v>
      </c>
      <c r="AH46" s="1">
        <f>MEDIAN($B46)</f>
        <v>0</v>
      </c>
      <c r="AI46" s="1">
        <f>MEDIAN($C46)</f>
        <v>0</v>
      </c>
      <c r="AJ46" s="1">
        <f>MEDIAN($D46)</f>
        <v>0</v>
      </c>
      <c r="AK46" s="1">
        <f>MEDIAN($E46)</f>
        <v>0</v>
      </c>
      <c r="AL46" s="1">
        <f>MEDIAN($F46)</f>
        <v>0</v>
      </c>
      <c r="AM46" s="1">
        <f>MEDIAN($G46)</f>
        <v>0</v>
      </c>
      <c r="AN46" s="1">
        <f>MEDIAN($H46)</f>
        <v>0</v>
      </c>
      <c r="AO46" s="1">
        <f>MEDIAN($I46)</f>
        <v>0</v>
      </c>
      <c r="AP46" s="1">
        <f>MEDIAN($J46)</f>
        <v>0</v>
      </c>
      <c r="AQ46" s="1">
        <f>MEDIAN($K46)</f>
        <v>0</v>
      </c>
      <c r="AR46" s="1">
        <f>MEDIAN($M46)</f>
        <v>0</v>
      </c>
      <c r="AS46" s="1">
        <f>MEDIAN($N46)</f>
        <v>0</v>
      </c>
      <c r="AT46" s="1">
        <f>MEDIAN($P46)</f>
        <v>0</v>
      </c>
      <c r="AU46" s="1">
        <f>MEDIAN($Q46)</f>
        <v>0</v>
      </c>
      <c r="AV46" s="1">
        <f>MEDIAN($R46)</f>
        <v>0</v>
      </c>
      <c r="AW46" s="1">
        <f>MAX($B46)</f>
        <v>0</v>
      </c>
      <c r="AX46" s="1">
        <f>MAX($C46)</f>
        <v>0</v>
      </c>
      <c r="AY46" s="1">
        <f>MAX($D46)</f>
        <v>0</v>
      </c>
      <c r="AZ46" s="1">
        <f>MAX($E46)</f>
        <v>0</v>
      </c>
      <c r="BA46" s="1">
        <f>MAX($F46)</f>
        <v>0</v>
      </c>
      <c r="BB46" s="1">
        <f>MAX($G46)</f>
        <v>0</v>
      </c>
      <c r="BC46" s="1">
        <f>MAX($H46)</f>
        <v>0</v>
      </c>
      <c r="BD46" s="1">
        <f>MAX($I46)</f>
        <v>0</v>
      </c>
      <c r="BE46" s="1">
        <f>MAX($J46)</f>
        <v>0</v>
      </c>
      <c r="BF46" s="1">
        <f>MAX($K46)</f>
        <v>0</v>
      </c>
      <c r="BG46" s="1">
        <f>MAX($M46)</f>
        <v>0</v>
      </c>
      <c r="BH46" s="1">
        <f>MAX($N46)</f>
        <v>0</v>
      </c>
      <c r="BI46" s="1">
        <f>MAX($P46)</f>
        <v>0</v>
      </c>
      <c r="BJ46" s="1">
        <f>MAX($Q46)</f>
        <v>0</v>
      </c>
      <c r="BK46" s="1">
        <f>MAX($R46)</f>
        <v>0</v>
      </c>
    </row>
    <row r="47" spans="1:63">
      <c r="A47" s="1" t="s">
        <v>44</v>
      </c>
      <c r="B47" s="1" cm="1">
        <f t="array" ref="B47">_xlfn.SWITCH($A$2,"average", AVERAGE(Instances!B47:Instances!B47),"median", MEDIAN(Instances!B47:Instances!B47),"min", MIN(Instances!B47:Instances!B47),"max", MAX(Instances!B47:Instances!B47),"diff", MAX(Instances!B47:Instances!B47)-MIN(Instances!B47:Instances!B47))</f>
        <v>0</v>
      </c>
      <c r="C47" s="1" cm="1">
        <f t="array" ref="C47">_xlfn.SWITCH($A$2,"average", AVERAGE(Instances!C47:Instances!C47),"median", MEDIAN(Instances!C47:Instances!C47),"min", MIN(Instances!C47:Instances!C47),"max", MAX(Instances!C47:Instances!C47),"diff", MAX(Instances!C47:Instances!C47)-MIN(Instances!C47:Instances!C47))</f>
        <v>0</v>
      </c>
      <c r="D47" s="1" cm="1">
        <f t="array" ref="D47">_xlfn.SWITCH($A$2,"average", AVERAGE(Instances!D47:Instances!D47),"median", MEDIAN(Instances!D47:Instances!D47),"min", MIN(Instances!D47:Instances!D47),"max", MAX(Instances!D47:Instances!D47),"diff", MAX(Instances!D47:Instances!D47)-MIN(Instances!D47:Instances!D47))</f>
        <v>0</v>
      </c>
      <c r="E47" s="1" cm="1">
        <f t="array" ref="E47">_xlfn.SWITCH($A$2,"average", AVERAGE(Instances!E47:Instances!E47),"median", MEDIAN(Instances!E47:Instances!E47),"min", MIN(Instances!E47:Instances!E47),"max", MAX(Instances!E47:Instances!E47),"diff", MAX(Instances!E47:Instances!E47)-MIN(Instances!E47:Instances!E47))</f>
        <v>0</v>
      </c>
      <c r="F47" s="1" cm="1">
        <f t="array" ref="F47">_xlfn.SWITCH($A$2,"average", AVERAGE(Instances!F47:Instances!F47),"median", MEDIAN(Instances!F47:Instances!F47),"min", MIN(Instances!F47:Instances!F47),"max", MAX(Instances!F47:Instances!F47),"diff", MAX(Instances!F47:Instances!F47)-MIN(Instances!F47:Instances!F47))</f>
        <v>0</v>
      </c>
      <c r="G47" s="1" cm="1">
        <f t="array" ref="G47">_xlfn.SWITCH($A$2,"average", AVERAGE(Instances!G47:Instances!G47),"median", MEDIAN(Instances!G47:Instances!G47),"min", MIN(Instances!G47:Instances!G47),"max", MAX(Instances!G47:Instances!G47),"diff", MAX(Instances!G47:Instances!G47)-MIN(Instances!G47:Instances!G47))</f>
        <v>0</v>
      </c>
      <c r="H47" s="1" cm="1">
        <f t="array" ref="H47">_xlfn.SWITCH($A$2,"average", AVERAGE(Instances!H47:Instances!H47),"median", MEDIAN(Instances!H47:Instances!H47),"min", MIN(Instances!H47:Instances!H47),"max", MAX(Instances!H47:Instances!H47),"diff", MAX(Instances!H47:Instances!H47)-MIN(Instances!H47:Instances!H47))</f>
        <v>0</v>
      </c>
      <c r="I47" s="1" cm="1">
        <f t="array" ref="I47">_xlfn.SWITCH($A$2,"average", AVERAGE(Instances!I47:Instances!I47),"median", MEDIAN(Instances!I47:Instances!I47),"min", MIN(Instances!I47:Instances!I47),"max", MAX(Instances!I47:Instances!I47),"diff", MAX(Instances!I47:Instances!I47)-MIN(Instances!I47:Instances!I47))</f>
        <v>0</v>
      </c>
      <c r="J47" s="1" cm="1">
        <f t="array" ref="J47">_xlfn.SWITCH($A$2,"average", AVERAGE(Instances!J47:Instances!J47),"median", MEDIAN(Instances!J47:Instances!J47),"min", MIN(Instances!J47:Instances!J47),"max", MAX(Instances!J47:Instances!J47),"diff", MAX(Instances!J47:Instances!J47)-MIN(Instances!J47:Instances!J47))</f>
        <v>0</v>
      </c>
      <c r="K47" s="1" cm="1">
        <f t="array" ref="K47">_xlfn.SWITCH($A$2,"average", AVERAGE(Instances!K47:Instances!K47),"median", MEDIAN(Instances!K47:Instances!K47),"min", MIN(Instances!K47:Instances!K47),"max", MAX(Instances!K47:Instances!K47),"diff", MAX(Instances!K47:Instances!K47)-MIN(Instances!K47:Instances!K47))</f>
        <v>0</v>
      </c>
      <c r="L47" s="1"/>
      <c r="M47" s="1" cm="1">
        <f t="array" ref="M47">_xlfn.SWITCH($A$2,"average", AVERAGE(Instances!M47:Instances!M47),"median", MEDIAN(Instances!M47:Instances!M47),"min", MIN(Instances!M47:Instances!M47),"max", MAX(Instances!M47:Instances!M47),"diff", MAX(Instances!M47:Instances!M47)-MIN(Instances!M47:Instances!M47))</f>
        <v>0</v>
      </c>
      <c r="N47" s="1" cm="1">
        <f t="array" ref="N47">_xlfn.SWITCH($A$2,"average", AVERAGE(Instances!N47:Instances!N47),"median", MEDIAN(Instances!N47:Instances!N47),"min", MIN(Instances!N47:Instances!N47),"max", MAX(Instances!N47:Instances!N47),"diff", MAX(Instances!N47:Instances!N47)-MIN(Instances!N47:Instances!N47))</f>
        <v>0</v>
      </c>
      <c r="O47" s="1"/>
      <c r="P47" s="1" cm="1">
        <f t="array" ref="P47">_xlfn.SWITCH($A$2,"average", AVERAGE(Instances!P47:Instances!P47),"median", MEDIAN(Instances!P47:Instances!P47),"min", MIN(Instances!P47:Instances!P47),"max", MAX(Instances!P47:Instances!P47),"diff", MAX(Instances!P47:Instances!P47)-MIN(Instances!P47:Instances!P47))</f>
        <v>0</v>
      </c>
      <c r="Q47" s="1" cm="1">
        <f t="array" ref="Q47">_xlfn.SWITCH($A$2,"average", AVERAGE(Instances!Q47:Instances!Q47),"median", MEDIAN(Instances!Q47:Instances!Q47),"min", MIN(Instances!Q47:Instances!Q47),"max", MAX(Instances!Q47:Instances!Q47),"diff", MAX(Instances!Q47:Instances!Q47)-MIN(Instances!Q47:Instances!Q47))</f>
        <v>0</v>
      </c>
      <c r="R47" s="1" cm="1">
        <f t="array" ref="R47">_xlfn.SWITCH($A$2,"average", AVERAGE(Instances!R47:Instances!R47),"median", MEDIAN(Instances!R47:Instances!R47),"min", MIN(Instances!R47:Instances!R47),"max", MAX(Instances!R47:Instances!R47),"diff", MAX(Instances!R47:Instances!R47)-MIN(Instances!R47:Instances!R47))</f>
        <v>0</v>
      </c>
      <c r="S47" s="1">
        <f>MIN($B47)</f>
        <v>0</v>
      </c>
      <c r="T47" s="1">
        <f>MIN($C47)</f>
        <v>0</v>
      </c>
      <c r="U47" s="1">
        <f>MIN($D47)</f>
        <v>0</v>
      </c>
      <c r="V47" s="1">
        <f>MIN($E47)</f>
        <v>0</v>
      </c>
      <c r="W47" s="1">
        <f>MIN($F47)</f>
        <v>0</v>
      </c>
      <c r="X47" s="1">
        <f>MIN($G47)</f>
        <v>0</v>
      </c>
      <c r="Y47" s="1">
        <f>MIN($H47)</f>
        <v>0</v>
      </c>
      <c r="Z47" s="1">
        <f>MIN($I47)</f>
        <v>0</v>
      </c>
      <c r="AA47" s="1">
        <f>MIN($J47)</f>
        <v>0</v>
      </c>
      <c r="AB47" s="1">
        <f>MIN($K47)</f>
        <v>0</v>
      </c>
      <c r="AC47" s="1">
        <f>MIN($M47)</f>
        <v>0</v>
      </c>
      <c r="AD47" s="1">
        <f>MIN($N47)</f>
        <v>0</v>
      </c>
      <c r="AE47" s="1">
        <f>MIN($P47)</f>
        <v>0</v>
      </c>
      <c r="AF47" s="1">
        <f>MIN($Q47)</f>
        <v>0</v>
      </c>
      <c r="AG47" s="1">
        <f>MIN($R47)</f>
        <v>0</v>
      </c>
      <c r="AH47" s="1">
        <f>MEDIAN($B47)</f>
        <v>0</v>
      </c>
      <c r="AI47" s="1">
        <f>MEDIAN($C47)</f>
        <v>0</v>
      </c>
      <c r="AJ47" s="1">
        <f>MEDIAN($D47)</f>
        <v>0</v>
      </c>
      <c r="AK47" s="1">
        <f>MEDIAN($E47)</f>
        <v>0</v>
      </c>
      <c r="AL47" s="1">
        <f>MEDIAN($F47)</f>
        <v>0</v>
      </c>
      <c r="AM47" s="1">
        <f>MEDIAN($G47)</f>
        <v>0</v>
      </c>
      <c r="AN47" s="1">
        <f>MEDIAN($H47)</f>
        <v>0</v>
      </c>
      <c r="AO47" s="1">
        <f>MEDIAN($I47)</f>
        <v>0</v>
      </c>
      <c r="AP47" s="1">
        <f>MEDIAN($J47)</f>
        <v>0</v>
      </c>
      <c r="AQ47" s="1">
        <f>MEDIAN($K47)</f>
        <v>0</v>
      </c>
      <c r="AR47" s="1">
        <f>MEDIAN($M47)</f>
        <v>0</v>
      </c>
      <c r="AS47" s="1">
        <f>MEDIAN($N47)</f>
        <v>0</v>
      </c>
      <c r="AT47" s="1">
        <f>MEDIAN($P47)</f>
        <v>0</v>
      </c>
      <c r="AU47" s="1">
        <f>MEDIAN($Q47)</f>
        <v>0</v>
      </c>
      <c r="AV47" s="1">
        <f>MEDIAN($R47)</f>
        <v>0</v>
      </c>
      <c r="AW47" s="1">
        <f>MAX($B47)</f>
        <v>0</v>
      </c>
      <c r="AX47" s="1">
        <f>MAX($C47)</f>
        <v>0</v>
      </c>
      <c r="AY47" s="1">
        <f>MAX($D47)</f>
        <v>0</v>
      </c>
      <c r="AZ47" s="1">
        <f>MAX($E47)</f>
        <v>0</v>
      </c>
      <c r="BA47" s="1">
        <f>MAX($F47)</f>
        <v>0</v>
      </c>
      <c r="BB47" s="1">
        <f>MAX($G47)</f>
        <v>0</v>
      </c>
      <c r="BC47" s="1">
        <f>MAX($H47)</f>
        <v>0</v>
      </c>
      <c r="BD47" s="1">
        <f>MAX($I47)</f>
        <v>0</v>
      </c>
      <c r="BE47" s="1">
        <f>MAX($J47)</f>
        <v>0</v>
      </c>
      <c r="BF47" s="1">
        <f>MAX($K47)</f>
        <v>0</v>
      </c>
      <c r="BG47" s="1">
        <f>MAX($M47)</f>
        <v>0</v>
      </c>
      <c r="BH47" s="1">
        <f>MAX($N47)</f>
        <v>0</v>
      </c>
      <c r="BI47" s="1">
        <f>MAX($P47)</f>
        <v>0</v>
      </c>
      <c r="BJ47" s="1">
        <f>MAX($Q47)</f>
        <v>0</v>
      </c>
      <c r="BK47" s="1">
        <f>MAX($R47)</f>
        <v>0</v>
      </c>
    </row>
    <row r="48" spans="1:63">
      <c r="A48" s="1" t="s">
        <v>45</v>
      </c>
      <c r="B48" s="1" cm="1">
        <f t="array" ref="B48">_xlfn.SWITCH($A$2,"average", AVERAGE(Instances!B48:Instances!B48),"median", MEDIAN(Instances!B48:Instances!B48),"min", MIN(Instances!B48:Instances!B48),"max", MAX(Instances!B48:Instances!B48),"diff", MAX(Instances!B48:Instances!B48)-MIN(Instances!B48:Instances!B48))</f>
        <v>0</v>
      </c>
      <c r="C48" s="1" cm="1">
        <f t="array" ref="C48">_xlfn.SWITCH($A$2,"average", AVERAGE(Instances!C48:Instances!C48),"median", MEDIAN(Instances!C48:Instances!C48),"min", MIN(Instances!C48:Instances!C48),"max", MAX(Instances!C48:Instances!C48),"diff", MAX(Instances!C48:Instances!C48)-MIN(Instances!C48:Instances!C48))</f>
        <v>0</v>
      </c>
      <c r="D48" s="1" cm="1">
        <f t="array" ref="D48">_xlfn.SWITCH($A$2,"average", AVERAGE(Instances!D48:Instances!D48),"median", MEDIAN(Instances!D48:Instances!D48),"min", MIN(Instances!D48:Instances!D48),"max", MAX(Instances!D48:Instances!D48),"diff", MAX(Instances!D48:Instances!D48)-MIN(Instances!D48:Instances!D48))</f>
        <v>0</v>
      </c>
      <c r="E48" s="1" cm="1">
        <f t="array" ref="E48">_xlfn.SWITCH($A$2,"average", AVERAGE(Instances!E48:Instances!E48),"median", MEDIAN(Instances!E48:Instances!E48),"min", MIN(Instances!E48:Instances!E48),"max", MAX(Instances!E48:Instances!E48),"diff", MAX(Instances!E48:Instances!E48)-MIN(Instances!E48:Instances!E48))</f>
        <v>0</v>
      </c>
      <c r="F48" s="1" cm="1">
        <f t="array" ref="F48">_xlfn.SWITCH($A$2,"average", AVERAGE(Instances!F48:Instances!F48),"median", MEDIAN(Instances!F48:Instances!F48),"min", MIN(Instances!F48:Instances!F48),"max", MAX(Instances!F48:Instances!F48),"diff", MAX(Instances!F48:Instances!F48)-MIN(Instances!F48:Instances!F48))</f>
        <v>0</v>
      </c>
      <c r="G48" s="1" cm="1">
        <f t="array" ref="G48">_xlfn.SWITCH($A$2,"average", AVERAGE(Instances!G48:Instances!G48),"median", MEDIAN(Instances!G48:Instances!G48),"min", MIN(Instances!G48:Instances!G48),"max", MAX(Instances!G48:Instances!G48),"diff", MAX(Instances!G48:Instances!G48)-MIN(Instances!G48:Instances!G48))</f>
        <v>0</v>
      </c>
      <c r="H48" s="1" cm="1">
        <f t="array" ref="H48">_xlfn.SWITCH($A$2,"average", AVERAGE(Instances!H48:Instances!H48),"median", MEDIAN(Instances!H48:Instances!H48),"min", MIN(Instances!H48:Instances!H48),"max", MAX(Instances!H48:Instances!H48),"diff", MAX(Instances!H48:Instances!H48)-MIN(Instances!H48:Instances!H48))</f>
        <v>0</v>
      </c>
      <c r="I48" s="1" cm="1">
        <f t="array" ref="I48">_xlfn.SWITCH($A$2,"average", AVERAGE(Instances!I48:Instances!I48),"median", MEDIAN(Instances!I48:Instances!I48),"min", MIN(Instances!I48:Instances!I48),"max", MAX(Instances!I48:Instances!I48),"diff", MAX(Instances!I48:Instances!I48)-MIN(Instances!I48:Instances!I48))</f>
        <v>0</v>
      </c>
      <c r="J48" s="1" cm="1">
        <f t="array" ref="J48">_xlfn.SWITCH($A$2,"average", AVERAGE(Instances!J48:Instances!J48),"median", MEDIAN(Instances!J48:Instances!J48),"min", MIN(Instances!J48:Instances!J48),"max", MAX(Instances!J48:Instances!J48),"diff", MAX(Instances!J48:Instances!J48)-MIN(Instances!J48:Instances!J48))</f>
        <v>0</v>
      </c>
      <c r="K48" s="1" cm="1">
        <f t="array" ref="K48">_xlfn.SWITCH($A$2,"average", AVERAGE(Instances!K48:Instances!K48),"median", MEDIAN(Instances!K48:Instances!K48),"min", MIN(Instances!K48:Instances!K48),"max", MAX(Instances!K48:Instances!K48),"diff", MAX(Instances!K48:Instances!K48)-MIN(Instances!K48:Instances!K48))</f>
        <v>0</v>
      </c>
      <c r="L48" s="1"/>
      <c r="M48" s="1" cm="1">
        <f t="array" ref="M48">_xlfn.SWITCH($A$2,"average", AVERAGE(Instances!M48:Instances!M48),"median", MEDIAN(Instances!M48:Instances!M48),"min", MIN(Instances!M48:Instances!M48),"max", MAX(Instances!M48:Instances!M48),"diff", MAX(Instances!M48:Instances!M48)-MIN(Instances!M48:Instances!M48))</f>
        <v>0</v>
      </c>
      <c r="N48" s="1" cm="1">
        <f t="array" ref="N48">_xlfn.SWITCH($A$2,"average", AVERAGE(Instances!N48:Instances!N48),"median", MEDIAN(Instances!N48:Instances!N48),"min", MIN(Instances!N48:Instances!N48),"max", MAX(Instances!N48:Instances!N48),"diff", MAX(Instances!N48:Instances!N48)-MIN(Instances!N48:Instances!N48))</f>
        <v>0</v>
      </c>
      <c r="O48" s="1"/>
      <c r="P48" s="1" cm="1">
        <f t="array" ref="P48">_xlfn.SWITCH($A$2,"average", AVERAGE(Instances!P48:Instances!P48),"median", MEDIAN(Instances!P48:Instances!P48),"min", MIN(Instances!P48:Instances!P48),"max", MAX(Instances!P48:Instances!P48),"diff", MAX(Instances!P48:Instances!P48)-MIN(Instances!P48:Instances!P48))</f>
        <v>0</v>
      </c>
      <c r="Q48" s="1" cm="1">
        <f t="array" ref="Q48">_xlfn.SWITCH($A$2,"average", AVERAGE(Instances!Q48:Instances!Q48),"median", MEDIAN(Instances!Q48:Instances!Q48),"min", MIN(Instances!Q48:Instances!Q48),"max", MAX(Instances!Q48:Instances!Q48),"diff", MAX(Instances!Q48:Instances!Q48)-MIN(Instances!Q48:Instances!Q48))</f>
        <v>0</v>
      </c>
      <c r="R48" s="1" cm="1">
        <f t="array" ref="R48">_xlfn.SWITCH($A$2,"average", AVERAGE(Instances!R48:Instances!R48),"median", MEDIAN(Instances!R48:Instances!R48),"min", MIN(Instances!R48:Instances!R48),"max", MAX(Instances!R48:Instances!R48),"diff", MAX(Instances!R48:Instances!R48)-MIN(Instances!R48:Instances!R48))</f>
        <v>0</v>
      </c>
      <c r="S48" s="1">
        <f>MIN($B48)</f>
        <v>0</v>
      </c>
      <c r="T48" s="1">
        <f>MIN($C48)</f>
        <v>0</v>
      </c>
      <c r="U48" s="1">
        <f>MIN($D48)</f>
        <v>0</v>
      </c>
      <c r="V48" s="1">
        <f>MIN($E48)</f>
        <v>0</v>
      </c>
      <c r="W48" s="1">
        <f>MIN($F48)</f>
        <v>0</v>
      </c>
      <c r="X48" s="1">
        <f>MIN($G48)</f>
        <v>0</v>
      </c>
      <c r="Y48" s="1">
        <f>MIN($H48)</f>
        <v>0</v>
      </c>
      <c r="Z48" s="1">
        <f>MIN($I48)</f>
        <v>0</v>
      </c>
      <c r="AA48" s="1">
        <f>MIN($J48)</f>
        <v>0</v>
      </c>
      <c r="AB48" s="1">
        <f>MIN($K48)</f>
        <v>0</v>
      </c>
      <c r="AC48" s="1">
        <f>MIN($M48)</f>
        <v>0</v>
      </c>
      <c r="AD48" s="1">
        <f>MIN($N48)</f>
        <v>0</v>
      </c>
      <c r="AE48" s="1">
        <f>MIN($P48)</f>
        <v>0</v>
      </c>
      <c r="AF48" s="1">
        <f>MIN($Q48)</f>
        <v>0</v>
      </c>
      <c r="AG48" s="1">
        <f>MIN($R48)</f>
        <v>0</v>
      </c>
      <c r="AH48" s="1">
        <f>MEDIAN($B48)</f>
        <v>0</v>
      </c>
      <c r="AI48" s="1">
        <f>MEDIAN($C48)</f>
        <v>0</v>
      </c>
      <c r="AJ48" s="1">
        <f>MEDIAN($D48)</f>
        <v>0</v>
      </c>
      <c r="AK48" s="1">
        <f>MEDIAN($E48)</f>
        <v>0</v>
      </c>
      <c r="AL48" s="1">
        <f>MEDIAN($F48)</f>
        <v>0</v>
      </c>
      <c r="AM48" s="1">
        <f>MEDIAN($G48)</f>
        <v>0</v>
      </c>
      <c r="AN48" s="1">
        <f>MEDIAN($H48)</f>
        <v>0</v>
      </c>
      <c r="AO48" s="1">
        <f>MEDIAN($I48)</f>
        <v>0</v>
      </c>
      <c r="AP48" s="1">
        <f>MEDIAN($J48)</f>
        <v>0</v>
      </c>
      <c r="AQ48" s="1">
        <f>MEDIAN($K48)</f>
        <v>0</v>
      </c>
      <c r="AR48" s="1">
        <f>MEDIAN($M48)</f>
        <v>0</v>
      </c>
      <c r="AS48" s="1">
        <f>MEDIAN($N48)</f>
        <v>0</v>
      </c>
      <c r="AT48" s="1">
        <f>MEDIAN($P48)</f>
        <v>0</v>
      </c>
      <c r="AU48" s="1">
        <f>MEDIAN($Q48)</f>
        <v>0</v>
      </c>
      <c r="AV48" s="1">
        <f>MEDIAN($R48)</f>
        <v>0</v>
      </c>
      <c r="AW48" s="1">
        <f>MAX($B48)</f>
        <v>0</v>
      </c>
      <c r="AX48" s="1">
        <f>MAX($C48)</f>
        <v>0</v>
      </c>
      <c r="AY48" s="1">
        <f>MAX($D48)</f>
        <v>0</v>
      </c>
      <c r="AZ48" s="1">
        <f>MAX($E48)</f>
        <v>0</v>
      </c>
      <c r="BA48" s="1">
        <f>MAX($F48)</f>
        <v>0</v>
      </c>
      <c r="BB48" s="1">
        <f>MAX($G48)</f>
        <v>0</v>
      </c>
      <c r="BC48" s="1">
        <f>MAX($H48)</f>
        <v>0</v>
      </c>
      <c r="BD48" s="1">
        <f>MAX($I48)</f>
        <v>0</v>
      </c>
      <c r="BE48" s="1">
        <f>MAX($J48)</f>
        <v>0</v>
      </c>
      <c r="BF48" s="1">
        <f>MAX($K48)</f>
        <v>0</v>
      </c>
      <c r="BG48" s="1">
        <f>MAX($M48)</f>
        <v>0</v>
      </c>
      <c r="BH48" s="1">
        <f>MAX($N48)</f>
        <v>0</v>
      </c>
      <c r="BI48" s="1">
        <f>MAX($P48)</f>
        <v>0</v>
      </c>
      <c r="BJ48" s="1">
        <f>MAX($Q48)</f>
        <v>0</v>
      </c>
      <c r="BK48" s="1">
        <f>MAX($R48)</f>
        <v>0</v>
      </c>
    </row>
    <row r="49" spans="1:63">
      <c r="A49" s="1" t="s">
        <v>46</v>
      </c>
      <c r="B49" s="1" cm="1">
        <f t="array" ref="B49">_xlfn.SWITCH($A$2,"average", AVERAGE(Instances!B49:Instances!B49),"median", MEDIAN(Instances!B49:Instances!B49),"min", MIN(Instances!B49:Instances!B49),"max", MAX(Instances!B49:Instances!B49),"diff", MAX(Instances!B49:Instances!B49)-MIN(Instances!B49:Instances!B49))</f>
        <v>0</v>
      </c>
      <c r="C49" s="1" cm="1">
        <f t="array" ref="C49">_xlfn.SWITCH($A$2,"average", AVERAGE(Instances!C49:Instances!C49),"median", MEDIAN(Instances!C49:Instances!C49),"min", MIN(Instances!C49:Instances!C49),"max", MAX(Instances!C49:Instances!C49),"diff", MAX(Instances!C49:Instances!C49)-MIN(Instances!C49:Instances!C49))</f>
        <v>0</v>
      </c>
      <c r="D49" s="1" cm="1">
        <f t="array" ref="D49">_xlfn.SWITCH($A$2,"average", AVERAGE(Instances!D49:Instances!D49),"median", MEDIAN(Instances!D49:Instances!D49),"min", MIN(Instances!D49:Instances!D49),"max", MAX(Instances!D49:Instances!D49),"diff", MAX(Instances!D49:Instances!D49)-MIN(Instances!D49:Instances!D49))</f>
        <v>0</v>
      </c>
      <c r="E49" s="1" cm="1">
        <f t="array" ref="E49">_xlfn.SWITCH($A$2,"average", AVERAGE(Instances!E49:Instances!E49),"median", MEDIAN(Instances!E49:Instances!E49),"min", MIN(Instances!E49:Instances!E49),"max", MAX(Instances!E49:Instances!E49),"diff", MAX(Instances!E49:Instances!E49)-MIN(Instances!E49:Instances!E49))</f>
        <v>0</v>
      </c>
      <c r="F49" s="1" cm="1">
        <f t="array" ref="F49">_xlfn.SWITCH($A$2,"average", AVERAGE(Instances!F49:Instances!F49),"median", MEDIAN(Instances!F49:Instances!F49),"min", MIN(Instances!F49:Instances!F49),"max", MAX(Instances!F49:Instances!F49),"diff", MAX(Instances!F49:Instances!F49)-MIN(Instances!F49:Instances!F49))</f>
        <v>0</v>
      </c>
      <c r="G49" s="1" cm="1">
        <f t="array" ref="G49">_xlfn.SWITCH($A$2,"average", AVERAGE(Instances!G49:Instances!G49),"median", MEDIAN(Instances!G49:Instances!G49),"min", MIN(Instances!G49:Instances!G49),"max", MAX(Instances!G49:Instances!G49),"diff", MAX(Instances!G49:Instances!G49)-MIN(Instances!G49:Instances!G49))</f>
        <v>0</v>
      </c>
      <c r="H49" s="1" cm="1">
        <f t="array" ref="H49">_xlfn.SWITCH($A$2,"average", AVERAGE(Instances!H49:Instances!H49),"median", MEDIAN(Instances!H49:Instances!H49),"min", MIN(Instances!H49:Instances!H49),"max", MAX(Instances!H49:Instances!H49),"diff", MAX(Instances!H49:Instances!H49)-MIN(Instances!H49:Instances!H49))</f>
        <v>0</v>
      </c>
      <c r="I49" s="1" cm="1">
        <f t="array" ref="I49">_xlfn.SWITCH($A$2,"average", AVERAGE(Instances!I49:Instances!I49),"median", MEDIAN(Instances!I49:Instances!I49),"min", MIN(Instances!I49:Instances!I49),"max", MAX(Instances!I49:Instances!I49),"diff", MAX(Instances!I49:Instances!I49)-MIN(Instances!I49:Instances!I49))</f>
        <v>0</v>
      </c>
      <c r="J49" s="1" cm="1">
        <f t="array" ref="J49">_xlfn.SWITCH($A$2,"average", AVERAGE(Instances!J49:Instances!J49),"median", MEDIAN(Instances!J49:Instances!J49),"min", MIN(Instances!J49:Instances!J49),"max", MAX(Instances!J49:Instances!J49),"diff", MAX(Instances!J49:Instances!J49)-MIN(Instances!J49:Instances!J49))</f>
        <v>0</v>
      </c>
      <c r="K49" s="1" cm="1">
        <f t="array" ref="K49">_xlfn.SWITCH($A$2,"average", AVERAGE(Instances!K49:Instances!K49),"median", MEDIAN(Instances!K49:Instances!K49),"min", MIN(Instances!K49:Instances!K49),"max", MAX(Instances!K49:Instances!K49),"diff", MAX(Instances!K49:Instances!K49)-MIN(Instances!K49:Instances!K49))</f>
        <v>0</v>
      </c>
      <c r="L49" s="1"/>
      <c r="M49" s="1" cm="1">
        <f t="array" ref="M49">_xlfn.SWITCH($A$2,"average", AVERAGE(Instances!M49:Instances!M49),"median", MEDIAN(Instances!M49:Instances!M49),"min", MIN(Instances!M49:Instances!M49),"max", MAX(Instances!M49:Instances!M49),"diff", MAX(Instances!M49:Instances!M49)-MIN(Instances!M49:Instances!M49))</f>
        <v>0</v>
      </c>
      <c r="N49" s="1" cm="1">
        <f t="array" ref="N49">_xlfn.SWITCH($A$2,"average", AVERAGE(Instances!N49:Instances!N49),"median", MEDIAN(Instances!N49:Instances!N49),"min", MIN(Instances!N49:Instances!N49),"max", MAX(Instances!N49:Instances!N49),"diff", MAX(Instances!N49:Instances!N49)-MIN(Instances!N49:Instances!N49))</f>
        <v>0</v>
      </c>
      <c r="O49" s="1"/>
      <c r="P49" s="1" cm="1">
        <f t="array" ref="P49">_xlfn.SWITCH($A$2,"average", AVERAGE(Instances!P49:Instances!P49),"median", MEDIAN(Instances!P49:Instances!P49),"min", MIN(Instances!P49:Instances!P49),"max", MAX(Instances!P49:Instances!P49),"diff", MAX(Instances!P49:Instances!P49)-MIN(Instances!P49:Instances!P49))</f>
        <v>0</v>
      </c>
      <c r="Q49" s="1" cm="1">
        <f t="array" ref="Q49">_xlfn.SWITCH($A$2,"average", AVERAGE(Instances!Q49:Instances!Q49),"median", MEDIAN(Instances!Q49:Instances!Q49),"min", MIN(Instances!Q49:Instances!Q49),"max", MAX(Instances!Q49:Instances!Q49),"diff", MAX(Instances!Q49:Instances!Q49)-MIN(Instances!Q49:Instances!Q49))</f>
        <v>0</v>
      </c>
      <c r="R49" s="1" cm="1">
        <f t="array" ref="R49">_xlfn.SWITCH($A$2,"average", AVERAGE(Instances!R49:Instances!R49),"median", MEDIAN(Instances!R49:Instances!R49),"min", MIN(Instances!R49:Instances!R49),"max", MAX(Instances!R49:Instances!R49),"diff", MAX(Instances!R49:Instances!R49)-MIN(Instances!R49:Instances!R49))</f>
        <v>0</v>
      </c>
      <c r="S49" s="1">
        <f>MIN($B49)</f>
        <v>0</v>
      </c>
      <c r="T49" s="1">
        <f>MIN($C49)</f>
        <v>0</v>
      </c>
      <c r="U49" s="1">
        <f>MIN($D49)</f>
        <v>0</v>
      </c>
      <c r="V49" s="1">
        <f>MIN($E49)</f>
        <v>0</v>
      </c>
      <c r="W49" s="1">
        <f>MIN($F49)</f>
        <v>0</v>
      </c>
      <c r="X49" s="1">
        <f>MIN($G49)</f>
        <v>0</v>
      </c>
      <c r="Y49" s="1">
        <f>MIN($H49)</f>
        <v>0</v>
      </c>
      <c r="Z49" s="1">
        <f>MIN($I49)</f>
        <v>0</v>
      </c>
      <c r="AA49" s="1">
        <f>MIN($J49)</f>
        <v>0</v>
      </c>
      <c r="AB49" s="1">
        <f>MIN($K49)</f>
        <v>0</v>
      </c>
      <c r="AC49" s="1">
        <f>MIN($M49)</f>
        <v>0</v>
      </c>
      <c r="AD49" s="1">
        <f>MIN($N49)</f>
        <v>0</v>
      </c>
      <c r="AE49" s="1">
        <f>MIN($P49)</f>
        <v>0</v>
      </c>
      <c r="AF49" s="1">
        <f>MIN($Q49)</f>
        <v>0</v>
      </c>
      <c r="AG49" s="1">
        <f>MIN($R49)</f>
        <v>0</v>
      </c>
      <c r="AH49" s="1">
        <f>MEDIAN($B49)</f>
        <v>0</v>
      </c>
      <c r="AI49" s="1">
        <f>MEDIAN($C49)</f>
        <v>0</v>
      </c>
      <c r="AJ49" s="1">
        <f>MEDIAN($D49)</f>
        <v>0</v>
      </c>
      <c r="AK49" s="1">
        <f>MEDIAN($E49)</f>
        <v>0</v>
      </c>
      <c r="AL49" s="1">
        <f>MEDIAN($F49)</f>
        <v>0</v>
      </c>
      <c r="AM49" s="1">
        <f>MEDIAN($G49)</f>
        <v>0</v>
      </c>
      <c r="AN49" s="1">
        <f>MEDIAN($H49)</f>
        <v>0</v>
      </c>
      <c r="AO49" s="1">
        <f>MEDIAN($I49)</f>
        <v>0</v>
      </c>
      <c r="AP49" s="1">
        <f>MEDIAN($J49)</f>
        <v>0</v>
      </c>
      <c r="AQ49" s="1">
        <f>MEDIAN($K49)</f>
        <v>0</v>
      </c>
      <c r="AR49" s="1">
        <f>MEDIAN($M49)</f>
        <v>0</v>
      </c>
      <c r="AS49" s="1">
        <f>MEDIAN($N49)</f>
        <v>0</v>
      </c>
      <c r="AT49" s="1">
        <f>MEDIAN($P49)</f>
        <v>0</v>
      </c>
      <c r="AU49" s="1">
        <f>MEDIAN($Q49)</f>
        <v>0</v>
      </c>
      <c r="AV49" s="1">
        <f>MEDIAN($R49)</f>
        <v>0</v>
      </c>
      <c r="AW49" s="1">
        <f>MAX($B49)</f>
        <v>0</v>
      </c>
      <c r="AX49" s="1">
        <f>MAX($C49)</f>
        <v>0</v>
      </c>
      <c r="AY49" s="1">
        <f>MAX($D49)</f>
        <v>0</v>
      </c>
      <c r="AZ49" s="1">
        <f>MAX($E49)</f>
        <v>0</v>
      </c>
      <c r="BA49" s="1">
        <f>MAX($F49)</f>
        <v>0</v>
      </c>
      <c r="BB49" s="1">
        <f>MAX($G49)</f>
        <v>0</v>
      </c>
      <c r="BC49" s="1">
        <f>MAX($H49)</f>
        <v>0</v>
      </c>
      <c r="BD49" s="1">
        <f>MAX($I49)</f>
        <v>0</v>
      </c>
      <c r="BE49" s="1">
        <f>MAX($J49)</f>
        <v>0</v>
      </c>
      <c r="BF49" s="1">
        <f>MAX($K49)</f>
        <v>0</v>
      </c>
      <c r="BG49" s="1">
        <f>MAX($M49)</f>
        <v>0</v>
      </c>
      <c r="BH49" s="1">
        <f>MAX($N49)</f>
        <v>0</v>
      </c>
      <c r="BI49" s="1">
        <f>MAX($P49)</f>
        <v>0</v>
      </c>
      <c r="BJ49" s="1">
        <f>MAX($Q49)</f>
        <v>0</v>
      </c>
      <c r="BK49" s="1">
        <f>MAX($R49)</f>
        <v>0</v>
      </c>
    </row>
    <row r="50" spans="1:63">
      <c r="A50" s="1" t="s">
        <v>47</v>
      </c>
      <c r="B50" s="1" cm="1">
        <f t="array" ref="B50">_xlfn.SWITCH($A$2,"average", AVERAGE(Instances!B50:Instances!B50),"median", MEDIAN(Instances!B50:Instances!B50),"min", MIN(Instances!B50:Instances!B50),"max", MAX(Instances!B50:Instances!B50),"diff", MAX(Instances!B50:Instances!B50)-MIN(Instances!B50:Instances!B50))</f>
        <v>0</v>
      </c>
      <c r="C50" s="1" cm="1">
        <f t="array" ref="C50">_xlfn.SWITCH($A$2,"average", AVERAGE(Instances!C50:Instances!C50),"median", MEDIAN(Instances!C50:Instances!C50),"min", MIN(Instances!C50:Instances!C50),"max", MAX(Instances!C50:Instances!C50),"diff", MAX(Instances!C50:Instances!C50)-MIN(Instances!C50:Instances!C50))</f>
        <v>0</v>
      </c>
      <c r="D50" s="1" cm="1">
        <f t="array" ref="D50">_xlfn.SWITCH($A$2,"average", AVERAGE(Instances!D50:Instances!D50),"median", MEDIAN(Instances!D50:Instances!D50),"min", MIN(Instances!D50:Instances!D50),"max", MAX(Instances!D50:Instances!D50),"diff", MAX(Instances!D50:Instances!D50)-MIN(Instances!D50:Instances!D50))</f>
        <v>0</v>
      </c>
      <c r="E50" s="1" cm="1">
        <f t="array" ref="E50">_xlfn.SWITCH($A$2,"average", AVERAGE(Instances!E50:Instances!E50),"median", MEDIAN(Instances!E50:Instances!E50),"min", MIN(Instances!E50:Instances!E50),"max", MAX(Instances!E50:Instances!E50),"diff", MAX(Instances!E50:Instances!E50)-MIN(Instances!E50:Instances!E50))</f>
        <v>0</v>
      </c>
      <c r="F50" s="1" cm="1">
        <f t="array" ref="F50">_xlfn.SWITCH($A$2,"average", AVERAGE(Instances!F50:Instances!F50),"median", MEDIAN(Instances!F50:Instances!F50),"min", MIN(Instances!F50:Instances!F50),"max", MAX(Instances!F50:Instances!F50),"diff", MAX(Instances!F50:Instances!F50)-MIN(Instances!F50:Instances!F50))</f>
        <v>0</v>
      </c>
      <c r="G50" s="1" cm="1">
        <f t="array" ref="G50">_xlfn.SWITCH($A$2,"average", AVERAGE(Instances!G50:Instances!G50),"median", MEDIAN(Instances!G50:Instances!G50),"min", MIN(Instances!G50:Instances!G50),"max", MAX(Instances!G50:Instances!G50),"diff", MAX(Instances!G50:Instances!G50)-MIN(Instances!G50:Instances!G50))</f>
        <v>0</v>
      </c>
      <c r="H50" s="1" cm="1">
        <f t="array" ref="H50">_xlfn.SWITCH($A$2,"average", AVERAGE(Instances!H50:Instances!H50),"median", MEDIAN(Instances!H50:Instances!H50),"min", MIN(Instances!H50:Instances!H50),"max", MAX(Instances!H50:Instances!H50),"diff", MAX(Instances!H50:Instances!H50)-MIN(Instances!H50:Instances!H50))</f>
        <v>0</v>
      </c>
      <c r="I50" s="1" cm="1">
        <f t="array" ref="I50">_xlfn.SWITCH($A$2,"average", AVERAGE(Instances!I50:Instances!I50),"median", MEDIAN(Instances!I50:Instances!I50),"min", MIN(Instances!I50:Instances!I50),"max", MAX(Instances!I50:Instances!I50),"diff", MAX(Instances!I50:Instances!I50)-MIN(Instances!I50:Instances!I50))</f>
        <v>0</v>
      </c>
      <c r="J50" s="1" cm="1">
        <f t="array" ref="J50">_xlfn.SWITCH($A$2,"average", AVERAGE(Instances!J50:Instances!J50),"median", MEDIAN(Instances!J50:Instances!J50),"min", MIN(Instances!J50:Instances!J50),"max", MAX(Instances!J50:Instances!J50),"diff", MAX(Instances!J50:Instances!J50)-MIN(Instances!J50:Instances!J50))</f>
        <v>0</v>
      </c>
      <c r="K50" s="1" cm="1">
        <f t="array" ref="K50">_xlfn.SWITCH($A$2,"average", AVERAGE(Instances!K50:Instances!K50),"median", MEDIAN(Instances!K50:Instances!K50),"min", MIN(Instances!K50:Instances!K50),"max", MAX(Instances!K50:Instances!K50),"diff", MAX(Instances!K50:Instances!K50)-MIN(Instances!K50:Instances!K50))</f>
        <v>0</v>
      </c>
      <c r="L50" s="1"/>
      <c r="M50" s="1" cm="1">
        <f t="array" ref="M50">_xlfn.SWITCH($A$2,"average", AVERAGE(Instances!M50:Instances!M50),"median", MEDIAN(Instances!M50:Instances!M50),"min", MIN(Instances!M50:Instances!M50),"max", MAX(Instances!M50:Instances!M50),"diff", MAX(Instances!M50:Instances!M50)-MIN(Instances!M50:Instances!M50))</f>
        <v>0</v>
      </c>
      <c r="N50" s="1" cm="1">
        <f t="array" ref="N50">_xlfn.SWITCH($A$2,"average", AVERAGE(Instances!N50:Instances!N50),"median", MEDIAN(Instances!N50:Instances!N50),"min", MIN(Instances!N50:Instances!N50),"max", MAX(Instances!N50:Instances!N50),"diff", MAX(Instances!N50:Instances!N50)-MIN(Instances!N50:Instances!N50))</f>
        <v>0</v>
      </c>
      <c r="O50" s="1"/>
      <c r="P50" s="1" cm="1">
        <f t="array" ref="P50">_xlfn.SWITCH($A$2,"average", AVERAGE(Instances!P50:Instances!P50),"median", MEDIAN(Instances!P50:Instances!P50),"min", MIN(Instances!P50:Instances!P50),"max", MAX(Instances!P50:Instances!P50),"diff", MAX(Instances!P50:Instances!P50)-MIN(Instances!P50:Instances!P50))</f>
        <v>0</v>
      </c>
      <c r="Q50" s="1" cm="1">
        <f t="array" ref="Q50">_xlfn.SWITCH($A$2,"average", AVERAGE(Instances!Q50:Instances!Q50),"median", MEDIAN(Instances!Q50:Instances!Q50),"min", MIN(Instances!Q50:Instances!Q50),"max", MAX(Instances!Q50:Instances!Q50),"diff", MAX(Instances!Q50:Instances!Q50)-MIN(Instances!Q50:Instances!Q50))</f>
        <v>0</v>
      </c>
      <c r="R50" s="1" cm="1">
        <f t="array" ref="R50">_xlfn.SWITCH($A$2,"average", AVERAGE(Instances!R50:Instances!R50),"median", MEDIAN(Instances!R50:Instances!R50),"min", MIN(Instances!R50:Instances!R50),"max", MAX(Instances!R50:Instances!R50),"diff", MAX(Instances!R50:Instances!R50)-MIN(Instances!R50:Instances!R50))</f>
        <v>0</v>
      </c>
      <c r="S50" s="1">
        <f>MIN($B50)</f>
        <v>0</v>
      </c>
      <c r="T50" s="1">
        <f>MIN($C50)</f>
        <v>0</v>
      </c>
      <c r="U50" s="1">
        <f>MIN($D50)</f>
        <v>0</v>
      </c>
      <c r="V50" s="1">
        <f>MIN($E50)</f>
        <v>0</v>
      </c>
      <c r="W50" s="1">
        <f>MIN($F50)</f>
        <v>0</v>
      </c>
      <c r="X50" s="1">
        <f>MIN($G50)</f>
        <v>0</v>
      </c>
      <c r="Y50" s="1">
        <f>MIN($H50)</f>
        <v>0</v>
      </c>
      <c r="Z50" s="1">
        <f>MIN($I50)</f>
        <v>0</v>
      </c>
      <c r="AA50" s="1">
        <f>MIN($J50)</f>
        <v>0</v>
      </c>
      <c r="AB50" s="1">
        <f>MIN($K50)</f>
        <v>0</v>
      </c>
      <c r="AC50" s="1">
        <f>MIN($M50)</f>
        <v>0</v>
      </c>
      <c r="AD50" s="1">
        <f>MIN($N50)</f>
        <v>0</v>
      </c>
      <c r="AE50" s="1">
        <f>MIN($P50)</f>
        <v>0</v>
      </c>
      <c r="AF50" s="1">
        <f>MIN($Q50)</f>
        <v>0</v>
      </c>
      <c r="AG50" s="1">
        <f>MIN($R50)</f>
        <v>0</v>
      </c>
      <c r="AH50" s="1">
        <f>MEDIAN($B50)</f>
        <v>0</v>
      </c>
      <c r="AI50" s="1">
        <f>MEDIAN($C50)</f>
        <v>0</v>
      </c>
      <c r="AJ50" s="1">
        <f>MEDIAN($D50)</f>
        <v>0</v>
      </c>
      <c r="AK50" s="1">
        <f>MEDIAN($E50)</f>
        <v>0</v>
      </c>
      <c r="AL50" s="1">
        <f>MEDIAN($F50)</f>
        <v>0</v>
      </c>
      <c r="AM50" s="1">
        <f>MEDIAN($G50)</f>
        <v>0</v>
      </c>
      <c r="AN50" s="1">
        <f>MEDIAN($H50)</f>
        <v>0</v>
      </c>
      <c r="AO50" s="1">
        <f>MEDIAN($I50)</f>
        <v>0</v>
      </c>
      <c r="AP50" s="1">
        <f>MEDIAN($J50)</f>
        <v>0</v>
      </c>
      <c r="AQ50" s="1">
        <f>MEDIAN($K50)</f>
        <v>0</v>
      </c>
      <c r="AR50" s="1">
        <f>MEDIAN($M50)</f>
        <v>0</v>
      </c>
      <c r="AS50" s="1">
        <f>MEDIAN($N50)</f>
        <v>0</v>
      </c>
      <c r="AT50" s="1">
        <f>MEDIAN($P50)</f>
        <v>0</v>
      </c>
      <c r="AU50" s="1">
        <f>MEDIAN($Q50)</f>
        <v>0</v>
      </c>
      <c r="AV50" s="1">
        <f>MEDIAN($R50)</f>
        <v>0</v>
      </c>
      <c r="AW50" s="1">
        <f>MAX($B50)</f>
        <v>0</v>
      </c>
      <c r="AX50" s="1">
        <f>MAX($C50)</f>
        <v>0</v>
      </c>
      <c r="AY50" s="1">
        <f>MAX($D50)</f>
        <v>0</v>
      </c>
      <c r="AZ50" s="1">
        <f>MAX($E50)</f>
        <v>0</v>
      </c>
      <c r="BA50" s="1">
        <f>MAX($F50)</f>
        <v>0</v>
      </c>
      <c r="BB50" s="1">
        <f>MAX($G50)</f>
        <v>0</v>
      </c>
      <c r="BC50" s="1">
        <f>MAX($H50)</f>
        <v>0</v>
      </c>
      <c r="BD50" s="1">
        <f>MAX($I50)</f>
        <v>0</v>
      </c>
      <c r="BE50" s="1">
        <f>MAX($J50)</f>
        <v>0</v>
      </c>
      <c r="BF50" s="1">
        <f>MAX($K50)</f>
        <v>0</v>
      </c>
      <c r="BG50" s="1">
        <f>MAX($M50)</f>
        <v>0</v>
      </c>
      <c r="BH50" s="1">
        <f>MAX($N50)</f>
        <v>0</v>
      </c>
      <c r="BI50" s="1">
        <f>MAX($P50)</f>
        <v>0</v>
      </c>
      <c r="BJ50" s="1">
        <f>MAX($Q50)</f>
        <v>0</v>
      </c>
      <c r="BK50" s="1">
        <f>MAX($R50)</f>
        <v>0</v>
      </c>
    </row>
    <row r="51" spans="1:63">
      <c r="A51" s="1" t="s">
        <v>48</v>
      </c>
      <c r="B51" s="1" cm="1">
        <f t="array" ref="B51">_xlfn.SWITCH($A$2,"average", AVERAGE(Instances!B51:Instances!B51),"median", MEDIAN(Instances!B51:Instances!B51),"min", MIN(Instances!B51:Instances!B51),"max", MAX(Instances!B51:Instances!B51),"diff", MAX(Instances!B51:Instances!B51)-MIN(Instances!B51:Instances!B51))</f>
        <v>0</v>
      </c>
      <c r="C51" s="1" cm="1">
        <f t="array" ref="C51">_xlfn.SWITCH($A$2,"average", AVERAGE(Instances!C51:Instances!C51),"median", MEDIAN(Instances!C51:Instances!C51),"min", MIN(Instances!C51:Instances!C51),"max", MAX(Instances!C51:Instances!C51),"diff", MAX(Instances!C51:Instances!C51)-MIN(Instances!C51:Instances!C51))</f>
        <v>0</v>
      </c>
      <c r="D51" s="1" cm="1">
        <f t="array" ref="D51">_xlfn.SWITCH($A$2,"average", AVERAGE(Instances!D51:Instances!D51),"median", MEDIAN(Instances!D51:Instances!D51),"min", MIN(Instances!D51:Instances!D51),"max", MAX(Instances!D51:Instances!D51),"diff", MAX(Instances!D51:Instances!D51)-MIN(Instances!D51:Instances!D51))</f>
        <v>0</v>
      </c>
      <c r="E51" s="1" cm="1">
        <f t="array" ref="E51">_xlfn.SWITCH($A$2,"average", AVERAGE(Instances!E51:Instances!E51),"median", MEDIAN(Instances!E51:Instances!E51),"min", MIN(Instances!E51:Instances!E51),"max", MAX(Instances!E51:Instances!E51),"diff", MAX(Instances!E51:Instances!E51)-MIN(Instances!E51:Instances!E51))</f>
        <v>0</v>
      </c>
      <c r="F51" s="1" cm="1">
        <f t="array" ref="F51">_xlfn.SWITCH($A$2,"average", AVERAGE(Instances!F51:Instances!F51),"median", MEDIAN(Instances!F51:Instances!F51),"min", MIN(Instances!F51:Instances!F51),"max", MAX(Instances!F51:Instances!F51),"diff", MAX(Instances!F51:Instances!F51)-MIN(Instances!F51:Instances!F51))</f>
        <v>0</v>
      </c>
      <c r="G51" s="1" cm="1">
        <f t="array" ref="G51">_xlfn.SWITCH($A$2,"average", AVERAGE(Instances!G51:Instances!G51),"median", MEDIAN(Instances!G51:Instances!G51),"min", MIN(Instances!G51:Instances!G51),"max", MAX(Instances!G51:Instances!G51),"diff", MAX(Instances!G51:Instances!G51)-MIN(Instances!G51:Instances!G51))</f>
        <v>0</v>
      </c>
      <c r="H51" s="1" cm="1">
        <f t="array" ref="H51">_xlfn.SWITCH($A$2,"average", AVERAGE(Instances!H51:Instances!H51),"median", MEDIAN(Instances!H51:Instances!H51),"min", MIN(Instances!H51:Instances!H51),"max", MAX(Instances!H51:Instances!H51),"diff", MAX(Instances!H51:Instances!H51)-MIN(Instances!H51:Instances!H51))</f>
        <v>0</v>
      </c>
      <c r="I51" s="1" cm="1">
        <f t="array" ref="I51">_xlfn.SWITCH($A$2,"average", AVERAGE(Instances!I51:Instances!I51),"median", MEDIAN(Instances!I51:Instances!I51),"min", MIN(Instances!I51:Instances!I51),"max", MAX(Instances!I51:Instances!I51),"diff", MAX(Instances!I51:Instances!I51)-MIN(Instances!I51:Instances!I51))</f>
        <v>0</v>
      </c>
      <c r="J51" s="1" cm="1">
        <f t="array" ref="J51">_xlfn.SWITCH($A$2,"average", AVERAGE(Instances!J51:Instances!J51),"median", MEDIAN(Instances!J51:Instances!J51),"min", MIN(Instances!J51:Instances!J51),"max", MAX(Instances!J51:Instances!J51),"diff", MAX(Instances!J51:Instances!J51)-MIN(Instances!J51:Instances!J51))</f>
        <v>0</v>
      </c>
      <c r="K51" s="1" cm="1">
        <f t="array" ref="K51">_xlfn.SWITCH($A$2,"average", AVERAGE(Instances!K51:Instances!K51),"median", MEDIAN(Instances!K51:Instances!K51),"min", MIN(Instances!K51:Instances!K51),"max", MAX(Instances!K51:Instances!K51),"diff", MAX(Instances!K51:Instances!K51)-MIN(Instances!K51:Instances!K51))</f>
        <v>0</v>
      </c>
      <c r="L51" s="1"/>
      <c r="M51" s="1" cm="1">
        <f t="array" ref="M51">_xlfn.SWITCH($A$2,"average", AVERAGE(Instances!M51:Instances!M51),"median", MEDIAN(Instances!M51:Instances!M51),"min", MIN(Instances!M51:Instances!M51),"max", MAX(Instances!M51:Instances!M51),"diff", MAX(Instances!M51:Instances!M51)-MIN(Instances!M51:Instances!M51))</f>
        <v>0</v>
      </c>
      <c r="N51" s="1" cm="1">
        <f t="array" ref="N51">_xlfn.SWITCH($A$2,"average", AVERAGE(Instances!N51:Instances!N51),"median", MEDIAN(Instances!N51:Instances!N51),"min", MIN(Instances!N51:Instances!N51),"max", MAX(Instances!N51:Instances!N51),"diff", MAX(Instances!N51:Instances!N51)-MIN(Instances!N51:Instances!N51))</f>
        <v>0</v>
      </c>
      <c r="O51" s="1"/>
      <c r="P51" s="1" cm="1">
        <f t="array" ref="P51">_xlfn.SWITCH($A$2,"average", AVERAGE(Instances!P51:Instances!P51),"median", MEDIAN(Instances!P51:Instances!P51),"min", MIN(Instances!P51:Instances!P51),"max", MAX(Instances!P51:Instances!P51),"diff", MAX(Instances!P51:Instances!P51)-MIN(Instances!P51:Instances!P51))</f>
        <v>0</v>
      </c>
      <c r="Q51" s="1" cm="1">
        <f t="array" ref="Q51">_xlfn.SWITCH($A$2,"average", AVERAGE(Instances!Q51:Instances!Q51),"median", MEDIAN(Instances!Q51:Instances!Q51),"min", MIN(Instances!Q51:Instances!Q51),"max", MAX(Instances!Q51:Instances!Q51),"diff", MAX(Instances!Q51:Instances!Q51)-MIN(Instances!Q51:Instances!Q51))</f>
        <v>0</v>
      </c>
      <c r="R51" s="1" cm="1">
        <f t="array" ref="R51">_xlfn.SWITCH($A$2,"average", AVERAGE(Instances!R51:Instances!R51),"median", MEDIAN(Instances!R51:Instances!R51),"min", MIN(Instances!R51:Instances!R51),"max", MAX(Instances!R51:Instances!R51),"diff", MAX(Instances!R51:Instances!R51)-MIN(Instances!R51:Instances!R51))</f>
        <v>0</v>
      </c>
      <c r="S51" s="1">
        <f>MIN($B51)</f>
        <v>0</v>
      </c>
      <c r="T51" s="1">
        <f>MIN($C51)</f>
        <v>0</v>
      </c>
      <c r="U51" s="1">
        <f>MIN($D51)</f>
        <v>0</v>
      </c>
      <c r="V51" s="1">
        <f>MIN($E51)</f>
        <v>0</v>
      </c>
      <c r="W51" s="1">
        <f>MIN($F51)</f>
        <v>0</v>
      </c>
      <c r="X51" s="1">
        <f>MIN($G51)</f>
        <v>0</v>
      </c>
      <c r="Y51" s="1">
        <f>MIN($H51)</f>
        <v>0</v>
      </c>
      <c r="Z51" s="1">
        <f>MIN($I51)</f>
        <v>0</v>
      </c>
      <c r="AA51" s="1">
        <f>MIN($J51)</f>
        <v>0</v>
      </c>
      <c r="AB51" s="1">
        <f>MIN($K51)</f>
        <v>0</v>
      </c>
      <c r="AC51" s="1">
        <f>MIN($M51)</f>
        <v>0</v>
      </c>
      <c r="AD51" s="1">
        <f>MIN($N51)</f>
        <v>0</v>
      </c>
      <c r="AE51" s="1">
        <f>MIN($P51)</f>
        <v>0</v>
      </c>
      <c r="AF51" s="1">
        <f>MIN($Q51)</f>
        <v>0</v>
      </c>
      <c r="AG51" s="1">
        <f>MIN($R51)</f>
        <v>0</v>
      </c>
      <c r="AH51" s="1">
        <f>MEDIAN($B51)</f>
        <v>0</v>
      </c>
      <c r="AI51" s="1">
        <f>MEDIAN($C51)</f>
        <v>0</v>
      </c>
      <c r="AJ51" s="1">
        <f>MEDIAN($D51)</f>
        <v>0</v>
      </c>
      <c r="AK51" s="1">
        <f>MEDIAN($E51)</f>
        <v>0</v>
      </c>
      <c r="AL51" s="1">
        <f>MEDIAN($F51)</f>
        <v>0</v>
      </c>
      <c r="AM51" s="1">
        <f>MEDIAN($G51)</f>
        <v>0</v>
      </c>
      <c r="AN51" s="1">
        <f>MEDIAN($H51)</f>
        <v>0</v>
      </c>
      <c r="AO51" s="1">
        <f>MEDIAN($I51)</f>
        <v>0</v>
      </c>
      <c r="AP51" s="1">
        <f>MEDIAN($J51)</f>
        <v>0</v>
      </c>
      <c r="AQ51" s="1">
        <f>MEDIAN($K51)</f>
        <v>0</v>
      </c>
      <c r="AR51" s="1">
        <f>MEDIAN($M51)</f>
        <v>0</v>
      </c>
      <c r="AS51" s="1">
        <f>MEDIAN($N51)</f>
        <v>0</v>
      </c>
      <c r="AT51" s="1">
        <f>MEDIAN($P51)</f>
        <v>0</v>
      </c>
      <c r="AU51" s="1">
        <f>MEDIAN($Q51)</f>
        <v>0</v>
      </c>
      <c r="AV51" s="1">
        <f>MEDIAN($R51)</f>
        <v>0</v>
      </c>
      <c r="AW51" s="1">
        <f>MAX($B51)</f>
        <v>0</v>
      </c>
      <c r="AX51" s="1">
        <f>MAX($C51)</f>
        <v>0</v>
      </c>
      <c r="AY51" s="1">
        <f>MAX($D51)</f>
        <v>0</v>
      </c>
      <c r="AZ51" s="1">
        <f>MAX($E51)</f>
        <v>0</v>
      </c>
      <c r="BA51" s="1">
        <f>MAX($F51)</f>
        <v>0</v>
      </c>
      <c r="BB51" s="1">
        <f>MAX($G51)</f>
        <v>0</v>
      </c>
      <c r="BC51" s="1">
        <f>MAX($H51)</f>
        <v>0</v>
      </c>
      <c r="BD51" s="1">
        <f>MAX($I51)</f>
        <v>0</v>
      </c>
      <c r="BE51" s="1">
        <f>MAX($J51)</f>
        <v>0</v>
      </c>
      <c r="BF51" s="1">
        <f>MAX($K51)</f>
        <v>0</v>
      </c>
      <c r="BG51" s="1">
        <f>MAX($M51)</f>
        <v>0</v>
      </c>
      <c r="BH51" s="1">
        <f>MAX($N51)</f>
        <v>0</v>
      </c>
      <c r="BI51" s="1">
        <f>MAX($P51)</f>
        <v>0</v>
      </c>
      <c r="BJ51" s="1">
        <f>MAX($Q51)</f>
        <v>0</v>
      </c>
      <c r="BK51" s="1">
        <f>MAX($R51)</f>
        <v>0</v>
      </c>
    </row>
    <row r="52" spans="1:63">
      <c r="A52" s="1" t="s">
        <v>49</v>
      </c>
      <c r="B52" s="1" cm="1">
        <f t="array" ref="B52">_xlfn.SWITCH($A$2,"average", AVERAGE(Instances!B52:Instances!B52),"median", MEDIAN(Instances!B52:Instances!B52),"min", MIN(Instances!B52:Instances!B52),"max", MAX(Instances!B52:Instances!B52),"diff", MAX(Instances!B52:Instances!B52)-MIN(Instances!B52:Instances!B52))</f>
        <v>0</v>
      </c>
      <c r="C52" s="1" cm="1">
        <f t="array" ref="C52">_xlfn.SWITCH($A$2,"average", AVERAGE(Instances!C52:Instances!C52),"median", MEDIAN(Instances!C52:Instances!C52),"min", MIN(Instances!C52:Instances!C52),"max", MAX(Instances!C52:Instances!C52),"diff", MAX(Instances!C52:Instances!C52)-MIN(Instances!C52:Instances!C52))</f>
        <v>0</v>
      </c>
      <c r="D52" s="1" cm="1">
        <f t="array" ref="D52">_xlfn.SWITCH($A$2,"average", AVERAGE(Instances!D52:Instances!D52),"median", MEDIAN(Instances!D52:Instances!D52),"min", MIN(Instances!D52:Instances!D52),"max", MAX(Instances!D52:Instances!D52),"diff", MAX(Instances!D52:Instances!D52)-MIN(Instances!D52:Instances!D52))</f>
        <v>0</v>
      </c>
      <c r="E52" s="1" cm="1">
        <f t="array" ref="E52">_xlfn.SWITCH($A$2,"average", AVERAGE(Instances!E52:Instances!E52),"median", MEDIAN(Instances!E52:Instances!E52),"min", MIN(Instances!E52:Instances!E52),"max", MAX(Instances!E52:Instances!E52),"diff", MAX(Instances!E52:Instances!E52)-MIN(Instances!E52:Instances!E52))</f>
        <v>0</v>
      </c>
      <c r="F52" s="1" cm="1">
        <f t="array" ref="F52">_xlfn.SWITCH($A$2,"average", AVERAGE(Instances!F52:Instances!F52),"median", MEDIAN(Instances!F52:Instances!F52),"min", MIN(Instances!F52:Instances!F52),"max", MAX(Instances!F52:Instances!F52),"diff", MAX(Instances!F52:Instances!F52)-MIN(Instances!F52:Instances!F52))</f>
        <v>0</v>
      </c>
      <c r="G52" s="1" cm="1">
        <f t="array" ref="G52">_xlfn.SWITCH($A$2,"average", AVERAGE(Instances!G52:Instances!G52),"median", MEDIAN(Instances!G52:Instances!G52),"min", MIN(Instances!G52:Instances!G52),"max", MAX(Instances!G52:Instances!G52),"diff", MAX(Instances!G52:Instances!G52)-MIN(Instances!G52:Instances!G52))</f>
        <v>0</v>
      </c>
      <c r="H52" s="1" cm="1">
        <f t="array" ref="H52">_xlfn.SWITCH($A$2,"average", AVERAGE(Instances!H52:Instances!H52),"median", MEDIAN(Instances!H52:Instances!H52),"min", MIN(Instances!H52:Instances!H52),"max", MAX(Instances!H52:Instances!H52),"diff", MAX(Instances!H52:Instances!H52)-MIN(Instances!H52:Instances!H52))</f>
        <v>0</v>
      </c>
      <c r="I52" s="1" cm="1">
        <f t="array" ref="I52">_xlfn.SWITCH($A$2,"average", AVERAGE(Instances!I52:Instances!I52),"median", MEDIAN(Instances!I52:Instances!I52),"min", MIN(Instances!I52:Instances!I52),"max", MAX(Instances!I52:Instances!I52),"diff", MAX(Instances!I52:Instances!I52)-MIN(Instances!I52:Instances!I52))</f>
        <v>0</v>
      </c>
      <c r="J52" s="1" cm="1">
        <f t="array" ref="J52">_xlfn.SWITCH($A$2,"average", AVERAGE(Instances!J52:Instances!J52),"median", MEDIAN(Instances!J52:Instances!J52),"min", MIN(Instances!J52:Instances!J52),"max", MAX(Instances!J52:Instances!J52),"diff", MAX(Instances!J52:Instances!J52)-MIN(Instances!J52:Instances!J52))</f>
        <v>0</v>
      </c>
      <c r="K52" s="1" cm="1">
        <f t="array" ref="K52">_xlfn.SWITCH($A$2,"average", AVERAGE(Instances!K52:Instances!K52),"median", MEDIAN(Instances!K52:Instances!K52),"min", MIN(Instances!K52:Instances!K52),"max", MAX(Instances!K52:Instances!K52),"diff", MAX(Instances!K52:Instances!K52)-MIN(Instances!K52:Instances!K52))</f>
        <v>0</v>
      </c>
      <c r="L52" s="1"/>
      <c r="M52" s="1" cm="1">
        <f t="array" ref="M52">_xlfn.SWITCH($A$2,"average", AVERAGE(Instances!M52:Instances!M52),"median", MEDIAN(Instances!M52:Instances!M52),"min", MIN(Instances!M52:Instances!M52),"max", MAX(Instances!M52:Instances!M52),"diff", MAX(Instances!M52:Instances!M52)-MIN(Instances!M52:Instances!M52))</f>
        <v>0</v>
      </c>
      <c r="N52" s="1" cm="1">
        <f t="array" ref="N52">_xlfn.SWITCH($A$2,"average", AVERAGE(Instances!N52:Instances!N52),"median", MEDIAN(Instances!N52:Instances!N52),"min", MIN(Instances!N52:Instances!N52),"max", MAX(Instances!N52:Instances!N52),"diff", MAX(Instances!N52:Instances!N52)-MIN(Instances!N52:Instances!N52))</f>
        <v>0</v>
      </c>
      <c r="O52" s="1"/>
      <c r="P52" s="1" cm="1">
        <f t="array" ref="P52">_xlfn.SWITCH($A$2,"average", AVERAGE(Instances!P52:Instances!P52),"median", MEDIAN(Instances!P52:Instances!P52),"min", MIN(Instances!P52:Instances!P52),"max", MAX(Instances!P52:Instances!P52),"diff", MAX(Instances!P52:Instances!P52)-MIN(Instances!P52:Instances!P52))</f>
        <v>0</v>
      </c>
      <c r="Q52" s="1" cm="1">
        <f t="array" ref="Q52">_xlfn.SWITCH($A$2,"average", AVERAGE(Instances!Q52:Instances!Q52),"median", MEDIAN(Instances!Q52:Instances!Q52),"min", MIN(Instances!Q52:Instances!Q52),"max", MAX(Instances!Q52:Instances!Q52),"diff", MAX(Instances!Q52:Instances!Q52)-MIN(Instances!Q52:Instances!Q52))</f>
        <v>0</v>
      </c>
      <c r="R52" s="1" cm="1">
        <f t="array" ref="R52">_xlfn.SWITCH($A$2,"average", AVERAGE(Instances!R52:Instances!R52),"median", MEDIAN(Instances!R52:Instances!R52),"min", MIN(Instances!R52:Instances!R52),"max", MAX(Instances!R52:Instances!R52),"diff", MAX(Instances!R52:Instances!R52)-MIN(Instances!R52:Instances!R52))</f>
        <v>0</v>
      </c>
      <c r="S52" s="1">
        <f>MIN($B52)</f>
        <v>0</v>
      </c>
      <c r="T52" s="1">
        <f>MIN($C52)</f>
        <v>0</v>
      </c>
      <c r="U52" s="1">
        <f>MIN($D52)</f>
        <v>0</v>
      </c>
      <c r="V52" s="1">
        <f>MIN($E52)</f>
        <v>0</v>
      </c>
      <c r="W52" s="1">
        <f>MIN($F52)</f>
        <v>0</v>
      </c>
      <c r="X52" s="1">
        <f>MIN($G52)</f>
        <v>0</v>
      </c>
      <c r="Y52" s="1">
        <f>MIN($H52)</f>
        <v>0</v>
      </c>
      <c r="Z52" s="1">
        <f>MIN($I52)</f>
        <v>0</v>
      </c>
      <c r="AA52" s="1">
        <f>MIN($J52)</f>
        <v>0</v>
      </c>
      <c r="AB52" s="1">
        <f>MIN($K52)</f>
        <v>0</v>
      </c>
      <c r="AC52" s="1">
        <f>MIN($M52)</f>
        <v>0</v>
      </c>
      <c r="AD52" s="1">
        <f>MIN($N52)</f>
        <v>0</v>
      </c>
      <c r="AE52" s="1">
        <f>MIN($P52)</f>
        <v>0</v>
      </c>
      <c r="AF52" s="1">
        <f>MIN($Q52)</f>
        <v>0</v>
      </c>
      <c r="AG52" s="1">
        <f>MIN($R52)</f>
        <v>0</v>
      </c>
      <c r="AH52" s="1">
        <f>MEDIAN($B52)</f>
        <v>0</v>
      </c>
      <c r="AI52" s="1">
        <f>MEDIAN($C52)</f>
        <v>0</v>
      </c>
      <c r="AJ52" s="1">
        <f>MEDIAN($D52)</f>
        <v>0</v>
      </c>
      <c r="AK52" s="1">
        <f>MEDIAN($E52)</f>
        <v>0</v>
      </c>
      <c r="AL52" s="1">
        <f>MEDIAN($F52)</f>
        <v>0</v>
      </c>
      <c r="AM52" s="1">
        <f>MEDIAN($G52)</f>
        <v>0</v>
      </c>
      <c r="AN52" s="1">
        <f>MEDIAN($H52)</f>
        <v>0</v>
      </c>
      <c r="AO52" s="1">
        <f>MEDIAN($I52)</f>
        <v>0</v>
      </c>
      <c r="AP52" s="1">
        <f>MEDIAN($J52)</f>
        <v>0</v>
      </c>
      <c r="AQ52" s="1">
        <f>MEDIAN($K52)</f>
        <v>0</v>
      </c>
      <c r="AR52" s="1">
        <f>MEDIAN($M52)</f>
        <v>0</v>
      </c>
      <c r="AS52" s="1">
        <f>MEDIAN($N52)</f>
        <v>0</v>
      </c>
      <c r="AT52" s="1">
        <f>MEDIAN($P52)</f>
        <v>0</v>
      </c>
      <c r="AU52" s="1">
        <f>MEDIAN($Q52)</f>
        <v>0</v>
      </c>
      <c r="AV52" s="1">
        <f>MEDIAN($R52)</f>
        <v>0</v>
      </c>
      <c r="AW52" s="1">
        <f>MAX($B52)</f>
        <v>0</v>
      </c>
      <c r="AX52" s="1">
        <f>MAX($C52)</f>
        <v>0</v>
      </c>
      <c r="AY52" s="1">
        <f>MAX($D52)</f>
        <v>0</v>
      </c>
      <c r="AZ52" s="1">
        <f>MAX($E52)</f>
        <v>0</v>
      </c>
      <c r="BA52" s="1">
        <f>MAX($F52)</f>
        <v>0</v>
      </c>
      <c r="BB52" s="1">
        <f>MAX($G52)</f>
        <v>0</v>
      </c>
      <c r="BC52" s="1">
        <f>MAX($H52)</f>
        <v>0</v>
      </c>
      <c r="BD52" s="1">
        <f>MAX($I52)</f>
        <v>0</v>
      </c>
      <c r="BE52" s="1">
        <f>MAX($J52)</f>
        <v>0</v>
      </c>
      <c r="BF52" s="1">
        <f>MAX($K52)</f>
        <v>0</v>
      </c>
      <c r="BG52" s="1">
        <f>MAX($M52)</f>
        <v>0</v>
      </c>
      <c r="BH52" s="1">
        <f>MAX($N52)</f>
        <v>0</v>
      </c>
      <c r="BI52" s="1">
        <f>MAX($P52)</f>
        <v>0</v>
      </c>
      <c r="BJ52" s="1">
        <f>MAX($Q52)</f>
        <v>0</v>
      </c>
      <c r="BK52" s="1">
        <f>MAX($R52)</f>
        <v>0</v>
      </c>
    </row>
    <row r="53" spans="1:63">
      <c r="A53" s="1" t="s">
        <v>50</v>
      </c>
      <c r="B53" s="1" cm="1">
        <f t="array" ref="B53">_xlfn.SWITCH($A$2,"average", AVERAGE(Instances!B53:Instances!B53),"median", MEDIAN(Instances!B53:Instances!B53),"min", MIN(Instances!B53:Instances!B53),"max", MAX(Instances!B53:Instances!B53),"diff", MAX(Instances!B53:Instances!B53)-MIN(Instances!B53:Instances!B53))</f>
        <v>0</v>
      </c>
      <c r="C53" s="1" cm="1">
        <f t="array" ref="C53">_xlfn.SWITCH($A$2,"average", AVERAGE(Instances!C53:Instances!C53),"median", MEDIAN(Instances!C53:Instances!C53),"min", MIN(Instances!C53:Instances!C53),"max", MAX(Instances!C53:Instances!C53),"diff", MAX(Instances!C53:Instances!C53)-MIN(Instances!C53:Instances!C53))</f>
        <v>0</v>
      </c>
      <c r="D53" s="1" cm="1">
        <f t="array" ref="D53">_xlfn.SWITCH($A$2,"average", AVERAGE(Instances!D53:Instances!D53),"median", MEDIAN(Instances!D53:Instances!D53),"min", MIN(Instances!D53:Instances!D53),"max", MAX(Instances!D53:Instances!D53),"diff", MAX(Instances!D53:Instances!D53)-MIN(Instances!D53:Instances!D53))</f>
        <v>0</v>
      </c>
      <c r="E53" s="1" cm="1">
        <f t="array" ref="E53">_xlfn.SWITCH($A$2,"average", AVERAGE(Instances!E53:Instances!E53),"median", MEDIAN(Instances!E53:Instances!E53),"min", MIN(Instances!E53:Instances!E53),"max", MAX(Instances!E53:Instances!E53),"diff", MAX(Instances!E53:Instances!E53)-MIN(Instances!E53:Instances!E53))</f>
        <v>0</v>
      </c>
      <c r="F53" s="1" cm="1">
        <f t="array" ref="F53">_xlfn.SWITCH($A$2,"average", AVERAGE(Instances!F53:Instances!F53),"median", MEDIAN(Instances!F53:Instances!F53),"min", MIN(Instances!F53:Instances!F53),"max", MAX(Instances!F53:Instances!F53),"diff", MAX(Instances!F53:Instances!F53)-MIN(Instances!F53:Instances!F53))</f>
        <v>0</v>
      </c>
      <c r="G53" s="1" cm="1">
        <f t="array" ref="G53">_xlfn.SWITCH($A$2,"average", AVERAGE(Instances!G53:Instances!G53),"median", MEDIAN(Instances!G53:Instances!G53),"min", MIN(Instances!G53:Instances!G53),"max", MAX(Instances!G53:Instances!G53),"diff", MAX(Instances!G53:Instances!G53)-MIN(Instances!G53:Instances!G53))</f>
        <v>0</v>
      </c>
      <c r="H53" s="1" cm="1">
        <f t="array" ref="H53">_xlfn.SWITCH($A$2,"average", AVERAGE(Instances!H53:Instances!H53),"median", MEDIAN(Instances!H53:Instances!H53),"min", MIN(Instances!H53:Instances!H53),"max", MAX(Instances!H53:Instances!H53),"diff", MAX(Instances!H53:Instances!H53)-MIN(Instances!H53:Instances!H53))</f>
        <v>0</v>
      </c>
      <c r="I53" s="1" cm="1">
        <f t="array" ref="I53">_xlfn.SWITCH($A$2,"average", AVERAGE(Instances!I53:Instances!I53),"median", MEDIAN(Instances!I53:Instances!I53),"min", MIN(Instances!I53:Instances!I53),"max", MAX(Instances!I53:Instances!I53),"diff", MAX(Instances!I53:Instances!I53)-MIN(Instances!I53:Instances!I53))</f>
        <v>0</v>
      </c>
      <c r="J53" s="1" cm="1">
        <f t="array" ref="J53">_xlfn.SWITCH($A$2,"average", AVERAGE(Instances!J53:Instances!J53),"median", MEDIAN(Instances!J53:Instances!J53),"min", MIN(Instances!J53:Instances!J53),"max", MAX(Instances!J53:Instances!J53),"diff", MAX(Instances!J53:Instances!J53)-MIN(Instances!J53:Instances!J53))</f>
        <v>0</v>
      </c>
      <c r="K53" s="1" cm="1">
        <f t="array" ref="K53">_xlfn.SWITCH($A$2,"average", AVERAGE(Instances!K53:Instances!K53),"median", MEDIAN(Instances!K53:Instances!K53),"min", MIN(Instances!K53:Instances!K53),"max", MAX(Instances!K53:Instances!K53),"diff", MAX(Instances!K53:Instances!K53)-MIN(Instances!K53:Instances!K53))</f>
        <v>0</v>
      </c>
      <c r="L53" s="1"/>
      <c r="M53" s="1" cm="1">
        <f t="array" ref="M53">_xlfn.SWITCH($A$2,"average", AVERAGE(Instances!M53:Instances!M53),"median", MEDIAN(Instances!M53:Instances!M53),"min", MIN(Instances!M53:Instances!M53),"max", MAX(Instances!M53:Instances!M53),"diff", MAX(Instances!M53:Instances!M53)-MIN(Instances!M53:Instances!M53))</f>
        <v>0</v>
      </c>
      <c r="N53" s="1" cm="1">
        <f t="array" ref="N53">_xlfn.SWITCH($A$2,"average", AVERAGE(Instances!N53:Instances!N53),"median", MEDIAN(Instances!N53:Instances!N53),"min", MIN(Instances!N53:Instances!N53),"max", MAX(Instances!N53:Instances!N53),"diff", MAX(Instances!N53:Instances!N53)-MIN(Instances!N53:Instances!N53))</f>
        <v>0</v>
      </c>
      <c r="O53" s="1"/>
      <c r="P53" s="1" cm="1">
        <f t="array" ref="P53">_xlfn.SWITCH($A$2,"average", AVERAGE(Instances!P53:Instances!P53),"median", MEDIAN(Instances!P53:Instances!P53),"min", MIN(Instances!P53:Instances!P53),"max", MAX(Instances!P53:Instances!P53),"diff", MAX(Instances!P53:Instances!P53)-MIN(Instances!P53:Instances!P53))</f>
        <v>0</v>
      </c>
      <c r="Q53" s="1" cm="1">
        <f t="array" ref="Q53">_xlfn.SWITCH($A$2,"average", AVERAGE(Instances!Q53:Instances!Q53),"median", MEDIAN(Instances!Q53:Instances!Q53),"min", MIN(Instances!Q53:Instances!Q53),"max", MAX(Instances!Q53:Instances!Q53),"diff", MAX(Instances!Q53:Instances!Q53)-MIN(Instances!Q53:Instances!Q53))</f>
        <v>0</v>
      </c>
      <c r="R53" s="1" cm="1">
        <f t="array" ref="R53">_xlfn.SWITCH($A$2,"average", AVERAGE(Instances!R53:Instances!R53),"median", MEDIAN(Instances!R53:Instances!R53),"min", MIN(Instances!R53:Instances!R53),"max", MAX(Instances!R53:Instances!R53),"diff", MAX(Instances!R53:Instances!R53)-MIN(Instances!R53:Instances!R53))</f>
        <v>0</v>
      </c>
      <c r="S53" s="1">
        <f>MIN($B53)</f>
        <v>0</v>
      </c>
      <c r="T53" s="1">
        <f>MIN($C53)</f>
        <v>0</v>
      </c>
      <c r="U53" s="1">
        <f>MIN($D53)</f>
        <v>0</v>
      </c>
      <c r="V53" s="1">
        <f>MIN($E53)</f>
        <v>0</v>
      </c>
      <c r="W53" s="1">
        <f>MIN($F53)</f>
        <v>0</v>
      </c>
      <c r="X53" s="1">
        <f>MIN($G53)</f>
        <v>0</v>
      </c>
      <c r="Y53" s="1">
        <f>MIN($H53)</f>
        <v>0</v>
      </c>
      <c r="Z53" s="1">
        <f>MIN($I53)</f>
        <v>0</v>
      </c>
      <c r="AA53" s="1">
        <f>MIN($J53)</f>
        <v>0</v>
      </c>
      <c r="AB53" s="1">
        <f>MIN($K53)</f>
        <v>0</v>
      </c>
      <c r="AC53" s="1">
        <f>MIN($M53)</f>
        <v>0</v>
      </c>
      <c r="AD53" s="1">
        <f>MIN($N53)</f>
        <v>0</v>
      </c>
      <c r="AE53" s="1">
        <f>MIN($P53)</f>
        <v>0</v>
      </c>
      <c r="AF53" s="1">
        <f>MIN($Q53)</f>
        <v>0</v>
      </c>
      <c r="AG53" s="1">
        <f>MIN($R53)</f>
        <v>0</v>
      </c>
      <c r="AH53" s="1">
        <f>MEDIAN($B53)</f>
        <v>0</v>
      </c>
      <c r="AI53" s="1">
        <f>MEDIAN($C53)</f>
        <v>0</v>
      </c>
      <c r="AJ53" s="1">
        <f>MEDIAN($D53)</f>
        <v>0</v>
      </c>
      <c r="AK53" s="1">
        <f>MEDIAN($E53)</f>
        <v>0</v>
      </c>
      <c r="AL53" s="1">
        <f>MEDIAN($F53)</f>
        <v>0</v>
      </c>
      <c r="AM53" s="1">
        <f>MEDIAN($G53)</f>
        <v>0</v>
      </c>
      <c r="AN53" s="1">
        <f>MEDIAN($H53)</f>
        <v>0</v>
      </c>
      <c r="AO53" s="1">
        <f>MEDIAN($I53)</f>
        <v>0</v>
      </c>
      <c r="AP53" s="1">
        <f>MEDIAN($J53)</f>
        <v>0</v>
      </c>
      <c r="AQ53" s="1">
        <f>MEDIAN($K53)</f>
        <v>0</v>
      </c>
      <c r="AR53" s="1">
        <f>MEDIAN($M53)</f>
        <v>0</v>
      </c>
      <c r="AS53" s="1">
        <f>MEDIAN($N53)</f>
        <v>0</v>
      </c>
      <c r="AT53" s="1">
        <f>MEDIAN($P53)</f>
        <v>0</v>
      </c>
      <c r="AU53" s="1">
        <f>MEDIAN($Q53)</f>
        <v>0</v>
      </c>
      <c r="AV53" s="1">
        <f>MEDIAN($R53)</f>
        <v>0</v>
      </c>
      <c r="AW53" s="1">
        <f>MAX($B53)</f>
        <v>0</v>
      </c>
      <c r="AX53" s="1">
        <f>MAX($C53)</f>
        <v>0</v>
      </c>
      <c r="AY53" s="1">
        <f>MAX($D53)</f>
        <v>0</v>
      </c>
      <c r="AZ53" s="1">
        <f>MAX($E53)</f>
        <v>0</v>
      </c>
      <c r="BA53" s="1">
        <f>MAX($F53)</f>
        <v>0</v>
      </c>
      <c r="BB53" s="1">
        <f>MAX($G53)</f>
        <v>0</v>
      </c>
      <c r="BC53" s="1">
        <f>MAX($H53)</f>
        <v>0</v>
      </c>
      <c r="BD53" s="1">
        <f>MAX($I53)</f>
        <v>0</v>
      </c>
      <c r="BE53" s="1">
        <f>MAX($J53)</f>
        <v>0</v>
      </c>
      <c r="BF53" s="1">
        <f>MAX($K53)</f>
        <v>0</v>
      </c>
      <c r="BG53" s="1">
        <f>MAX($M53)</f>
        <v>0</v>
      </c>
      <c r="BH53" s="1">
        <f>MAX($N53)</f>
        <v>0</v>
      </c>
      <c r="BI53" s="1">
        <f>MAX($P53)</f>
        <v>0</v>
      </c>
      <c r="BJ53" s="1">
        <f>MAX($Q53)</f>
        <v>0</v>
      </c>
      <c r="BK53" s="1">
        <f>MAX($R53)</f>
        <v>0</v>
      </c>
    </row>
    <row r="54" spans="1:63">
      <c r="A54" s="1" t="s">
        <v>51</v>
      </c>
      <c r="B54" s="1" cm="1">
        <f t="array" ref="B54">_xlfn.SWITCH($A$2,"average", AVERAGE(Instances!B54:Instances!B54),"median", MEDIAN(Instances!B54:Instances!B54),"min", MIN(Instances!B54:Instances!B54),"max", MAX(Instances!B54:Instances!B54),"diff", MAX(Instances!B54:Instances!B54)-MIN(Instances!B54:Instances!B54))</f>
        <v>0</v>
      </c>
      <c r="C54" s="1" cm="1">
        <f t="array" ref="C54">_xlfn.SWITCH($A$2,"average", AVERAGE(Instances!C54:Instances!C54),"median", MEDIAN(Instances!C54:Instances!C54),"min", MIN(Instances!C54:Instances!C54),"max", MAX(Instances!C54:Instances!C54),"diff", MAX(Instances!C54:Instances!C54)-MIN(Instances!C54:Instances!C54))</f>
        <v>0</v>
      </c>
      <c r="D54" s="1" cm="1">
        <f t="array" ref="D54">_xlfn.SWITCH($A$2,"average", AVERAGE(Instances!D54:Instances!D54),"median", MEDIAN(Instances!D54:Instances!D54),"min", MIN(Instances!D54:Instances!D54),"max", MAX(Instances!D54:Instances!D54),"diff", MAX(Instances!D54:Instances!D54)-MIN(Instances!D54:Instances!D54))</f>
        <v>0</v>
      </c>
      <c r="E54" s="1" cm="1">
        <f t="array" ref="E54">_xlfn.SWITCH($A$2,"average", AVERAGE(Instances!E54:Instances!E54),"median", MEDIAN(Instances!E54:Instances!E54),"min", MIN(Instances!E54:Instances!E54),"max", MAX(Instances!E54:Instances!E54),"diff", MAX(Instances!E54:Instances!E54)-MIN(Instances!E54:Instances!E54))</f>
        <v>0</v>
      </c>
      <c r="F54" s="1" cm="1">
        <f t="array" ref="F54">_xlfn.SWITCH($A$2,"average", AVERAGE(Instances!F54:Instances!F54),"median", MEDIAN(Instances!F54:Instances!F54),"min", MIN(Instances!F54:Instances!F54),"max", MAX(Instances!F54:Instances!F54),"diff", MAX(Instances!F54:Instances!F54)-MIN(Instances!F54:Instances!F54))</f>
        <v>0</v>
      </c>
      <c r="G54" s="1" cm="1">
        <f t="array" ref="G54">_xlfn.SWITCH($A$2,"average", AVERAGE(Instances!G54:Instances!G54),"median", MEDIAN(Instances!G54:Instances!G54),"min", MIN(Instances!G54:Instances!G54),"max", MAX(Instances!G54:Instances!G54),"diff", MAX(Instances!G54:Instances!G54)-MIN(Instances!G54:Instances!G54))</f>
        <v>0</v>
      </c>
      <c r="H54" s="1" cm="1">
        <f t="array" ref="H54">_xlfn.SWITCH($A$2,"average", AVERAGE(Instances!H54:Instances!H54),"median", MEDIAN(Instances!H54:Instances!H54),"min", MIN(Instances!H54:Instances!H54),"max", MAX(Instances!H54:Instances!H54),"diff", MAX(Instances!H54:Instances!H54)-MIN(Instances!H54:Instances!H54))</f>
        <v>0</v>
      </c>
      <c r="I54" s="1" cm="1">
        <f t="array" ref="I54">_xlfn.SWITCH($A$2,"average", AVERAGE(Instances!I54:Instances!I54),"median", MEDIAN(Instances!I54:Instances!I54),"min", MIN(Instances!I54:Instances!I54),"max", MAX(Instances!I54:Instances!I54),"diff", MAX(Instances!I54:Instances!I54)-MIN(Instances!I54:Instances!I54))</f>
        <v>0</v>
      </c>
      <c r="J54" s="1" cm="1">
        <f t="array" ref="J54">_xlfn.SWITCH($A$2,"average", AVERAGE(Instances!J54:Instances!J54),"median", MEDIAN(Instances!J54:Instances!J54),"min", MIN(Instances!J54:Instances!J54),"max", MAX(Instances!J54:Instances!J54),"diff", MAX(Instances!J54:Instances!J54)-MIN(Instances!J54:Instances!J54))</f>
        <v>0</v>
      </c>
      <c r="K54" s="1" cm="1">
        <f t="array" ref="K54">_xlfn.SWITCH($A$2,"average", AVERAGE(Instances!K54:Instances!K54),"median", MEDIAN(Instances!K54:Instances!K54),"min", MIN(Instances!K54:Instances!K54),"max", MAX(Instances!K54:Instances!K54),"diff", MAX(Instances!K54:Instances!K54)-MIN(Instances!K54:Instances!K54))</f>
        <v>0</v>
      </c>
      <c r="L54" s="1"/>
      <c r="M54" s="1" cm="1">
        <f t="array" ref="M54">_xlfn.SWITCH($A$2,"average", AVERAGE(Instances!M54:Instances!M54),"median", MEDIAN(Instances!M54:Instances!M54),"min", MIN(Instances!M54:Instances!M54),"max", MAX(Instances!M54:Instances!M54),"diff", MAX(Instances!M54:Instances!M54)-MIN(Instances!M54:Instances!M54))</f>
        <v>0</v>
      </c>
      <c r="N54" s="1" cm="1">
        <f t="array" ref="N54">_xlfn.SWITCH($A$2,"average", AVERAGE(Instances!N54:Instances!N54),"median", MEDIAN(Instances!N54:Instances!N54),"min", MIN(Instances!N54:Instances!N54),"max", MAX(Instances!N54:Instances!N54),"diff", MAX(Instances!N54:Instances!N54)-MIN(Instances!N54:Instances!N54))</f>
        <v>0</v>
      </c>
      <c r="O54" s="1"/>
      <c r="P54" s="1" cm="1">
        <f t="array" ref="P54">_xlfn.SWITCH($A$2,"average", AVERAGE(Instances!P54:Instances!P54),"median", MEDIAN(Instances!P54:Instances!P54),"min", MIN(Instances!P54:Instances!P54),"max", MAX(Instances!P54:Instances!P54),"diff", MAX(Instances!P54:Instances!P54)-MIN(Instances!P54:Instances!P54))</f>
        <v>0</v>
      </c>
      <c r="Q54" s="1" cm="1">
        <f t="array" ref="Q54">_xlfn.SWITCH($A$2,"average", AVERAGE(Instances!Q54:Instances!Q54),"median", MEDIAN(Instances!Q54:Instances!Q54),"min", MIN(Instances!Q54:Instances!Q54),"max", MAX(Instances!Q54:Instances!Q54),"diff", MAX(Instances!Q54:Instances!Q54)-MIN(Instances!Q54:Instances!Q54))</f>
        <v>0</v>
      </c>
      <c r="R54" s="1" cm="1">
        <f t="array" ref="R54">_xlfn.SWITCH($A$2,"average", AVERAGE(Instances!R54:Instances!R54),"median", MEDIAN(Instances!R54:Instances!R54),"min", MIN(Instances!R54:Instances!R54),"max", MAX(Instances!R54:Instances!R54),"diff", MAX(Instances!R54:Instances!R54)-MIN(Instances!R54:Instances!R54))</f>
        <v>0</v>
      </c>
      <c r="S54" s="1">
        <f>MIN($B54)</f>
        <v>0</v>
      </c>
      <c r="T54" s="1">
        <f>MIN($C54)</f>
        <v>0</v>
      </c>
      <c r="U54" s="1">
        <f>MIN($D54)</f>
        <v>0</v>
      </c>
      <c r="V54" s="1">
        <f>MIN($E54)</f>
        <v>0</v>
      </c>
      <c r="W54" s="1">
        <f>MIN($F54)</f>
        <v>0</v>
      </c>
      <c r="X54" s="1">
        <f>MIN($G54)</f>
        <v>0</v>
      </c>
      <c r="Y54" s="1">
        <f>MIN($H54)</f>
        <v>0</v>
      </c>
      <c r="Z54" s="1">
        <f>MIN($I54)</f>
        <v>0</v>
      </c>
      <c r="AA54" s="1">
        <f>MIN($J54)</f>
        <v>0</v>
      </c>
      <c r="AB54" s="1">
        <f>MIN($K54)</f>
        <v>0</v>
      </c>
      <c r="AC54" s="1">
        <f>MIN($M54)</f>
        <v>0</v>
      </c>
      <c r="AD54" s="1">
        <f>MIN($N54)</f>
        <v>0</v>
      </c>
      <c r="AE54" s="1">
        <f>MIN($P54)</f>
        <v>0</v>
      </c>
      <c r="AF54" s="1">
        <f>MIN($Q54)</f>
        <v>0</v>
      </c>
      <c r="AG54" s="1">
        <f>MIN($R54)</f>
        <v>0</v>
      </c>
      <c r="AH54" s="1">
        <f>MEDIAN($B54)</f>
        <v>0</v>
      </c>
      <c r="AI54" s="1">
        <f>MEDIAN($C54)</f>
        <v>0</v>
      </c>
      <c r="AJ54" s="1">
        <f>MEDIAN($D54)</f>
        <v>0</v>
      </c>
      <c r="AK54" s="1">
        <f>MEDIAN($E54)</f>
        <v>0</v>
      </c>
      <c r="AL54" s="1">
        <f>MEDIAN($F54)</f>
        <v>0</v>
      </c>
      <c r="AM54" s="1">
        <f>MEDIAN($G54)</f>
        <v>0</v>
      </c>
      <c r="AN54" s="1">
        <f>MEDIAN($H54)</f>
        <v>0</v>
      </c>
      <c r="AO54" s="1">
        <f>MEDIAN($I54)</f>
        <v>0</v>
      </c>
      <c r="AP54" s="1">
        <f>MEDIAN($J54)</f>
        <v>0</v>
      </c>
      <c r="AQ54" s="1">
        <f>MEDIAN($K54)</f>
        <v>0</v>
      </c>
      <c r="AR54" s="1">
        <f>MEDIAN($M54)</f>
        <v>0</v>
      </c>
      <c r="AS54" s="1">
        <f>MEDIAN($N54)</f>
        <v>0</v>
      </c>
      <c r="AT54" s="1">
        <f>MEDIAN($P54)</f>
        <v>0</v>
      </c>
      <c r="AU54" s="1">
        <f>MEDIAN($Q54)</f>
        <v>0</v>
      </c>
      <c r="AV54" s="1">
        <f>MEDIAN($R54)</f>
        <v>0</v>
      </c>
      <c r="AW54" s="1">
        <f>MAX($B54)</f>
        <v>0</v>
      </c>
      <c r="AX54" s="1">
        <f>MAX($C54)</f>
        <v>0</v>
      </c>
      <c r="AY54" s="1">
        <f>MAX($D54)</f>
        <v>0</v>
      </c>
      <c r="AZ54" s="1">
        <f>MAX($E54)</f>
        <v>0</v>
      </c>
      <c r="BA54" s="1">
        <f>MAX($F54)</f>
        <v>0</v>
      </c>
      <c r="BB54" s="1">
        <f>MAX($G54)</f>
        <v>0</v>
      </c>
      <c r="BC54" s="1">
        <f>MAX($H54)</f>
        <v>0</v>
      </c>
      <c r="BD54" s="1">
        <f>MAX($I54)</f>
        <v>0</v>
      </c>
      <c r="BE54" s="1">
        <f>MAX($J54)</f>
        <v>0</v>
      </c>
      <c r="BF54" s="1">
        <f>MAX($K54)</f>
        <v>0</v>
      </c>
      <c r="BG54" s="1">
        <f>MAX($M54)</f>
        <v>0</v>
      </c>
      <c r="BH54" s="1">
        <f>MAX($N54)</f>
        <v>0</v>
      </c>
      <c r="BI54" s="1">
        <f>MAX($P54)</f>
        <v>0</v>
      </c>
      <c r="BJ54" s="1">
        <f>MAX($Q54)</f>
        <v>0</v>
      </c>
      <c r="BK54" s="1">
        <f>MAX($R54)</f>
        <v>0</v>
      </c>
    </row>
    <row r="55" spans="1:63">
      <c r="A55" s="1" t="s">
        <v>52</v>
      </c>
      <c r="B55" s="1" cm="1">
        <f t="array" ref="B55">_xlfn.SWITCH($A$2,"average", AVERAGE(Instances!B55:Instances!B55),"median", MEDIAN(Instances!B55:Instances!B55),"min", MIN(Instances!B55:Instances!B55),"max", MAX(Instances!B55:Instances!B55),"diff", MAX(Instances!B55:Instances!B55)-MIN(Instances!B55:Instances!B55))</f>
        <v>0</v>
      </c>
      <c r="C55" s="1" cm="1">
        <f t="array" ref="C55">_xlfn.SWITCH($A$2,"average", AVERAGE(Instances!C55:Instances!C55),"median", MEDIAN(Instances!C55:Instances!C55),"min", MIN(Instances!C55:Instances!C55),"max", MAX(Instances!C55:Instances!C55),"diff", MAX(Instances!C55:Instances!C55)-MIN(Instances!C55:Instances!C55))</f>
        <v>0</v>
      </c>
      <c r="D55" s="1" cm="1">
        <f t="array" ref="D55">_xlfn.SWITCH($A$2,"average", AVERAGE(Instances!D55:Instances!D55),"median", MEDIAN(Instances!D55:Instances!D55),"min", MIN(Instances!D55:Instances!D55),"max", MAX(Instances!D55:Instances!D55),"diff", MAX(Instances!D55:Instances!D55)-MIN(Instances!D55:Instances!D55))</f>
        <v>0</v>
      </c>
      <c r="E55" s="1" cm="1">
        <f t="array" ref="E55">_xlfn.SWITCH($A$2,"average", AVERAGE(Instances!E55:Instances!E55),"median", MEDIAN(Instances!E55:Instances!E55),"min", MIN(Instances!E55:Instances!E55),"max", MAX(Instances!E55:Instances!E55),"diff", MAX(Instances!E55:Instances!E55)-MIN(Instances!E55:Instances!E55))</f>
        <v>0</v>
      </c>
      <c r="F55" s="1" cm="1">
        <f t="array" ref="F55">_xlfn.SWITCH($A$2,"average", AVERAGE(Instances!F55:Instances!F55),"median", MEDIAN(Instances!F55:Instances!F55),"min", MIN(Instances!F55:Instances!F55),"max", MAX(Instances!F55:Instances!F55),"diff", MAX(Instances!F55:Instances!F55)-MIN(Instances!F55:Instances!F55))</f>
        <v>0</v>
      </c>
      <c r="G55" s="1" cm="1">
        <f t="array" ref="G55">_xlfn.SWITCH($A$2,"average", AVERAGE(Instances!G55:Instances!G55),"median", MEDIAN(Instances!G55:Instances!G55),"min", MIN(Instances!G55:Instances!G55),"max", MAX(Instances!G55:Instances!G55),"diff", MAX(Instances!G55:Instances!G55)-MIN(Instances!G55:Instances!G55))</f>
        <v>0</v>
      </c>
      <c r="H55" s="1" cm="1">
        <f t="array" ref="H55">_xlfn.SWITCH($A$2,"average", AVERAGE(Instances!H55:Instances!H55),"median", MEDIAN(Instances!H55:Instances!H55),"min", MIN(Instances!H55:Instances!H55),"max", MAX(Instances!H55:Instances!H55),"diff", MAX(Instances!H55:Instances!H55)-MIN(Instances!H55:Instances!H55))</f>
        <v>0</v>
      </c>
      <c r="I55" s="1" cm="1">
        <f t="array" ref="I55">_xlfn.SWITCH($A$2,"average", AVERAGE(Instances!I55:Instances!I55),"median", MEDIAN(Instances!I55:Instances!I55),"min", MIN(Instances!I55:Instances!I55),"max", MAX(Instances!I55:Instances!I55),"diff", MAX(Instances!I55:Instances!I55)-MIN(Instances!I55:Instances!I55))</f>
        <v>0</v>
      </c>
      <c r="J55" s="1" cm="1">
        <f t="array" ref="J55">_xlfn.SWITCH($A$2,"average", AVERAGE(Instances!J55:Instances!J55),"median", MEDIAN(Instances!J55:Instances!J55),"min", MIN(Instances!J55:Instances!J55),"max", MAX(Instances!J55:Instances!J55),"diff", MAX(Instances!J55:Instances!J55)-MIN(Instances!J55:Instances!J55))</f>
        <v>0</v>
      </c>
      <c r="K55" s="1" cm="1">
        <f t="array" ref="K55">_xlfn.SWITCH($A$2,"average", AVERAGE(Instances!K55:Instances!K55),"median", MEDIAN(Instances!K55:Instances!K55),"min", MIN(Instances!K55:Instances!K55),"max", MAX(Instances!K55:Instances!K55),"diff", MAX(Instances!K55:Instances!K55)-MIN(Instances!K55:Instances!K55))</f>
        <v>0</v>
      </c>
      <c r="L55" s="1"/>
      <c r="M55" s="1" cm="1">
        <f t="array" ref="M55">_xlfn.SWITCH($A$2,"average", AVERAGE(Instances!M55:Instances!M55),"median", MEDIAN(Instances!M55:Instances!M55),"min", MIN(Instances!M55:Instances!M55),"max", MAX(Instances!M55:Instances!M55),"diff", MAX(Instances!M55:Instances!M55)-MIN(Instances!M55:Instances!M55))</f>
        <v>0</v>
      </c>
      <c r="N55" s="1" cm="1">
        <f t="array" ref="N55">_xlfn.SWITCH($A$2,"average", AVERAGE(Instances!N55:Instances!N55),"median", MEDIAN(Instances!N55:Instances!N55),"min", MIN(Instances!N55:Instances!N55),"max", MAX(Instances!N55:Instances!N55),"diff", MAX(Instances!N55:Instances!N55)-MIN(Instances!N55:Instances!N55))</f>
        <v>0</v>
      </c>
      <c r="O55" s="1"/>
      <c r="P55" s="1" cm="1">
        <f t="array" ref="P55">_xlfn.SWITCH($A$2,"average", AVERAGE(Instances!P55:Instances!P55),"median", MEDIAN(Instances!P55:Instances!P55),"min", MIN(Instances!P55:Instances!P55),"max", MAX(Instances!P55:Instances!P55),"diff", MAX(Instances!P55:Instances!P55)-MIN(Instances!P55:Instances!P55))</f>
        <v>0</v>
      </c>
      <c r="Q55" s="1" cm="1">
        <f t="array" ref="Q55">_xlfn.SWITCH($A$2,"average", AVERAGE(Instances!Q55:Instances!Q55),"median", MEDIAN(Instances!Q55:Instances!Q55),"min", MIN(Instances!Q55:Instances!Q55),"max", MAX(Instances!Q55:Instances!Q55),"diff", MAX(Instances!Q55:Instances!Q55)-MIN(Instances!Q55:Instances!Q55))</f>
        <v>0</v>
      </c>
      <c r="R55" s="1" cm="1">
        <f t="array" ref="R55">_xlfn.SWITCH($A$2,"average", AVERAGE(Instances!R55:Instances!R55),"median", MEDIAN(Instances!R55:Instances!R55),"min", MIN(Instances!R55:Instances!R55),"max", MAX(Instances!R55:Instances!R55),"diff", MAX(Instances!R55:Instances!R55)-MIN(Instances!R55:Instances!R55))</f>
        <v>0</v>
      </c>
      <c r="S55" s="1">
        <f>MIN($B55)</f>
        <v>0</v>
      </c>
      <c r="T55" s="1">
        <f>MIN($C55)</f>
        <v>0</v>
      </c>
      <c r="U55" s="1">
        <f>MIN($D55)</f>
        <v>0</v>
      </c>
      <c r="V55" s="1">
        <f>MIN($E55)</f>
        <v>0</v>
      </c>
      <c r="W55" s="1">
        <f>MIN($F55)</f>
        <v>0</v>
      </c>
      <c r="X55" s="1">
        <f>MIN($G55)</f>
        <v>0</v>
      </c>
      <c r="Y55" s="1">
        <f>MIN($H55)</f>
        <v>0</v>
      </c>
      <c r="Z55" s="1">
        <f>MIN($I55)</f>
        <v>0</v>
      </c>
      <c r="AA55" s="1">
        <f>MIN($J55)</f>
        <v>0</v>
      </c>
      <c r="AB55" s="1">
        <f>MIN($K55)</f>
        <v>0</v>
      </c>
      <c r="AC55" s="1">
        <f>MIN($M55)</f>
        <v>0</v>
      </c>
      <c r="AD55" s="1">
        <f>MIN($N55)</f>
        <v>0</v>
      </c>
      <c r="AE55" s="1">
        <f>MIN($P55)</f>
        <v>0</v>
      </c>
      <c r="AF55" s="1">
        <f>MIN($Q55)</f>
        <v>0</v>
      </c>
      <c r="AG55" s="1">
        <f>MIN($R55)</f>
        <v>0</v>
      </c>
      <c r="AH55" s="1">
        <f>MEDIAN($B55)</f>
        <v>0</v>
      </c>
      <c r="AI55" s="1">
        <f>MEDIAN($C55)</f>
        <v>0</v>
      </c>
      <c r="AJ55" s="1">
        <f>MEDIAN($D55)</f>
        <v>0</v>
      </c>
      <c r="AK55" s="1">
        <f>MEDIAN($E55)</f>
        <v>0</v>
      </c>
      <c r="AL55" s="1">
        <f>MEDIAN($F55)</f>
        <v>0</v>
      </c>
      <c r="AM55" s="1">
        <f>MEDIAN($G55)</f>
        <v>0</v>
      </c>
      <c r="AN55" s="1">
        <f>MEDIAN($H55)</f>
        <v>0</v>
      </c>
      <c r="AO55" s="1">
        <f>MEDIAN($I55)</f>
        <v>0</v>
      </c>
      <c r="AP55" s="1">
        <f>MEDIAN($J55)</f>
        <v>0</v>
      </c>
      <c r="AQ55" s="1">
        <f>MEDIAN($K55)</f>
        <v>0</v>
      </c>
      <c r="AR55" s="1">
        <f>MEDIAN($M55)</f>
        <v>0</v>
      </c>
      <c r="AS55" s="1">
        <f>MEDIAN($N55)</f>
        <v>0</v>
      </c>
      <c r="AT55" s="1">
        <f>MEDIAN($P55)</f>
        <v>0</v>
      </c>
      <c r="AU55" s="1">
        <f>MEDIAN($Q55)</f>
        <v>0</v>
      </c>
      <c r="AV55" s="1">
        <f>MEDIAN($R55)</f>
        <v>0</v>
      </c>
      <c r="AW55" s="1">
        <f>MAX($B55)</f>
        <v>0</v>
      </c>
      <c r="AX55" s="1">
        <f>MAX($C55)</f>
        <v>0</v>
      </c>
      <c r="AY55" s="1">
        <f>MAX($D55)</f>
        <v>0</v>
      </c>
      <c r="AZ55" s="1">
        <f>MAX($E55)</f>
        <v>0</v>
      </c>
      <c r="BA55" s="1">
        <f>MAX($F55)</f>
        <v>0</v>
      </c>
      <c r="BB55" s="1">
        <f>MAX($G55)</f>
        <v>0</v>
      </c>
      <c r="BC55" s="1">
        <f>MAX($H55)</f>
        <v>0</v>
      </c>
      <c r="BD55" s="1">
        <f>MAX($I55)</f>
        <v>0</v>
      </c>
      <c r="BE55" s="1">
        <f>MAX($J55)</f>
        <v>0</v>
      </c>
      <c r="BF55" s="1">
        <f>MAX($K55)</f>
        <v>0</v>
      </c>
      <c r="BG55" s="1">
        <f>MAX($M55)</f>
        <v>0</v>
      </c>
      <c r="BH55" s="1">
        <f>MAX($N55)</f>
        <v>0</v>
      </c>
      <c r="BI55" s="1">
        <f>MAX($P55)</f>
        <v>0</v>
      </c>
      <c r="BJ55" s="1">
        <f>MAX($Q55)</f>
        <v>0</v>
      </c>
      <c r="BK55" s="1">
        <f>MAX($R55)</f>
        <v>0</v>
      </c>
    </row>
    <row r="56" spans="1:63">
      <c r="A56" s="1" t="s">
        <v>53</v>
      </c>
      <c r="B56" s="1" cm="1">
        <f t="array" ref="B56">_xlfn.SWITCH($A$2,"average", AVERAGE(Instances!B56:Instances!B56),"median", MEDIAN(Instances!B56:Instances!B56),"min", MIN(Instances!B56:Instances!B56),"max", MAX(Instances!B56:Instances!B56),"diff", MAX(Instances!B56:Instances!B56)-MIN(Instances!B56:Instances!B56))</f>
        <v>0</v>
      </c>
      <c r="C56" s="1" cm="1">
        <f t="array" ref="C56">_xlfn.SWITCH($A$2,"average", AVERAGE(Instances!C56:Instances!C56),"median", MEDIAN(Instances!C56:Instances!C56),"min", MIN(Instances!C56:Instances!C56),"max", MAX(Instances!C56:Instances!C56),"diff", MAX(Instances!C56:Instances!C56)-MIN(Instances!C56:Instances!C56))</f>
        <v>0</v>
      </c>
      <c r="D56" s="1" cm="1">
        <f t="array" ref="D56">_xlfn.SWITCH($A$2,"average", AVERAGE(Instances!D56:Instances!D56),"median", MEDIAN(Instances!D56:Instances!D56),"min", MIN(Instances!D56:Instances!D56),"max", MAX(Instances!D56:Instances!D56),"diff", MAX(Instances!D56:Instances!D56)-MIN(Instances!D56:Instances!D56))</f>
        <v>0</v>
      </c>
      <c r="E56" s="1" cm="1">
        <f t="array" ref="E56">_xlfn.SWITCH($A$2,"average", AVERAGE(Instances!E56:Instances!E56),"median", MEDIAN(Instances!E56:Instances!E56),"min", MIN(Instances!E56:Instances!E56),"max", MAX(Instances!E56:Instances!E56),"diff", MAX(Instances!E56:Instances!E56)-MIN(Instances!E56:Instances!E56))</f>
        <v>0</v>
      </c>
      <c r="F56" s="1" cm="1">
        <f t="array" ref="F56">_xlfn.SWITCH($A$2,"average", AVERAGE(Instances!F56:Instances!F56),"median", MEDIAN(Instances!F56:Instances!F56),"min", MIN(Instances!F56:Instances!F56),"max", MAX(Instances!F56:Instances!F56),"diff", MAX(Instances!F56:Instances!F56)-MIN(Instances!F56:Instances!F56))</f>
        <v>0</v>
      </c>
      <c r="G56" s="1" cm="1">
        <f t="array" ref="G56">_xlfn.SWITCH($A$2,"average", AVERAGE(Instances!G56:Instances!G56),"median", MEDIAN(Instances!G56:Instances!G56),"min", MIN(Instances!G56:Instances!G56),"max", MAX(Instances!G56:Instances!G56),"diff", MAX(Instances!G56:Instances!G56)-MIN(Instances!G56:Instances!G56))</f>
        <v>0</v>
      </c>
      <c r="H56" s="1" cm="1">
        <f t="array" ref="H56">_xlfn.SWITCH($A$2,"average", AVERAGE(Instances!H56:Instances!H56),"median", MEDIAN(Instances!H56:Instances!H56),"min", MIN(Instances!H56:Instances!H56),"max", MAX(Instances!H56:Instances!H56),"diff", MAX(Instances!H56:Instances!H56)-MIN(Instances!H56:Instances!H56))</f>
        <v>0</v>
      </c>
      <c r="I56" s="1" cm="1">
        <f t="array" ref="I56">_xlfn.SWITCH($A$2,"average", AVERAGE(Instances!I56:Instances!I56),"median", MEDIAN(Instances!I56:Instances!I56),"min", MIN(Instances!I56:Instances!I56),"max", MAX(Instances!I56:Instances!I56),"diff", MAX(Instances!I56:Instances!I56)-MIN(Instances!I56:Instances!I56))</f>
        <v>0</v>
      </c>
      <c r="J56" s="1" cm="1">
        <f t="array" ref="J56">_xlfn.SWITCH($A$2,"average", AVERAGE(Instances!J56:Instances!J56),"median", MEDIAN(Instances!J56:Instances!J56),"min", MIN(Instances!J56:Instances!J56),"max", MAX(Instances!J56:Instances!J56),"diff", MAX(Instances!J56:Instances!J56)-MIN(Instances!J56:Instances!J56))</f>
        <v>0</v>
      </c>
      <c r="K56" s="1" cm="1">
        <f t="array" ref="K56">_xlfn.SWITCH($A$2,"average", AVERAGE(Instances!K56:Instances!K56),"median", MEDIAN(Instances!K56:Instances!K56),"min", MIN(Instances!K56:Instances!K56),"max", MAX(Instances!K56:Instances!K56),"diff", MAX(Instances!K56:Instances!K56)-MIN(Instances!K56:Instances!K56))</f>
        <v>0</v>
      </c>
      <c r="L56" s="1"/>
      <c r="M56" s="1" cm="1">
        <f t="array" ref="M56">_xlfn.SWITCH($A$2,"average", AVERAGE(Instances!M56:Instances!M56),"median", MEDIAN(Instances!M56:Instances!M56),"min", MIN(Instances!M56:Instances!M56),"max", MAX(Instances!M56:Instances!M56),"diff", MAX(Instances!M56:Instances!M56)-MIN(Instances!M56:Instances!M56))</f>
        <v>0</v>
      </c>
      <c r="N56" s="1" cm="1">
        <f t="array" ref="N56">_xlfn.SWITCH($A$2,"average", AVERAGE(Instances!N56:Instances!N56),"median", MEDIAN(Instances!N56:Instances!N56),"min", MIN(Instances!N56:Instances!N56),"max", MAX(Instances!N56:Instances!N56),"diff", MAX(Instances!N56:Instances!N56)-MIN(Instances!N56:Instances!N56))</f>
        <v>0</v>
      </c>
      <c r="O56" s="1"/>
      <c r="P56" s="1" cm="1">
        <f t="array" ref="P56">_xlfn.SWITCH($A$2,"average", AVERAGE(Instances!P56:Instances!P56),"median", MEDIAN(Instances!P56:Instances!P56),"min", MIN(Instances!P56:Instances!P56),"max", MAX(Instances!P56:Instances!P56),"diff", MAX(Instances!P56:Instances!P56)-MIN(Instances!P56:Instances!P56))</f>
        <v>0</v>
      </c>
      <c r="Q56" s="1" cm="1">
        <f t="array" ref="Q56">_xlfn.SWITCH($A$2,"average", AVERAGE(Instances!Q56:Instances!Q56),"median", MEDIAN(Instances!Q56:Instances!Q56),"min", MIN(Instances!Q56:Instances!Q56),"max", MAX(Instances!Q56:Instances!Q56),"diff", MAX(Instances!Q56:Instances!Q56)-MIN(Instances!Q56:Instances!Q56))</f>
        <v>0</v>
      </c>
      <c r="R56" s="1" cm="1">
        <f t="array" ref="R56">_xlfn.SWITCH($A$2,"average", AVERAGE(Instances!R56:Instances!R56),"median", MEDIAN(Instances!R56:Instances!R56),"min", MIN(Instances!R56:Instances!R56),"max", MAX(Instances!R56:Instances!R56),"diff", MAX(Instances!R56:Instances!R56)-MIN(Instances!R56:Instances!R56))</f>
        <v>0</v>
      </c>
      <c r="S56" s="1">
        <f>MIN($B56)</f>
        <v>0</v>
      </c>
      <c r="T56" s="1">
        <f>MIN($C56)</f>
        <v>0</v>
      </c>
      <c r="U56" s="1">
        <f>MIN($D56)</f>
        <v>0</v>
      </c>
      <c r="V56" s="1">
        <f>MIN($E56)</f>
        <v>0</v>
      </c>
      <c r="W56" s="1">
        <f>MIN($F56)</f>
        <v>0</v>
      </c>
      <c r="X56" s="1">
        <f>MIN($G56)</f>
        <v>0</v>
      </c>
      <c r="Y56" s="1">
        <f>MIN($H56)</f>
        <v>0</v>
      </c>
      <c r="Z56" s="1">
        <f>MIN($I56)</f>
        <v>0</v>
      </c>
      <c r="AA56" s="1">
        <f>MIN($J56)</f>
        <v>0</v>
      </c>
      <c r="AB56" s="1">
        <f>MIN($K56)</f>
        <v>0</v>
      </c>
      <c r="AC56" s="1">
        <f>MIN($M56)</f>
        <v>0</v>
      </c>
      <c r="AD56" s="1">
        <f>MIN($N56)</f>
        <v>0</v>
      </c>
      <c r="AE56" s="1">
        <f>MIN($P56)</f>
        <v>0</v>
      </c>
      <c r="AF56" s="1">
        <f>MIN($Q56)</f>
        <v>0</v>
      </c>
      <c r="AG56" s="1">
        <f>MIN($R56)</f>
        <v>0</v>
      </c>
      <c r="AH56" s="1">
        <f>MEDIAN($B56)</f>
        <v>0</v>
      </c>
      <c r="AI56" s="1">
        <f>MEDIAN($C56)</f>
        <v>0</v>
      </c>
      <c r="AJ56" s="1">
        <f>MEDIAN($D56)</f>
        <v>0</v>
      </c>
      <c r="AK56" s="1">
        <f>MEDIAN($E56)</f>
        <v>0</v>
      </c>
      <c r="AL56" s="1">
        <f>MEDIAN($F56)</f>
        <v>0</v>
      </c>
      <c r="AM56" s="1">
        <f>MEDIAN($G56)</f>
        <v>0</v>
      </c>
      <c r="AN56" s="1">
        <f>MEDIAN($H56)</f>
        <v>0</v>
      </c>
      <c r="AO56" s="1">
        <f>MEDIAN($I56)</f>
        <v>0</v>
      </c>
      <c r="AP56" s="1">
        <f>MEDIAN($J56)</f>
        <v>0</v>
      </c>
      <c r="AQ56" s="1">
        <f>MEDIAN($K56)</f>
        <v>0</v>
      </c>
      <c r="AR56" s="1">
        <f>MEDIAN($M56)</f>
        <v>0</v>
      </c>
      <c r="AS56" s="1">
        <f>MEDIAN($N56)</f>
        <v>0</v>
      </c>
      <c r="AT56" s="1">
        <f>MEDIAN($P56)</f>
        <v>0</v>
      </c>
      <c r="AU56" s="1">
        <f>MEDIAN($Q56)</f>
        <v>0</v>
      </c>
      <c r="AV56" s="1">
        <f>MEDIAN($R56)</f>
        <v>0</v>
      </c>
      <c r="AW56" s="1">
        <f>MAX($B56)</f>
        <v>0</v>
      </c>
      <c r="AX56" s="1">
        <f>MAX($C56)</f>
        <v>0</v>
      </c>
      <c r="AY56" s="1">
        <f>MAX($D56)</f>
        <v>0</v>
      </c>
      <c r="AZ56" s="1">
        <f>MAX($E56)</f>
        <v>0</v>
      </c>
      <c r="BA56" s="1">
        <f>MAX($F56)</f>
        <v>0</v>
      </c>
      <c r="BB56" s="1">
        <f>MAX($G56)</f>
        <v>0</v>
      </c>
      <c r="BC56" s="1">
        <f>MAX($H56)</f>
        <v>0</v>
      </c>
      <c r="BD56" s="1">
        <f>MAX($I56)</f>
        <v>0</v>
      </c>
      <c r="BE56" s="1">
        <f>MAX($J56)</f>
        <v>0</v>
      </c>
      <c r="BF56" s="1">
        <f>MAX($K56)</f>
        <v>0</v>
      </c>
      <c r="BG56" s="1">
        <f>MAX($M56)</f>
        <v>0</v>
      </c>
      <c r="BH56" s="1">
        <f>MAX($N56)</f>
        <v>0</v>
      </c>
      <c r="BI56" s="1">
        <f>MAX($P56)</f>
        <v>0</v>
      </c>
      <c r="BJ56" s="1">
        <f>MAX($Q56)</f>
        <v>0</v>
      </c>
      <c r="BK56" s="1">
        <f>MAX($R56)</f>
        <v>0</v>
      </c>
    </row>
    <row r="57" spans="1:63">
      <c r="A57" s="1" t="s">
        <v>54</v>
      </c>
      <c r="B57" s="1" cm="1">
        <f t="array" ref="B57">_xlfn.SWITCH($A$2,"average", AVERAGE(Instances!B57:Instances!B57),"median", MEDIAN(Instances!B57:Instances!B57),"min", MIN(Instances!B57:Instances!B57),"max", MAX(Instances!B57:Instances!B57),"diff", MAX(Instances!B57:Instances!B57)-MIN(Instances!B57:Instances!B57))</f>
        <v>0</v>
      </c>
      <c r="C57" s="1" cm="1">
        <f t="array" ref="C57">_xlfn.SWITCH($A$2,"average", AVERAGE(Instances!C57:Instances!C57),"median", MEDIAN(Instances!C57:Instances!C57),"min", MIN(Instances!C57:Instances!C57),"max", MAX(Instances!C57:Instances!C57),"diff", MAX(Instances!C57:Instances!C57)-MIN(Instances!C57:Instances!C57))</f>
        <v>0</v>
      </c>
      <c r="D57" s="1" cm="1">
        <f t="array" ref="D57">_xlfn.SWITCH($A$2,"average", AVERAGE(Instances!D57:Instances!D57),"median", MEDIAN(Instances!D57:Instances!D57),"min", MIN(Instances!D57:Instances!D57),"max", MAX(Instances!D57:Instances!D57),"diff", MAX(Instances!D57:Instances!D57)-MIN(Instances!D57:Instances!D57))</f>
        <v>0</v>
      </c>
      <c r="E57" s="1" cm="1">
        <f t="array" ref="E57">_xlfn.SWITCH($A$2,"average", AVERAGE(Instances!E57:Instances!E57),"median", MEDIAN(Instances!E57:Instances!E57),"min", MIN(Instances!E57:Instances!E57),"max", MAX(Instances!E57:Instances!E57),"diff", MAX(Instances!E57:Instances!E57)-MIN(Instances!E57:Instances!E57))</f>
        <v>0</v>
      </c>
      <c r="F57" s="1" cm="1">
        <f t="array" ref="F57">_xlfn.SWITCH($A$2,"average", AVERAGE(Instances!F57:Instances!F57),"median", MEDIAN(Instances!F57:Instances!F57),"min", MIN(Instances!F57:Instances!F57),"max", MAX(Instances!F57:Instances!F57),"diff", MAX(Instances!F57:Instances!F57)-MIN(Instances!F57:Instances!F57))</f>
        <v>0</v>
      </c>
      <c r="G57" s="1" cm="1">
        <f t="array" ref="G57">_xlfn.SWITCH($A$2,"average", AVERAGE(Instances!G57:Instances!G57),"median", MEDIAN(Instances!G57:Instances!G57),"min", MIN(Instances!G57:Instances!G57),"max", MAX(Instances!G57:Instances!G57),"diff", MAX(Instances!G57:Instances!G57)-MIN(Instances!G57:Instances!G57))</f>
        <v>0</v>
      </c>
      <c r="H57" s="1" cm="1">
        <f t="array" ref="H57">_xlfn.SWITCH($A$2,"average", AVERAGE(Instances!H57:Instances!H57),"median", MEDIAN(Instances!H57:Instances!H57),"min", MIN(Instances!H57:Instances!H57),"max", MAX(Instances!H57:Instances!H57),"diff", MAX(Instances!H57:Instances!H57)-MIN(Instances!H57:Instances!H57))</f>
        <v>0</v>
      </c>
      <c r="I57" s="1" cm="1">
        <f t="array" ref="I57">_xlfn.SWITCH($A$2,"average", AVERAGE(Instances!I57:Instances!I57),"median", MEDIAN(Instances!I57:Instances!I57),"min", MIN(Instances!I57:Instances!I57),"max", MAX(Instances!I57:Instances!I57),"diff", MAX(Instances!I57:Instances!I57)-MIN(Instances!I57:Instances!I57))</f>
        <v>0</v>
      </c>
      <c r="J57" s="1" cm="1">
        <f t="array" ref="J57">_xlfn.SWITCH($A$2,"average", AVERAGE(Instances!J57:Instances!J57),"median", MEDIAN(Instances!J57:Instances!J57),"min", MIN(Instances!J57:Instances!J57),"max", MAX(Instances!J57:Instances!J57),"diff", MAX(Instances!J57:Instances!J57)-MIN(Instances!J57:Instances!J57))</f>
        <v>0</v>
      </c>
      <c r="K57" s="1" cm="1">
        <f t="array" ref="K57">_xlfn.SWITCH($A$2,"average", AVERAGE(Instances!K57:Instances!K57),"median", MEDIAN(Instances!K57:Instances!K57),"min", MIN(Instances!K57:Instances!K57),"max", MAX(Instances!K57:Instances!K57),"diff", MAX(Instances!K57:Instances!K57)-MIN(Instances!K57:Instances!K57))</f>
        <v>0</v>
      </c>
      <c r="L57" s="1"/>
      <c r="M57" s="1" cm="1">
        <f t="array" ref="M57">_xlfn.SWITCH($A$2,"average", AVERAGE(Instances!M57:Instances!M57),"median", MEDIAN(Instances!M57:Instances!M57),"min", MIN(Instances!M57:Instances!M57),"max", MAX(Instances!M57:Instances!M57),"diff", MAX(Instances!M57:Instances!M57)-MIN(Instances!M57:Instances!M57))</f>
        <v>0</v>
      </c>
      <c r="N57" s="1" cm="1">
        <f t="array" ref="N57">_xlfn.SWITCH($A$2,"average", AVERAGE(Instances!N57:Instances!N57),"median", MEDIAN(Instances!N57:Instances!N57),"min", MIN(Instances!N57:Instances!N57),"max", MAX(Instances!N57:Instances!N57),"diff", MAX(Instances!N57:Instances!N57)-MIN(Instances!N57:Instances!N57))</f>
        <v>0</v>
      </c>
      <c r="O57" s="1"/>
      <c r="P57" s="1" cm="1">
        <f t="array" ref="P57">_xlfn.SWITCH($A$2,"average", AVERAGE(Instances!P57:Instances!P57),"median", MEDIAN(Instances!P57:Instances!P57),"min", MIN(Instances!P57:Instances!P57),"max", MAX(Instances!P57:Instances!P57),"diff", MAX(Instances!P57:Instances!P57)-MIN(Instances!P57:Instances!P57))</f>
        <v>0</v>
      </c>
      <c r="Q57" s="1" cm="1">
        <f t="array" ref="Q57">_xlfn.SWITCH($A$2,"average", AVERAGE(Instances!Q57:Instances!Q57),"median", MEDIAN(Instances!Q57:Instances!Q57),"min", MIN(Instances!Q57:Instances!Q57),"max", MAX(Instances!Q57:Instances!Q57),"diff", MAX(Instances!Q57:Instances!Q57)-MIN(Instances!Q57:Instances!Q57))</f>
        <v>0</v>
      </c>
      <c r="R57" s="1" cm="1">
        <f t="array" ref="R57">_xlfn.SWITCH($A$2,"average", AVERAGE(Instances!R57:Instances!R57),"median", MEDIAN(Instances!R57:Instances!R57),"min", MIN(Instances!R57:Instances!R57),"max", MAX(Instances!R57:Instances!R57),"diff", MAX(Instances!R57:Instances!R57)-MIN(Instances!R57:Instances!R57))</f>
        <v>0</v>
      </c>
      <c r="S57" s="1">
        <f>MIN($B57)</f>
        <v>0</v>
      </c>
      <c r="T57" s="1">
        <f>MIN($C57)</f>
        <v>0</v>
      </c>
      <c r="U57" s="1">
        <f>MIN($D57)</f>
        <v>0</v>
      </c>
      <c r="V57" s="1">
        <f>MIN($E57)</f>
        <v>0</v>
      </c>
      <c r="W57" s="1">
        <f>MIN($F57)</f>
        <v>0</v>
      </c>
      <c r="X57" s="1">
        <f>MIN($G57)</f>
        <v>0</v>
      </c>
      <c r="Y57" s="1">
        <f>MIN($H57)</f>
        <v>0</v>
      </c>
      <c r="Z57" s="1">
        <f>MIN($I57)</f>
        <v>0</v>
      </c>
      <c r="AA57" s="1">
        <f>MIN($J57)</f>
        <v>0</v>
      </c>
      <c r="AB57" s="1">
        <f>MIN($K57)</f>
        <v>0</v>
      </c>
      <c r="AC57" s="1">
        <f>MIN($M57)</f>
        <v>0</v>
      </c>
      <c r="AD57" s="1">
        <f>MIN($N57)</f>
        <v>0</v>
      </c>
      <c r="AE57" s="1">
        <f>MIN($P57)</f>
        <v>0</v>
      </c>
      <c r="AF57" s="1">
        <f>MIN($Q57)</f>
        <v>0</v>
      </c>
      <c r="AG57" s="1">
        <f>MIN($R57)</f>
        <v>0</v>
      </c>
      <c r="AH57" s="1">
        <f>MEDIAN($B57)</f>
        <v>0</v>
      </c>
      <c r="AI57" s="1">
        <f>MEDIAN($C57)</f>
        <v>0</v>
      </c>
      <c r="AJ57" s="1">
        <f>MEDIAN($D57)</f>
        <v>0</v>
      </c>
      <c r="AK57" s="1">
        <f>MEDIAN($E57)</f>
        <v>0</v>
      </c>
      <c r="AL57" s="1">
        <f>MEDIAN($F57)</f>
        <v>0</v>
      </c>
      <c r="AM57" s="1">
        <f>MEDIAN($G57)</f>
        <v>0</v>
      </c>
      <c r="AN57" s="1">
        <f>MEDIAN($H57)</f>
        <v>0</v>
      </c>
      <c r="AO57" s="1">
        <f>MEDIAN($I57)</f>
        <v>0</v>
      </c>
      <c r="AP57" s="1">
        <f>MEDIAN($J57)</f>
        <v>0</v>
      </c>
      <c r="AQ57" s="1">
        <f>MEDIAN($K57)</f>
        <v>0</v>
      </c>
      <c r="AR57" s="1">
        <f>MEDIAN($M57)</f>
        <v>0</v>
      </c>
      <c r="AS57" s="1">
        <f>MEDIAN($N57)</f>
        <v>0</v>
      </c>
      <c r="AT57" s="1">
        <f>MEDIAN($P57)</f>
        <v>0</v>
      </c>
      <c r="AU57" s="1">
        <f>MEDIAN($Q57)</f>
        <v>0</v>
      </c>
      <c r="AV57" s="1">
        <f>MEDIAN($R57)</f>
        <v>0</v>
      </c>
      <c r="AW57" s="1">
        <f>MAX($B57)</f>
        <v>0</v>
      </c>
      <c r="AX57" s="1">
        <f>MAX($C57)</f>
        <v>0</v>
      </c>
      <c r="AY57" s="1">
        <f>MAX($D57)</f>
        <v>0</v>
      </c>
      <c r="AZ57" s="1">
        <f>MAX($E57)</f>
        <v>0</v>
      </c>
      <c r="BA57" s="1">
        <f>MAX($F57)</f>
        <v>0</v>
      </c>
      <c r="BB57" s="1">
        <f>MAX($G57)</f>
        <v>0</v>
      </c>
      <c r="BC57" s="1">
        <f>MAX($H57)</f>
        <v>0</v>
      </c>
      <c r="BD57" s="1">
        <f>MAX($I57)</f>
        <v>0</v>
      </c>
      <c r="BE57" s="1">
        <f>MAX($J57)</f>
        <v>0</v>
      </c>
      <c r="BF57" s="1">
        <f>MAX($K57)</f>
        <v>0</v>
      </c>
      <c r="BG57" s="1">
        <f>MAX($M57)</f>
        <v>0</v>
      </c>
      <c r="BH57" s="1">
        <f>MAX($N57)</f>
        <v>0</v>
      </c>
      <c r="BI57" s="1">
        <f>MAX($P57)</f>
        <v>0</v>
      </c>
      <c r="BJ57" s="1">
        <f>MAX($Q57)</f>
        <v>0</v>
      </c>
      <c r="BK57" s="1">
        <f>MAX($R57)</f>
        <v>0</v>
      </c>
    </row>
    <row r="58" spans="1:63">
      <c r="A58" s="1" t="s">
        <v>55</v>
      </c>
      <c r="B58" s="1" cm="1">
        <f t="array" ref="B58">_xlfn.SWITCH($A$2,"average", AVERAGE(Instances!B58:Instances!B58),"median", MEDIAN(Instances!B58:Instances!B58),"min", MIN(Instances!B58:Instances!B58),"max", MAX(Instances!B58:Instances!B58),"diff", MAX(Instances!B58:Instances!B58)-MIN(Instances!B58:Instances!B58))</f>
        <v>0</v>
      </c>
      <c r="C58" s="1" cm="1">
        <f t="array" ref="C58">_xlfn.SWITCH($A$2,"average", AVERAGE(Instances!C58:Instances!C58),"median", MEDIAN(Instances!C58:Instances!C58),"min", MIN(Instances!C58:Instances!C58),"max", MAX(Instances!C58:Instances!C58),"diff", MAX(Instances!C58:Instances!C58)-MIN(Instances!C58:Instances!C58))</f>
        <v>0</v>
      </c>
      <c r="D58" s="1" cm="1">
        <f t="array" ref="D58">_xlfn.SWITCH($A$2,"average", AVERAGE(Instances!D58:Instances!D58),"median", MEDIAN(Instances!D58:Instances!D58),"min", MIN(Instances!D58:Instances!D58),"max", MAX(Instances!D58:Instances!D58),"diff", MAX(Instances!D58:Instances!D58)-MIN(Instances!D58:Instances!D58))</f>
        <v>0</v>
      </c>
      <c r="E58" s="1" cm="1">
        <f t="array" ref="E58">_xlfn.SWITCH($A$2,"average", AVERAGE(Instances!E58:Instances!E58),"median", MEDIAN(Instances!E58:Instances!E58),"min", MIN(Instances!E58:Instances!E58),"max", MAX(Instances!E58:Instances!E58),"diff", MAX(Instances!E58:Instances!E58)-MIN(Instances!E58:Instances!E58))</f>
        <v>0</v>
      </c>
      <c r="F58" s="1" cm="1">
        <f t="array" ref="F58">_xlfn.SWITCH($A$2,"average", AVERAGE(Instances!F58:Instances!F58),"median", MEDIAN(Instances!F58:Instances!F58),"min", MIN(Instances!F58:Instances!F58),"max", MAX(Instances!F58:Instances!F58),"diff", MAX(Instances!F58:Instances!F58)-MIN(Instances!F58:Instances!F58))</f>
        <v>0</v>
      </c>
      <c r="G58" s="1" cm="1">
        <f t="array" ref="G58">_xlfn.SWITCH($A$2,"average", AVERAGE(Instances!G58:Instances!G58),"median", MEDIAN(Instances!G58:Instances!G58),"min", MIN(Instances!G58:Instances!G58),"max", MAX(Instances!G58:Instances!G58),"diff", MAX(Instances!G58:Instances!G58)-MIN(Instances!G58:Instances!G58))</f>
        <v>0</v>
      </c>
      <c r="H58" s="1" cm="1">
        <f t="array" ref="H58">_xlfn.SWITCH($A$2,"average", AVERAGE(Instances!H58:Instances!H58),"median", MEDIAN(Instances!H58:Instances!H58),"min", MIN(Instances!H58:Instances!H58),"max", MAX(Instances!H58:Instances!H58),"diff", MAX(Instances!H58:Instances!H58)-MIN(Instances!H58:Instances!H58))</f>
        <v>0</v>
      </c>
      <c r="I58" s="1" cm="1">
        <f t="array" ref="I58">_xlfn.SWITCH($A$2,"average", AVERAGE(Instances!I58:Instances!I58),"median", MEDIAN(Instances!I58:Instances!I58),"min", MIN(Instances!I58:Instances!I58),"max", MAX(Instances!I58:Instances!I58),"diff", MAX(Instances!I58:Instances!I58)-MIN(Instances!I58:Instances!I58))</f>
        <v>0</v>
      </c>
      <c r="J58" s="1" cm="1">
        <f t="array" ref="J58">_xlfn.SWITCH($A$2,"average", AVERAGE(Instances!J58:Instances!J58),"median", MEDIAN(Instances!J58:Instances!J58),"min", MIN(Instances!J58:Instances!J58),"max", MAX(Instances!J58:Instances!J58),"diff", MAX(Instances!J58:Instances!J58)-MIN(Instances!J58:Instances!J58))</f>
        <v>0</v>
      </c>
      <c r="K58" s="1" cm="1">
        <f t="array" ref="K58">_xlfn.SWITCH($A$2,"average", AVERAGE(Instances!K58:Instances!K58),"median", MEDIAN(Instances!K58:Instances!K58),"min", MIN(Instances!K58:Instances!K58),"max", MAX(Instances!K58:Instances!K58),"diff", MAX(Instances!K58:Instances!K58)-MIN(Instances!K58:Instances!K58))</f>
        <v>0</v>
      </c>
      <c r="L58" s="1"/>
      <c r="M58" s="1" cm="1">
        <f t="array" ref="M58">_xlfn.SWITCH($A$2,"average", AVERAGE(Instances!M58:Instances!M58),"median", MEDIAN(Instances!M58:Instances!M58),"min", MIN(Instances!M58:Instances!M58),"max", MAX(Instances!M58:Instances!M58),"diff", MAX(Instances!M58:Instances!M58)-MIN(Instances!M58:Instances!M58))</f>
        <v>0</v>
      </c>
      <c r="N58" s="1" cm="1">
        <f t="array" ref="N58">_xlfn.SWITCH($A$2,"average", AVERAGE(Instances!N58:Instances!N58),"median", MEDIAN(Instances!N58:Instances!N58),"min", MIN(Instances!N58:Instances!N58),"max", MAX(Instances!N58:Instances!N58),"diff", MAX(Instances!N58:Instances!N58)-MIN(Instances!N58:Instances!N58))</f>
        <v>0</v>
      </c>
      <c r="O58" s="1"/>
      <c r="P58" s="1" cm="1">
        <f t="array" ref="P58">_xlfn.SWITCH($A$2,"average", AVERAGE(Instances!P58:Instances!P58),"median", MEDIAN(Instances!P58:Instances!P58),"min", MIN(Instances!P58:Instances!P58),"max", MAX(Instances!P58:Instances!P58),"diff", MAX(Instances!P58:Instances!P58)-MIN(Instances!P58:Instances!P58))</f>
        <v>0</v>
      </c>
      <c r="Q58" s="1" cm="1">
        <f t="array" ref="Q58">_xlfn.SWITCH($A$2,"average", AVERAGE(Instances!Q58:Instances!Q58),"median", MEDIAN(Instances!Q58:Instances!Q58),"min", MIN(Instances!Q58:Instances!Q58),"max", MAX(Instances!Q58:Instances!Q58),"diff", MAX(Instances!Q58:Instances!Q58)-MIN(Instances!Q58:Instances!Q58))</f>
        <v>0</v>
      </c>
      <c r="R58" s="1" cm="1">
        <f t="array" ref="R58">_xlfn.SWITCH($A$2,"average", AVERAGE(Instances!R58:Instances!R58),"median", MEDIAN(Instances!R58:Instances!R58),"min", MIN(Instances!R58:Instances!R58),"max", MAX(Instances!R58:Instances!R58),"diff", MAX(Instances!R58:Instances!R58)-MIN(Instances!R58:Instances!R58))</f>
        <v>0</v>
      </c>
      <c r="S58" s="1">
        <f>MIN($B58)</f>
        <v>0</v>
      </c>
      <c r="T58" s="1">
        <f>MIN($C58)</f>
        <v>0</v>
      </c>
      <c r="U58" s="1">
        <f>MIN($D58)</f>
        <v>0</v>
      </c>
      <c r="V58" s="1">
        <f>MIN($E58)</f>
        <v>0</v>
      </c>
      <c r="W58" s="1">
        <f>MIN($F58)</f>
        <v>0</v>
      </c>
      <c r="X58" s="1">
        <f>MIN($G58)</f>
        <v>0</v>
      </c>
      <c r="Y58" s="1">
        <f>MIN($H58)</f>
        <v>0</v>
      </c>
      <c r="Z58" s="1">
        <f>MIN($I58)</f>
        <v>0</v>
      </c>
      <c r="AA58" s="1">
        <f>MIN($J58)</f>
        <v>0</v>
      </c>
      <c r="AB58" s="1">
        <f>MIN($K58)</f>
        <v>0</v>
      </c>
      <c r="AC58" s="1">
        <f>MIN($M58)</f>
        <v>0</v>
      </c>
      <c r="AD58" s="1">
        <f>MIN($N58)</f>
        <v>0</v>
      </c>
      <c r="AE58" s="1">
        <f>MIN($P58)</f>
        <v>0</v>
      </c>
      <c r="AF58" s="1">
        <f>MIN($Q58)</f>
        <v>0</v>
      </c>
      <c r="AG58" s="1">
        <f>MIN($R58)</f>
        <v>0</v>
      </c>
      <c r="AH58" s="1">
        <f>MEDIAN($B58)</f>
        <v>0</v>
      </c>
      <c r="AI58" s="1">
        <f>MEDIAN($C58)</f>
        <v>0</v>
      </c>
      <c r="AJ58" s="1">
        <f>MEDIAN($D58)</f>
        <v>0</v>
      </c>
      <c r="AK58" s="1">
        <f>MEDIAN($E58)</f>
        <v>0</v>
      </c>
      <c r="AL58" s="1">
        <f>MEDIAN($F58)</f>
        <v>0</v>
      </c>
      <c r="AM58" s="1">
        <f>MEDIAN($G58)</f>
        <v>0</v>
      </c>
      <c r="AN58" s="1">
        <f>MEDIAN($H58)</f>
        <v>0</v>
      </c>
      <c r="AO58" s="1">
        <f>MEDIAN($I58)</f>
        <v>0</v>
      </c>
      <c r="AP58" s="1">
        <f>MEDIAN($J58)</f>
        <v>0</v>
      </c>
      <c r="AQ58" s="1">
        <f>MEDIAN($K58)</f>
        <v>0</v>
      </c>
      <c r="AR58" s="1">
        <f>MEDIAN($M58)</f>
        <v>0</v>
      </c>
      <c r="AS58" s="1">
        <f>MEDIAN($N58)</f>
        <v>0</v>
      </c>
      <c r="AT58" s="1">
        <f>MEDIAN($P58)</f>
        <v>0</v>
      </c>
      <c r="AU58" s="1">
        <f>MEDIAN($Q58)</f>
        <v>0</v>
      </c>
      <c r="AV58" s="1">
        <f>MEDIAN($R58)</f>
        <v>0</v>
      </c>
      <c r="AW58" s="1">
        <f>MAX($B58)</f>
        <v>0</v>
      </c>
      <c r="AX58" s="1">
        <f>MAX($C58)</f>
        <v>0</v>
      </c>
      <c r="AY58" s="1">
        <f>MAX($D58)</f>
        <v>0</v>
      </c>
      <c r="AZ58" s="1">
        <f>MAX($E58)</f>
        <v>0</v>
      </c>
      <c r="BA58" s="1">
        <f>MAX($F58)</f>
        <v>0</v>
      </c>
      <c r="BB58" s="1">
        <f>MAX($G58)</f>
        <v>0</v>
      </c>
      <c r="BC58" s="1">
        <f>MAX($H58)</f>
        <v>0</v>
      </c>
      <c r="BD58" s="1">
        <f>MAX($I58)</f>
        <v>0</v>
      </c>
      <c r="BE58" s="1">
        <f>MAX($J58)</f>
        <v>0</v>
      </c>
      <c r="BF58" s="1">
        <f>MAX($K58)</f>
        <v>0</v>
      </c>
      <c r="BG58" s="1">
        <f>MAX($M58)</f>
        <v>0</v>
      </c>
      <c r="BH58" s="1">
        <f>MAX($N58)</f>
        <v>0</v>
      </c>
      <c r="BI58" s="1">
        <f>MAX($P58)</f>
        <v>0</v>
      </c>
      <c r="BJ58" s="1">
        <f>MAX($Q58)</f>
        <v>0</v>
      </c>
      <c r="BK58" s="1">
        <f>MAX($R58)</f>
        <v>0</v>
      </c>
    </row>
    <row r="59" spans="1:63">
      <c r="A59" s="1" t="s">
        <v>56</v>
      </c>
      <c r="B59" s="1" cm="1">
        <f t="array" ref="B59">_xlfn.SWITCH($A$2,"average", AVERAGE(Instances!B59:Instances!B59),"median", MEDIAN(Instances!B59:Instances!B59),"min", MIN(Instances!B59:Instances!B59),"max", MAX(Instances!B59:Instances!B59),"diff", MAX(Instances!B59:Instances!B59)-MIN(Instances!B59:Instances!B59))</f>
        <v>0</v>
      </c>
      <c r="C59" s="1" cm="1">
        <f t="array" ref="C59">_xlfn.SWITCH($A$2,"average", AVERAGE(Instances!C59:Instances!C59),"median", MEDIAN(Instances!C59:Instances!C59),"min", MIN(Instances!C59:Instances!C59),"max", MAX(Instances!C59:Instances!C59),"diff", MAX(Instances!C59:Instances!C59)-MIN(Instances!C59:Instances!C59))</f>
        <v>0</v>
      </c>
      <c r="D59" s="1" cm="1">
        <f t="array" ref="D59">_xlfn.SWITCH($A$2,"average", AVERAGE(Instances!D59:Instances!D59),"median", MEDIAN(Instances!D59:Instances!D59),"min", MIN(Instances!D59:Instances!D59),"max", MAX(Instances!D59:Instances!D59),"diff", MAX(Instances!D59:Instances!D59)-MIN(Instances!D59:Instances!D59))</f>
        <v>0</v>
      </c>
      <c r="E59" s="1" cm="1">
        <f t="array" ref="E59">_xlfn.SWITCH($A$2,"average", AVERAGE(Instances!E59:Instances!E59),"median", MEDIAN(Instances!E59:Instances!E59),"min", MIN(Instances!E59:Instances!E59),"max", MAX(Instances!E59:Instances!E59),"diff", MAX(Instances!E59:Instances!E59)-MIN(Instances!E59:Instances!E59))</f>
        <v>0</v>
      </c>
      <c r="F59" s="1" cm="1">
        <f t="array" ref="F59">_xlfn.SWITCH($A$2,"average", AVERAGE(Instances!F59:Instances!F59),"median", MEDIAN(Instances!F59:Instances!F59),"min", MIN(Instances!F59:Instances!F59),"max", MAX(Instances!F59:Instances!F59),"diff", MAX(Instances!F59:Instances!F59)-MIN(Instances!F59:Instances!F59))</f>
        <v>0</v>
      </c>
      <c r="G59" s="1" cm="1">
        <f t="array" ref="G59">_xlfn.SWITCH($A$2,"average", AVERAGE(Instances!G59:Instances!G59),"median", MEDIAN(Instances!G59:Instances!G59),"min", MIN(Instances!G59:Instances!G59),"max", MAX(Instances!G59:Instances!G59),"diff", MAX(Instances!G59:Instances!G59)-MIN(Instances!G59:Instances!G59))</f>
        <v>0</v>
      </c>
      <c r="H59" s="1" cm="1">
        <f t="array" ref="H59">_xlfn.SWITCH($A$2,"average", AVERAGE(Instances!H59:Instances!H59),"median", MEDIAN(Instances!H59:Instances!H59),"min", MIN(Instances!H59:Instances!H59),"max", MAX(Instances!H59:Instances!H59),"diff", MAX(Instances!H59:Instances!H59)-MIN(Instances!H59:Instances!H59))</f>
        <v>0</v>
      </c>
      <c r="I59" s="1" cm="1">
        <f t="array" ref="I59">_xlfn.SWITCH($A$2,"average", AVERAGE(Instances!I59:Instances!I59),"median", MEDIAN(Instances!I59:Instances!I59),"min", MIN(Instances!I59:Instances!I59),"max", MAX(Instances!I59:Instances!I59),"diff", MAX(Instances!I59:Instances!I59)-MIN(Instances!I59:Instances!I59))</f>
        <v>0</v>
      </c>
      <c r="J59" s="1" cm="1">
        <f t="array" ref="J59">_xlfn.SWITCH($A$2,"average", AVERAGE(Instances!J59:Instances!J59),"median", MEDIAN(Instances!J59:Instances!J59),"min", MIN(Instances!J59:Instances!J59),"max", MAX(Instances!J59:Instances!J59),"diff", MAX(Instances!J59:Instances!J59)-MIN(Instances!J59:Instances!J59))</f>
        <v>0</v>
      </c>
      <c r="K59" s="1" cm="1">
        <f t="array" ref="K59">_xlfn.SWITCH($A$2,"average", AVERAGE(Instances!K59:Instances!K59),"median", MEDIAN(Instances!K59:Instances!K59),"min", MIN(Instances!K59:Instances!K59),"max", MAX(Instances!K59:Instances!K59),"diff", MAX(Instances!K59:Instances!K59)-MIN(Instances!K59:Instances!K59))</f>
        <v>0</v>
      </c>
      <c r="L59" s="1"/>
      <c r="M59" s="1" cm="1">
        <f t="array" ref="M59">_xlfn.SWITCH($A$2,"average", AVERAGE(Instances!M59:Instances!M59),"median", MEDIAN(Instances!M59:Instances!M59),"min", MIN(Instances!M59:Instances!M59),"max", MAX(Instances!M59:Instances!M59),"diff", MAX(Instances!M59:Instances!M59)-MIN(Instances!M59:Instances!M59))</f>
        <v>0</v>
      </c>
      <c r="N59" s="1" cm="1">
        <f t="array" ref="N59">_xlfn.SWITCH($A$2,"average", AVERAGE(Instances!N59:Instances!N59),"median", MEDIAN(Instances!N59:Instances!N59),"min", MIN(Instances!N59:Instances!N59),"max", MAX(Instances!N59:Instances!N59),"diff", MAX(Instances!N59:Instances!N59)-MIN(Instances!N59:Instances!N59))</f>
        <v>0</v>
      </c>
      <c r="O59" s="1"/>
      <c r="P59" s="1" cm="1">
        <f t="array" ref="P59">_xlfn.SWITCH($A$2,"average", AVERAGE(Instances!P59:Instances!P59),"median", MEDIAN(Instances!P59:Instances!P59),"min", MIN(Instances!P59:Instances!P59),"max", MAX(Instances!P59:Instances!P59),"diff", MAX(Instances!P59:Instances!P59)-MIN(Instances!P59:Instances!P59))</f>
        <v>0</v>
      </c>
      <c r="Q59" s="1" cm="1">
        <f t="array" ref="Q59">_xlfn.SWITCH($A$2,"average", AVERAGE(Instances!Q59:Instances!Q59),"median", MEDIAN(Instances!Q59:Instances!Q59),"min", MIN(Instances!Q59:Instances!Q59),"max", MAX(Instances!Q59:Instances!Q59),"diff", MAX(Instances!Q59:Instances!Q59)-MIN(Instances!Q59:Instances!Q59))</f>
        <v>0</v>
      </c>
      <c r="R59" s="1" cm="1">
        <f t="array" ref="R59">_xlfn.SWITCH($A$2,"average", AVERAGE(Instances!R59:Instances!R59),"median", MEDIAN(Instances!R59:Instances!R59),"min", MIN(Instances!R59:Instances!R59),"max", MAX(Instances!R59:Instances!R59),"diff", MAX(Instances!R59:Instances!R59)-MIN(Instances!R59:Instances!R59))</f>
        <v>0</v>
      </c>
      <c r="S59" s="1">
        <f>MIN($B59)</f>
        <v>0</v>
      </c>
      <c r="T59" s="1">
        <f>MIN($C59)</f>
        <v>0</v>
      </c>
      <c r="U59" s="1">
        <f>MIN($D59)</f>
        <v>0</v>
      </c>
      <c r="V59" s="1">
        <f>MIN($E59)</f>
        <v>0</v>
      </c>
      <c r="W59" s="1">
        <f>MIN($F59)</f>
        <v>0</v>
      </c>
      <c r="X59" s="1">
        <f>MIN($G59)</f>
        <v>0</v>
      </c>
      <c r="Y59" s="1">
        <f>MIN($H59)</f>
        <v>0</v>
      </c>
      <c r="Z59" s="1">
        <f>MIN($I59)</f>
        <v>0</v>
      </c>
      <c r="AA59" s="1">
        <f>MIN($J59)</f>
        <v>0</v>
      </c>
      <c r="AB59" s="1">
        <f>MIN($K59)</f>
        <v>0</v>
      </c>
      <c r="AC59" s="1">
        <f>MIN($M59)</f>
        <v>0</v>
      </c>
      <c r="AD59" s="1">
        <f>MIN($N59)</f>
        <v>0</v>
      </c>
      <c r="AE59" s="1">
        <f>MIN($P59)</f>
        <v>0</v>
      </c>
      <c r="AF59" s="1">
        <f>MIN($Q59)</f>
        <v>0</v>
      </c>
      <c r="AG59" s="1">
        <f>MIN($R59)</f>
        <v>0</v>
      </c>
      <c r="AH59" s="1">
        <f>MEDIAN($B59)</f>
        <v>0</v>
      </c>
      <c r="AI59" s="1">
        <f>MEDIAN($C59)</f>
        <v>0</v>
      </c>
      <c r="AJ59" s="1">
        <f>MEDIAN($D59)</f>
        <v>0</v>
      </c>
      <c r="AK59" s="1">
        <f>MEDIAN($E59)</f>
        <v>0</v>
      </c>
      <c r="AL59" s="1">
        <f>MEDIAN($F59)</f>
        <v>0</v>
      </c>
      <c r="AM59" s="1">
        <f>MEDIAN($G59)</f>
        <v>0</v>
      </c>
      <c r="AN59" s="1">
        <f>MEDIAN($H59)</f>
        <v>0</v>
      </c>
      <c r="AO59" s="1">
        <f>MEDIAN($I59)</f>
        <v>0</v>
      </c>
      <c r="AP59" s="1">
        <f>MEDIAN($J59)</f>
        <v>0</v>
      </c>
      <c r="AQ59" s="1">
        <f>MEDIAN($K59)</f>
        <v>0</v>
      </c>
      <c r="AR59" s="1">
        <f>MEDIAN($M59)</f>
        <v>0</v>
      </c>
      <c r="AS59" s="1">
        <f>MEDIAN($N59)</f>
        <v>0</v>
      </c>
      <c r="AT59" s="1">
        <f>MEDIAN($P59)</f>
        <v>0</v>
      </c>
      <c r="AU59" s="1">
        <f>MEDIAN($Q59)</f>
        <v>0</v>
      </c>
      <c r="AV59" s="1">
        <f>MEDIAN($R59)</f>
        <v>0</v>
      </c>
      <c r="AW59" s="1">
        <f>MAX($B59)</f>
        <v>0</v>
      </c>
      <c r="AX59" s="1">
        <f>MAX($C59)</f>
        <v>0</v>
      </c>
      <c r="AY59" s="1">
        <f>MAX($D59)</f>
        <v>0</v>
      </c>
      <c r="AZ59" s="1">
        <f>MAX($E59)</f>
        <v>0</v>
      </c>
      <c r="BA59" s="1">
        <f>MAX($F59)</f>
        <v>0</v>
      </c>
      <c r="BB59" s="1">
        <f>MAX($G59)</f>
        <v>0</v>
      </c>
      <c r="BC59" s="1">
        <f>MAX($H59)</f>
        <v>0</v>
      </c>
      <c r="BD59" s="1">
        <f>MAX($I59)</f>
        <v>0</v>
      </c>
      <c r="BE59" s="1">
        <f>MAX($J59)</f>
        <v>0</v>
      </c>
      <c r="BF59" s="1">
        <f>MAX($K59)</f>
        <v>0</v>
      </c>
      <c r="BG59" s="1">
        <f>MAX($M59)</f>
        <v>0</v>
      </c>
      <c r="BH59" s="1">
        <f>MAX($N59)</f>
        <v>0</v>
      </c>
      <c r="BI59" s="1">
        <f>MAX($P59)</f>
        <v>0</v>
      </c>
      <c r="BJ59" s="1">
        <f>MAX($Q59)</f>
        <v>0</v>
      </c>
      <c r="BK59" s="1">
        <f>MAX($R59)</f>
        <v>0</v>
      </c>
    </row>
    <row r="60" spans="1:63">
      <c r="A60" s="1" t="s">
        <v>57</v>
      </c>
      <c r="B60" s="1" cm="1">
        <f t="array" ref="B60">_xlfn.SWITCH($A$2,"average", AVERAGE(Instances!B60:Instances!B60),"median", MEDIAN(Instances!B60:Instances!B60),"min", MIN(Instances!B60:Instances!B60),"max", MAX(Instances!B60:Instances!B60),"diff", MAX(Instances!B60:Instances!B60)-MIN(Instances!B60:Instances!B60))</f>
        <v>0</v>
      </c>
      <c r="C60" s="1" cm="1">
        <f t="array" ref="C60">_xlfn.SWITCH($A$2,"average", AVERAGE(Instances!C60:Instances!C60),"median", MEDIAN(Instances!C60:Instances!C60),"min", MIN(Instances!C60:Instances!C60),"max", MAX(Instances!C60:Instances!C60),"diff", MAX(Instances!C60:Instances!C60)-MIN(Instances!C60:Instances!C60))</f>
        <v>0</v>
      </c>
      <c r="D60" s="1" cm="1">
        <f t="array" ref="D60">_xlfn.SWITCH($A$2,"average", AVERAGE(Instances!D60:Instances!D60),"median", MEDIAN(Instances!D60:Instances!D60),"min", MIN(Instances!D60:Instances!D60),"max", MAX(Instances!D60:Instances!D60),"diff", MAX(Instances!D60:Instances!D60)-MIN(Instances!D60:Instances!D60))</f>
        <v>0</v>
      </c>
      <c r="E60" s="1" cm="1">
        <f t="array" ref="E60">_xlfn.SWITCH($A$2,"average", AVERAGE(Instances!E60:Instances!E60),"median", MEDIAN(Instances!E60:Instances!E60),"min", MIN(Instances!E60:Instances!E60),"max", MAX(Instances!E60:Instances!E60),"diff", MAX(Instances!E60:Instances!E60)-MIN(Instances!E60:Instances!E60))</f>
        <v>0</v>
      </c>
      <c r="F60" s="1"/>
      <c r="G60" s="1" cm="1">
        <f t="array" ref="G60">_xlfn.SWITCH($A$2,"average", AVERAGE(Instances!G60:Instances!G60),"median", MEDIAN(Instances!G60:Instances!G60),"min", MIN(Instances!G60:Instances!G60),"max", MAX(Instances!G60:Instances!G60),"diff", MAX(Instances!G60:Instances!G60)-MIN(Instances!G60:Instances!G60))</f>
        <v>0</v>
      </c>
      <c r="H60" s="1" cm="1">
        <f t="array" ref="H60">_xlfn.SWITCH($A$2,"average", AVERAGE(Instances!H60:Instances!H60),"median", MEDIAN(Instances!H60:Instances!H60),"min", MIN(Instances!H60:Instances!H60),"max", MAX(Instances!H60:Instances!H60),"diff", MAX(Instances!H60:Instances!H60)-MIN(Instances!H60:Instances!H60))</f>
        <v>0</v>
      </c>
      <c r="I60" s="1" cm="1">
        <f t="array" ref="I60">_xlfn.SWITCH($A$2,"average", AVERAGE(Instances!I60:Instances!I60),"median", MEDIAN(Instances!I60:Instances!I60),"min", MIN(Instances!I60:Instances!I60),"max", MAX(Instances!I60:Instances!I60),"diff", MAX(Instances!I60:Instances!I60)-MIN(Instances!I60:Instances!I60))</f>
        <v>0</v>
      </c>
      <c r="J60" s="1" cm="1">
        <f t="array" ref="J60">_xlfn.SWITCH($A$2,"average", AVERAGE(Instances!J60:Instances!J60),"median", MEDIAN(Instances!J60:Instances!J60),"min", MIN(Instances!J60:Instances!J60),"max", MAX(Instances!J60:Instances!J60),"diff", MAX(Instances!J60:Instances!J60)-MIN(Instances!J60:Instances!J60))</f>
        <v>0</v>
      </c>
      <c r="K60" s="1" cm="1">
        <f t="array" ref="K60">_xlfn.SWITCH($A$2,"average", AVERAGE(Instances!K60:Instances!K60),"median", MEDIAN(Instances!K60:Instances!K60),"min", MIN(Instances!K60:Instances!K60),"max", MAX(Instances!K60:Instances!K60),"diff", MAX(Instances!K60:Instances!K60)-MIN(Instances!K60:Instances!K60))</f>
        <v>0</v>
      </c>
      <c r="L60" s="1"/>
      <c r="M60" s="1" cm="1">
        <f t="array" ref="M60">_xlfn.SWITCH($A$2,"average", AVERAGE(Instances!M60:Instances!M60),"median", MEDIAN(Instances!M60:Instances!M60),"min", MIN(Instances!M60:Instances!M60),"max", MAX(Instances!M60:Instances!M60),"diff", MAX(Instances!M60:Instances!M60)-MIN(Instances!M60:Instances!M60))</f>
        <v>0</v>
      </c>
      <c r="N60" s="1" cm="1">
        <f t="array" ref="N60">_xlfn.SWITCH($A$2,"average", AVERAGE(Instances!N60:Instances!N60),"median", MEDIAN(Instances!N60:Instances!N60),"min", MIN(Instances!N60:Instances!N60),"max", MAX(Instances!N60:Instances!N60),"diff", MAX(Instances!N60:Instances!N60)-MIN(Instances!N60:Instances!N60))</f>
        <v>0</v>
      </c>
      <c r="O60" s="1"/>
      <c r="P60" s="1" cm="1">
        <f t="array" ref="P60">_xlfn.SWITCH($A$2,"average", AVERAGE(Instances!P60:Instances!P60),"median", MEDIAN(Instances!P60:Instances!P60),"min", MIN(Instances!P60:Instances!P60),"max", MAX(Instances!P60:Instances!P60),"diff", MAX(Instances!P60:Instances!P60)-MIN(Instances!P60:Instances!P60))</f>
        <v>0</v>
      </c>
      <c r="Q60" s="1" cm="1">
        <f t="array" ref="Q60">_xlfn.SWITCH($A$2,"average", AVERAGE(Instances!Q60:Instances!Q60),"median", MEDIAN(Instances!Q60:Instances!Q60),"min", MIN(Instances!Q60:Instances!Q60),"max", MAX(Instances!Q60:Instances!Q60),"diff", MAX(Instances!Q60:Instances!Q60)-MIN(Instances!Q60:Instances!Q60))</f>
        <v>0</v>
      </c>
      <c r="R60" s="1" cm="1">
        <f t="array" ref="R60">_xlfn.SWITCH($A$2,"average", AVERAGE(Instances!R60:Instances!R60),"median", MEDIAN(Instances!R60:Instances!R60),"min", MIN(Instances!R60:Instances!R60),"max", MAX(Instances!R60:Instances!R60),"diff", MAX(Instances!R60:Instances!R60)-MIN(Instances!R60:Instances!R60))</f>
        <v>0</v>
      </c>
      <c r="S60" s="1">
        <f>MIN($B60)</f>
        <v>0</v>
      </c>
      <c r="T60" s="1">
        <f>MIN($C60)</f>
        <v>0</v>
      </c>
      <c r="U60" s="1">
        <f>MIN($D60)</f>
        <v>0</v>
      </c>
      <c r="V60" s="1">
        <f>MIN($E60)</f>
        <v>0</v>
      </c>
      <c r="W60" s="1"/>
      <c r="X60" s="1">
        <f>MIN($G60)</f>
        <v>0</v>
      </c>
      <c r="Y60" s="1">
        <f>MIN($H60)</f>
        <v>0</v>
      </c>
      <c r="Z60" s="1">
        <f>MIN($I60)</f>
        <v>0</v>
      </c>
      <c r="AA60" s="1">
        <f>MIN($J60)</f>
        <v>0</v>
      </c>
      <c r="AB60" s="1">
        <f>MIN($K60)</f>
        <v>0</v>
      </c>
      <c r="AC60" s="1">
        <f>MIN($M60)</f>
        <v>0</v>
      </c>
      <c r="AD60" s="1">
        <f>MIN($N60)</f>
        <v>0</v>
      </c>
      <c r="AE60" s="1">
        <f>MIN($P60)</f>
        <v>0</v>
      </c>
      <c r="AF60" s="1">
        <f>MIN($Q60)</f>
        <v>0</v>
      </c>
      <c r="AG60" s="1">
        <f>MIN($R60)</f>
        <v>0</v>
      </c>
      <c r="AH60" s="1">
        <f>MEDIAN($B60)</f>
        <v>0</v>
      </c>
      <c r="AI60" s="1">
        <f>MEDIAN($C60)</f>
        <v>0</v>
      </c>
      <c r="AJ60" s="1">
        <f>MEDIAN($D60)</f>
        <v>0</v>
      </c>
      <c r="AK60" s="1">
        <f>MEDIAN($E60)</f>
        <v>0</v>
      </c>
      <c r="AL60" s="1"/>
      <c r="AM60" s="1">
        <f>MEDIAN($G60)</f>
        <v>0</v>
      </c>
      <c r="AN60" s="1">
        <f>MEDIAN($H60)</f>
        <v>0</v>
      </c>
      <c r="AO60" s="1">
        <f>MEDIAN($I60)</f>
        <v>0</v>
      </c>
      <c r="AP60" s="1">
        <f>MEDIAN($J60)</f>
        <v>0</v>
      </c>
      <c r="AQ60" s="1">
        <f>MEDIAN($K60)</f>
        <v>0</v>
      </c>
      <c r="AR60" s="1">
        <f>MEDIAN($M60)</f>
        <v>0</v>
      </c>
      <c r="AS60" s="1">
        <f>MEDIAN($N60)</f>
        <v>0</v>
      </c>
      <c r="AT60" s="1">
        <f>MEDIAN($P60)</f>
        <v>0</v>
      </c>
      <c r="AU60" s="1">
        <f>MEDIAN($Q60)</f>
        <v>0</v>
      </c>
      <c r="AV60" s="1">
        <f>MEDIAN($R60)</f>
        <v>0</v>
      </c>
      <c r="AW60" s="1">
        <f>MAX($B60)</f>
        <v>0</v>
      </c>
      <c r="AX60" s="1">
        <f>MAX($C60)</f>
        <v>0</v>
      </c>
      <c r="AY60" s="1">
        <f>MAX($D60)</f>
        <v>0</v>
      </c>
      <c r="AZ60" s="1">
        <f>MAX($E60)</f>
        <v>0</v>
      </c>
      <c r="BA60" s="1"/>
      <c r="BB60" s="1">
        <f>MAX($G60)</f>
        <v>0</v>
      </c>
      <c r="BC60" s="1">
        <f>MAX($H60)</f>
        <v>0</v>
      </c>
      <c r="BD60" s="1">
        <f>MAX($I60)</f>
        <v>0</v>
      </c>
      <c r="BE60" s="1">
        <f>MAX($J60)</f>
        <v>0</v>
      </c>
      <c r="BF60" s="1">
        <f>MAX($K60)</f>
        <v>0</v>
      </c>
      <c r="BG60" s="1">
        <f>MAX($M60)</f>
        <v>0</v>
      </c>
      <c r="BH60" s="1">
        <f>MAX($N60)</f>
        <v>0</v>
      </c>
      <c r="BI60" s="1">
        <f>MAX($P60)</f>
        <v>0</v>
      </c>
      <c r="BJ60" s="1">
        <f>MAX($Q60)</f>
        <v>0</v>
      </c>
      <c r="BK60" s="1">
        <f>MAX($R60)</f>
        <v>0</v>
      </c>
    </row>
    <row r="61" spans="1:63">
      <c r="A61" s="1" t="s">
        <v>58</v>
      </c>
      <c r="B61" s="1" cm="1">
        <f t="array" ref="B61">_xlfn.SWITCH($A$2,"average", AVERAGE(Instances!B61:Instances!B61),"median", MEDIAN(Instances!B61:Instances!B61),"min", MIN(Instances!B61:Instances!B61),"max", MAX(Instances!B61:Instances!B61),"diff", MAX(Instances!B61:Instances!B61)-MIN(Instances!B61:Instances!B61))</f>
        <v>0</v>
      </c>
      <c r="C61" s="1" cm="1">
        <f t="array" ref="C61">_xlfn.SWITCH($A$2,"average", AVERAGE(Instances!C61:Instances!C61),"median", MEDIAN(Instances!C61:Instances!C61),"min", MIN(Instances!C61:Instances!C61),"max", MAX(Instances!C61:Instances!C61),"diff", MAX(Instances!C61:Instances!C61)-MIN(Instances!C61:Instances!C61))</f>
        <v>0</v>
      </c>
      <c r="D61" s="1" cm="1">
        <f t="array" ref="D61">_xlfn.SWITCH($A$2,"average", AVERAGE(Instances!D61:Instances!D61),"median", MEDIAN(Instances!D61:Instances!D61),"min", MIN(Instances!D61:Instances!D61),"max", MAX(Instances!D61:Instances!D61),"diff", MAX(Instances!D61:Instances!D61)-MIN(Instances!D61:Instances!D61))</f>
        <v>0</v>
      </c>
      <c r="E61" s="1" cm="1">
        <f t="array" ref="E61">_xlfn.SWITCH($A$2,"average", AVERAGE(Instances!E61:Instances!E61),"median", MEDIAN(Instances!E61:Instances!E61),"min", MIN(Instances!E61:Instances!E61),"max", MAX(Instances!E61:Instances!E61),"diff", MAX(Instances!E61:Instances!E61)-MIN(Instances!E61:Instances!E61))</f>
        <v>0</v>
      </c>
      <c r="F61" s="1" cm="1">
        <f t="array" ref="F61">_xlfn.SWITCH($A$2,"average", AVERAGE(Instances!F61:Instances!F61),"median", MEDIAN(Instances!F61:Instances!F61),"min", MIN(Instances!F61:Instances!F61),"max", MAX(Instances!F61:Instances!F61),"diff", MAX(Instances!F61:Instances!F61)-MIN(Instances!F61:Instances!F61))</f>
        <v>0</v>
      </c>
      <c r="G61" s="1" cm="1">
        <f t="array" ref="G61">_xlfn.SWITCH($A$2,"average", AVERAGE(Instances!G61:Instances!G61),"median", MEDIAN(Instances!G61:Instances!G61),"min", MIN(Instances!G61:Instances!G61),"max", MAX(Instances!G61:Instances!G61),"diff", MAX(Instances!G61:Instances!G61)-MIN(Instances!G61:Instances!G61))</f>
        <v>0</v>
      </c>
      <c r="H61" s="1" cm="1">
        <f t="array" ref="H61">_xlfn.SWITCH($A$2,"average", AVERAGE(Instances!H61:Instances!H61),"median", MEDIAN(Instances!H61:Instances!H61),"min", MIN(Instances!H61:Instances!H61),"max", MAX(Instances!H61:Instances!H61),"diff", MAX(Instances!H61:Instances!H61)-MIN(Instances!H61:Instances!H61))</f>
        <v>0</v>
      </c>
      <c r="I61" s="1" cm="1">
        <f t="array" ref="I61">_xlfn.SWITCH($A$2,"average", AVERAGE(Instances!I61:Instances!I61),"median", MEDIAN(Instances!I61:Instances!I61),"min", MIN(Instances!I61:Instances!I61),"max", MAX(Instances!I61:Instances!I61),"diff", MAX(Instances!I61:Instances!I61)-MIN(Instances!I61:Instances!I61))</f>
        <v>0</v>
      </c>
      <c r="J61" s="1" cm="1">
        <f t="array" ref="J61">_xlfn.SWITCH($A$2,"average", AVERAGE(Instances!J61:Instances!J61),"median", MEDIAN(Instances!J61:Instances!J61),"min", MIN(Instances!J61:Instances!J61),"max", MAX(Instances!J61:Instances!J61),"diff", MAX(Instances!J61:Instances!J61)-MIN(Instances!J61:Instances!J61))</f>
        <v>0</v>
      </c>
      <c r="K61" s="1" cm="1">
        <f t="array" ref="K61">_xlfn.SWITCH($A$2,"average", AVERAGE(Instances!K61:Instances!K61),"median", MEDIAN(Instances!K61:Instances!K61),"min", MIN(Instances!K61:Instances!K61),"max", MAX(Instances!K61:Instances!K61),"diff", MAX(Instances!K61:Instances!K61)-MIN(Instances!K61:Instances!K61))</f>
        <v>0</v>
      </c>
      <c r="L61" s="1"/>
      <c r="M61" s="1" cm="1">
        <f t="array" ref="M61">_xlfn.SWITCH($A$2,"average", AVERAGE(Instances!M61:Instances!M61),"median", MEDIAN(Instances!M61:Instances!M61),"min", MIN(Instances!M61:Instances!M61),"max", MAX(Instances!M61:Instances!M61),"diff", MAX(Instances!M61:Instances!M61)-MIN(Instances!M61:Instances!M61))</f>
        <v>0</v>
      </c>
      <c r="N61" s="1" cm="1">
        <f t="array" ref="N61">_xlfn.SWITCH($A$2,"average", AVERAGE(Instances!N61:Instances!N61),"median", MEDIAN(Instances!N61:Instances!N61),"min", MIN(Instances!N61:Instances!N61),"max", MAX(Instances!N61:Instances!N61),"diff", MAX(Instances!N61:Instances!N61)-MIN(Instances!N61:Instances!N61))</f>
        <v>0</v>
      </c>
      <c r="O61" s="1"/>
      <c r="P61" s="1" cm="1">
        <f t="array" ref="P61">_xlfn.SWITCH($A$2,"average", AVERAGE(Instances!P61:Instances!P61),"median", MEDIAN(Instances!P61:Instances!P61),"min", MIN(Instances!P61:Instances!P61),"max", MAX(Instances!P61:Instances!P61),"diff", MAX(Instances!P61:Instances!P61)-MIN(Instances!P61:Instances!P61))</f>
        <v>0</v>
      </c>
      <c r="Q61" s="1" cm="1">
        <f t="array" ref="Q61">_xlfn.SWITCH($A$2,"average", AVERAGE(Instances!Q61:Instances!Q61),"median", MEDIAN(Instances!Q61:Instances!Q61),"min", MIN(Instances!Q61:Instances!Q61),"max", MAX(Instances!Q61:Instances!Q61),"diff", MAX(Instances!Q61:Instances!Q61)-MIN(Instances!Q61:Instances!Q61))</f>
        <v>0</v>
      </c>
      <c r="R61" s="1" cm="1">
        <f t="array" ref="R61">_xlfn.SWITCH($A$2,"average", AVERAGE(Instances!R61:Instances!R61),"median", MEDIAN(Instances!R61:Instances!R61),"min", MIN(Instances!R61:Instances!R61),"max", MAX(Instances!R61:Instances!R61),"diff", MAX(Instances!R61:Instances!R61)-MIN(Instances!R61:Instances!R61))</f>
        <v>0</v>
      </c>
      <c r="S61" s="1">
        <f>MIN($B61)</f>
        <v>0</v>
      </c>
      <c r="T61" s="1">
        <f>MIN($C61)</f>
        <v>0</v>
      </c>
      <c r="U61" s="1">
        <f>MIN($D61)</f>
        <v>0</v>
      </c>
      <c r="V61" s="1">
        <f>MIN($E61)</f>
        <v>0</v>
      </c>
      <c r="W61" s="1">
        <f>MIN($F61)</f>
        <v>0</v>
      </c>
      <c r="X61" s="1">
        <f>MIN($G61)</f>
        <v>0</v>
      </c>
      <c r="Y61" s="1">
        <f>MIN($H61)</f>
        <v>0</v>
      </c>
      <c r="Z61" s="1">
        <f>MIN($I61)</f>
        <v>0</v>
      </c>
      <c r="AA61" s="1">
        <f>MIN($J61)</f>
        <v>0</v>
      </c>
      <c r="AB61" s="1">
        <f>MIN($K61)</f>
        <v>0</v>
      </c>
      <c r="AC61" s="1">
        <f>MIN($M61)</f>
        <v>0</v>
      </c>
      <c r="AD61" s="1">
        <f>MIN($N61)</f>
        <v>0</v>
      </c>
      <c r="AE61" s="1">
        <f>MIN($P61)</f>
        <v>0</v>
      </c>
      <c r="AF61" s="1">
        <f>MIN($Q61)</f>
        <v>0</v>
      </c>
      <c r="AG61" s="1">
        <f>MIN($R61)</f>
        <v>0</v>
      </c>
      <c r="AH61" s="1">
        <f>MEDIAN($B61)</f>
        <v>0</v>
      </c>
      <c r="AI61" s="1">
        <f>MEDIAN($C61)</f>
        <v>0</v>
      </c>
      <c r="AJ61" s="1">
        <f>MEDIAN($D61)</f>
        <v>0</v>
      </c>
      <c r="AK61" s="1">
        <f>MEDIAN($E61)</f>
        <v>0</v>
      </c>
      <c r="AL61" s="1">
        <f>MEDIAN($F61)</f>
        <v>0</v>
      </c>
      <c r="AM61" s="1">
        <f>MEDIAN($G61)</f>
        <v>0</v>
      </c>
      <c r="AN61" s="1">
        <f>MEDIAN($H61)</f>
        <v>0</v>
      </c>
      <c r="AO61" s="1">
        <f>MEDIAN($I61)</f>
        <v>0</v>
      </c>
      <c r="AP61" s="1">
        <f>MEDIAN($J61)</f>
        <v>0</v>
      </c>
      <c r="AQ61" s="1">
        <f>MEDIAN($K61)</f>
        <v>0</v>
      </c>
      <c r="AR61" s="1">
        <f>MEDIAN($M61)</f>
        <v>0</v>
      </c>
      <c r="AS61" s="1">
        <f>MEDIAN($N61)</f>
        <v>0</v>
      </c>
      <c r="AT61" s="1">
        <f>MEDIAN($P61)</f>
        <v>0</v>
      </c>
      <c r="AU61" s="1">
        <f>MEDIAN($Q61)</f>
        <v>0</v>
      </c>
      <c r="AV61" s="1">
        <f>MEDIAN($R61)</f>
        <v>0</v>
      </c>
      <c r="AW61" s="1">
        <f>MAX($B61)</f>
        <v>0</v>
      </c>
      <c r="AX61" s="1">
        <f>MAX($C61)</f>
        <v>0</v>
      </c>
      <c r="AY61" s="1">
        <f>MAX($D61)</f>
        <v>0</v>
      </c>
      <c r="AZ61" s="1">
        <f>MAX($E61)</f>
        <v>0</v>
      </c>
      <c r="BA61" s="1">
        <f>MAX($F61)</f>
        <v>0</v>
      </c>
      <c r="BB61" s="1">
        <f>MAX($G61)</f>
        <v>0</v>
      </c>
      <c r="BC61" s="1">
        <f>MAX($H61)</f>
        <v>0</v>
      </c>
      <c r="BD61" s="1">
        <f>MAX($I61)</f>
        <v>0</v>
      </c>
      <c r="BE61" s="1">
        <f>MAX($J61)</f>
        <v>0</v>
      </c>
      <c r="BF61" s="1">
        <f>MAX($K61)</f>
        <v>0</v>
      </c>
      <c r="BG61" s="1">
        <f>MAX($M61)</f>
        <v>0</v>
      </c>
      <c r="BH61" s="1">
        <f>MAX($N61)</f>
        <v>0</v>
      </c>
      <c r="BI61" s="1">
        <f>MAX($P61)</f>
        <v>0</v>
      </c>
      <c r="BJ61" s="1">
        <f>MAX($Q61)</f>
        <v>0</v>
      </c>
      <c r="BK61" s="1">
        <f>MAX($R61)</f>
        <v>0</v>
      </c>
    </row>
    <row r="62" spans="1:63">
      <c r="A62" s="1" t="s">
        <v>59</v>
      </c>
      <c r="B62" s="1" cm="1">
        <f t="array" ref="B62">_xlfn.SWITCH($A$2,"average", AVERAGE(Instances!B62:Instances!B62),"median", MEDIAN(Instances!B62:Instances!B62),"min", MIN(Instances!B62:Instances!B62),"max", MAX(Instances!B62:Instances!B62),"diff", MAX(Instances!B62:Instances!B62)-MIN(Instances!B62:Instances!B62))</f>
        <v>0</v>
      </c>
      <c r="C62" s="1" cm="1">
        <f t="array" ref="C62">_xlfn.SWITCH($A$2,"average", AVERAGE(Instances!C62:Instances!C62),"median", MEDIAN(Instances!C62:Instances!C62),"min", MIN(Instances!C62:Instances!C62),"max", MAX(Instances!C62:Instances!C62),"diff", MAX(Instances!C62:Instances!C62)-MIN(Instances!C62:Instances!C62))</f>
        <v>0</v>
      </c>
      <c r="D62" s="1" cm="1">
        <f t="array" ref="D62">_xlfn.SWITCH($A$2,"average", AVERAGE(Instances!D62:Instances!D62),"median", MEDIAN(Instances!D62:Instances!D62),"min", MIN(Instances!D62:Instances!D62),"max", MAX(Instances!D62:Instances!D62),"diff", MAX(Instances!D62:Instances!D62)-MIN(Instances!D62:Instances!D62))</f>
        <v>0</v>
      </c>
      <c r="E62" s="1" cm="1">
        <f t="array" ref="E62">_xlfn.SWITCH($A$2,"average", AVERAGE(Instances!E62:Instances!E62),"median", MEDIAN(Instances!E62:Instances!E62),"min", MIN(Instances!E62:Instances!E62),"max", MAX(Instances!E62:Instances!E62),"diff", MAX(Instances!E62:Instances!E62)-MIN(Instances!E62:Instances!E62))</f>
        <v>0</v>
      </c>
      <c r="F62" s="1" cm="1">
        <f t="array" ref="F62">_xlfn.SWITCH($A$2,"average", AVERAGE(Instances!F62:Instances!F62),"median", MEDIAN(Instances!F62:Instances!F62),"min", MIN(Instances!F62:Instances!F62),"max", MAX(Instances!F62:Instances!F62),"diff", MAX(Instances!F62:Instances!F62)-MIN(Instances!F62:Instances!F62))</f>
        <v>0</v>
      </c>
      <c r="G62" s="1" cm="1">
        <f t="array" ref="G62">_xlfn.SWITCH($A$2,"average", AVERAGE(Instances!G62:Instances!G62),"median", MEDIAN(Instances!G62:Instances!G62),"min", MIN(Instances!G62:Instances!G62),"max", MAX(Instances!G62:Instances!G62),"diff", MAX(Instances!G62:Instances!G62)-MIN(Instances!G62:Instances!G62))</f>
        <v>0</v>
      </c>
      <c r="H62" s="1" cm="1">
        <f t="array" ref="H62">_xlfn.SWITCH($A$2,"average", AVERAGE(Instances!H62:Instances!H62),"median", MEDIAN(Instances!H62:Instances!H62),"min", MIN(Instances!H62:Instances!H62),"max", MAX(Instances!H62:Instances!H62),"diff", MAX(Instances!H62:Instances!H62)-MIN(Instances!H62:Instances!H62))</f>
        <v>0</v>
      </c>
      <c r="I62" s="1" cm="1">
        <f t="array" ref="I62">_xlfn.SWITCH($A$2,"average", AVERAGE(Instances!I62:Instances!I62),"median", MEDIAN(Instances!I62:Instances!I62),"min", MIN(Instances!I62:Instances!I62),"max", MAX(Instances!I62:Instances!I62),"diff", MAX(Instances!I62:Instances!I62)-MIN(Instances!I62:Instances!I62))</f>
        <v>0</v>
      </c>
      <c r="J62" s="1" cm="1">
        <f t="array" ref="J62">_xlfn.SWITCH($A$2,"average", AVERAGE(Instances!J62:Instances!J62),"median", MEDIAN(Instances!J62:Instances!J62),"min", MIN(Instances!J62:Instances!J62),"max", MAX(Instances!J62:Instances!J62),"diff", MAX(Instances!J62:Instances!J62)-MIN(Instances!J62:Instances!J62))</f>
        <v>0</v>
      </c>
      <c r="K62" s="1" cm="1">
        <f t="array" ref="K62">_xlfn.SWITCH($A$2,"average", AVERAGE(Instances!K62:Instances!K62),"median", MEDIAN(Instances!K62:Instances!K62),"min", MIN(Instances!K62:Instances!K62),"max", MAX(Instances!K62:Instances!K62),"diff", MAX(Instances!K62:Instances!K62)-MIN(Instances!K62:Instances!K62))</f>
        <v>0</v>
      </c>
      <c r="L62" s="1"/>
      <c r="M62" s="1" cm="1">
        <f t="array" ref="M62">_xlfn.SWITCH($A$2,"average", AVERAGE(Instances!M62:Instances!M62),"median", MEDIAN(Instances!M62:Instances!M62),"min", MIN(Instances!M62:Instances!M62),"max", MAX(Instances!M62:Instances!M62),"diff", MAX(Instances!M62:Instances!M62)-MIN(Instances!M62:Instances!M62))</f>
        <v>0</v>
      </c>
      <c r="N62" s="1" cm="1">
        <f t="array" ref="N62">_xlfn.SWITCH($A$2,"average", AVERAGE(Instances!N62:Instances!N62),"median", MEDIAN(Instances!N62:Instances!N62),"min", MIN(Instances!N62:Instances!N62),"max", MAX(Instances!N62:Instances!N62),"diff", MAX(Instances!N62:Instances!N62)-MIN(Instances!N62:Instances!N62))</f>
        <v>0</v>
      </c>
      <c r="O62" s="1"/>
      <c r="P62" s="1" cm="1">
        <f t="array" ref="P62">_xlfn.SWITCH($A$2,"average", AVERAGE(Instances!P62:Instances!P62),"median", MEDIAN(Instances!P62:Instances!P62),"min", MIN(Instances!P62:Instances!P62),"max", MAX(Instances!P62:Instances!P62),"diff", MAX(Instances!P62:Instances!P62)-MIN(Instances!P62:Instances!P62))</f>
        <v>0</v>
      </c>
      <c r="Q62" s="1" cm="1">
        <f t="array" ref="Q62">_xlfn.SWITCH($A$2,"average", AVERAGE(Instances!Q62:Instances!Q62),"median", MEDIAN(Instances!Q62:Instances!Q62),"min", MIN(Instances!Q62:Instances!Q62),"max", MAX(Instances!Q62:Instances!Q62),"diff", MAX(Instances!Q62:Instances!Q62)-MIN(Instances!Q62:Instances!Q62))</f>
        <v>0</v>
      </c>
      <c r="R62" s="1" cm="1">
        <f t="array" ref="R62">_xlfn.SWITCH($A$2,"average", AVERAGE(Instances!R62:Instances!R62),"median", MEDIAN(Instances!R62:Instances!R62),"min", MIN(Instances!R62:Instances!R62),"max", MAX(Instances!R62:Instances!R62),"diff", MAX(Instances!R62:Instances!R62)-MIN(Instances!R62:Instances!R62))</f>
        <v>0</v>
      </c>
      <c r="S62" s="1">
        <f>MIN($B62)</f>
        <v>0</v>
      </c>
      <c r="T62" s="1">
        <f>MIN($C62)</f>
        <v>0</v>
      </c>
      <c r="U62" s="1">
        <f>MIN($D62)</f>
        <v>0</v>
      </c>
      <c r="V62" s="1">
        <f>MIN($E62)</f>
        <v>0</v>
      </c>
      <c r="W62" s="1">
        <f>MIN($F62)</f>
        <v>0</v>
      </c>
      <c r="X62" s="1">
        <f>MIN($G62)</f>
        <v>0</v>
      </c>
      <c r="Y62" s="1">
        <f>MIN($H62)</f>
        <v>0</v>
      </c>
      <c r="Z62" s="1">
        <f>MIN($I62)</f>
        <v>0</v>
      </c>
      <c r="AA62" s="1">
        <f>MIN($J62)</f>
        <v>0</v>
      </c>
      <c r="AB62" s="1">
        <f>MIN($K62)</f>
        <v>0</v>
      </c>
      <c r="AC62" s="1">
        <f>MIN($M62)</f>
        <v>0</v>
      </c>
      <c r="AD62" s="1">
        <f>MIN($N62)</f>
        <v>0</v>
      </c>
      <c r="AE62" s="1">
        <f>MIN($P62)</f>
        <v>0</v>
      </c>
      <c r="AF62" s="1">
        <f>MIN($Q62)</f>
        <v>0</v>
      </c>
      <c r="AG62" s="1">
        <f>MIN($R62)</f>
        <v>0</v>
      </c>
      <c r="AH62" s="1">
        <f>MEDIAN($B62)</f>
        <v>0</v>
      </c>
      <c r="AI62" s="1">
        <f>MEDIAN($C62)</f>
        <v>0</v>
      </c>
      <c r="AJ62" s="1">
        <f>MEDIAN($D62)</f>
        <v>0</v>
      </c>
      <c r="AK62" s="1">
        <f>MEDIAN($E62)</f>
        <v>0</v>
      </c>
      <c r="AL62" s="1">
        <f>MEDIAN($F62)</f>
        <v>0</v>
      </c>
      <c r="AM62" s="1">
        <f>MEDIAN($G62)</f>
        <v>0</v>
      </c>
      <c r="AN62" s="1">
        <f>MEDIAN($H62)</f>
        <v>0</v>
      </c>
      <c r="AO62" s="1">
        <f>MEDIAN($I62)</f>
        <v>0</v>
      </c>
      <c r="AP62" s="1">
        <f>MEDIAN($J62)</f>
        <v>0</v>
      </c>
      <c r="AQ62" s="1">
        <f>MEDIAN($K62)</f>
        <v>0</v>
      </c>
      <c r="AR62" s="1">
        <f>MEDIAN($M62)</f>
        <v>0</v>
      </c>
      <c r="AS62" s="1">
        <f>MEDIAN($N62)</f>
        <v>0</v>
      </c>
      <c r="AT62" s="1">
        <f>MEDIAN($P62)</f>
        <v>0</v>
      </c>
      <c r="AU62" s="1">
        <f>MEDIAN($Q62)</f>
        <v>0</v>
      </c>
      <c r="AV62" s="1">
        <f>MEDIAN($R62)</f>
        <v>0</v>
      </c>
      <c r="AW62" s="1">
        <f>MAX($B62)</f>
        <v>0</v>
      </c>
      <c r="AX62" s="1">
        <f>MAX($C62)</f>
        <v>0</v>
      </c>
      <c r="AY62" s="1">
        <f>MAX($D62)</f>
        <v>0</v>
      </c>
      <c r="AZ62" s="1">
        <f>MAX($E62)</f>
        <v>0</v>
      </c>
      <c r="BA62" s="1">
        <f>MAX($F62)</f>
        <v>0</v>
      </c>
      <c r="BB62" s="1">
        <f>MAX($G62)</f>
        <v>0</v>
      </c>
      <c r="BC62" s="1">
        <f>MAX($H62)</f>
        <v>0</v>
      </c>
      <c r="BD62" s="1">
        <f>MAX($I62)</f>
        <v>0</v>
      </c>
      <c r="BE62" s="1">
        <f>MAX($J62)</f>
        <v>0</v>
      </c>
      <c r="BF62" s="1">
        <f>MAX($K62)</f>
        <v>0</v>
      </c>
      <c r="BG62" s="1">
        <f>MAX($M62)</f>
        <v>0</v>
      </c>
      <c r="BH62" s="1">
        <f>MAX($N62)</f>
        <v>0</v>
      </c>
      <c r="BI62" s="1">
        <f>MAX($P62)</f>
        <v>0</v>
      </c>
      <c r="BJ62" s="1">
        <f>MAX($Q62)</f>
        <v>0</v>
      </c>
      <c r="BK62" s="1">
        <f>MAX($R62)</f>
        <v>0</v>
      </c>
    </row>
    <row r="63" spans="1:63">
      <c r="A63" s="1" t="s">
        <v>60</v>
      </c>
      <c r="B63" s="1" cm="1">
        <f t="array" ref="B63">_xlfn.SWITCH($A$2,"average", AVERAGE(Instances!B63:Instances!B63),"median", MEDIAN(Instances!B63:Instances!B63),"min", MIN(Instances!B63:Instances!B63),"max", MAX(Instances!B63:Instances!B63),"diff", MAX(Instances!B63:Instances!B63)-MIN(Instances!B63:Instances!B63))</f>
        <v>0</v>
      </c>
      <c r="C63" s="1" cm="1">
        <f t="array" ref="C63">_xlfn.SWITCH($A$2,"average", AVERAGE(Instances!C63:Instances!C63),"median", MEDIAN(Instances!C63:Instances!C63),"min", MIN(Instances!C63:Instances!C63),"max", MAX(Instances!C63:Instances!C63),"diff", MAX(Instances!C63:Instances!C63)-MIN(Instances!C63:Instances!C63))</f>
        <v>0</v>
      </c>
      <c r="D63" s="1" cm="1">
        <f t="array" ref="D63">_xlfn.SWITCH($A$2,"average", AVERAGE(Instances!D63:Instances!D63),"median", MEDIAN(Instances!D63:Instances!D63),"min", MIN(Instances!D63:Instances!D63),"max", MAX(Instances!D63:Instances!D63),"diff", MAX(Instances!D63:Instances!D63)-MIN(Instances!D63:Instances!D63))</f>
        <v>0</v>
      </c>
      <c r="E63" s="1" cm="1">
        <f t="array" ref="E63">_xlfn.SWITCH($A$2,"average", AVERAGE(Instances!E63:Instances!E63),"median", MEDIAN(Instances!E63:Instances!E63),"min", MIN(Instances!E63:Instances!E63),"max", MAX(Instances!E63:Instances!E63),"diff", MAX(Instances!E63:Instances!E63)-MIN(Instances!E63:Instances!E63))</f>
        <v>0</v>
      </c>
      <c r="F63" s="1" cm="1">
        <f t="array" ref="F63">_xlfn.SWITCH($A$2,"average", AVERAGE(Instances!F63:Instances!F63),"median", MEDIAN(Instances!F63:Instances!F63),"min", MIN(Instances!F63:Instances!F63),"max", MAX(Instances!F63:Instances!F63),"diff", MAX(Instances!F63:Instances!F63)-MIN(Instances!F63:Instances!F63))</f>
        <v>0</v>
      </c>
      <c r="G63" s="1" cm="1">
        <f t="array" ref="G63">_xlfn.SWITCH($A$2,"average", AVERAGE(Instances!G63:Instances!G63),"median", MEDIAN(Instances!G63:Instances!G63),"min", MIN(Instances!G63:Instances!G63),"max", MAX(Instances!G63:Instances!G63),"diff", MAX(Instances!G63:Instances!G63)-MIN(Instances!G63:Instances!G63))</f>
        <v>0</v>
      </c>
      <c r="H63" s="1" cm="1">
        <f t="array" ref="H63">_xlfn.SWITCH($A$2,"average", AVERAGE(Instances!H63:Instances!H63),"median", MEDIAN(Instances!H63:Instances!H63),"min", MIN(Instances!H63:Instances!H63),"max", MAX(Instances!H63:Instances!H63),"diff", MAX(Instances!H63:Instances!H63)-MIN(Instances!H63:Instances!H63))</f>
        <v>0</v>
      </c>
      <c r="I63" s="1" cm="1">
        <f t="array" ref="I63">_xlfn.SWITCH($A$2,"average", AVERAGE(Instances!I63:Instances!I63),"median", MEDIAN(Instances!I63:Instances!I63),"min", MIN(Instances!I63:Instances!I63),"max", MAX(Instances!I63:Instances!I63),"diff", MAX(Instances!I63:Instances!I63)-MIN(Instances!I63:Instances!I63))</f>
        <v>0</v>
      </c>
      <c r="J63" s="1" cm="1">
        <f t="array" ref="J63">_xlfn.SWITCH($A$2,"average", AVERAGE(Instances!J63:Instances!J63),"median", MEDIAN(Instances!J63:Instances!J63),"min", MIN(Instances!J63:Instances!J63),"max", MAX(Instances!J63:Instances!J63),"diff", MAX(Instances!J63:Instances!J63)-MIN(Instances!J63:Instances!J63))</f>
        <v>0</v>
      </c>
      <c r="K63" s="1" cm="1">
        <f t="array" ref="K63">_xlfn.SWITCH($A$2,"average", AVERAGE(Instances!K63:Instances!K63),"median", MEDIAN(Instances!K63:Instances!K63),"min", MIN(Instances!K63:Instances!K63),"max", MAX(Instances!K63:Instances!K63),"diff", MAX(Instances!K63:Instances!K63)-MIN(Instances!K63:Instances!K63))</f>
        <v>0</v>
      </c>
      <c r="L63" s="1"/>
      <c r="M63" s="1" cm="1">
        <f t="array" ref="M63">_xlfn.SWITCH($A$2,"average", AVERAGE(Instances!M63:Instances!M63),"median", MEDIAN(Instances!M63:Instances!M63),"min", MIN(Instances!M63:Instances!M63),"max", MAX(Instances!M63:Instances!M63),"diff", MAX(Instances!M63:Instances!M63)-MIN(Instances!M63:Instances!M63))</f>
        <v>0</v>
      </c>
      <c r="N63" s="1" cm="1">
        <f t="array" ref="N63">_xlfn.SWITCH($A$2,"average", AVERAGE(Instances!N63:Instances!N63),"median", MEDIAN(Instances!N63:Instances!N63),"min", MIN(Instances!N63:Instances!N63),"max", MAX(Instances!N63:Instances!N63),"diff", MAX(Instances!N63:Instances!N63)-MIN(Instances!N63:Instances!N63))</f>
        <v>0</v>
      </c>
      <c r="O63" s="1"/>
      <c r="P63" s="1" cm="1">
        <f t="array" ref="P63">_xlfn.SWITCH($A$2,"average", AVERAGE(Instances!P63:Instances!P63),"median", MEDIAN(Instances!P63:Instances!P63),"min", MIN(Instances!P63:Instances!P63),"max", MAX(Instances!P63:Instances!P63),"diff", MAX(Instances!P63:Instances!P63)-MIN(Instances!P63:Instances!P63))</f>
        <v>0</v>
      </c>
      <c r="Q63" s="1" cm="1">
        <f t="array" ref="Q63">_xlfn.SWITCH($A$2,"average", AVERAGE(Instances!Q63:Instances!Q63),"median", MEDIAN(Instances!Q63:Instances!Q63),"min", MIN(Instances!Q63:Instances!Q63),"max", MAX(Instances!Q63:Instances!Q63),"diff", MAX(Instances!Q63:Instances!Q63)-MIN(Instances!Q63:Instances!Q63))</f>
        <v>0</v>
      </c>
      <c r="R63" s="1" cm="1">
        <f t="array" ref="R63">_xlfn.SWITCH($A$2,"average", AVERAGE(Instances!R63:Instances!R63),"median", MEDIAN(Instances!R63:Instances!R63),"min", MIN(Instances!R63:Instances!R63),"max", MAX(Instances!R63:Instances!R63),"diff", MAX(Instances!R63:Instances!R63)-MIN(Instances!R63:Instances!R63))</f>
        <v>0</v>
      </c>
      <c r="S63" s="1">
        <f>MIN($B63)</f>
        <v>0</v>
      </c>
      <c r="T63" s="1">
        <f>MIN($C63)</f>
        <v>0</v>
      </c>
      <c r="U63" s="1">
        <f>MIN($D63)</f>
        <v>0</v>
      </c>
      <c r="V63" s="1">
        <f>MIN($E63)</f>
        <v>0</v>
      </c>
      <c r="W63" s="1">
        <f>MIN($F63)</f>
        <v>0</v>
      </c>
      <c r="X63" s="1">
        <f>MIN($G63)</f>
        <v>0</v>
      </c>
      <c r="Y63" s="1">
        <f>MIN($H63)</f>
        <v>0</v>
      </c>
      <c r="Z63" s="1">
        <f>MIN($I63)</f>
        <v>0</v>
      </c>
      <c r="AA63" s="1">
        <f>MIN($J63)</f>
        <v>0</v>
      </c>
      <c r="AB63" s="1">
        <f>MIN($K63)</f>
        <v>0</v>
      </c>
      <c r="AC63" s="1">
        <f>MIN($M63)</f>
        <v>0</v>
      </c>
      <c r="AD63" s="1">
        <f>MIN($N63)</f>
        <v>0</v>
      </c>
      <c r="AE63" s="1">
        <f>MIN($P63)</f>
        <v>0</v>
      </c>
      <c r="AF63" s="1">
        <f>MIN($Q63)</f>
        <v>0</v>
      </c>
      <c r="AG63" s="1">
        <f>MIN($R63)</f>
        <v>0</v>
      </c>
      <c r="AH63" s="1">
        <f>MEDIAN($B63)</f>
        <v>0</v>
      </c>
      <c r="AI63" s="1">
        <f>MEDIAN($C63)</f>
        <v>0</v>
      </c>
      <c r="AJ63" s="1">
        <f>MEDIAN($D63)</f>
        <v>0</v>
      </c>
      <c r="AK63" s="1">
        <f>MEDIAN($E63)</f>
        <v>0</v>
      </c>
      <c r="AL63" s="1">
        <f>MEDIAN($F63)</f>
        <v>0</v>
      </c>
      <c r="AM63" s="1">
        <f>MEDIAN($G63)</f>
        <v>0</v>
      </c>
      <c r="AN63" s="1">
        <f>MEDIAN($H63)</f>
        <v>0</v>
      </c>
      <c r="AO63" s="1">
        <f>MEDIAN($I63)</f>
        <v>0</v>
      </c>
      <c r="AP63" s="1">
        <f>MEDIAN($J63)</f>
        <v>0</v>
      </c>
      <c r="AQ63" s="1">
        <f>MEDIAN($K63)</f>
        <v>0</v>
      </c>
      <c r="AR63" s="1">
        <f>MEDIAN($M63)</f>
        <v>0</v>
      </c>
      <c r="AS63" s="1">
        <f>MEDIAN($N63)</f>
        <v>0</v>
      </c>
      <c r="AT63" s="1">
        <f>MEDIAN($P63)</f>
        <v>0</v>
      </c>
      <c r="AU63" s="1">
        <f>MEDIAN($Q63)</f>
        <v>0</v>
      </c>
      <c r="AV63" s="1">
        <f>MEDIAN($R63)</f>
        <v>0</v>
      </c>
      <c r="AW63" s="1">
        <f>MAX($B63)</f>
        <v>0</v>
      </c>
      <c r="AX63" s="1">
        <f>MAX($C63)</f>
        <v>0</v>
      </c>
      <c r="AY63" s="1">
        <f>MAX($D63)</f>
        <v>0</v>
      </c>
      <c r="AZ63" s="1">
        <f>MAX($E63)</f>
        <v>0</v>
      </c>
      <c r="BA63" s="1">
        <f>MAX($F63)</f>
        <v>0</v>
      </c>
      <c r="BB63" s="1">
        <f>MAX($G63)</f>
        <v>0</v>
      </c>
      <c r="BC63" s="1">
        <f>MAX($H63)</f>
        <v>0</v>
      </c>
      <c r="BD63" s="1">
        <f>MAX($I63)</f>
        <v>0</v>
      </c>
      <c r="BE63" s="1">
        <f>MAX($J63)</f>
        <v>0</v>
      </c>
      <c r="BF63" s="1">
        <f>MAX($K63)</f>
        <v>0</v>
      </c>
      <c r="BG63" s="1">
        <f>MAX($M63)</f>
        <v>0</v>
      </c>
      <c r="BH63" s="1">
        <f>MAX($N63)</f>
        <v>0</v>
      </c>
      <c r="BI63" s="1">
        <f>MAX($P63)</f>
        <v>0</v>
      </c>
      <c r="BJ63" s="1">
        <f>MAX($Q63)</f>
        <v>0</v>
      </c>
      <c r="BK63" s="1">
        <f>MAX($R63)</f>
        <v>0</v>
      </c>
    </row>
    <row r="64" spans="1:63">
      <c r="A64" s="1" t="s">
        <v>61</v>
      </c>
      <c r="B64" s="1" cm="1">
        <f t="array" ref="B64">_xlfn.SWITCH($A$2,"average", AVERAGE(Instances!B64:Instances!B64),"median", MEDIAN(Instances!B64:Instances!B64),"min", MIN(Instances!B64:Instances!B64),"max", MAX(Instances!B64:Instances!B64),"diff", MAX(Instances!B64:Instances!B64)-MIN(Instances!B64:Instances!B64))</f>
        <v>0</v>
      </c>
      <c r="C64" s="1" cm="1">
        <f t="array" ref="C64">_xlfn.SWITCH($A$2,"average", AVERAGE(Instances!C64:Instances!C64),"median", MEDIAN(Instances!C64:Instances!C64),"min", MIN(Instances!C64:Instances!C64),"max", MAX(Instances!C64:Instances!C64),"diff", MAX(Instances!C64:Instances!C64)-MIN(Instances!C64:Instances!C64))</f>
        <v>0</v>
      </c>
      <c r="D64" s="1" cm="1">
        <f t="array" ref="D64">_xlfn.SWITCH($A$2,"average", AVERAGE(Instances!D64:Instances!D64),"median", MEDIAN(Instances!D64:Instances!D64),"min", MIN(Instances!D64:Instances!D64),"max", MAX(Instances!D64:Instances!D64),"diff", MAX(Instances!D64:Instances!D64)-MIN(Instances!D64:Instances!D64))</f>
        <v>0</v>
      </c>
      <c r="E64" s="1" cm="1">
        <f t="array" ref="E64">_xlfn.SWITCH($A$2,"average", AVERAGE(Instances!E64:Instances!E64),"median", MEDIAN(Instances!E64:Instances!E64),"min", MIN(Instances!E64:Instances!E64),"max", MAX(Instances!E64:Instances!E64),"diff", MAX(Instances!E64:Instances!E64)-MIN(Instances!E64:Instances!E64))</f>
        <v>0</v>
      </c>
      <c r="F64" s="1" cm="1">
        <f t="array" ref="F64">_xlfn.SWITCH($A$2,"average", AVERAGE(Instances!F64:Instances!F64),"median", MEDIAN(Instances!F64:Instances!F64),"min", MIN(Instances!F64:Instances!F64),"max", MAX(Instances!F64:Instances!F64),"diff", MAX(Instances!F64:Instances!F64)-MIN(Instances!F64:Instances!F64))</f>
        <v>0</v>
      </c>
      <c r="G64" s="1" cm="1">
        <f t="array" ref="G64">_xlfn.SWITCH($A$2,"average", AVERAGE(Instances!G64:Instances!G64),"median", MEDIAN(Instances!G64:Instances!G64),"min", MIN(Instances!G64:Instances!G64),"max", MAX(Instances!G64:Instances!G64),"diff", MAX(Instances!G64:Instances!G64)-MIN(Instances!G64:Instances!G64))</f>
        <v>0</v>
      </c>
      <c r="H64" s="1" cm="1">
        <f t="array" ref="H64">_xlfn.SWITCH($A$2,"average", AVERAGE(Instances!H64:Instances!H64),"median", MEDIAN(Instances!H64:Instances!H64),"min", MIN(Instances!H64:Instances!H64),"max", MAX(Instances!H64:Instances!H64),"diff", MAX(Instances!H64:Instances!H64)-MIN(Instances!H64:Instances!H64))</f>
        <v>0</v>
      </c>
      <c r="I64" s="1" cm="1">
        <f t="array" ref="I64">_xlfn.SWITCH($A$2,"average", AVERAGE(Instances!I64:Instances!I64),"median", MEDIAN(Instances!I64:Instances!I64),"min", MIN(Instances!I64:Instances!I64),"max", MAX(Instances!I64:Instances!I64),"diff", MAX(Instances!I64:Instances!I64)-MIN(Instances!I64:Instances!I64))</f>
        <v>0</v>
      </c>
      <c r="J64" s="1" cm="1">
        <f t="array" ref="J64">_xlfn.SWITCH($A$2,"average", AVERAGE(Instances!J64:Instances!J64),"median", MEDIAN(Instances!J64:Instances!J64),"min", MIN(Instances!J64:Instances!J64),"max", MAX(Instances!J64:Instances!J64),"diff", MAX(Instances!J64:Instances!J64)-MIN(Instances!J64:Instances!J64))</f>
        <v>0</v>
      </c>
      <c r="K64" s="1" cm="1">
        <f t="array" ref="K64">_xlfn.SWITCH($A$2,"average", AVERAGE(Instances!K64:Instances!K64),"median", MEDIAN(Instances!K64:Instances!K64),"min", MIN(Instances!K64:Instances!K64),"max", MAX(Instances!K64:Instances!K64),"diff", MAX(Instances!K64:Instances!K64)-MIN(Instances!K64:Instances!K64))</f>
        <v>0</v>
      </c>
      <c r="L64" s="1"/>
      <c r="M64" s="1" cm="1">
        <f t="array" ref="M64">_xlfn.SWITCH($A$2,"average", AVERAGE(Instances!M64:Instances!M64),"median", MEDIAN(Instances!M64:Instances!M64),"min", MIN(Instances!M64:Instances!M64),"max", MAX(Instances!M64:Instances!M64),"diff", MAX(Instances!M64:Instances!M64)-MIN(Instances!M64:Instances!M64))</f>
        <v>0</v>
      </c>
      <c r="N64" s="1" cm="1">
        <f t="array" ref="N64">_xlfn.SWITCH($A$2,"average", AVERAGE(Instances!N64:Instances!N64),"median", MEDIAN(Instances!N64:Instances!N64),"min", MIN(Instances!N64:Instances!N64),"max", MAX(Instances!N64:Instances!N64),"diff", MAX(Instances!N64:Instances!N64)-MIN(Instances!N64:Instances!N64))</f>
        <v>0</v>
      </c>
      <c r="O64" s="1"/>
      <c r="P64" s="1" cm="1">
        <f t="array" ref="P64">_xlfn.SWITCH($A$2,"average", AVERAGE(Instances!P64:Instances!P64),"median", MEDIAN(Instances!P64:Instances!P64),"min", MIN(Instances!P64:Instances!P64),"max", MAX(Instances!P64:Instances!P64),"diff", MAX(Instances!P64:Instances!P64)-MIN(Instances!P64:Instances!P64))</f>
        <v>0</v>
      </c>
      <c r="Q64" s="1" cm="1">
        <f t="array" ref="Q64">_xlfn.SWITCH($A$2,"average", AVERAGE(Instances!Q64:Instances!Q64),"median", MEDIAN(Instances!Q64:Instances!Q64),"min", MIN(Instances!Q64:Instances!Q64),"max", MAX(Instances!Q64:Instances!Q64),"diff", MAX(Instances!Q64:Instances!Q64)-MIN(Instances!Q64:Instances!Q64))</f>
        <v>0</v>
      </c>
      <c r="R64" s="1" cm="1">
        <f t="array" ref="R64">_xlfn.SWITCH($A$2,"average", AVERAGE(Instances!R64:Instances!R64),"median", MEDIAN(Instances!R64:Instances!R64),"min", MIN(Instances!R64:Instances!R64),"max", MAX(Instances!R64:Instances!R64),"diff", MAX(Instances!R64:Instances!R64)-MIN(Instances!R64:Instances!R64))</f>
        <v>0</v>
      </c>
      <c r="S64" s="1">
        <f>MIN($B64)</f>
        <v>0</v>
      </c>
      <c r="T64" s="1">
        <f>MIN($C64)</f>
        <v>0</v>
      </c>
      <c r="U64" s="1">
        <f>MIN($D64)</f>
        <v>0</v>
      </c>
      <c r="V64" s="1">
        <f>MIN($E64)</f>
        <v>0</v>
      </c>
      <c r="W64" s="1">
        <f>MIN($F64)</f>
        <v>0</v>
      </c>
      <c r="X64" s="1">
        <f>MIN($G64)</f>
        <v>0</v>
      </c>
      <c r="Y64" s="1">
        <f>MIN($H64)</f>
        <v>0</v>
      </c>
      <c r="Z64" s="1">
        <f>MIN($I64)</f>
        <v>0</v>
      </c>
      <c r="AA64" s="1">
        <f>MIN($J64)</f>
        <v>0</v>
      </c>
      <c r="AB64" s="1">
        <f>MIN($K64)</f>
        <v>0</v>
      </c>
      <c r="AC64" s="1">
        <f>MIN($M64)</f>
        <v>0</v>
      </c>
      <c r="AD64" s="1">
        <f>MIN($N64)</f>
        <v>0</v>
      </c>
      <c r="AE64" s="1">
        <f>MIN($P64)</f>
        <v>0</v>
      </c>
      <c r="AF64" s="1">
        <f>MIN($Q64)</f>
        <v>0</v>
      </c>
      <c r="AG64" s="1">
        <f>MIN($R64)</f>
        <v>0</v>
      </c>
      <c r="AH64" s="1">
        <f>MEDIAN($B64)</f>
        <v>0</v>
      </c>
      <c r="AI64" s="1">
        <f>MEDIAN($C64)</f>
        <v>0</v>
      </c>
      <c r="AJ64" s="1">
        <f>MEDIAN($D64)</f>
        <v>0</v>
      </c>
      <c r="AK64" s="1">
        <f>MEDIAN($E64)</f>
        <v>0</v>
      </c>
      <c r="AL64" s="1">
        <f>MEDIAN($F64)</f>
        <v>0</v>
      </c>
      <c r="AM64" s="1">
        <f>MEDIAN($G64)</f>
        <v>0</v>
      </c>
      <c r="AN64" s="1">
        <f>MEDIAN($H64)</f>
        <v>0</v>
      </c>
      <c r="AO64" s="1">
        <f>MEDIAN($I64)</f>
        <v>0</v>
      </c>
      <c r="AP64" s="1">
        <f>MEDIAN($J64)</f>
        <v>0</v>
      </c>
      <c r="AQ64" s="1">
        <f>MEDIAN($K64)</f>
        <v>0</v>
      </c>
      <c r="AR64" s="1">
        <f>MEDIAN($M64)</f>
        <v>0</v>
      </c>
      <c r="AS64" s="1">
        <f>MEDIAN($N64)</f>
        <v>0</v>
      </c>
      <c r="AT64" s="1">
        <f>MEDIAN($P64)</f>
        <v>0</v>
      </c>
      <c r="AU64" s="1">
        <f>MEDIAN($Q64)</f>
        <v>0</v>
      </c>
      <c r="AV64" s="1">
        <f>MEDIAN($R64)</f>
        <v>0</v>
      </c>
      <c r="AW64" s="1">
        <f>MAX($B64)</f>
        <v>0</v>
      </c>
      <c r="AX64" s="1">
        <f>MAX($C64)</f>
        <v>0</v>
      </c>
      <c r="AY64" s="1">
        <f>MAX($D64)</f>
        <v>0</v>
      </c>
      <c r="AZ64" s="1">
        <f>MAX($E64)</f>
        <v>0</v>
      </c>
      <c r="BA64" s="1">
        <f>MAX($F64)</f>
        <v>0</v>
      </c>
      <c r="BB64" s="1">
        <f>MAX($G64)</f>
        <v>0</v>
      </c>
      <c r="BC64" s="1">
        <f>MAX($H64)</f>
        <v>0</v>
      </c>
      <c r="BD64" s="1">
        <f>MAX($I64)</f>
        <v>0</v>
      </c>
      <c r="BE64" s="1">
        <f>MAX($J64)</f>
        <v>0</v>
      </c>
      <c r="BF64" s="1">
        <f>MAX($K64)</f>
        <v>0</v>
      </c>
      <c r="BG64" s="1">
        <f>MAX($M64)</f>
        <v>0</v>
      </c>
      <c r="BH64" s="1">
        <f>MAX($N64)</f>
        <v>0</v>
      </c>
      <c r="BI64" s="1">
        <f>MAX($P64)</f>
        <v>0</v>
      </c>
      <c r="BJ64" s="1">
        <f>MAX($Q64)</f>
        <v>0</v>
      </c>
      <c r="BK64" s="1">
        <f>MAX($R64)</f>
        <v>0</v>
      </c>
    </row>
    <row r="65" spans="1:63">
      <c r="A65" s="1" t="s">
        <v>62</v>
      </c>
      <c r="B65" s="1" cm="1">
        <f t="array" ref="B65">_xlfn.SWITCH($A$2,"average", AVERAGE(Instances!B65:Instances!B65),"median", MEDIAN(Instances!B65:Instances!B65),"min", MIN(Instances!B65:Instances!B65),"max", MAX(Instances!B65:Instances!B65),"diff", MAX(Instances!B65:Instances!B65)-MIN(Instances!B65:Instances!B65))</f>
        <v>0</v>
      </c>
      <c r="C65" s="1" cm="1">
        <f t="array" ref="C65">_xlfn.SWITCH($A$2,"average", AVERAGE(Instances!C65:Instances!C65),"median", MEDIAN(Instances!C65:Instances!C65),"min", MIN(Instances!C65:Instances!C65),"max", MAX(Instances!C65:Instances!C65),"diff", MAX(Instances!C65:Instances!C65)-MIN(Instances!C65:Instances!C65))</f>
        <v>0</v>
      </c>
      <c r="D65" s="1" cm="1">
        <f t="array" ref="D65">_xlfn.SWITCH($A$2,"average", AVERAGE(Instances!D65:Instances!D65),"median", MEDIAN(Instances!D65:Instances!D65),"min", MIN(Instances!D65:Instances!D65),"max", MAX(Instances!D65:Instances!D65),"diff", MAX(Instances!D65:Instances!D65)-MIN(Instances!D65:Instances!D65))</f>
        <v>0</v>
      </c>
      <c r="E65" s="1" cm="1">
        <f t="array" ref="E65">_xlfn.SWITCH($A$2,"average", AVERAGE(Instances!E65:Instances!E65),"median", MEDIAN(Instances!E65:Instances!E65),"min", MIN(Instances!E65:Instances!E65),"max", MAX(Instances!E65:Instances!E65),"diff", MAX(Instances!E65:Instances!E65)-MIN(Instances!E65:Instances!E65))</f>
        <v>0</v>
      </c>
      <c r="F65" s="1" cm="1">
        <f t="array" ref="F65">_xlfn.SWITCH($A$2,"average", AVERAGE(Instances!F65:Instances!F65),"median", MEDIAN(Instances!F65:Instances!F65),"min", MIN(Instances!F65:Instances!F65),"max", MAX(Instances!F65:Instances!F65),"diff", MAX(Instances!F65:Instances!F65)-MIN(Instances!F65:Instances!F65))</f>
        <v>0</v>
      </c>
      <c r="G65" s="1" cm="1">
        <f t="array" ref="G65">_xlfn.SWITCH($A$2,"average", AVERAGE(Instances!G65:Instances!G65),"median", MEDIAN(Instances!G65:Instances!G65),"min", MIN(Instances!G65:Instances!G65),"max", MAX(Instances!G65:Instances!G65),"diff", MAX(Instances!G65:Instances!G65)-MIN(Instances!G65:Instances!G65))</f>
        <v>0</v>
      </c>
      <c r="H65" s="1" cm="1">
        <f t="array" ref="H65">_xlfn.SWITCH($A$2,"average", AVERAGE(Instances!H65:Instances!H65),"median", MEDIAN(Instances!H65:Instances!H65),"min", MIN(Instances!H65:Instances!H65),"max", MAX(Instances!H65:Instances!H65),"diff", MAX(Instances!H65:Instances!H65)-MIN(Instances!H65:Instances!H65))</f>
        <v>0</v>
      </c>
      <c r="I65" s="1" cm="1">
        <f t="array" ref="I65">_xlfn.SWITCH($A$2,"average", AVERAGE(Instances!I65:Instances!I65),"median", MEDIAN(Instances!I65:Instances!I65),"min", MIN(Instances!I65:Instances!I65),"max", MAX(Instances!I65:Instances!I65),"diff", MAX(Instances!I65:Instances!I65)-MIN(Instances!I65:Instances!I65))</f>
        <v>0</v>
      </c>
      <c r="J65" s="1" cm="1">
        <f t="array" ref="J65">_xlfn.SWITCH($A$2,"average", AVERAGE(Instances!J65:Instances!J65),"median", MEDIAN(Instances!J65:Instances!J65),"min", MIN(Instances!J65:Instances!J65),"max", MAX(Instances!J65:Instances!J65),"diff", MAX(Instances!J65:Instances!J65)-MIN(Instances!J65:Instances!J65))</f>
        <v>0</v>
      </c>
      <c r="K65" s="1" cm="1">
        <f t="array" ref="K65">_xlfn.SWITCH($A$2,"average", AVERAGE(Instances!K65:Instances!K65),"median", MEDIAN(Instances!K65:Instances!K65),"min", MIN(Instances!K65:Instances!K65),"max", MAX(Instances!K65:Instances!K65),"diff", MAX(Instances!K65:Instances!K65)-MIN(Instances!K65:Instances!K65))</f>
        <v>0</v>
      </c>
      <c r="L65" s="1"/>
      <c r="M65" s="1" cm="1">
        <f t="array" ref="M65">_xlfn.SWITCH($A$2,"average", AVERAGE(Instances!M65:Instances!M65),"median", MEDIAN(Instances!M65:Instances!M65),"min", MIN(Instances!M65:Instances!M65),"max", MAX(Instances!M65:Instances!M65),"diff", MAX(Instances!M65:Instances!M65)-MIN(Instances!M65:Instances!M65))</f>
        <v>0</v>
      </c>
      <c r="N65" s="1" cm="1">
        <f t="array" ref="N65">_xlfn.SWITCH($A$2,"average", AVERAGE(Instances!N65:Instances!N65),"median", MEDIAN(Instances!N65:Instances!N65),"min", MIN(Instances!N65:Instances!N65),"max", MAX(Instances!N65:Instances!N65),"diff", MAX(Instances!N65:Instances!N65)-MIN(Instances!N65:Instances!N65))</f>
        <v>0</v>
      </c>
      <c r="O65" s="1"/>
      <c r="P65" s="1" cm="1">
        <f t="array" ref="P65">_xlfn.SWITCH($A$2,"average", AVERAGE(Instances!P65:Instances!P65),"median", MEDIAN(Instances!P65:Instances!P65),"min", MIN(Instances!P65:Instances!P65),"max", MAX(Instances!P65:Instances!P65),"diff", MAX(Instances!P65:Instances!P65)-MIN(Instances!P65:Instances!P65))</f>
        <v>0</v>
      </c>
      <c r="Q65" s="1" cm="1">
        <f t="array" ref="Q65">_xlfn.SWITCH($A$2,"average", AVERAGE(Instances!Q65:Instances!Q65),"median", MEDIAN(Instances!Q65:Instances!Q65),"min", MIN(Instances!Q65:Instances!Q65),"max", MAX(Instances!Q65:Instances!Q65),"diff", MAX(Instances!Q65:Instances!Q65)-MIN(Instances!Q65:Instances!Q65))</f>
        <v>0</v>
      </c>
      <c r="R65" s="1" cm="1">
        <f t="array" ref="R65">_xlfn.SWITCH($A$2,"average", AVERAGE(Instances!R65:Instances!R65),"median", MEDIAN(Instances!R65:Instances!R65),"min", MIN(Instances!R65:Instances!R65),"max", MAX(Instances!R65:Instances!R65),"diff", MAX(Instances!R65:Instances!R65)-MIN(Instances!R65:Instances!R65))</f>
        <v>0</v>
      </c>
      <c r="S65" s="1">
        <f>MIN($B65)</f>
        <v>0</v>
      </c>
      <c r="T65" s="1">
        <f>MIN($C65)</f>
        <v>0</v>
      </c>
      <c r="U65" s="1">
        <f>MIN($D65)</f>
        <v>0</v>
      </c>
      <c r="V65" s="1">
        <f>MIN($E65)</f>
        <v>0</v>
      </c>
      <c r="W65" s="1">
        <f>MIN($F65)</f>
        <v>0</v>
      </c>
      <c r="X65" s="1">
        <f>MIN($G65)</f>
        <v>0</v>
      </c>
      <c r="Y65" s="1">
        <f>MIN($H65)</f>
        <v>0</v>
      </c>
      <c r="Z65" s="1">
        <f>MIN($I65)</f>
        <v>0</v>
      </c>
      <c r="AA65" s="1">
        <f>MIN($J65)</f>
        <v>0</v>
      </c>
      <c r="AB65" s="1">
        <f>MIN($K65)</f>
        <v>0</v>
      </c>
      <c r="AC65" s="1">
        <f>MIN($M65)</f>
        <v>0</v>
      </c>
      <c r="AD65" s="1">
        <f>MIN($N65)</f>
        <v>0</v>
      </c>
      <c r="AE65" s="1">
        <f>MIN($P65)</f>
        <v>0</v>
      </c>
      <c r="AF65" s="1">
        <f>MIN($Q65)</f>
        <v>0</v>
      </c>
      <c r="AG65" s="1">
        <f>MIN($R65)</f>
        <v>0</v>
      </c>
      <c r="AH65" s="1">
        <f>MEDIAN($B65)</f>
        <v>0</v>
      </c>
      <c r="AI65" s="1">
        <f>MEDIAN($C65)</f>
        <v>0</v>
      </c>
      <c r="AJ65" s="1">
        <f>MEDIAN($D65)</f>
        <v>0</v>
      </c>
      <c r="AK65" s="1">
        <f>MEDIAN($E65)</f>
        <v>0</v>
      </c>
      <c r="AL65" s="1">
        <f>MEDIAN($F65)</f>
        <v>0</v>
      </c>
      <c r="AM65" s="1">
        <f>MEDIAN($G65)</f>
        <v>0</v>
      </c>
      <c r="AN65" s="1">
        <f>MEDIAN($H65)</f>
        <v>0</v>
      </c>
      <c r="AO65" s="1">
        <f>MEDIAN($I65)</f>
        <v>0</v>
      </c>
      <c r="AP65" s="1">
        <f>MEDIAN($J65)</f>
        <v>0</v>
      </c>
      <c r="AQ65" s="1">
        <f>MEDIAN($K65)</f>
        <v>0</v>
      </c>
      <c r="AR65" s="1">
        <f>MEDIAN($M65)</f>
        <v>0</v>
      </c>
      <c r="AS65" s="1">
        <f>MEDIAN($N65)</f>
        <v>0</v>
      </c>
      <c r="AT65" s="1">
        <f>MEDIAN($P65)</f>
        <v>0</v>
      </c>
      <c r="AU65" s="1">
        <f>MEDIAN($Q65)</f>
        <v>0</v>
      </c>
      <c r="AV65" s="1">
        <f>MEDIAN($R65)</f>
        <v>0</v>
      </c>
      <c r="AW65" s="1">
        <f>MAX($B65)</f>
        <v>0</v>
      </c>
      <c r="AX65" s="1">
        <f>MAX($C65)</f>
        <v>0</v>
      </c>
      <c r="AY65" s="1">
        <f>MAX($D65)</f>
        <v>0</v>
      </c>
      <c r="AZ65" s="1">
        <f>MAX($E65)</f>
        <v>0</v>
      </c>
      <c r="BA65" s="1">
        <f>MAX($F65)</f>
        <v>0</v>
      </c>
      <c r="BB65" s="1">
        <f>MAX($G65)</f>
        <v>0</v>
      </c>
      <c r="BC65" s="1">
        <f>MAX($H65)</f>
        <v>0</v>
      </c>
      <c r="BD65" s="1">
        <f>MAX($I65)</f>
        <v>0</v>
      </c>
      <c r="BE65" s="1">
        <f>MAX($J65)</f>
        <v>0</v>
      </c>
      <c r="BF65" s="1">
        <f>MAX($K65)</f>
        <v>0</v>
      </c>
      <c r="BG65" s="1">
        <f>MAX($M65)</f>
        <v>0</v>
      </c>
      <c r="BH65" s="1">
        <f>MAX($N65)</f>
        <v>0</v>
      </c>
      <c r="BI65" s="1">
        <f>MAX($P65)</f>
        <v>0</v>
      </c>
      <c r="BJ65" s="1">
        <f>MAX($Q65)</f>
        <v>0</v>
      </c>
      <c r="BK65" s="1">
        <f>MAX($R65)</f>
        <v>0</v>
      </c>
    </row>
    <row r="66" spans="1:63">
      <c r="A66" s="1" t="s">
        <v>63</v>
      </c>
      <c r="B66" s="1"/>
      <c r="C66" s="1"/>
      <c r="D66" s="1"/>
      <c r="E66" s="1" cm="1">
        <f t="array" ref="E66">_xlfn.SWITCH($A$2,"average", AVERAGE(Instances!E66:Instances!E66),"median", MEDIAN(Instances!E66:Instances!E66),"min", MIN(Instances!E66:Instances!E66),"max", MAX(Instances!E66:Instances!E66),"diff", MAX(Instances!E66:Instances!E66)-MIN(Instances!E66:Instances!E66))</f>
        <v>0</v>
      </c>
      <c r="F66" s="1" cm="1">
        <f t="array" ref="F66">_xlfn.SWITCH($A$2,"average", AVERAGE(Instances!F66:Instances!F66),"median", MEDIAN(Instances!F66:Instances!F66),"min", MIN(Instances!F66:Instances!F66),"max", MAX(Instances!F66:Instances!F66),"diff", MAX(Instances!F66:Instances!F66)-MIN(Instances!F66:Instances!F66))</f>
        <v>0</v>
      </c>
      <c r="G66" s="1" cm="1">
        <f t="array" ref="G66">_xlfn.SWITCH($A$2,"average", AVERAGE(Instances!G66:Instances!G66),"median", MEDIAN(Instances!G66:Instances!G66),"min", MIN(Instances!G66:Instances!G66),"max", MAX(Instances!G66:Instances!G66),"diff", MAX(Instances!G66:Instances!G66)-MIN(Instances!G66:Instances!G66))</f>
        <v>0</v>
      </c>
      <c r="H66" s="1"/>
      <c r="I66" s="1"/>
      <c r="J66" s="1" cm="1">
        <f t="array" ref="J66">_xlfn.SWITCH($A$2,"average", AVERAGE(Instances!J66:Instances!J66),"median", MEDIAN(Instances!J66:Instances!J66),"min", MIN(Instances!J66:Instances!J66),"max", MAX(Instances!J66:Instances!J66),"diff", MAX(Instances!J66:Instances!J66)-MIN(Instances!J66:Instances!J66))</f>
        <v>0</v>
      </c>
      <c r="K66" s="1"/>
      <c r="L66" s="1"/>
      <c r="M66" s="1"/>
      <c r="N66" s="1"/>
      <c r="O66" s="1"/>
      <c r="P66" s="1" cm="1">
        <f t="array" ref="P66">_xlfn.SWITCH($A$2,"average", AVERAGE(Instances!P66:Instances!P66),"median", MEDIAN(Instances!P66:Instances!P66),"min", MIN(Instances!P66:Instances!P66),"max", MAX(Instances!P66:Instances!P66),"diff", MAX(Instances!P66:Instances!P66)-MIN(Instances!P66:Instances!P66))</f>
        <v>0</v>
      </c>
      <c r="Q66" s="1" cm="1">
        <f t="array" ref="Q66">_xlfn.SWITCH($A$2,"average", AVERAGE(Instances!Q66:Instances!Q66),"median", MEDIAN(Instances!Q66:Instances!Q66),"min", MIN(Instances!Q66:Instances!Q66),"max", MAX(Instances!Q66:Instances!Q66),"diff", MAX(Instances!Q66:Instances!Q66)-MIN(Instances!Q66:Instances!Q66))</f>
        <v>0</v>
      </c>
      <c r="R66" s="1"/>
      <c r="S66" s="1"/>
      <c r="T66" s="1"/>
      <c r="U66" s="1"/>
      <c r="V66" s="1">
        <f>MIN($E66)</f>
        <v>0</v>
      </c>
      <c r="W66" s="1">
        <f>MIN($F66)</f>
        <v>0</v>
      </c>
      <c r="X66" s="1">
        <f>MIN($G66)</f>
        <v>0</v>
      </c>
      <c r="Y66" s="1"/>
      <c r="Z66" s="1"/>
      <c r="AA66" s="1">
        <f>MIN($J66)</f>
        <v>0</v>
      </c>
      <c r="AB66" s="1"/>
      <c r="AC66" s="1"/>
      <c r="AD66" s="1"/>
      <c r="AE66" s="1">
        <f>MIN($P66)</f>
        <v>0</v>
      </c>
      <c r="AF66" s="1">
        <f>MIN($Q66)</f>
        <v>0</v>
      </c>
      <c r="AG66" s="1"/>
      <c r="AH66" s="1"/>
      <c r="AI66" s="1"/>
      <c r="AJ66" s="1"/>
      <c r="AK66" s="1">
        <f>MEDIAN($E66)</f>
        <v>0</v>
      </c>
      <c r="AL66" s="1">
        <f>MEDIAN($F66)</f>
        <v>0</v>
      </c>
      <c r="AM66" s="1">
        <f>MEDIAN($G66)</f>
        <v>0</v>
      </c>
      <c r="AN66" s="1"/>
      <c r="AO66" s="1"/>
      <c r="AP66" s="1">
        <f>MEDIAN($J66)</f>
        <v>0</v>
      </c>
      <c r="AQ66" s="1"/>
      <c r="AR66" s="1"/>
      <c r="AS66" s="1"/>
      <c r="AT66" s="1">
        <f>MEDIAN($P66)</f>
        <v>0</v>
      </c>
      <c r="AU66" s="1">
        <f>MEDIAN($Q66)</f>
        <v>0</v>
      </c>
      <c r="AV66" s="1"/>
      <c r="AW66" s="1"/>
      <c r="AX66" s="1"/>
      <c r="AY66" s="1"/>
      <c r="AZ66" s="1">
        <f>MAX($E66)</f>
        <v>0</v>
      </c>
      <c r="BA66" s="1">
        <f>MAX($F66)</f>
        <v>0</v>
      </c>
      <c r="BB66" s="1">
        <f>MAX($G66)</f>
        <v>0</v>
      </c>
      <c r="BC66" s="1"/>
      <c r="BD66" s="1"/>
      <c r="BE66" s="1">
        <f>MAX($J66)</f>
        <v>0</v>
      </c>
      <c r="BF66" s="1"/>
      <c r="BG66" s="1"/>
      <c r="BH66" s="1"/>
      <c r="BI66" s="1">
        <f>MAX($P66)</f>
        <v>0</v>
      </c>
      <c r="BJ66" s="1">
        <f>MAX($Q66)</f>
        <v>0</v>
      </c>
      <c r="BK66" s="1"/>
    </row>
    <row r="67" spans="1:63">
      <c r="A67" s="1" t="s">
        <v>64</v>
      </c>
      <c r="B67" s="1" cm="1">
        <f t="array" ref="B67">_xlfn.SWITCH($A$2,"average", AVERAGE(Instances!B67:Instances!B67),"median", MEDIAN(Instances!B67:Instances!B67),"min", MIN(Instances!B67:Instances!B67),"max", MAX(Instances!B67:Instances!B67),"diff", MAX(Instances!B67:Instances!B67)-MIN(Instances!B67:Instances!B67))</f>
        <v>0</v>
      </c>
      <c r="C67" s="1" cm="1">
        <f t="array" ref="C67">_xlfn.SWITCH($A$2,"average", AVERAGE(Instances!C67:Instances!C67),"median", MEDIAN(Instances!C67:Instances!C67),"min", MIN(Instances!C67:Instances!C67),"max", MAX(Instances!C67:Instances!C67),"diff", MAX(Instances!C67:Instances!C67)-MIN(Instances!C67:Instances!C67))</f>
        <v>0</v>
      </c>
      <c r="D67" s="1" cm="1">
        <f t="array" ref="D67">_xlfn.SWITCH($A$2,"average", AVERAGE(Instances!D67:Instances!D67),"median", MEDIAN(Instances!D67:Instances!D67),"min", MIN(Instances!D67:Instances!D67),"max", MAX(Instances!D67:Instances!D67),"diff", MAX(Instances!D67:Instances!D67)-MIN(Instances!D67:Instances!D67))</f>
        <v>0</v>
      </c>
      <c r="E67" s="1" cm="1">
        <f t="array" ref="E67">_xlfn.SWITCH($A$2,"average", AVERAGE(Instances!E67:Instances!E67),"median", MEDIAN(Instances!E67:Instances!E67),"min", MIN(Instances!E67:Instances!E67),"max", MAX(Instances!E67:Instances!E67),"diff", MAX(Instances!E67:Instances!E67)-MIN(Instances!E67:Instances!E67))</f>
        <v>0</v>
      </c>
      <c r="F67" s="1" cm="1">
        <f t="array" ref="F67">_xlfn.SWITCH($A$2,"average", AVERAGE(Instances!F67:Instances!F67),"median", MEDIAN(Instances!F67:Instances!F67),"min", MIN(Instances!F67:Instances!F67),"max", MAX(Instances!F67:Instances!F67),"diff", MAX(Instances!F67:Instances!F67)-MIN(Instances!F67:Instances!F67))</f>
        <v>0</v>
      </c>
      <c r="G67" s="1" cm="1">
        <f t="array" ref="G67">_xlfn.SWITCH($A$2,"average", AVERAGE(Instances!G67:Instances!G67),"median", MEDIAN(Instances!G67:Instances!G67),"min", MIN(Instances!G67:Instances!G67),"max", MAX(Instances!G67:Instances!G67),"diff", MAX(Instances!G67:Instances!G67)-MIN(Instances!G67:Instances!G67))</f>
        <v>0</v>
      </c>
      <c r="H67" s="1" cm="1">
        <f t="array" ref="H67">_xlfn.SWITCH($A$2,"average", AVERAGE(Instances!H67:Instances!H67),"median", MEDIAN(Instances!H67:Instances!H67),"min", MIN(Instances!H67:Instances!H67),"max", MAX(Instances!H67:Instances!H67),"diff", MAX(Instances!H67:Instances!H67)-MIN(Instances!H67:Instances!H67))</f>
        <v>0</v>
      </c>
      <c r="I67" s="1" cm="1">
        <f t="array" ref="I67">_xlfn.SWITCH($A$2,"average", AVERAGE(Instances!I67:Instances!I67),"median", MEDIAN(Instances!I67:Instances!I67),"min", MIN(Instances!I67:Instances!I67),"max", MAX(Instances!I67:Instances!I67),"diff", MAX(Instances!I67:Instances!I67)-MIN(Instances!I67:Instances!I67))</f>
        <v>0</v>
      </c>
      <c r="J67" s="1" cm="1">
        <f t="array" ref="J67">_xlfn.SWITCH($A$2,"average", AVERAGE(Instances!J67:Instances!J67),"median", MEDIAN(Instances!J67:Instances!J67),"min", MIN(Instances!J67:Instances!J67),"max", MAX(Instances!J67:Instances!J67),"diff", MAX(Instances!J67:Instances!J67)-MIN(Instances!J67:Instances!J67))</f>
        <v>0</v>
      </c>
      <c r="K67" s="1" cm="1">
        <f t="array" ref="K67">_xlfn.SWITCH($A$2,"average", AVERAGE(Instances!K67:Instances!K67),"median", MEDIAN(Instances!K67:Instances!K67),"min", MIN(Instances!K67:Instances!K67),"max", MAX(Instances!K67:Instances!K67),"diff", MAX(Instances!K67:Instances!K67)-MIN(Instances!K67:Instances!K67))</f>
        <v>0</v>
      </c>
      <c r="L67" s="1"/>
      <c r="M67" s="1" cm="1">
        <f t="array" ref="M67">_xlfn.SWITCH($A$2,"average", AVERAGE(Instances!M67:Instances!M67),"median", MEDIAN(Instances!M67:Instances!M67),"min", MIN(Instances!M67:Instances!M67),"max", MAX(Instances!M67:Instances!M67),"diff", MAX(Instances!M67:Instances!M67)-MIN(Instances!M67:Instances!M67))</f>
        <v>0</v>
      </c>
      <c r="N67" s="1" cm="1">
        <f t="array" ref="N67">_xlfn.SWITCH($A$2,"average", AVERAGE(Instances!N67:Instances!N67),"median", MEDIAN(Instances!N67:Instances!N67),"min", MIN(Instances!N67:Instances!N67),"max", MAX(Instances!N67:Instances!N67),"diff", MAX(Instances!N67:Instances!N67)-MIN(Instances!N67:Instances!N67))</f>
        <v>0</v>
      </c>
      <c r="O67" s="1"/>
      <c r="P67" s="1" cm="1">
        <f t="array" ref="P67">_xlfn.SWITCH($A$2,"average", AVERAGE(Instances!P67:Instances!P67),"median", MEDIAN(Instances!P67:Instances!P67),"min", MIN(Instances!P67:Instances!P67),"max", MAX(Instances!P67:Instances!P67),"diff", MAX(Instances!P67:Instances!P67)-MIN(Instances!P67:Instances!P67))</f>
        <v>0</v>
      </c>
      <c r="Q67" s="1" cm="1">
        <f t="array" ref="Q67">_xlfn.SWITCH($A$2,"average", AVERAGE(Instances!Q67:Instances!Q67),"median", MEDIAN(Instances!Q67:Instances!Q67),"min", MIN(Instances!Q67:Instances!Q67),"max", MAX(Instances!Q67:Instances!Q67),"diff", MAX(Instances!Q67:Instances!Q67)-MIN(Instances!Q67:Instances!Q67))</f>
        <v>0</v>
      </c>
      <c r="R67" s="1" cm="1">
        <f t="array" ref="R67">_xlfn.SWITCH($A$2,"average", AVERAGE(Instances!R67:Instances!R67),"median", MEDIAN(Instances!R67:Instances!R67),"min", MIN(Instances!R67:Instances!R67),"max", MAX(Instances!R67:Instances!R67),"diff", MAX(Instances!R67:Instances!R67)-MIN(Instances!R67:Instances!R67))</f>
        <v>0</v>
      </c>
      <c r="S67" s="1">
        <f>MIN($B67)</f>
        <v>0</v>
      </c>
      <c r="T67" s="1">
        <f>MIN($C67)</f>
        <v>0</v>
      </c>
      <c r="U67" s="1">
        <f>MIN($D67)</f>
        <v>0</v>
      </c>
      <c r="V67" s="1">
        <f>MIN($E67)</f>
        <v>0</v>
      </c>
      <c r="W67" s="1">
        <f>MIN($F67)</f>
        <v>0</v>
      </c>
      <c r="X67" s="1">
        <f>MIN($G67)</f>
        <v>0</v>
      </c>
      <c r="Y67" s="1">
        <f>MIN($H67)</f>
        <v>0</v>
      </c>
      <c r="Z67" s="1">
        <f>MIN($I67)</f>
        <v>0</v>
      </c>
      <c r="AA67" s="1">
        <f>MIN($J67)</f>
        <v>0</v>
      </c>
      <c r="AB67" s="1">
        <f>MIN($K67)</f>
        <v>0</v>
      </c>
      <c r="AC67" s="1">
        <f>MIN($M67)</f>
        <v>0</v>
      </c>
      <c r="AD67" s="1">
        <f>MIN($N67)</f>
        <v>0</v>
      </c>
      <c r="AE67" s="1">
        <f>MIN($P67)</f>
        <v>0</v>
      </c>
      <c r="AF67" s="1">
        <f>MIN($Q67)</f>
        <v>0</v>
      </c>
      <c r="AG67" s="1">
        <f>MIN($R67)</f>
        <v>0</v>
      </c>
      <c r="AH67" s="1">
        <f>MEDIAN($B67)</f>
        <v>0</v>
      </c>
      <c r="AI67" s="1">
        <f>MEDIAN($C67)</f>
        <v>0</v>
      </c>
      <c r="AJ67" s="1">
        <f>MEDIAN($D67)</f>
        <v>0</v>
      </c>
      <c r="AK67" s="1">
        <f>MEDIAN($E67)</f>
        <v>0</v>
      </c>
      <c r="AL67" s="1">
        <f>MEDIAN($F67)</f>
        <v>0</v>
      </c>
      <c r="AM67" s="1">
        <f>MEDIAN($G67)</f>
        <v>0</v>
      </c>
      <c r="AN67" s="1">
        <f>MEDIAN($H67)</f>
        <v>0</v>
      </c>
      <c r="AO67" s="1">
        <f>MEDIAN($I67)</f>
        <v>0</v>
      </c>
      <c r="AP67" s="1">
        <f>MEDIAN($J67)</f>
        <v>0</v>
      </c>
      <c r="AQ67" s="1">
        <f>MEDIAN($K67)</f>
        <v>0</v>
      </c>
      <c r="AR67" s="1">
        <f>MEDIAN($M67)</f>
        <v>0</v>
      </c>
      <c r="AS67" s="1">
        <f>MEDIAN($N67)</f>
        <v>0</v>
      </c>
      <c r="AT67" s="1">
        <f>MEDIAN($P67)</f>
        <v>0</v>
      </c>
      <c r="AU67" s="1">
        <f>MEDIAN($Q67)</f>
        <v>0</v>
      </c>
      <c r="AV67" s="1">
        <f>MEDIAN($R67)</f>
        <v>0</v>
      </c>
      <c r="AW67" s="1">
        <f>MAX($B67)</f>
        <v>0</v>
      </c>
      <c r="AX67" s="1">
        <f>MAX($C67)</f>
        <v>0</v>
      </c>
      <c r="AY67" s="1">
        <f>MAX($D67)</f>
        <v>0</v>
      </c>
      <c r="AZ67" s="1">
        <f>MAX($E67)</f>
        <v>0</v>
      </c>
      <c r="BA67" s="1">
        <f>MAX($F67)</f>
        <v>0</v>
      </c>
      <c r="BB67" s="1">
        <f>MAX($G67)</f>
        <v>0</v>
      </c>
      <c r="BC67" s="1">
        <f>MAX($H67)</f>
        <v>0</v>
      </c>
      <c r="BD67" s="1">
        <f>MAX($I67)</f>
        <v>0</v>
      </c>
      <c r="BE67" s="1">
        <f>MAX($J67)</f>
        <v>0</v>
      </c>
      <c r="BF67" s="1">
        <f>MAX($K67)</f>
        <v>0</v>
      </c>
      <c r="BG67" s="1">
        <f>MAX($M67)</f>
        <v>0</v>
      </c>
      <c r="BH67" s="1">
        <f>MAX($N67)</f>
        <v>0</v>
      </c>
      <c r="BI67" s="1">
        <f>MAX($P67)</f>
        <v>0</v>
      </c>
      <c r="BJ67" s="1">
        <f>MAX($Q67)</f>
        <v>0</v>
      </c>
      <c r="BK67" s="1">
        <f>MAX($R67)</f>
        <v>0</v>
      </c>
    </row>
    <row r="68" spans="1:63">
      <c r="A68" s="1" t="s">
        <v>65</v>
      </c>
      <c r="B68" s="1"/>
      <c r="C68" s="1"/>
      <c r="D68" s="1"/>
      <c r="E68" s="1" cm="1">
        <f t="array" ref="E68">_xlfn.SWITCH($A$2,"average", AVERAGE(Instances!E68:Instances!E68),"median", MEDIAN(Instances!E68:Instances!E68),"min", MIN(Instances!E68:Instances!E68),"max", MAX(Instances!E68:Instances!E68),"diff", MAX(Instances!E68:Instances!E68)-MIN(Instances!E68:Instances!E68))</f>
        <v>0</v>
      </c>
      <c r="F68" s="1" cm="1">
        <f t="array" ref="F68">_xlfn.SWITCH($A$2,"average", AVERAGE(Instances!F68:Instances!F68),"median", MEDIAN(Instances!F68:Instances!F68),"min", MIN(Instances!F68:Instances!F68),"max", MAX(Instances!F68:Instances!F68),"diff", MAX(Instances!F68:Instances!F68)-MIN(Instances!F68:Instances!F68))</f>
        <v>0</v>
      </c>
      <c r="G68" s="1" cm="1">
        <f t="array" ref="G68">_xlfn.SWITCH($A$2,"average", AVERAGE(Instances!G68:Instances!G68),"median", MEDIAN(Instances!G68:Instances!G68),"min", MIN(Instances!G68:Instances!G68),"max", MAX(Instances!G68:Instances!G68),"diff", MAX(Instances!G68:Instances!G68)-MIN(Instances!G68:Instances!G68))</f>
        <v>0</v>
      </c>
      <c r="H68" s="1"/>
      <c r="I68" s="1"/>
      <c r="J68" s="1" cm="1">
        <f t="array" ref="J68">_xlfn.SWITCH($A$2,"average", AVERAGE(Instances!J68:Instances!J68),"median", MEDIAN(Instances!J68:Instances!J68),"min", MIN(Instances!J68:Instances!J68),"max", MAX(Instances!J68:Instances!J68),"diff", MAX(Instances!J68:Instances!J68)-MIN(Instances!J68:Instances!J68))</f>
        <v>0</v>
      </c>
      <c r="K68" s="1"/>
      <c r="L68" s="1"/>
      <c r="M68" s="1"/>
      <c r="N68" s="1"/>
      <c r="O68" s="1"/>
      <c r="P68" s="1" cm="1">
        <f t="array" ref="P68">_xlfn.SWITCH($A$2,"average", AVERAGE(Instances!P68:Instances!P68),"median", MEDIAN(Instances!P68:Instances!P68),"min", MIN(Instances!P68:Instances!P68),"max", MAX(Instances!P68:Instances!P68),"diff", MAX(Instances!P68:Instances!P68)-MIN(Instances!P68:Instances!P68))</f>
        <v>0</v>
      </c>
      <c r="Q68" s="1" cm="1">
        <f t="array" ref="Q68">_xlfn.SWITCH($A$2,"average", AVERAGE(Instances!Q68:Instances!Q68),"median", MEDIAN(Instances!Q68:Instances!Q68),"min", MIN(Instances!Q68:Instances!Q68),"max", MAX(Instances!Q68:Instances!Q68),"diff", MAX(Instances!Q68:Instances!Q68)-MIN(Instances!Q68:Instances!Q68))</f>
        <v>0</v>
      </c>
      <c r="R68" s="1"/>
      <c r="S68" s="1"/>
      <c r="T68" s="1"/>
      <c r="U68" s="1"/>
      <c r="V68" s="1">
        <f>MIN($E68)</f>
        <v>0</v>
      </c>
      <c r="W68" s="1">
        <f>MIN($F68)</f>
        <v>0</v>
      </c>
      <c r="X68" s="1">
        <f>MIN($G68)</f>
        <v>0</v>
      </c>
      <c r="Y68" s="1"/>
      <c r="Z68" s="1"/>
      <c r="AA68" s="1">
        <f>MIN($J68)</f>
        <v>0</v>
      </c>
      <c r="AB68" s="1"/>
      <c r="AC68" s="1"/>
      <c r="AD68" s="1"/>
      <c r="AE68" s="1">
        <f>MIN($P68)</f>
        <v>0</v>
      </c>
      <c r="AF68" s="1">
        <f>MIN($Q68)</f>
        <v>0</v>
      </c>
      <c r="AG68" s="1"/>
      <c r="AH68" s="1"/>
      <c r="AI68" s="1"/>
      <c r="AJ68" s="1"/>
      <c r="AK68" s="1">
        <f>MEDIAN($E68)</f>
        <v>0</v>
      </c>
      <c r="AL68" s="1">
        <f>MEDIAN($F68)</f>
        <v>0</v>
      </c>
      <c r="AM68" s="1">
        <f>MEDIAN($G68)</f>
        <v>0</v>
      </c>
      <c r="AN68" s="1"/>
      <c r="AO68" s="1"/>
      <c r="AP68" s="1">
        <f>MEDIAN($J68)</f>
        <v>0</v>
      </c>
      <c r="AQ68" s="1"/>
      <c r="AR68" s="1"/>
      <c r="AS68" s="1"/>
      <c r="AT68" s="1">
        <f>MEDIAN($P68)</f>
        <v>0</v>
      </c>
      <c r="AU68" s="1">
        <f>MEDIAN($Q68)</f>
        <v>0</v>
      </c>
      <c r="AV68" s="1"/>
      <c r="AW68" s="1"/>
      <c r="AX68" s="1"/>
      <c r="AY68" s="1"/>
      <c r="AZ68" s="1">
        <f>MAX($E68)</f>
        <v>0</v>
      </c>
      <c r="BA68" s="1">
        <f>MAX($F68)</f>
        <v>0</v>
      </c>
      <c r="BB68" s="1">
        <f>MAX($G68)</f>
        <v>0</v>
      </c>
      <c r="BC68" s="1"/>
      <c r="BD68" s="1"/>
      <c r="BE68" s="1">
        <f>MAX($J68)</f>
        <v>0</v>
      </c>
      <c r="BF68" s="1"/>
      <c r="BG68" s="1"/>
      <c r="BH68" s="1"/>
      <c r="BI68" s="1">
        <f>MAX($P68)</f>
        <v>0</v>
      </c>
      <c r="BJ68" s="1">
        <f>MAX($Q68)</f>
        <v>0</v>
      </c>
      <c r="BK68" s="1"/>
    </row>
    <row r="69" spans="1:63">
      <c r="A69" s="1" t="s">
        <v>66</v>
      </c>
      <c r="B69" s="1" cm="1">
        <f t="array" ref="B69">_xlfn.SWITCH($A$2,"average", AVERAGE(Instances!B69:Instances!B69),"median", MEDIAN(Instances!B69:Instances!B69),"min", MIN(Instances!B69:Instances!B69),"max", MAX(Instances!B69:Instances!B69),"diff", MAX(Instances!B69:Instances!B69)-MIN(Instances!B69:Instances!B69))</f>
        <v>0</v>
      </c>
      <c r="C69" s="1" cm="1">
        <f t="array" ref="C69">_xlfn.SWITCH($A$2,"average", AVERAGE(Instances!C69:Instances!C69),"median", MEDIAN(Instances!C69:Instances!C69),"min", MIN(Instances!C69:Instances!C69),"max", MAX(Instances!C69:Instances!C69),"diff", MAX(Instances!C69:Instances!C69)-MIN(Instances!C69:Instances!C69))</f>
        <v>0</v>
      </c>
      <c r="D69" s="1" cm="1">
        <f t="array" ref="D69">_xlfn.SWITCH($A$2,"average", AVERAGE(Instances!D69:Instances!D69),"median", MEDIAN(Instances!D69:Instances!D69),"min", MIN(Instances!D69:Instances!D69),"max", MAX(Instances!D69:Instances!D69),"diff", MAX(Instances!D69:Instances!D69)-MIN(Instances!D69:Instances!D69))</f>
        <v>0</v>
      </c>
      <c r="E69" s="1" cm="1">
        <f t="array" ref="E69">_xlfn.SWITCH($A$2,"average", AVERAGE(Instances!E69:Instances!E69),"median", MEDIAN(Instances!E69:Instances!E69),"min", MIN(Instances!E69:Instances!E69),"max", MAX(Instances!E69:Instances!E69),"diff", MAX(Instances!E69:Instances!E69)-MIN(Instances!E69:Instances!E69))</f>
        <v>0</v>
      </c>
      <c r="F69" s="1" cm="1">
        <f t="array" ref="F69">_xlfn.SWITCH($A$2,"average", AVERAGE(Instances!F69:Instances!F69),"median", MEDIAN(Instances!F69:Instances!F69),"min", MIN(Instances!F69:Instances!F69),"max", MAX(Instances!F69:Instances!F69),"diff", MAX(Instances!F69:Instances!F69)-MIN(Instances!F69:Instances!F69))</f>
        <v>0</v>
      </c>
      <c r="G69" s="1" cm="1">
        <f t="array" ref="G69">_xlfn.SWITCH($A$2,"average", AVERAGE(Instances!G69:Instances!G69),"median", MEDIAN(Instances!G69:Instances!G69),"min", MIN(Instances!G69:Instances!G69),"max", MAX(Instances!G69:Instances!G69),"diff", MAX(Instances!G69:Instances!G69)-MIN(Instances!G69:Instances!G69))</f>
        <v>0</v>
      </c>
      <c r="H69" s="1" cm="1">
        <f t="array" ref="H69">_xlfn.SWITCH($A$2,"average", AVERAGE(Instances!H69:Instances!H69),"median", MEDIAN(Instances!H69:Instances!H69),"min", MIN(Instances!H69:Instances!H69),"max", MAX(Instances!H69:Instances!H69),"diff", MAX(Instances!H69:Instances!H69)-MIN(Instances!H69:Instances!H69))</f>
        <v>0</v>
      </c>
      <c r="I69" s="1" cm="1">
        <f t="array" ref="I69">_xlfn.SWITCH($A$2,"average", AVERAGE(Instances!I69:Instances!I69),"median", MEDIAN(Instances!I69:Instances!I69),"min", MIN(Instances!I69:Instances!I69),"max", MAX(Instances!I69:Instances!I69),"diff", MAX(Instances!I69:Instances!I69)-MIN(Instances!I69:Instances!I69))</f>
        <v>0</v>
      </c>
      <c r="J69" s="1" cm="1">
        <f t="array" ref="J69">_xlfn.SWITCH($A$2,"average", AVERAGE(Instances!J69:Instances!J69),"median", MEDIAN(Instances!J69:Instances!J69),"min", MIN(Instances!J69:Instances!J69),"max", MAX(Instances!J69:Instances!J69),"diff", MAX(Instances!J69:Instances!J69)-MIN(Instances!J69:Instances!J69))</f>
        <v>0</v>
      </c>
      <c r="K69" s="1" cm="1">
        <f t="array" ref="K69">_xlfn.SWITCH($A$2,"average", AVERAGE(Instances!K69:Instances!K69),"median", MEDIAN(Instances!K69:Instances!K69),"min", MIN(Instances!K69:Instances!K69),"max", MAX(Instances!K69:Instances!K69),"diff", MAX(Instances!K69:Instances!K69)-MIN(Instances!K69:Instances!K69))</f>
        <v>0</v>
      </c>
      <c r="L69" s="1"/>
      <c r="M69" s="1" cm="1">
        <f t="array" ref="M69">_xlfn.SWITCH($A$2,"average", AVERAGE(Instances!M69:Instances!M69),"median", MEDIAN(Instances!M69:Instances!M69),"min", MIN(Instances!M69:Instances!M69),"max", MAX(Instances!M69:Instances!M69),"diff", MAX(Instances!M69:Instances!M69)-MIN(Instances!M69:Instances!M69))</f>
        <v>0</v>
      </c>
      <c r="N69" s="1" cm="1">
        <f t="array" ref="N69">_xlfn.SWITCH($A$2,"average", AVERAGE(Instances!N69:Instances!N69),"median", MEDIAN(Instances!N69:Instances!N69),"min", MIN(Instances!N69:Instances!N69),"max", MAX(Instances!N69:Instances!N69),"diff", MAX(Instances!N69:Instances!N69)-MIN(Instances!N69:Instances!N69))</f>
        <v>0</v>
      </c>
      <c r="O69" s="1"/>
      <c r="P69" s="1" cm="1">
        <f t="array" ref="P69">_xlfn.SWITCH($A$2,"average", AVERAGE(Instances!P69:Instances!P69),"median", MEDIAN(Instances!P69:Instances!P69),"min", MIN(Instances!P69:Instances!P69),"max", MAX(Instances!P69:Instances!P69),"diff", MAX(Instances!P69:Instances!P69)-MIN(Instances!P69:Instances!P69))</f>
        <v>0</v>
      </c>
      <c r="Q69" s="1" cm="1">
        <f t="array" ref="Q69">_xlfn.SWITCH($A$2,"average", AVERAGE(Instances!Q69:Instances!Q69),"median", MEDIAN(Instances!Q69:Instances!Q69),"min", MIN(Instances!Q69:Instances!Q69),"max", MAX(Instances!Q69:Instances!Q69),"diff", MAX(Instances!Q69:Instances!Q69)-MIN(Instances!Q69:Instances!Q69))</f>
        <v>0</v>
      </c>
      <c r="R69" s="1" cm="1">
        <f t="array" ref="R69">_xlfn.SWITCH($A$2,"average", AVERAGE(Instances!R69:Instances!R69),"median", MEDIAN(Instances!R69:Instances!R69),"min", MIN(Instances!R69:Instances!R69),"max", MAX(Instances!R69:Instances!R69),"diff", MAX(Instances!R69:Instances!R69)-MIN(Instances!R69:Instances!R69))</f>
        <v>0</v>
      </c>
      <c r="S69" s="1">
        <f>MIN($B69)</f>
        <v>0</v>
      </c>
      <c r="T69" s="1">
        <f>MIN($C69)</f>
        <v>0</v>
      </c>
      <c r="U69" s="1">
        <f>MIN($D69)</f>
        <v>0</v>
      </c>
      <c r="V69" s="1">
        <f>MIN($E69)</f>
        <v>0</v>
      </c>
      <c r="W69" s="1">
        <f>MIN($F69)</f>
        <v>0</v>
      </c>
      <c r="X69" s="1">
        <f>MIN($G69)</f>
        <v>0</v>
      </c>
      <c r="Y69" s="1">
        <f>MIN($H69)</f>
        <v>0</v>
      </c>
      <c r="Z69" s="1">
        <f>MIN($I69)</f>
        <v>0</v>
      </c>
      <c r="AA69" s="1">
        <f>MIN($J69)</f>
        <v>0</v>
      </c>
      <c r="AB69" s="1">
        <f>MIN($K69)</f>
        <v>0</v>
      </c>
      <c r="AC69" s="1">
        <f>MIN($M69)</f>
        <v>0</v>
      </c>
      <c r="AD69" s="1">
        <f>MIN($N69)</f>
        <v>0</v>
      </c>
      <c r="AE69" s="1">
        <f>MIN($P69)</f>
        <v>0</v>
      </c>
      <c r="AF69" s="1">
        <f>MIN($Q69)</f>
        <v>0</v>
      </c>
      <c r="AG69" s="1">
        <f>MIN($R69)</f>
        <v>0</v>
      </c>
      <c r="AH69" s="1">
        <f>MEDIAN($B69)</f>
        <v>0</v>
      </c>
      <c r="AI69" s="1">
        <f>MEDIAN($C69)</f>
        <v>0</v>
      </c>
      <c r="AJ69" s="1">
        <f>MEDIAN($D69)</f>
        <v>0</v>
      </c>
      <c r="AK69" s="1">
        <f>MEDIAN($E69)</f>
        <v>0</v>
      </c>
      <c r="AL69" s="1">
        <f>MEDIAN($F69)</f>
        <v>0</v>
      </c>
      <c r="AM69" s="1">
        <f>MEDIAN($G69)</f>
        <v>0</v>
      </c>
      <c r="AN69" s="1">
        <f>MEDIAN($H69)</f>
        <v>0</v>
      </c>
      <c r="AO69" s="1">
        <f>MEDIAN($I69)</f>
        <v>0</v>
      </c>
      <c r="AP69" s="1">
        <f>MEDIAN($J69)</f>
        <v>0</v>
      </c>
      <c r="AQ69" s="1">
        <f>MEDIAN($K69)</f>
        <v>0</v>
      </c>
      <c r="AR69" s="1">
        <f>MEDIAN($M69)</f>
        <v>0</v>
      </c>
      <c r="AS69" s="1">
        <f>MEDIAN($N69)</f>
        <v>0</v>
      </c>
      <c r="AT69" s="1">
        <f>MEDIAN($P69)</f>
        <v>0</v>
      </c>
      <c r="AU69" s="1">
        <f>MEDIAN($Q69)</f>
        <v>0</v>
      </c>
      <c r="AV69" s="1">
        <f>MEDIAN($R69)</f>
        <v>0</v>
      </c>
      <c r="AW69" s="1">
        <f>MAX($B69)</f>
        <v>0</v>
      </c>
      <c r="AX69" s="1">
        <f>MAX($C69)</f>
        <v>0</v>
      </c>
      <c r="AY69" s="1">
        <f>MAX($D69)</f>
        <v>0</v>
      </c>
      <c r="AZ69" s="1">
        <f>MAX($E69)</f>
        <v>0</v>
      </c>
      <c r="BA69" s="1">
        <f>MAX($F69)</f>
        <v>0</v>
      </c>
      <c r="BB69" s="1">
        <f>MAX($G69)</f>
        <v>0</v>
      </c>
      <c r="BC69" s="1">
        <f>MAX($H69)</f>
        <v>0</v>
      </c>
      <c r="BD69" s="1">
        <f>MAX($I69)</f>
        <v>0</v>
      </c>
      <c r="BE69" s="1">
        <f>MAX($J69)</f>
        <v>0</v>
      </c>
      <c r="BF69" s="1">
        <f>MAX($K69)</f>
        <v>0</v>
      </c>
      <c r="BG69" s="1">
        <f>MAX($M69)</f>
        <v>0</v>
      </c>
      <c r="BH69" s="1">
        <f>MAX($N69)</f>
        <v>0</v>
      </c>
      <c r="BI69" s="1">
        <f>MAX($P69)</f>
        <v>0</v>
      </c>
      <c r="BJ69" s="1">
        <f>MAX($Q69)</f>
        <v>0</v>
      </c>
      <c r="BK69" s="1">
        <f>MAX($R69)</f>
        <v>0</v>
      </c>
    </row>
    <row r="70" spans="1:63">
      <c r="A70" s="1" t="s">
        <v>67</v>
      </c>
      <c r="B70" s="1" cm="1">
        <f t="array" ref="B70">_xlfn.SWITCH($A$2,"average", AVERAGE(Instances!B70:Instances!B70),"median", MEDIAN(Instances!B70:Instances!B70),"min", MIN(Instances!B70:Instances!B70),"max", MAX(Instances!B70:Instances!B70),"diff", MAX(Instances!B70:Instances!B70)-MIN(Instances!B70:Instances!B70))</f>
        <v>0</v>
      </c>
      <c r="C70" s="1" cm="1">
        <f t="array" ref="C70">_xlfn.SWITCH($A$2,"average", AVERAGE(Instances!C70:Instances!C70),"median", MEDIAN(Instances!C70:Instances!C70),"min", MIN(Instances!C70:Instances!C70),"max", MAX(Instances!C70:Instances!C70),"diff", MAX(Instances!C70:Instances!C70)-MIN(Instances!C70:Instances!C70))</f>
        <v>0</v>
      </c>
      <c r="D70" s="1" cm="1">
        <f t="array" ref="D70">_xlfn.SWITCH($A$2,"average", AVERAGE(Instances!D70:Instances!D70),"median", MEDIAN(Instances!D70:Instances!D70),"min", MIN(Instances!D70:Instances!D70),"max", MAX(Instances!D70:Instances!D70),"diff", MAX(Instances!D70:Instances!D70)-MIN(Instances!D70:Instances!D70))</f>
        <v>0</v>
      </c>
      <c r="E70" s="1" cm="1">
        <f t="array" ref="E70">_xlfn.SWITCH($A$2,"average", AVERAGE(Instances!E70:Instances!E70),"median", MEDIAN(Instances!E70:Instances!E70),"min", MIN(Instances!E70:Instances!E70),"max", MAX(Instances!E70:Instances!E70),"diff", MAX(Instances!E70:Instances!E70)-MIN(Instances!E70:Instances!E70))</f>
        <v>0</v>
      </c>
      <c r="F70" s="1"/>
      <c r="G70" s="1" cm="1">
        <f t="array" ref="G70">_xlfn.SWITCH($A$2,"average", AVERAGE(Instances!G70:Instances!G70),"median", MEDIAN(Instances!G70:Instances!G70),"min", MIN(Instances!G70:Instances!G70),"max", MAX(Instances!G70:Instances!G70),"diff", MAX(Instances!G70:Instances!G70)-MIN(Instances!G70:Instances!G70))</f>
        <v>0</v>
      </c>
      <c r="H70" s="1" cm="1">
        <f t="array" ref="H70">_xlfn.SWITCH($A$2,"average", AVERAGE(Instances!H70:Instances!H70),"median", MEDIAN(Instances!H70:Instances!H70),"min", MIN(Instances!H70:Instances!H70),"max", MAX(Instances!H70:Instances!H70),"diff", MAX(Instances!H70:Instances!H70)-MIN(Instances!H70:Instances!H70))</f>
        <v>0</v>
      </c>
      <c r="I70" s="1" cm="1">
        <f t="array" ref="I70">_xlfn.SWITCH($A$2,"average", AVERAGE(Instances!I70:Instances!I70),"median", MEDIAN(Instances!I70:Instances!I70),"min", MIN(Instances!I70:Instances!I70),"max", MAX(Instances!I70:Instances!I70),"diff", MAX(Instances!I70:Instances!I70)-MIN(Instances!I70:Instances!I70))</f>
        <v>0</v>
      </c>
      <c r="J70" s="1" cm="1">
        <f t="array" ref="J70">_xlfn.SWITCH($A$2,"average", AVERAGE(Instances!J70:Instances!J70),"median", MEDIAN(Instances!J70:Instances!J70),"min", MIN(Instances!J70:Instances!J70),"max", MAX(Instances!J70:Instances!J70),"diff", MAX(Instances!J70:Instances!J70)-MIN(Instances!J70:Instances!J70))</f>
        <v>0</v>
      </c>
      <c r="K70" s="1" cm="1">
        <f t="array" ref="K70">_xlfn.SWITCH($A$2,"average", AVERAGE(Instances!K70:Instances!K70),"median", MEDIAN(Instances!K70:Instances!K70),"min", MIN(Instances!K70:Instances!K70),"max", MAX(Instances!K70:Instances!K70),"diff", MAX(Instances!K70:Instances!K70)-MIN(Instances!K70:Instances!K70))</f>
        <v>0</v>
      </c>
      <c r="L70" s="1"/>
      <c r="M70" s="1" cm="1">
        <f t="array" ref="M70">_xlfn.SWITCH($A$2,"average", AVERAGE(Instances!M70:Instances!M70),"median", MEDIAN(Instances!M70:Instances!M70),"min", MIN(Instances!M70:Instances!M70),"max", MAX(Instances!M70:Instances!M70),"diff", MAX(Instances!M70:Instances!M70)-MIN(Instances!M70:Instances!M70))</f>
        <v>0</v>
      </c>
      <c r="N70" s="1" cm="1">
        <f t="array" ref="N70">_xlfn.SWITCH($A$2,"average", AVERAGE(Instances!N70:Instances!N70),"median", MEDIAN(Instances!N70:Instances!N70),"min", MIN(Instances!N70:Instances!N70),"max", MAX(Instances!N70:Instances!N70),"diff", MAX(Instances!N70:Instances!N70)-MIN(Instances!N70:Instances!N70))</f>
        <v>0</v>
      </c>
      <c r="O70" s="1"/>
      <c r="P70" s="1" cm="1">
        <f t="array" ref="P70">_xlfn.SWITCH($A$2,"average", AVERAGE(Instances!P70:Instances!P70),"median", MEDIAN(Instances!P70:Instances!P70),"min", MIN(Instances!P70:Instances!P70),"max", MAX(Instances!P70:Instances!P70),"diff", MAX(Instances!P70:Instances!P70)-MIN(Instances!P70:Instances!P70))</f>
        <v>0</v>
      </c>
      <c r="Q70" s="1" cm="1">
        <f t="array" ref="Q70">_xlfn.SWITCH($A$2,"average", AVERAGE(Instances!Q70:Instances!Q70),"median", MEDIAN(Instances!Q70:Instances!Q70),"min", MIN(Instances!Q70:Instances!Q70),"max", MAX(Instances!Q70:Instances!Q70),"diff", MAX(Instances!Q70:Instances!Q70)-MIN(Instances!Q70:Instances!Q70))</f>
        <v>0</v>
      </c>
      <c r="R70" s="1" cm="1">
        <f t="array" ref="R70">_xlfn.SWITCH($A$2,"average", AVERAGE(Instances!R70:Instances!R70),"median", MEDIAN(Instances!R70:Instances!R70),"min", MIN(Instances!R70:Instances!R70),"max", MAX(Instances!R70:Instances!R70),"diff", MAX(Instances!R70:Instances!R70)-MIN(Instances!R70:Instances!R70))</f>
        <v>0</v>
      </c>
      <c r="S70" s="1">
        <f>MIN($B70)</f>
        <v>0</v>
      </c>
      <c r="T70" s="1">
        <f>MIN($C70)</f>
        <v>0</v>
      </c>
      <c r="U70" s="1">
        <f>MIN($D70)</f>
        <v>0</v>
      </c>
      <c r="V70" s="1">
        <f>MIN($E70)</f>
        <v>0</v>
      </c>
      <c r="W70" s="1"/>
      <c r="X70" s="1">
        <f>MIN($G70)</f>
        <v>0</v>
      </c>
      <c r="Y70" s="1">
        <f>MIN($H70)</f>
        <v>0</v>
      </c>
      <c r="Z70" s="1">
        <f>MIN($I70)</f>
        <v>0</v>
      </c>
      <c r="AA70" s="1">
        <f>MIN($J70)</f>
        <v>0</v>
      </c>
      <c r="AB70" s="1">
        <f>MIN($K70)</f>
        <v>0</v>
      </c>
      <c r="AC70" s="1">
        <f>MIN($M70)</f>
        <v>0</v>
      </c>
      <c r="AD70" s="1">
        <f>MIN($N70)</f>
        <v>0</v>
      </c>
      <c r="AE70" s="1">
        <f>MIN($P70)</f>
        <v>0</v>
      </c>
      <c r="AF70" s="1">
        <f>MIN($Q70)</f>
        <v>0</v>
      </c>
      <c r="AG70" s="1">
        <f>MIN($R70)</f>
        <v>0</v>
      </c>
      <c r="AH70" s="1">
        <f>MEDIAN($B70)</f>
        <v>0</v>
      </c>
      <c r="AI70" s="1">
        <f>MEDIAN($C70)</f>
        <v>0</v>
      </c>
      <c r="AJ70" s="1">
        <f>MEDIAN($D70)</f>
        <v>0</v>
      </c>
      <c r="AK70" s="1">
        <f>MEDIAN($E70)</f>
        <v>0</v>
      </c>
      <c r="AL70" s="1"/>
      <c r="AM70" s="1">
        <f>MEDIAN($G70)</f>
        <v>0</v>
      </c>
      <c r="AN70" s="1">
        <f>MEDIAN($H70)</f>
        <v>0</v>
      </c>
      <c r="AO70" s="1">
        <f>MEDIAN($I70)</f>
        <v>0</v>
      </c>
      <c r="AP70" s="1">
        <f>MEDIAN($J70)</f>
        <v>0</v>
      </c>
      <c r="AQ70" s="1">
        <f>MEDIAN($K70)</f>
        <v>0</v>
      </c>
      <c r="AR70" s="1">
        <f>MEDIAN($M70)</f>
        <v>0</v>
      </c>
      <c r="AS70" s="1">
        <f>MEDIAN($N70)</f>
        <v>0</v>
      </c>
      <c r="AT70" s="1">
        <f>MEDIAN($P70)</f>
        <v>0</v>
      </c>
      <c r="AU70" s="1">
        <f>MEDIAN($Q70)</f>
        <v>0</v>
      </c>
      <c r="AV70" s="1">
        <f>MEDIAN($R70)</f>
        <v>0</v>
      </c>
      <c r="AW70" s="1">
        <f>MAX($B70)</f>
        <v>0</v>
      </c>
      <c r="AX70" s="1">
        <f>MAX($C70)</f>
        <v>0</v>
      </c>
      <c r="AY70" s="1">
        <f>MAX($D70)</f>
        <v>0</v>
      </c>
      <c r="AZ70" s="1">
        <f>MAX($E70)</f>
        <v>0</v>
      </c>
      <c r="BA70" s="1"/>
      <c r="BB70" s="1">
        <f>MAX($G70)</f>
        <v>0</v>
      </c>
      <c r="BC70" s="1">
        <f>MAX($H70)</f>
        <v>0</v>
      </c>
      <c r="BD70" s="1">
        <f>MAX($I70)</f>
        <v>0</v>
      </c>
      <c r="BE70" s="1">
        <f>MAX($J70)</f>
        <v>0</v>
      </c>
      <c r="BF70" s="1">
        <f>MAX($K70)</f>
        <v>0</v>
      </c>
      <c r="BG70" s="1">
        <f>MAX($M70)</f>
        <v>0</v>
      </c>
      <c r="BH70" s="1">
        <f>MAX($N70)</f>
        <v>0</v>
      </c>
      <c r="BI70" s="1">
        <f>MAX($P70)</f>
        <v>0</v>
      </c>
      <c r="BJ70" s="1">
        <f>MAX($Q70)</f>
        <v>0</v>
      </c>
      <c r="BK70" s="1">
        <f>MAX($R70)</f>
        <v>0</v>
      </c>
    </row>
    <row r="71" spans="1:63">
      <c r="A71" s="1" t="s">
        <v>68</v>
      </c>
      <c r="B71" s="1"/>
      <c r="C71" s="1"/>
      <c r="D71" s="1"/>
      <c r="E71" s="1" cm="1">
        <f t="array" ref="E71">_xlfn.SWITCH($A$2,"average", AVERAGE(Instances!E71:Instances!E71),"median", MEDIAN(Instances!E71:Instances!E71),"min", MIN(Instances!E71:Instances!E71),"max", MAX(Instances!E71:Instances!E71),"diff", MAX(Instances!E71:Instances!E71)-MIN(Instances!E71:Instances!E71))</f>
        <v>0</v>
      </c>
      <c r="F71" s="1"/>
      <c r="G71" s="1" cm="1">
        <f t="array" ref="G71">_xlfn.SWITCH($A$2,"average", AVERAGE(Instances!G71:Instances!G71),"median", MEDIAN(Instances!G71:Instances!G71),"min", MIN(Instances!G71:Instances!G71),"max", MAX(Instances!G71:Instances!G71),"diff", MAX(Instances!G71:Instances!G71)-MIN(Instances!G71:Instances!G71))</f>
        <v>0</v>
      </c>
      <c r="H71" s="1"/>
      <c r="I71" s="1"/>
      <c r="J71" s="1" cm="1">
        <f t="array" ref="J71">_xlfn.SWITCH($A$2,"average", AVERAGE(Instances!J71:Instances!J71),"median", MEDIAN(Instances!J71:Instances!J71),"min", MIN(Instances!J71:Instances!J71),"max", MAX(Instances!J71:Instances!J71),"diff", MAX(Instances!J71:Instances!J71)-MIN(Instances!J71:Instances!J71))</f>
        <v>0</v>
      </c>
      <c r="K71" s="1"/>
      <c r="L71" s="1"/>
      <c r="M71" s="1"/>
      <c r="N71" s="1"/>
      <c r="O71" s="1"/>
      <c r="P71" s="1" cm="1">
        <f t="array" ref="P71">_xlfn.SWITCH($A$2,"average", AVERAGE(Instances!P71:Instances!P71),"median", MEDIAN(Instances!P71:Instances!P71),"min", MIN(Instances!P71:Instances!P71),"max", MAX(Instances!P71:Instances!P71),"diff", MAX(Instances!P71:Instances!P71)-MIN(Instances!P71:Instances!P71))</f>
        <v>0</v>
      </c>
      <c r="Q71" s="1" cm="1">
        <f t="array" ref="Q71">_xlfn.SWITCH($A$2,"average", AVERAGE(Instances!Q71:Instances!Q71),"median", MEDIAN(Instances!Q71:Instances!Q71),"min", MIN(Instances!Q71:Instances!Q71),"max", MAX(Instances!Q71:Instances!Q71),"diff", MAX(Instances!Q71:Instances!Q71)-MIN(Instances!Q71:Instances!Q71))</f>
        <v>0</v>
      </c>
      <c r="R71" s="1"/>
      <c r="S71" s="1"/>
      <c r="T71" s="1"/>
      <c r="U71" s="1"/>
      <c r="V71" s="1">
        <f>MIN($E71)</f>
        <v>0</v>
      </c>
      <c r="W71" s="1"/>
      <c r="X71" s="1">
        <f>MIN($G71)</f>
        <v>0</v>
      </c>
      <c r="Y71" s="1"/>
      <c r="Z71" s="1"/>
      <c r="AA71" s="1">
        <f>MIN($J71)</f>
        <v>0</v>
      </c>
      <c r="AB71" s="1"/>
      <c r="AC71" s="1"/>
      <c r="AD71" s="1"/>
      <c r="AE71" s="1">
        <f>MIN($P71)</f>
        <v>0</v>
      </c>
      <c r="AF71" s="1">
        <f>MIN($Q71)</f>
        <v>0</v>
      </c>
      <c r="AG71" s="1"/>
      <c r="AH71" s="1"/>
      <c r="AI71" s="1"/>
      <c r="AJ71" s="1"/>
      <c r="AK71" s="1">
        <f>MEDIAN($E71)</f>
        <v>0</v>
      </c>
      <c r="AL71" s="1"/>
      <c r="AM71" s="1">
        <f>MEDIAN($G71)</f>
        <v>0</v>
      </c>
      <c r="AN71" s="1"/>
      <c r="AO71" s="1"/>
      <c r="AP71" s="1">
        <f>MEDIAN($J71)</f>
        <v>0</v>
      </c>
      <c r="AQ71" s="1"/>
      <c r="AR71" s="1"/>
      <c r="AS71" s="1"/>
      <c r="AT71" s="1">
        <f>MEDIAN($P71)</f>
        <v>0</v>
      </c>
      <c r="AU71" s="1">
        <f>MEDIAN($Q71)</f>
        <v>0</v>
      </c>
      <c r="AV71" s="1"/>
      <c r="AW71" s="1"/>
      <c r="AX71" s="1"/>
      <c r="AY71" s="1"/>
      <c r="AZ71" s="1">
        <f>MAX($E71)</f>
        <v>0</v>
      </c>
      <c r="BA71" s="1"/>
      <c r="BB71" s="1">
        <f>MAX($G71)</f>
        <v>0</v>
      </c>
      <c r="BC71" s="1"/>
      <c r="BD71" s="1"/>
      <c r="BE71" s="1">
        <f>MAX($J71)</f>
        <v>0</v>
      </c>
      <c r="BF71" s="1"/>
      <c r="BG71" s="1"/>
      <c r="BH71" s="1"/>
      <c r="BI71" s="1">
        <f>MAX($P71)</f>
        <v>0</v>
      </c>
      <c r="BJ71" s="1">
        <f>MAX($Q71)</f>
        <v>0</v>
      </c>
      <c r="BK71" s="1"/>
    </row>
    <row r="72" spans="1:63">
      <c r="A72" s="1" t="s">
        <v>69</v>
      </c>
      <c r="B72" s="1"/>
      <c r="C72" s="1"/>
      <c r="D72" s="1"/>
      <c r="E72" s="1" cm="1">
        <f t="array" ref="E72">_xlfn.SWITCH($A$2,"average", AVERAGE(Instances!E72:Instances!E72),"median", MEDIAN(Instances!E72:Instances!E72),"min", MIN(Instances!E72:Instances!E72),"max", MAX(Instances!E72:Instances!E72),"diff", MAX(Instances!E72:Instances!E72)-MIN(Instances!E72:Instances!E72))</f>
        <v>0</v>
      </c>
      <c r="F72" s="1" cm="1">
        <f t="array" ref="F72">_xlfn.SWITCH($A$2,"average", AVERAGE(Instances!F72:Instances!F72),"median", MEDIAN(Instances!F72:Instances!F72),"min", MIN(Instances!F72:Instances!F72),"max", MAX(Instances!F72:Instances!F72),"diff", MAX(Instances!F72:Instances!F72)-MIN(Instances!F72:Instances!F72))</f>
        <v>0</v>
      </c>
      <c r="G72" s="1" cm="1">
        <f t="array" ref="G72">_xlfn.SWITCH($A$2,"average", AVERAGE(Instances!G72:Instances!G72),"median", MEDIAN(Instances!G72:Instances!G72),"min", MIN(Instances!G72:Instances!G72),"max", MAX(Instances!G72:Instances!G72),"diff", MAX(Instances!G72:Instances!G72)-MIN(Instances!G72:Instances!G72))</f>
        <v>0</v>
      </c>
      <c r="H72" s="1"/>
      <c r="I72" s="1"/>
      <c r="J72" s="1" cm="1">
        <f t="array" ref="J72">_xlfn.SWITCH($A$2,"average", AVERAGE(Instances!J72:Instances!J72),"median", MEDIAN(Instances!J72:Instances!J72),"min", MIN(Instances!J72:Instances!J72),"max", MAX(Instances!J72:Instances!J72),"diff", MAX(Instances!J72:Instances!J72)-MIN(Instances!J72:Instances!J72))</f>
        <v>0</v>
      </c>
      <c r="K72" s="1"/>
      <c r="L72" s="1"/>
      <c r="M72" s="1"/>
      <c r="N72" s="1"/>
      <c r="O72" s="1"/>
      <c r="P72" s="1" cm="1">
        <f t="array" ref="P72">_xlfn.SWITCH($A$2,"average", AVERAGE(Instances!P72:Instances!P72),"median", MEDIAN(Instances!P72:Instances!P72),"min", MIN(Instances!P72:Instances!P72),"max", MAX(Instances!P72:Instances!P72),"diff", MAX(Instances!P72:Instances!P72)-MIN(Instances!P72:Instances!P72))</f>
        <v>0</v>
      </c>
      <c r="Q72" s="1" cm="1">
        <f t="array" ref="Q72">_xlfn.SWITCH($A$2,"average", AVERAGE(Instances!Q72:Instances!Q72),"median", MEDIAN(Instances!Q72:Instances!Q72),"min", MIN(Instances!Q72:Instances!Q72),"max", MAX(Instances!Q72:Instances!Q72),"diff", MAX(Instances!Q72:Instances!Q72)-MIN(Instances!Q72:Instances!Q72))</f>
        <v>0</v>
      </c>
      <c r="R72" s="1"/>
      <c r="S72" s="1"/>
      <c r="T72" s="1"/>
      <c r="U72" s="1"/>
      <c r="V72" s="1">
        <f>MIN($E72)</f>
        <v>0</v>
      </c>
      <c r="W72" s="1">
        <f>MIN($F72)</f>
        <v>0</v>
      </c>
      <c r="X72" s="1">
        <f>MIN($G72)</f>
        <v>0</v>
      </c>
      <c r="Y72" s="1"/>
      <c r="Z72" s="1"/>
      <c r="AA72" s="1">
        <f>MIN($J72)</f>
        <v>0</v>
      </c>
      <c r="AB72" s="1"/>
      <c r="AC72" s="1"/>
      <c r="AD72" s="1"/>
      <c r="AE72" s="1">
        <f>MIN($P72)</f>
        <v>0</v>
      </c>
      <c r="AF72" s="1">
        <f>MIN($Q72)</f>
        <v>0</v>
      </c>
      <c r="AG72" s="1"/>
      <c r="AH72" s="1"/>
      <c r="AI72" s="1"/>
      <c r="AJ72" s="1"/>
      <c r="AK72" s="1">
        <f>MEDIAN($E72)</f>
        <v>0</v>
      </c>
      <c r="AL72" s="1">
        <f>MEDIAN($F72)</f>
        <v>0</v>
      </c>
      <c r="AM72" s="1">
        <f>MEDIAN($G72)</f>
        <v>0</v>
      </c>
      <c r="AN72" s="1"/>
      <c r="AO72" s="1"/>
      <c r="AP72" s="1">
        <f>MEDIAN($J72)</f>
        <v>0</v>
      </c>
      <c r="AQ72" s="1"/>
      <c r="AR72" s="1"/>
      <c r="AS72" s="1"/>
      <c r="AT72" s="1">
        <f>MEDIAN($P72)</f>
        <v>0</v>
      </c>
      <c r="AU72" s="1">
        <f>MEDIAN($Q72)</f>
        <v>0</v>
      </c>
      <c r="AV72" s="1"/>
      <c r="AW72" s="1"/>
      <c r="AX72" s="1"/>
      <c r="AY72" s="1"/>
      <c r="AZ72" s="1">
        <f>MAX($E72)</f>
        <v>0</v>
      </c>
      <c r="BA72" s="1">
        <f>MAX($F72)</f>
        <v>0</v>
      </c>
      <c r="BB72" s="1">
        <f>MAX($G72)</f>
        <v>0</v>
      </c>
      <c r="BC72" s="1"/>
      <c r="BD72" s="1"/>
      <c r="BE72" s="1">
        <f>MAX($J72)</f>
        <v>0</v>
      </c>
      <c r="BF72" s="1"/>
      <c r="BG72" s="1"/>
      <c r="BH72" s="1"/>
      <c r="BI72" s="1">
        <f>MAX($P72)</f>
        <v>0</v>
      </c>
      <c r="BJ72" s="1">
        <f>MAX($Q72)</f>
        <v>0</v>
      </c>
      <c r="BK72" s="1"/>
    </row>
    <row r="73" spans="1:63">
      <c r="A73" s="1" t="s">
        <v>70</v>
      </c>
      <c r="B73" s="1" cm="1">
        <f t="array" ref="B73">_xlfn.SWITCH($A$2,"average", AVERAGE(Instances!B73:Instances!B73),"median", MEDIAN(Instances!B73:Instances!B73),"min", MIN(Instances!B73:Instances!B73),"max", MAX(Instances!B73:Instances!B73),"diff", MAX(Instances!B73:Instances!B73)-MIN(Instances!B73:Instances!B73))</f>
        <v>0</v>
      </c>
      <c r="C73" s="1" cm="1">
        <f t="array" ref="C73">_xlfn.SWITCH($A$2,"average", AVERAGE(Instances!C73:Instances!C73),"median", MEDIAN(Instances!C73:Instances!C73),"min", MIN(Instances!C73:Instances!C73),"max", MAX(Instances!C73:Instances!C73),"diff", MAX(Instances!C73:Instances!C73)-MIN(Instances!C73:Instances!C73))</f>
        <v>0</v>
      </c>
      <c r="D73" s="1" cm="1">
        <f t="array" ref="D73">_xlfn.SWITCH($A$2,"average", AVERAGE(Instances!D73:Instances!D73),"median", MEDIAN(Instances!D73:Instances!D73),"min", MIN(Instances!D73:Instances!D73),"max", MAX(Instances!D73:Instances!D73),"diff", MAX(Instances!D73:Instances!D73)-MIN(Instances!D73:Instances!D73))</f>
        <v>0</v>
      </c>
      <c r="E73" s="1" cm="1">
        <f t="array" ref="E73">_xlfn.SWITCH($A$2,"average", AVERAGE(Instances!E73:Instances!E73),"median", MEDIAN(Instances!E73:Instances!E73),"min", MIN(Instances!E73:Instances!E73),"max", MAX(Instances!E73:Instances!E73),"diff", MAX(Instances!E73:Instances!E73)-MIN(Instances!E73:Instances!E73))</f>
        <v>0</v>
      </c>
      <c r="F73" s="1" cm="1">
        <f t="array" ref="F73">_xlfn.SWITCH($A$2,"average", AVERAGE(Instances!F73:Instances!F73),"median", MEDIAN(Instances!F73:Instances!F73),"min", MIN(Instances!F73:Instances!F73),"max", MAX(Instances!F73:Instances!F73),"diff", MAX(Instances!F73:Instances!F73)-MIN(Instances!F73:Instances!F73))</f>
        <v>0</v>
      </c>
      <c r="G73" s="1" cm="1">
        <f t="array" ref="G73">_xlfn.SWITCH($A$2,"average", AVERAGE(Instances!G73:Instances!G73),"median", MEDIAN(Instances!G73:Instances!G73),"min", MIN(Instances!G73:Instances!G73),"max", MAX(Instances!G73:Instances!G73),"diff", MAX(Instances!G73:Instances!G73)-MIN(Instances!G73:Instances!G73))</f>
        <v>0</v>
      </c>
      <c r="H73" s="1" cm="1">
        <f t="array" ref="H73">_xlfn.SWITCH($A$2,"average", AVERAGE(Instances!H73:Instances!H73),"median", MEDIAN(Instances!H73:Instances!H73),"min", MIN(Instances!H73:Instances!H73),"max", MAX(Instances!H73:Instances!H73),"diff", MAX(Instances!H73:Instances!H73)-MIN(Instances!H73:Instances!H73))</f>
        <v>0</v>
      </c>
      <c r="I73" s="1" cm="1">
        <f t="array" ref="I73">_xlfn.SWITCH($A$2,"average", AVERAGE(Instances!I73:Instances!I73),"median", MEDIAN(Instances!I73:Instances!I73),"min", MIN(Instances!I73:Instances!I73),"max", MAX(Instances!I73:Instances!I73),"diff", MAX(Instances!I73:Instances!I73)-MIN(Instances!I73:Instances!I73))</f>
        <v>0</v>
      </c>
      <c r="J73" s="1" cm="1">
        <f t="array" ref="J73">_xlfn.SWITCH($A$2,"average", AVERAGE(Instances!J73:Instances!J73),"median", MEDIAN(Instances!J73:Instances!J73),"min", MIN(Instances!J73:Instances!J73),"max", MAX(Instances!J73:Instances!J73),"diff", MAX(Instances!J73:Instances!J73)-MIN(Instances!J73:Instances!J73))</f>
        <v>0</v>
      </c>
      <c r="K73" s="1" cm="1">
        <f t="array" ref="K73">_xlfn.SWITCH($A$2,"average", AVERAGE(Instances!K73:Instances!K73),"median", MEDIAN(Instances!K73:Instances!K73),"min", MIN(Instances!K73:Instances!K73),"max", MAX(Instances!K73:Instances!K73),"diff", MAX(Instances!K73:Instances!K73)-MIN(Instances!K73:Instances!K73))</f>
        <v>0</v>
      </c>
      <c r="L73" s="1"/>
      <c r="M73" s="1" cm="1">
        <f t="array" ref="M73">_xlfn.SWITCH($A$2,"average", AVERAGE(Instances!M73:Instances!M73),"median", MEDIAN(Instances!M73:Instances!M73),"min", MIN(Instances!M73:Instances!M73),"max", MAX(Instances!M73:Instances!M73),"diff", MAX(Instances!M73:Instances!M73)-MIN(Instances!M73:Instances!M73))</f>
        <v>0</v>
      </c>
      <c r="N73" s="1" cm="1">
        <f t="array" ref="N73">_xlfn.SWITCH($A$2,"average", AVERAGE(Instances!N73:Instances!N73),"median", MEDIAN(Instances!N73:Instances!N73),"min", MIN(Instances!N73:Instances!N73),"max", MAX(Instances!N73:Instances!N73),"diff", MAX(Instances!N73:Instances!N73)-MIN(Instances!N73:Instances!N73))</f>
        <v>0</v>
      </c>
      <c r="O73" s="1"/>
      <c r="P73" s="1" cm="1">
        <f t="array" ref="P73">_xlfn.SWITCH($A$2,"average", AVERAGE(Instances!P73:Instances!P73),"median", MEDIAN(Instances!P73:Instances!P73),"min", MIN(Instances!P73:Instances!P73),"max", MAX(Instances!P73:Instances!P73),"diff", MAX(Instances!P73:Instances!P73)-MIN(Instances!P73:Instances!P73))</f>
        <v>0</v>
      </c>
      <c r="Q73" s="1" cm="1">
        <f t="array" ref="Q73">_xlfn.SWITCH($A$2,"average", AVERAGE(Instances!Q73:Instances!Q73),"median", MEDIAN(Instances!Q73:Instances!Q73),"min", MIN(Instances!Q73:Instances!Q73),"max", MAX(Instances!Q73:Instances!Q73),"diff", MAX(Instances!Q73:Instances!Q73)-MIN(Instances!Q73:Instances!Q73))</f>
        <v>0</v>
      </c>
      <c r="R73" s="1" cm="1">
        <f t="array" ref="R73">_xlfn.SWITCH($A$2,"average", AVERAGE(Instances!R73:Instances!R73),"median", MEDIAN(Instances!R73:Instances!R73),"min", MIN(Instances!R73:Instances!R73),"max", MAX(Instances!R73:Instances!R73),"diff", MAX(Instances!R73:Instances!R73)-MIN(Instances!R73:Instances!R73))</f>
        <v>0</v>
      </c>
      <c r="S73" s="1">
        <f>MIN($B73)</f>
        <v>0</v>
      </c>
      <c r="T73" s="1">
        <f>MIN($C73)</f>
        <v>0</v>
      </c>
      <c r="U73" s="1">
        <f>MIN($D73)</f>
        <v>0</v>
      </c>
      <c r="V73" s="1">
        <f>MIN($E73)</f>
        <v>0</v>
      </c>
      <c r="W73" s="1">
        <f>MIN($F73)</f>
        <v>0</v>
      </c>
      <c r="X73" s="1">
        <f>MIN($G73)</f>
        <v>0</v>
      </c>
      <c r="Y73" s="1">
        <f>MIN($H73)</f>
        <v>0</v>
      </c>
      <c r="Z73" s="1">
        <f>MIN($I73)</f>
        <v>0</v>
      </c>
      <c r="AA73" s="1">
        <f>MIN($J73)</f>
        <v>0</v>
      </c>
      <c r="AB73" s="1">
        <f>MIN($K73)</f>
        <v>0</v>
      </c>
      <c r="AC73" s="1">
        <f>MIN($M73)</f>
        <v>0</v>
      </c>
      <c r="AD73" s="1">
        <f>MIN($N73)</f>
        <v>0</v>
      </c>
      <c r="AE73" s="1">
        <f>MIN($P73)</f>
        <v>0</v>
      </c>
      <c r="AF73" s="1">
        <f>MIN($Q73)</f>
        <v>0</v>
      </c>
      <c r="AG73" s="1">
        <f>MIN($R73)</f>
        <v>0</v>
      </c>
      <c r="AH73" s="1">
        <f>MEDIAN($B73)</f>
        <v>0</v>
      </c>
      <c r="AI73" s="1">
        <f>MEDIAN($C73)</f>
        <v>0</v>
      </c>
      <c r="AJ73" s="1">
        <f>MEDIAN($D73)</f>
        <v>0</v>
      </c>
      <c r="AK73" s="1">
        <f>MEDIAN($E73)</f>
        <v>0</v>
      </c>
      <c r="AL73" s="1">
        <f>MEDIAN($F73)</f>
        <v>0</v>
      </c>
      <c r="AM73" s="1">
        <f>MEDIAN($G73)</f>
        <v>0</v>
      </c>
      <c r="AN73" s="1">
        <f>MEDIAN($H73)</f>
        <v>0</v>
      </c>
      <c r="AO73" s="1">
        <f>MEDIAN($I73)</f>
        <v>0</v>
      </c>
      <c r="AP73" s="1">
        <f>MEDIAN($J73)</f>
        <v>0</v>
      </c>
      <c r="AQ73" s="1">
        <f>MEDIAN($K73)</f>
        <v>0</v>
      </c>
      <c r="AR73" s="1">
        <f>MEDIAN($M73)</f>
        <v>0</v>
      </c>
      <c r="AS73" s="1">
        <f>MEDIAN($N73)</f>
        <v>0</v>
      </c>
      <c r="AT73" s="1">
        <f>MEDIAN($P73)</f>
        <v>0</v>
      </c>
      <c r="AU73" s="1">
        <f>MEDIAN($Q73)</f>
        <v>0</v>
      </c>
      <c r="AV73" s="1">
        <f>MEDIAN($R73)</f>
        <v>0</v>
      </c>
      <c r="AW73" s="1">
        <f>MAX($B73)</f>
        <v>0</v>
      </c>
      <c r="AX73" s="1">
        <f>MAX($C73)</f>
        <v>0</v>
      </c>
      <c r="AY73" s="1">
        <f>MAX($D73)</f>
        <v>0</v>
      </c>
      <c r="AZ73" s="1">
        <f>MAX($E73)</f>
        <v>0</v>
      </c>
      <c r="BA73" s="1">
        <f>MAX($F73)</f>
        <v>0</v>
      </c>
      <c r="BB73" s="1">
        <f>MAX($G73)</f>
        <v>0</v>
      </c>
      <c r="BC73" s="1">
        <f>MAX($H73)</f>
        <v>0</v>
      </c>
      <c r="BD73" s="1">
        <f>MAX($I73)</f>
        <v>0</v>
      </c>
      <c r="BE73" s="1">
        <f>MAX($J73)</f>
        <v>0</v>
      </c>
      <c r="BF73" s="1">
        <f>MAX($K73)</f>
        <v>0</v>
      </c>
      <c r="BG73" s="1">
        <f>MAX($M73)</f>
        <v>0</v>
      </c>
      <c r="BH73" s="1">
        <f>MAX($N73)</f>
        <v>0</v>
      </c>
      <c r="BI73" s="1">
        <f>MAX($P73)</f>
        <v>0</v>
      </c>
      <c r="BJ73" s="1">
        <f>MAX($Q73)</f>
        <v>0</v>
      </c>
      <c r="BK73" s="1">
        <f>MAX($R73)</f>
        <v>0</v>
      </c>
    </row>
    <row r="74" spans="1:63">
      <c r="A74" s="1" t="s">
        <v>71</v>
      </c>
      <c r="B74" s="1"/>
      <c r="C74" s="1"/>
      <c r="D74" s="1"/>
      <c r="E74" s="1" cm="1">
        <f t="array" ref="E74">_xlfn.SWITCH($A$2,"average", AVERAGE(Instances!E74:Instances!E74),"median", MEDIAN(Instances!E74:Instances!E74),"min", MIN(Instances!E74:Instances!E74),"max", MAX(Instances!E74:Instances!E74),"diff", MAX(Instances!E74:Instances!E74)-MIN(Instances!E74:Instances!E74))</f>
        <v>0</v>
      </c>
      <c r="F74" s="1" cm="1">
        <f t="array" ref="F74">_xlfn.SWITCH($A$2,"average", AVERAGE(Instances!F74:Instances!F74),"median", MEDIAN(Instances!F74:Instances!F74),"min", MIN(Instances!F74:Instances!F74),"max", MAX(Instances!F74:Instances!F74),"diff", MAX(Instances!F74:Instances!F74)-MIN(Instances!F74:Instances!F74))</f>
        <v>0</v>
      </c>
      <c r="G74" s="1" cm="1">
        <f t="array" ref="G74">_xlfn.SWITCH($A$2,"average", AVERAGE(Instances!G74:Instances!G74),"median", MEDIAN(Instances!G74:Instances!G74),"min", MIN(Instances!G74:Instances!G74),"max", MAX(Instances!G74:Instances!G74),"diff", MAX(Instances!G74:Instances!G74)-MIN(Instances!G74:Instances!G74))</f>
        <v>0</v>
      </c>
      <c r="H74" s="1"/>
      <c r="I74" s="1"/>
      <c r="J74" s="1" cm="1">
        <f t="array" ref="J74">_xlfn.SWITCH($A$2,"average", AVERAGE(Instances!J74:Instances!J74),"median", MEDIAN(Instances!J74:Instances!J74),"min", MIN(Instances!J74:Instances!J74),"max", MAX(Instances!J74:Instances!J74),"diff", MAX(Instances!J74:Instances!J74)-MIN(Instances!J74:Instances!J74))</f>
        <v>0</v>
      </c>
      <c r="K74" s="1"/>
      <c r="L74" s="1"/>
      <c r="M74" s="1"/>
      <c r="N74" s="1"/>
      <c r="O74" s="1"/>
      <c r="P74" s="1" cm="1">
        <f t="array" ref="P74">_xlfn.SWITCH($A$2,"average", AVERAGE(Instances!P74:Instances!P74),"median", MEDIAN(Instances!P74:Instances!P74),"min", MIN(Instances!P74:Instances!P74),"max", MAX(Instances!P74:Instances!P74),"diff", MAX(Instances!P74:Instances!P74)-MIN(Instances!P74:Instances!P74))</f>
        <v>0</v>
      </c>
      <c r="Q74" s="1" cm="1">
        <f t="array" ref="Q74">_xlfn.SWITCH($A$2,"average", AVERAGE(Instances!Q74:Instances!Q74),"median", MEDIAN(Instances!Q74:Instances!Q74),"min", MIN(Instances!Q74:Instances!Q74),"max", MAX(Instances!Q74:Instances!Q74),"diff", MAX(Instances!Q74:Instances!Q74)-MIN(Instances!Q74:Instances!Q74))</f>
        <v>0</v>
      </c>
      <c r="R74" s="1"/>
      <c r="S74" s="1"/>
      <c r="T74" s="1"/>
      <c r="U74" s="1"/>
      <c r="V74" s="1">
        <f>MIN($E74)</f>
        <v>0</v>
      </c>
      <c r="W74" s="1">
        <f>MIN($F74)</f>
        <v>0</v>
      </c>
      <c r="X74" s="1">
        <f>MIN($G74)</f>
        <v>0</v>
      </c>
      <c r="Y74" s="1"/>
      <c r="Z74" s="1"/>
      <c r="AA74" s="1">
        <f>MIN($J74)</f>
        <v>0</v>
      </c>
      <c r="AB74" s="1"/>
      <c r="AC74" s="1"/>
      <c r="AD74" s="1"/>
      <c r="AE74" s="1">
        <f>MIN($P74)</f>
        <v>0</v>
      </c>
      <c r="AF74" s="1">
        <f>MIN($Q74)</f>
        <v>0</v>
      </c>
      <c r="AG74" s="1"/>
      <c r="AH74" s="1"/>
      <c r="AI74" s="1"/>
      <c r="AJ74" s="1"/>
      <c r="AK74" s="1">
        <f>MEDIAN($E74)</f>
        <v>0</v>
      </c>
      <c r="AL74" s="1">
        <f>MEDIAN($F74)</f>
        <v>0</v>
      </c>
      <c r="AM74" s="1">
        <f>MEDIAN($G74)</f>
        <v>0</v>
      </c>
      <c r="AN74" s="1"/>
      <c r="AO74" s="1"/>
      <c r="AP74" s="1">
        <f>MEDIAN($J74)</f>
        <v>0</v>
      </c>
      <c r="AQ74" s="1"/>
      <c r="AR74" s="1"/>
      <c r="AS74" s="1"/>
      <c r="AT74" s="1">
        <f>MEDIAN($P74)</f>
        <v>0</v>
      </c>
      <c r="AU74" s="1">
        <f>MEDIAN($Q74)</f>
        <v>0</v>
      </c>
      <c r="AV74" s="1"/>
      <c r="AW74" s="1"/>
      <c r="AX74" s="1"/>
      <c r="AY74" s="1"/>
      <c r="AZ74" s="1">
        <f>MAX($E74)</f>
        <v>0</v>
      </c>
      <c r="BA74" s="1">
        <f>MAX($F74)</f>
        <v>0</v>
      </c>
      <c r="BB74" s="1">
        <f>MAX($G74)</f>
        <v>0</v>
      </c>
      <c r="BC74" s="1"/>
      <c r="BD74" s="1"/>
      <c r="BE74" s="1">
        <f>MAX($J74)</f>
        <v>0</v>
      </c>
      <c r="BF74" s="1"/>
      <c r="BG74" s="1"/>
      <c r="BH74" s="1"/>
      <c r="BI74" s="1">
        <f>MAX($P74)</f>
        <v>0</v>
      </c>
      <c r="BJ74" s="1">
        <f>MAX($Q74)</f>
        <v>0</v>
      </c>
      <c r="BK74" s="1"/>
    </row>
    <row r="75" spans="1:63">
      <c r="A75" s="1" t="s">
        <v>72</v>
      </c>
      <c r="B75" s="1"/>
      <c r="C75" s="1"/>
      <c r="D75" s="1"/>
      <c r="E75" s="1" cm="1">
        <f t="array" ref="E75">_xlfn.SWITCH($A$2,"average", AVERAGE(Instances!E75:Instances!E75),"median", MEDIAN(Instances!E75:Instances!E75),"min", MIN(Instances!E75:Instances!E75),"max", MAX(Instances!E75:Instances!E75),"diff", MAX(Instances!E75:Instances!E75)-MIN(Instances!E75:Instances!E75))</f>
        <v>0</v>
      </c>
      <c r="F75" s="1" cm="1">
        <f t="array" ref="F75">_xlfn.SWITCH($A$2,"average", AVERAGE(Instances!F75:Instances!F75),"median", MEDIAN(Instances!F75:Instances!F75),"min", MIN(Instances!F75:Instances!F75),"max", MAX(Instances!F75:Instances!F75),"diff", MAX(Instances!F75:Instances!F75)-MIN(Instances!F75:Instances!F75))</f>
        <v>0</v>
      </c>
      <c r="G75" s="1" cm="1">
        <f t="array" ref="G75">_xlfn.SWITCH($A$2,"average", AVERAGE(Instances!G75:Instances!G75),"median", MEDIAN(Instances!G75:Instances!G75),"min", MIN(Instances!G75:Instances!G75),"max", MAX(Instances!G75:Instances!G75),"diff", MAX(Instances!G75:Instances!G75)-MIN(Instances!G75:Instances!G75))</f>
        <v>0</v>
      </c>
      <c r="H75" s="1"/>
      <c r="I75" s="1"/>
      <c r="J75" s="1" cm="1">
        <f t="array" ref="J75">_xlfn.SWITCH($A$2,"average", AVERAGE(Instances!J75:Instances!J75),"median", MEDIAN(Instances!J75:Instances!J75),"min", MIN(Instances!J75:Instances!J75),"max", MAX(Instances!J75:Instances!J75),"diff", MAX(Instances!J75:Instances!J75)-MIN(Instances!J75:Instances!J75))</f>
        <v>0</v>
      </c>
      <c r="K75" s="1"/>
      <c r="L75" s="1"/>
      <c r="M75" s="1"/>
      <c r="N75" s="1"/>
      <c r="O75" s="1"/>
      <c r="P75" s="1" cm="1">
        <f t="array" ref="P75">_xlfn.SWITCH($A$2,"average", AVERAGE(Instances!P75:Instances!P75),"median", MEDIAN(Instances!P75:Instances!P75),"min", MIN(Instances!P75:Instances!P75),"max", MAX(Instances!P75:Instances!P75),"diff", MAX(Instances!P75:Instances!P75)-MIN(Instances!P75:Instances!P75))</f>
        <v>0</v>
      </c>
      <c r="Q75" s="1" cm="1">
        <f t="array" ref="Q75">_xlfn.SWITCH($A$2,"average", AVERAGE(Instances!Q75:Instances!Q75),"median", MEDIAN(Instances!Q75:Instances!Q75),"min", MIN(Instances!Q75:Instances!Q75),"max", MAX(Instances!Q75:Instances!Q75),"diff", MAX(Instances!Q75:Instances!Q75)-MIN(Instances!Q75:Instances!Q75))</f>
        <v>0</v>
      </c>
      <c r="R75" s="1"/>
      <c r="S75" s="1"/>
      <c r="T75" s="1"/>
      <c r="U75" s="1"/>
      <c r="V75" s="1">
        <f>MIN($E75)</f>
        <v>0</v>
      </c>
      <c r="W75" s="1">
        <f>MIN($F75)</f>
        <v>0</v>
      </c>
      <c r="X75" s="1">
        <f>MIN($G75)</f>
        <v>0</v>
      </c>
      <c r="Y75" s="1"/>
      <c r="Z75" s="1"/>
      <c r="AA75" s="1">
        <f>MIN($J75)</f>
        <v>0</v>
      </c>
      <c r="AB75" s="1"/>
      <c r="AC75" s="1"/>
      <c r="AD75" s="1"/>
      <c r="AE75" s="1">
        <f>MIN($P75)</f>
        <v>0</v>
      </c>
      <c r="AF75" s="1">
        <f>MIN($Q75)</f>
        <v>0</v>
      </c>
      <c r="AG75" s="1"/>
      <c r="AH75" s="1"/>
      <c r="AI75" s="1"/>
      <c r="AJ75" s="1"/>
      <c r="AK75" s="1">
        <f>MEDIAN($E75)</f>
        <v>0</v>
      </c>
      <c r="AL75" s="1">
        <f>MEDIAN($F75)</f>
        <v>0</v>
      </c>
      <c r="AM75" s="1">
        <f>MEDIAN($G75)</f>
        <v>0</v>
      </c>
      <c r="AN75" s="1"/>
      <c r="AO75" s="1"/>
      <c r="AP75" s="1">
        <f>MEDIAN($J75)</f>
        <v>0</v>
      </c>
      <c r="AQ75" s="1"/>
      <c r="AR75" s="1"/>
      <c r="AS75" s="1"/>
      <c r="AT75" s="1">
        <f>MEDIAN($P75)</f>
        <v>0</v>
      </c>
      <c r="AU75" s="1">
        <f>MEDIAN($Q75)</f>
        <v>0</v>
      </c>
      <c r="AV75" s="1"/>
      <c r="AW75" s="1"/>
      <c r="AX75" s="1"/>
      <c r="AY75" s="1"/>
      <c r="AZ75" s="1">
        <f>MAX($E75)</f>
        <v>0</v>
      </c>
      <c r="BA75" s="1">
        <f>MAX($F75)</f>
        <v>0</v>
      </c>
      <c r="BB75" s="1">
        <f>MAX($G75)</f>
        <v>0</v>
      </c>
      <c r="BC75" s="1"/>
      <c r="BD75" s="1"/>
      <c r="BE75" s="1">
        <f>MAX($J75)</f>
        <v>0</v>
      </c>
      <c r="BF75" s="1"/>
      <c r="BG75" s="1"/>
      <c r="BH75" s="1"/>
      <c r="BI75" s="1">
        <f>MAX($P75)</f>
        <v>0</v>
      </c>
      <c r="BJ75" s="1">
        <f>MAX($Q75)</f>
        <v>0</v>
      </c>
      <c r="BK75" s="1"/>
    </row>
    <row r="76" spans="1:63">
      <c r="A76" s="1" t="s">
        <v>73</v>
      </c>
      <c r="B76" s="1" cm="1">
        <f t="array" ref="B76">_xlfn.SWITCH($A$2,"average", AVERAGE(Instances!B76:Instances!B76),"median", MEDIAN(Instances!B76:Instances!B76),"min", MIN(Instances!B76:Instances!B76),"max", MAX(Instances!B76:Instances!B76),"diff", MAX(Instances!B76:Instances!B76)-MIN(Instances!B76:Instances!B76))</f>
        <v>0</v>
      </c>
      <c r="C76" s="1" cm="1">
        <f t="array" ref="C76">_xlfn.SWITCH($A$2,"average", AVERAGE(Instances!C76:Instances!C76),"median", MEDIAN(Instances!C76:Instances!C76),"min", MIN(Instances!C76:Instances!C76),"max", MAX(Instances!C76:Instances!C76),"diff", MAX(Instances!C76:Instances!C76)-MIN(Instances!C76:Instances!C76))</f>
        <v>0</v>
      </c>
      <c r="D76" s="1" cm="1">
        <f t="array" ref="D76">_xlfn.SWITCH($A$2,"average", AVERAGE(Instances!D76:Instances!D76),"median", MEDIAN(Instances!D76:Instances!D76),"min", MIN(Instances!D76:Instances!D76),"max", MAX(Instances!D76:Instances!D76),"diff", MAX(Instances!D76:Instances!D76)-MIN(Instances!D76:Instances!D76))</f>
        <v>0</v>
      </c>
      <c r="E76" s="1" cm="1">
        <f t="array" ref="E76">_xlfn.SWITCH($A$2,"average", AVERAGE(Instances!E76:Instances!E76),"median", MEDIAN(Instances!E76:Instances!E76),"min", MIN(Instances!E76:Instances!E76),"max", MAX(Instances!E76:Instances!E76),"diff", MAX(Instances!E76:Instances!E76)-MIN(Instances!E76:Instances!E76))</f>
        <v>0</v>
      </c>
      <c r="F76" s="1" cm="1">
        <f t="array" ref="F76">_xlfn.SWITCH($A$2,"average", AVERAGE(Instances!F76:Instances!F76),"median", MEDIAN(Instances!F76:Instances!F76),"min", MIN(Instances!F76:Instances!F76),"max", MAX(Instances!F76:Instances!F76),"diff", MAX(Instances!F76:Instances!F76)-MIN(Instances!F76:Instances!F76))</f>
        <v>0</v>
      </c>
      <c r="G76" s="1" cm="1">
        <f t="array" ref="G76">_xlfn.SWITCH($A$2,"average", AVERAGE(Instances!G76:Instances!G76),"median", MEDIAN(Instances!G76:Instances!G76),"min", MIN(Instances!G76:Instances!G76),"max", MAX(Instances!G76:Instances!G76),"diff", MAX(Instances!G76:Instances!G76)-MIN(Instances!G76:Instances!G76))</f>
        <v>0</v>
      </c>
      <c r="H76" s="1" cm="1">
        <f t="array" ref="H76">_xlfn.SWITCH($A$2,"average", AVERAGE(Instances!H76:Instances!H76),"median", MEDIAN(Instances!H76:Instances!H76),"min", MIN(Instances!H76:Instances!H76),"max", MAX(Instances!H76:Instances!H76),"diff", MAX(Instances!H76:Instances!H76)-MIN(Instances!H76:Instances!H76))</f>
        <v>0</v>
      </c>
      <c r="I76" s="1" cm="1">
        <f t="array" ref="I76">_xlfn.SWITCH($A$2,"average", AVERAGE(Instances!I76:Instances!I76),"median", MEDIAN(Instances!I76:Instances!I76),"min", MIN(Instances!I76:Instances!I76),"max", MAX(Instances!I76:Instances!I76),"diff", MAX(Instances!I76:Instances!I76)-MIN(Instances!I76:Instances!I76))</f>
        <v>0</v>
      </c>
      <c r="J76" s="1" cm="1">
        <f t="array" ref="J76">_xlfn.SWITCH($A$2,"average", AVERAGE(Instances!J76:Instances!J76),"median", MEDIAN(Instances!J76:Instances!J76),"min", MIN(Instances!J76:Instances!J76),"max", MAX(Instances!J76:Instances!J76),"diff", MAX(Instances!J76:Instances!J76)-MIN(Instances!J76:Instances!J76))</f>
        <v>0</v>
      </c>
      <c r="K76" s="1" cm="1">
        <f t="array" ref="K76">_xlfn.SWITCH($A$2,"average", AVERAGE(Instances!K76:Instances!K76),"median", MEDIAN(Instances!K76:Instances!K76),"min", MIN(Instances!K76:Instances!K76),"max", MAX(Instances!K76:Instances!K76),"diff", MAX(Instances!K76:Instances!K76)-MIN(Instances!K76:Instances!K76))</f>
        <v>0</v>
      </c>
      <c r="L76" s="1"/>
      <c r="M76" s="1" cm="1">
        <f t="array" ref="M76">_xlfn.SWITCH($A$2,"average", AVERAGE(Instances!M76:Instances!M76),"median", MEDIAN(Instances!M76:Instances!M76),"min", MIN(Instances!M76:Instances!M76),"max", MAX(Instances!M76:Instances!M76),"diff", MAX(Instances!M76:Instances!M76)-MIN(Instances!M76:Instances!M76))</f>
        <v>0</v>
      </c>
      <c r="N76" s="1" cm="1">
        <f t="array" ref="N76">_xlfn.SWITCH($A$2,"average", AVERAGE(Instances!N76:Instances!N76),"median", MEDIAN(Instances!N76:Instances!N76),"min", MIN(Instances!N76:Instances!N76),"max", MAX(Instances!N76:Instances!N76),"diff", MAX(Instances!N76:Instances!N76)-MIN(Instances!N76:Instances!N76))</f>
        <v>0</v>
      </c>
      <c r="O76" s="1"/>
      <c r="P76" s="1" cm="1">
        <f t="array" ref="P76">_xlfn.SWITCH($A$2,"average", AVERAGE(Instances!P76:Instances!P76),"median", MEDIAN(Instances!P76:Instances!P76),"min", MIN(Instances!P76:Instances!P76),"max", MAX(Instances!P76:Instances!P76),"diff", MAX(Instances!P76:Instances!P76)-MIN(Instances!P76:Instances!P76))</f>
        <v>0</v>
      </c>
      <c r="Q76" s="1" cm="1">
        <f t="array" ref="Q76">_xlfn.SWITCH($A$2,"average", AVERAGE(Instances!Q76:Instances!Q76),"median", MEDIAN(Instances!Q76:Instances!Q76),"min", MIN(Instances!Q76:Instances!Q76),"max", MAX(Instances!Q76:Instances!Q76),"diff", MAX(Instances!Q76:Instances!Q76)-MIN(Instances!Q76:Instances!Q76))</f>
        <v>0</v>
      </c>
      <c r="R76" s="1" cm="1">
        <f t="array" ref="R76">_xlfn.SWITCH($A$2,"average", AVERAGE(Instances!R76:Instances!R76),"median", MEDIAN(Instances!R76:Instances!R76),"min", MIN(Instances!R76:Instances!R76),"max", MAX(Instances!R76:Instances!R76),"diff", MAX(Instances!R76:Instances!R76)-MIN(Instances!R76:Instances!R76))</f>
        <v>0</v>
      </c>
      <c r="S76" s="1">
        <f>MIN($B76)</f>
        <v>0</v>
      </c>
      <c r="T76" s="1">
        <f>MIN($C76)</f>
        <v>0</v>
      </c>
      <c r="U76" s="1">
        <f>MIN($D76)</f>
        <v>0</v>
      </c>
      <c r="V76" s="1">
        <f>MIN($E76)</f>
        <v>0</v>
      </c>
      <c r="W76" s="1">
        <f>MIN($F76)</f>
        <v>0</v>
      </c>
      <c r="X76" s="1">
        <f>MIN($G76)</f>
        <v>0</v>
      </c>
      <c r="Y76" s="1">
        <f>MIN($H76)</f>
        <v>0</v>
      </c>
      <c r="Z76" s="1">
        <f>MIN($I76)</f>
        <v>0</v>
      </c>
      <c r="AA76" s="1">
        <f>MIN($J76)</f>
        <v>0</v>
      </c>
      <c r="AB76" s="1">
        <f>MIN($K76)</f>
        <v>0</v>
      </c>
      <c r="AC76" s="1">
        <f>MIN($M76)</f>
        <v>0</v>
      </c>
      <c r="AD76" s="1">
        <f>MIN($N76)</f>
        <v>0</v>
      </c>
      <c r="AE76" s="1">
        <f>MIN($P76)</f>
        <v>0</v>
      </c>
      <c r="AF76" s="1">
        <f>MIN($Q76)</f>
        <v>0</v>
      </c>
      <c r="AG76" s="1">
        <f>MIN($R76)</f>
        <v>0</v>
      </c>
      <c r="AH76" s="1">
        <f>MEDIAN($B76)</f>
        <v>0</v>
      </c>
      <c r="AI76" s="1">
        <f>MEDIAN($C76)</f>
        <v>0</v>
      </c>
      <c r="AJ76" s="1">
        <f>MEDIAN($D76)</f>
        <v>0</v>
      </c>
      <c r="AK76" s="1">
        <f>MEDIAN($E76)</f>
        <v>0</v>
      </c>
      <c r="AL76" s="1">
        <f>MEDIAN($F76)</f>
        <v>0</v>
      </c>
      <c r="AM76" s="1">
        <f>MEDIAN($G76)</f>
        <v>0</v>
      </c>
      <c r="AN76" s="1">
        <f>MEDIAN($H76)</f>
        <v>0</v>
      </c>
      <c r="AO76" s="1">
        <f>MEDIAN($I76)</f>
        <v>0</v>
      </c>
      <c r="AP76" s="1">
        <f>MEDIAN($J76)</f>
        <v>0</v>
      </c>
      <c r="AQ76" s="1">
        <f>MEDIAN($K76)</f>
        <v>0</v>
      </c>
      <c r="AR76" s="1">
        <f>MEDIAN($M76)</f>
        <v>0</v>
      </c>
      <c r="AS76" s="1">
        <f>MEDIAN($N76)</f>
        <v>0</v>
      </c>
      <c r="AT76" s="1">
        <f>MEDIAN($P76)</f>
        <v>0</v>
      </c>
      <c r="AU76" s="1">
        <f>MEDIAN($Q76)</f>
        <v>0</v>
      </c>
      <c r="AV76" s="1">
        <f>MEDIAN($R76)</f>
        <v>0</v>
      </c>
      <c r="AW76" s="1">
        <f>MAX($B76)</f>
        <v>0</v>
      </c>
      <c r="AX76" s="1">
        <f>MAX($C76)</f>
        <v>0</v>
      </c>
      <c r="AY76" s="1">
        <f>MAX($D76)</f>
        <v>0</v>
      </c>
      <c r="AZ76" s="1">
        <f>MAX($E76)</f>
        <v>0</v>
      </c>
      <c r="BA76" s="1">
        <f>MAX($F76)</f>
        <v>0</v>
      </c>
      <c r="BB76" s="1">
        <f>MAX($G76)</f>
        <v>0</v>
      </c>
      <c r="BC76" s="1">
        <f>MAX($H76)</f>
        <v>0</v>
      </c>
      <c r="BD76" s="1">
        <f>MAX($I76)</f>
        <v>0</v>
      </c>
      <c r="BE76" s="1">
        <f>MAX($J76)</f>
        <v>0</v>
      </c>
      <c r="BF76" s="1">
        <f>MAX($K76)</f>
        <v>0</v>
      </c>
      <c r="BG76" s="1">
        <f>MAX($M76)</f>
        <v>0</v>
      </c>
      <c r="BH76" s="1">
        <f>MAX($N76)</f>
        <v>0</v>
      </c>
      <c r="BI76" s="1">
        <f>MAX($P76)</f>
        <v>0</v>
      </c>
      <c r="BJ76" s="1">
        <f>MAX($Q76)</f>
        <v>0</v>
      </c>
      <c r="BK76" s="1">
        <f>MAX($R76)</f>
        <v>0</v>
      </c>
    </row>
    <row r="77" spans="1:63">
      <c r="A77" s="1" t="s">
        <v>74</v>
      </c>
      <c r="B77" s="1"/>
      <c r="C77" s="1"/>
      <c r="D77" s="1"/>
      <c r="E77" s="1" cm="1">
        <f t="array" ref="E77">_xlfn.SWITCH($A$2,"average", AVERAGE(Instances!E77:Instances!E77),"median", MEDIAN(Instances!E77:Instances!E77),"min", MIN(Instances!E77:Instances!E77),"max", MAX(Instances!E77:Instances!E77),"diff", MAX(Instances!E77:Instances!E77)-MIN(Instances!E77:Instances!E77))</f>
        <v>0</v>
      </c>
      <c r="F77" s="1" cm="1">
        <f t="array" ref="F77">_xlfn.SWITCH($A$2,"average", AVERAGE(Instances!F77:Instances!F77),"median", MEDIAN(Instances!F77:Instances!F77),"min", MIN(Instances!F77:Instances!F77),"max", MAX(Instances!F77:Instances!F77),"diff", MAX(Instances!F77:Instances!F77)-MIN(Instances!F77:Instances!F77))</f>
        <v>0</v>
      </c>
      <c r="G77" s="1" cm="1">
        <f t="array" ref="G77">_xlfn.SWITCH($A$2,"average", AVERAGE(Instances!G77:Instances!G77),"median", MEDIAN(Instances!G77:Instances!G77),"min", MIN(Instances!G77:Instances!G77),"max", MAX(Instances!G77:Instances!G77),"diff", MAX(Instances!G77:Instances!G77)-MIN(Instances!G77:Instances!G77))</f>
        <v>0</v>
      </c>
      <c r="H77" s="1"/>
      <c r="I77" s="1"/>
      <c r="J77" s="1" cm="1">
        <f t="array" ref="J77">_xlfn.SWITCH($A$2,"average", AVERAGE(Instances!J77:Instances!J77),"median", MEDIAN(Instances!J77:Instances!J77),"min", MIN(Instances!J77:Instances!J77),"max", MAX(Instances!J77:Instances!J77),"diff", MAX(Instances!J77:Instances!J77)-MIN(Instances!J77:Instances!J77))</f>
        <v>0</v>
      </c>
      <c r="K77" s="1"/>
      <c r="L77" s="1"/>
      <c r="M77" s="1"/>
      <c r="N77" s="1"/>
      <c r="O77" s="1"/>
      <c r="P77" s="1" cm="1">
        <f t="array" ref="P77">_xlfn.SWITCH($A$2,"average", AVERAGE(Instances!P77:Instances!P77),"median", MEDIAN(Instances!P77:Instances!P77),"min", MIN(Instances!P77:Instances!P77),"max", MAX(Instances!P77:Instances!P77),"diff", MAX(Instances!P77:Instances!P77)-MIN(Instances!P77:Instances!P77))</f>
        <v>0</v>
      </c>
      <c r="Q77" s="1" cm="1">
        <f t="array" ref="Q77">_xlfn.SWITCH($A$2,"average", AVERAGE(Instances!Q77:Instances!Q77),"median", MEDIAN(Instances!Q77:Instances!Q77),"min", MIN(Instances!Q77:Instances!Q77),"max", MAX(Instances!Q77:Instances!Q77),"diff", MAX(Instances!Q77:Instances!Q77)-MIN(Instances!Q77:Instances!Q77))</f>
        <v>0</v>
      </c>
      <c r="R77" s="1"/>
      <c r="S77" s="1"/>
      <c r="T77" s="1"/>
      <c r="U77" s="1"/>
      <c r="V77" s="1">
        <f>MIN($E77)</f>
        <v>0</v>
      </c>
      <c r="W77" s="1">
        <f>MIN($F77)</f>
        <v>0</v>
      </c>
      <c r="X77" s="1">
        <f>MIN($G77)</f>
        <v>0</v>
      </c>
      <c r="Y77" s="1"/>
      <c r="Z77" s="1"/>
      <c r="AA77" s="1">
        <f>MIN($J77)</f>
        <v>0</v>
      </c>
      <c r="AB77" s="1"/>
      <c r="AC77" s="1"/>
      <c r="AD77" s="1"/>
      <c r="AE77" s="1">
        <f>MIN($P77)</f>
        <v>0</v>
      </c>
      <c r="AF77" s="1">
        <f>MIN($Q77)</f>
        <v>0</v>
      </c>
      <c r="AG77" s="1"/>
      <c r="AH77" s="1"/>
      <c r="AI77" s="1"/>
      <c r="AJ77" s="1"/>
      <c r="AK77" s="1">
        <f>MEDIAN($E77)</f>
        <v>0</v>
      </c>
      <c r="AL77" s="1">
        <f>MEDIAN($F77)</f>
        <v>0</v>
      </c>
      <c r="AM77" s="1">
        <f>MEDIAN($G77)</f>
        <v>0</v>
      </c>
      <c r="AN77" s="1"/>
      <c r="AO77" s="1"/>
      <c r="AP77" s="1">
        <f>MEDIAN($J77)</f>
        <v>0</v>
      </c>
      <c r="AQ77" s="1"/>
      <c r="AR77" s="1"/>
      <c r="AS77" s="1"/>
      <c r="AT77" s="1">
        <f>MEDIAN($P77)</f>
        <v>0</v>
      </c>
      <c r="AU77" s="1">
        <f>MEDIAN($Q77)</f>
        <v>0</v>
      </c>
      <c r="AV77" s="1"/>
      <c r="AW77" s="1"/>
      <c r="AX77" s="1"/>
      <c r="AY77" s="1"/>
      <c r="AZ77" s="1">
        <f>MAX($E77)</f>
        <v>0</v>
      </c>
      <c r="BA77" s="1">
        <f>MAX($F77)</f>
        <v>0</v>
      </c>
      <c r="BB77" s="1">
        <f>MAX($G77)</f>
        <v>0</v>
      </c>
      <c r="BC77" s="1"/>
      <c r="BD77" s="1"/>
      <c r="BE77" s="1">
        <f>MAX($J77)</f>
        <v>0</v>
      </c>
      <c r="BF77" s="1"/>
      <c r="BG77" s="1"/>
      <c r="BH77" s="1"/>
      <c r="BI77" s="1">
        <f>MAX($P77)</f>
        <v>0</v>
      </c>
      <c r="BJ77" s="1">
        <f>MAX($Q77)</f>
        <v>0</v>
      </c>
      <c r="BK77" s="1"/>
    </row>
    <row r="78" spans="1:63">
      <c r="A78" s="1" t="s">
        <v>75</v>
      </c>
      <c r="B78" s="1" cm="1">
        <f t="array" ref="B78">_xlfn.SWITCH($A$2,"average", AVERAGE(Instances!B78:Instances!B78),"median", MEDIAN(Instances!B78:Instances!B78),"min", MIN(Instances!B78:Instances!B78),"max", MAX(Instances!B78:Instances!B78),"diff", MAX(Instances!B78:Instances!B78)-MIN(Instances!B78:Instances!B78))</f>
        <v>0</v>
      </c>
      <c r="C78" s="1" cm="1">
        <f t="array" ref="C78">_xlfn.SWITCH($A$2,"average", AVERAGE(Instances!C78:Instances!C78),"median", MEDIAN(Instances!C78:Instances!C78),"min", MIN(Instances!C78:Instances!C78),"max", MAX(Instances!C78:Instances!C78),"diff", MAX(Instances!C78:Instances!C78)-MIN(Instances!C78:Instances!C78))</f>
        <v>0</v>
      </c>
      <c r="D78" s="1" cm="1">
        <f t="array" ref="D78">_xlfn.SWITCH($A$2,"average", AVERAGE(Instances!D78:Instances!D78),"median", MEDIAN(Instances!D78:Instances!D78),"min", MIN(Instances!D78:Instances!D78),"max", MAX(Instances!D78:Instances!D78),"diff", MAX(Instances!D78:Instances!D78)-MIN(Instances!D78:Instances!D78))</f>
        <v>0</v>
      </c>
      <c r="E78" s="1" cm="1">
        <f t="array" ref="E78">_xlfn.SWITCH($A$2,"average", AVERAGE(Instances!E78:Instances!E78),"median", MEDIAN(Instances!E78:Instances!E78),"min", MIN(Instances!E78:Instances!E78),"max", MAX(Instances!E78:Instances!E78),"diff", MAX(Instances!E78:Instances!E78)-MIN(Instances!E78:Instances!E78))</f>
        <v>0</v>
      </c>
      <c r="F78" s="1" cm="1">
        <f t="array" ref="F78">_xlfn.SWITCH($A$2,"average", AVERAGE(Instances!F78:Instances!F78),"median", MEDIAN(Instances!F78:Instances!F78),"min", MIN(Instances!F78:Instances!F78),"max", MAX(Instances!F78:Instances!F78),"diff", MAX(Instances!F78:Instances!F78)-MIN(Instances!F78:Instances!F78))</f>
        <v>0</v>
      </c>
      <c r="G78" s="1" cm="1">
        <f t="array" ref="G78">_xlfn.SWITCH($A$2,"average", AVERAGE(Instances!G78:Instances!G78),"median", MEDIAN(Instances!G78:Instances!G78),"min", MIN(Instances!G78:Instances!G78),"max", MAX(Instances!G78:Instances!G78),"diff", MAX(Instances!G78:Instances!G78)-MIN(Instances!G78:Instances!G78))</f>
        <v>0</v>
      </c>
      <c r="H78" s="1" cm="1">
        <f t="array" ref="H78">_xlfn.SWITCH($A$2,"average", AVERAGE(Instances!H78:Instances!H78),"median", MEDIAN(Instances!H78:Instances!H78),"min", MIN(Instances!H78:Instances!H78),"max", MAX(Instances!H78:Instances!H78),"diff", MAX(Instances!H78:Instances!H78)-MIN(Instances!H78:Instances!H78))</f>
        <v>0</v>
      </c>
      <c r="I78" s="1" cm="1">
        <f t="array" ref="I78">_xlfn.SWITCH($A$2,"average", AVERAGE(Instances!I78:Instances!I78),"median", MEDIAN(Instances!I78:Instances!I78),"min", MIN(Instances!I78:Instances!I78),"max", MAX(Instances!I78:Instances!I78),"diff", MAX(Instances!I78:Instances!I78)-MIN(Instances!I78:Instances!I78))</f>
        <v>0</v>
      </c>
      <c r="J78" s="1" cm="1">
        <f t="array" ref="J78">_xlfn.SWITCH($A$2,"average", AVERAGE(Instances!J78:Instances!J78),"median", MEDIAN(Instances!J78:Instances!J78),"min", MIN(Instances!J78:Instances!J78),"max", MAX(Instances!J78:Instances!J78),"diff", MAX(Instances!J78:Instances!J78)-MIN(Instances!J78:Instances!J78))</f>
        <v>0</v>
      </c>
      <c r="K78" s="1" cm="1">
        <f t="array" ref="K78">_xlfn.SWITCH($A$2,"average", AVERAGE(Instances!K78:Instances!K78),"median", MEDIAN(Instances!K78:Instances!K78),"min", MIN(Instances!K78:Instances!K78),"max", MAX(Instances!K78:Instances!K78),"diff", MAX(Instances!K78:Instances!K78)-MIN(Instances!K78:Instances!K78))</f>
        <v>0</v>
      </c>
      <c r="L78" s="1"/>
      <c r="M78" s="1" cm="1">
        <f t="array" ref="M78">_xlfn.SWITCH($A$2,"average", AVERAGE(Instances!M78:Instances!M78),"median", MEDIAN(Instances!M78:Instances!M78),"min", MIN(Instances!M78:Instances!M78),"max", MAX(Instances!M78:Instances!M78),"diff", MAX(Instances!M78:Instances!M78)-MIN(Instances!M78:Instances!M78))</f>
        <v>0</v>
      </c>
      <c r="N78" s="1" cm="1">
        <f t="array" ref="N78">_xlfn.SWITCH($A$2,"average", AVERAGE(Instances!N78:Instances!N78),"median", MEDIAN(Instances!N78:Instances!N78),"min", MIN(Instances!N78:Instances!N78),"max", MAX(Instances!N78:Instances!N78),"diff", MAX(Instances!N78:Instances!N78)-MIN(Instances!N78:Instances!N78))</f>
        <v>0</v>
      </c>
      <c r="O78" s="1"/>
      <c r="P78" s="1" cm="1">
        <f t="array" ref="P78">_xlfn.SWITCH($A$2,"average", AVERAGE(Instances!P78:Instances!P78),"median", MEDIAN(Instances!P78:Instances!P78),"min", MIN(Instances!P78:Instances!P78),"max", MAX(Instances!P78:Instances!P78),"diff", MAX(Instances!P78:Instances!P78)-MIN(Instances!P78:Instances!P78))</f>
        <v>0</v>
      </c>
      <c r="Q78" s="1" cm="1">
        <f t="array" ref="Q78">_xlfn.SWITCH($A$2,"average", AVERAGE(Instances!Q78:Instances!Q78),"median", MEDIAN(Instances!Q78:Instances!Q78),"min", MIN(Instances!Q78:Instances!Q78),"max", MAX(Instances!Q78:Instances!Q78),"diff", MAX(Instances!Q78:Instances!Q78)-MIN(Instances!Q78:Instances!Q78))</f>
        <v>0</v>
      </c>
      <c r="R78" s="1" cm="1">
        <f t="array" ref="R78">_xlfn.SWITCH($A$2,"average", AVERAGE(Instances!R78:Instances!R78),"median", MEDIAN(Instances!R78:Instances!R78),"min", MIN(Instances!R78:Instances!R78),"max", MAX(Instances!R78:Instances!R78),"diff", MAX(Instances!R78:Instances!R78)-MIN(Instances!R78:Instances!R78))</f>
        <v>0</v>
      </c>
      <c r="S78" s="1">
        <f>MIN($B78)</f>
        <v>0</v>
      </c>
      <c r="T78" s="1">
        <f>MIN($C78)</f>
        <v>0</v>
      </c>
      <c r="U78" s="1">
        <f>MIN($D78)</f>
        <v>0</v>
      </c>
      <c r="V78" s="1">
        <f>MIN($E78)</f>
        <v>0</v>
      </c>
      <c r="W78" s="1">
        <f>MIN($F78)</f>
        <v>0</v>
      </c>
      <c r="X78" s="1">
        <f>MIN($G78)</f>
        <v>0</v>
      </c>
      <c r="Y78" s="1">
        <f>MIN($H78)</f>
        <v>0</v>
      </c>
      <c r="Z78" s="1">
        <f>MIN($I78)</f>
        <v>0</v>
      </c>
      <c r="AA78" s="1">
        <f>MIN($J78)</f>
        <v>0</v>
      </c>
      <c r="AB78" s="1">
        <f>MIN($K78)</f>
        <v>0</v>
      </c>
      <c r="AC78" s="1">
        <f>MIN($M78)</f>
        <v>0</v>
      </c>
      <c r="AD78" s="1">
        <f>MIN($N78)</f>
        <v>0</v>
      </c>
      <c r="AE78" s="1">
        <f>MIN($P78)</f>
        <v>0</v>
      </c>
      <c r="AF78" s="1">
        <f>MIN($Q78)</f>
        <v>0</v>
      </c>
      <c r="AG78" s="1">
        <f>MIN($R78)</f>
        <v>0</v>
      </c>
      <c r="AH78" s="1">
        <f>MEDIAN($B78)</f>
        <v>0</v>
      </c>
      <c r="AI78" s="1">
        <f>MEDIAN($C78)</f>
        <v>0</v>
      </c>
      <c r="AJ78" s="1">
        <f>MEDIAN($D78)</f>
        <v>0</v>
      </c>
      <c r="AK78" s="1">
        <f>MEDIAN($E78)</f>
        <v>0</v>
      </c>
      <c r="AL78" s="1">
        <f>MEDIAN($F78)</f>
        <v>0</v>
      </c>
      <c r="AM78" s="1">
        <f>MEDIAN($G78)</f>
        <v>0</v>
      </c>
      <c r="AN78" s="1">
        <f>MEDIAN($H78)</f>
        <v>0</v>
      </c>
      <c r="AO78" s="1">
        <f>MEDIAN($I78)</f>
        <v>0</v>
      </c>
      <c r="AP78" s="1">
        <f>MEDIAN($J78)</f>
        <v>0</v>
      </c>
      <c r="AQ78" s="1">
        <f>MEDIAN($K78)</f>
        <v>0</v>
      </c>
      <c r="AR78" s="1">
        <f>MEDIAN($M78)</f>
        <v>0</v>
      </c>
      <c r="AS78" s="1">
        <f>MEDIAN($N78)</f>
        <v>0</v>
      </c>
      <c r="AT78" s="1">
        <f>MEDIAN($P78)</f>
        <v>0</v>
      </c>
      <c r="AU78" s="1">
        <f>MEDIAN($Q78)</f>
        <v>0</v>
      </c>
      <c r="AV78" s="1">
        <f>MEDIAN($R78)</f>
        <v>0</v>
      </c>
      <c r="AW78" s="1">
        <f>MAX($B78)</f>
        <v>0</v>
      </c>
      <c r="AX78" s="1">
        <f>MAX($C78)</f>
        <v>0</v>
      </c>
      <c r="AY78" s="1">
        <f>MAX($D78)</f>
        <v>0</v>
      </c>
      <c r="AZ78" s="1">
        <f>MAX($E78)</f>
        <v>0</v>
      </c>
      <c r="BA78" s="1">
        <f>MAX($F78)</f>
        <v>0</v>
      </c>
      <c r="BB78" s="1">
        <f>MAX($G78)</f>
        <v>0</v>
      </c>
      <c r="BC78" s="1">
        <f>MAX($H78)</f>
        <v>0</v>
      </c>
      <c r="BD78" s="1">
        <f>MAX($I78)</f>
        <v>0</v>
      </c>
      <c r="BE78" s="1">
        <f>MAX($J78)</f>
        <v>0</v>
      </c>
      <c r="BF78" s="1">
        <f>MAX($K78)</f>
        <v>0</v>
      </c>
      <c r="BG78" s="1">
        <f>MAX($M78)</f>
        <v>0</v>
      </c>
      <c r="BH78" s="1">
        <f>MAX($N78)</f>
        <v>0</v>
      </c>
      <c r="BI78" s="1">
        <f>MAX($P78)</f>
        <v>0</v>
      </c>
      <c r="BJ78" s="1">
        <f>MAX($Q78)</f>
        <v>0</v>
      </c>
      <c r="BK78" s="1">
        <f>MAX($R78)</f>
        <v>0</v>
      </c>
    </row>
    <row r="79" spans="1:63">
      <c r="A79" s="1" t="s">
        <v>76</v>
      </c>
      <c r="B79" s="1"/>
      <c r="C79" s="1"/>
      <c r="D79" s="1"/>
      <c r="E79" s="1" cm="1">
        <f t="array" ref="E79">_xlfn.SWITCH($A$2,"average", AVERAGE(Instances!E79:Instances!E79),"median", MEDIAN(Instances!E79:Instances!E79),"min", MIN(Instances!E79:Instances!E79),"max", MAX(Instances!E79:Instances!E79),"diff", MAX(Instances!E79:Instances!E79)-MIN(Instances!E79:Instances!E79))</f>
        <v>0</v>
      </c>
      <c r="F79" s="1" cm="1">
        <f t="array" ref="F79">_xlfn.SWITCH($A$2,"average", AVERAGE(Instances!F79:Instances!F79),"median", MEDIAN(Instances!F79:Instances!F79),"min", MIN(Instances!F79:Instances!F79),"max", MAX(Instances!F79:Instances!F79),"diff", MAX(Instances!F79:Instances!F79)-MIN(Instances!F79:Instances!F79))</f>
        <v>0</v>
      </c>
      <c r="G79" s="1" cm="1">
        <f t="array" ref="G79">_xlfn.SWITCH($A$2,"average", AVERAGE(Instances!G79:Instances!G79),"median", MEDIAN(Instances!G79:Instances!G79),"min", MIN(Instances!G79:Instances!G79),"max", MAX(Instances!G79:Instances!G79),"diff", MAX(Instances!G79:Instances!G79)-MIN(Instances!G79:Instances!G79))</f>
        <v>0</v>
      </c>
      <c r="H79" s="1"/>
      <c r="I79" s="1"/>
      <c r="J79" s="1" cm="1">
        <f t="array" ref="J79">_xlfn.SWITCH($A$2,"average", AVERAGE(Instances!J79:Instances!J79),"median", MEDIAN(Instances!J79:Instances!J79),"min", MIN(Instances!J79:Instances!J79),"max", MAX(Instances!J79:Instances!J79),"diff", MAX(Instances!J79:Instances!J79)-MIN(Instances!J79:Instances!J79))</f>
        <v>0</v>
      </c>
      <c r="K79" s="1"/>
      <c r="L79" s="1"/>
      <c r="M79" s="1"/>
      <c r="N79" s="1"/>
      <c r="O79" s="1"/>
      <c r="P79" s="1" cm="1">
        <f t="array" ref="P79">_xlfn.SWITCH($A$2,"average", AVERAGE(Instances!P79:Instances!P79),"median", MEDIAN(Instances!P79:Instances!P79),"min", MIN(Instances!P79:Instances!P79),"max", MAX(Instances!P79:Instances!P79),"diff", MAX(Instances!P79:Instances!P79)-MIN(Instances!P79:Instances!P79))</f>
        <v>0</v>
      </c>
      <c r="Q79" s="1" cm="1">
        <f t="array" ref="Q79">_xlfn.SWITCH($A$2,"average", AVERAGE(Instances!Q79:Instances!Q79),"median", MEDIAN(Instances!Q79:Instances!Q79),"min", MIN(Instances!Q79:Instances!Q79),"max", MAX(Instances!Q79:Instances!Q79),"diff", MAX(Instances!Q79:Instances!Q79)-MIN(Instances!Q79:Instances!Q79))</f>
        <v>0</v>
      </c>
      <c r="R79" s="1"/>
      <c r="S79" s="1"/>
      <c r="T79" s="1"/>
      <c r="U79" s="1"/>
      <c r="V79" s="1">
        <f>MIN($E79)</f>
        <v>0</v>
      </c>
      <c r="W79" s="1">
        <f>MIN($F79)</f>
        <v>0</v>
      </c>
      <c r="X79" s="1">
        <f>MIN($G79)</f>
        <v>0</v>
      </c>
      <c r="Y79" s="1"/>
      <c r="Z79" s="1"/>
      <c r="AA79" s="1">
        <f>MIN($J79)</f>
        <v>0</v>
      </c>
      <c r="AB79" s="1"/>
      <c r="AC79" s="1"/>
      <c r="AD79" s="1"/>
      <c r="AE79" s="1">
        <f>MIN($P79)</f>
        <v>0</v>
      </c>
      <c r="AF79" s="1">
        <f>MIN($Q79)</f>
        <v>0</v>
      </c>
      <c r="AG79" s="1"/>
      <c r="AH79" s="1"/>
      <c r="AI79" s="1"/>
      <c r="AJ79" s="1"/>
      <c r="AK79" s="1">
        <f>MEDIAN($E79)</f>
        <v>0</v>
      </c>
      <c r="AL79" s="1">
        <f>MEDIAN($F79)</f>
        <v>0</v>
      </c>
      <c r="AM79" s="1">
        <f>MEDIAN($G79)</f>
        <v>0</v>
      </c>
      <c r="AN79" s="1"/>
      <c r="AO79" s="1"/>
      <c r="AP79" s="1">
        <f>MEDIAN($J79)</f>
        <v>0</v>
      </c>
      <c r="AQ79" s="1"/>
      <c r="AR79" s="1"/>
      <c r="AS79" s="1"/>
      <c r="AT79" s="1">
        <f>MEDIAN($P79)</f>
        <v>0</v>
      </c>
      <c r="AU79" s="1">
        <f>MEDIAN($Q79)</f>
        <v>0</v>
      </c>
      <c r="AV79" s="1"/>
      <c r="AW79" s="1"/>
      <c r="AX79" s="1"/>
      <c r="AY79" s="1"/>
      <c r="AZ79" s="1">
        <f>MAX($E79)</f>
        <v>0</v>
      </c>
      <c r="BA79" s="1">
        <f>MAX($F79)</f>
        <v>0</v>
      </c>
      <c r="BB79" s="1">
        <f>MAX($G79)</f>
        <v>0</v>
      </c>
      <c r="BC79" s="1"/>
      <c r="BD79" s="1"/>
      <c r="BE79" s="1">
        <f>MAX($J79)</f>
        <v>0</v>
      </c>
      <c r="BF79" s="1"/>
      <c r="BG79" s="1"/>
      <c r="BH79" s="1"/>
      <c r="BI79" s="1">
        <f>MAX($P79)</f>
        <v>0</v>
      </c>
      <c r="BJ79" s="1">
        <f>MAX($Q79)</f>
        <v>0</v>
      </c>
      <c r="BK79" s="1"/>
    </row>
    <row r="80" spans="1:63">
      <c r="A80" s="1" t="s">
        <v>77</v>
      </c>
      <c r="B80" s="1"/>
      <c r="C80" s="1"/>
      <c r="D80" s="1"/>
      <c r="E80" s="1" cm="1">
        <f t="array" ref="E80">_xlfn.SWITCH($A$2,"average", AVERAGE(Instances!E80:Instances!E80),"median", MEDIAN(Instances!E80:Instances!E80),"min", MIN(Instances!E80:Instances!E80),"max", MAX(Instances!E80:Instances!E80),"diff", MAX(Instances!E80:Instances!E80)-MIN(Instances!E80:Instances!E80))</f>
        <v>0</v>
      </c>
      <c r="F80" s="1" cm="1">
        <f t="array" ref="F80">_xlfn.SWITCH($A$2,"average", AVERAGE(Instances!F80:Instances!F80),"median", MEDIAN(Instances!F80:Instances!F80),"min", MIN(Instances!F80:Instances!F80),"max", MAX(Instances!F80:Instances!F80),"diff", MAX(Instances!F80:Instances!F80)-MIN(Instances!F80:Instances!F80))</f>
        <v>0</v>
      </c>
      <c r="G80" s="1" cm="1">
        <f t="array" ref="G80">_xlfn.SWITCH($A$2,"average", AVERAGE(Instances!G80:Instances!G80),"median", MEDIAN(Instances!G80:Instances!G80),"min", MIN(Instances!G80:Instances!G80),"max", MAX(Instances!G80:Instances!G80),"diff", MAX(Instances!G80:Instances!G80)-MIN(Instances!G80:Instances!G80))</f>
        <v>0</v>
      </c>
      <c r="H80" s="1"/>
      <c r="I80" s="1"/>
      <c r="J80" s="1" cm="1">
        <f t="array" ref="J80">_xlfn.SWITCH($A$2,"average", AVERAGE(Instances!J80:Instances!J80),"median", MEDIAN(Instances!J80:Instances!J80),"min", MIN(Instances!J80:Instances!J80),"max", MAX(Instances!J80:Instances!J80),"diff", MAX(Instances!J80:Instances!J80)-MIN(Instances!J80:Instances!J80))</f>
        <v>0</v>
      </c>
      <c r="K80" s="1"/>
      <c r="L80" s="1"/>
      <c r="M80" s="1"/>
      <c r="N80" s="1"/>
      <c r="O80" s="1"/>
      <c r="P80" s="1" cm="1">
        <f t="array" ref="P80">_xlfn.SWITCH($A$2,"average", AVERAGE(Instances!P80:Instances!P80),"median", MEDIAN(Instances!P80:Instances!P80),"min", MIN(Instances!P80:Instances!P80),"max", MAX(Instances!P80:Instances!P80),"diff", MAX(Instances!P80:Instances!P80)-MIN(Instances!P80:Instances!P80))</f>
        <v>0</v>
      </c>
      <c r="Q80" s="1" cm="1">
        <f t="array" ref="Q80">_xlfn.SWITCH($A$2,"average", AVERAGE(Instances!Q80:Instances!Q80),"median", MEDIAN(Instances!Q80:Instances!Q80),"min", MIN(Instances!Q80:Instances!Q80),"max", MAX(Instances!Q80:Instances!Q80),"diff", MAX(Instances!Q80:Instances!Q80)-MIN(Instances!Q80:Instances!Q80))</f>
        <v>0</v>
      </c>
      <c r="R80" s="1"/>
      <c r="S80" s="1"/>
      <c r="T80" s="1"/>
      <c r="U80" s="1"/>
      <c r="V80" s="1">
        <f>MIN($E80)</f>
        <v>0</v>
      </c>
      <c r="W80" s="1">
        <f>MIN($F80)</f>
        <v>0</v>
      </c>
      <c r="X80" s="1">
        <f>MIN($G80)</f>
        <v>0</v>
      </c>
      <c r="Y80" s="1"/>
      <c r="Z80" s="1"/>
      <c r="AA80" s="1">
        <f>MIN($J80)</f>
        <v>0</v>
      </c>
      <c r="AB80" s="1"/>
      <c r="AC80" s="1"/>
      <c r="AD80" s="1"/>
      <c r="AE80" s="1">
        <f>MIN($P80)</f>
        <v>0</v>
      </c>
      <c r="AF80" s="1">
        <f>MIN($Q80)</f>
        <v>0</v>
      </c>
      <c r="AG80" s="1"/>
      <c r="AH80" s="1"/>
      <c r="AI80" s="1"/>
      <c r="AJ80" s="1"/>
      <c r="AK80" s="1">
        <f>MEDIAN($E80)</f>
        <v>0</v>
      </c>
      <c r="AL80" s="1">
        <f>MEDIAN($F80)</f>
        <v>0</v>
      </c>
      <c r="AM80" s="1">
        <f>MEDIAN($G80)</f>
        <v>0</v>
      </c>
      <c r="AN80" s="1"/>
      <c r="AO80" s="1"/>
      <c r="AP80" s="1">
        <f>MEDIAN($J80)</f>
        <v>0</v>
      </c>
      <c r="AQ80" s="1"/>
      <c r="AR80" s="1"/>
      <c r="AS80" s="1"/>
      <c r="AT80" s="1">
        <f>MEDIAN($P80)</f>
        <v>0</v>
      </c>
      <c r="AU80" s="1">
        <f>MEDIAN($Q80)</f>
        <v>0</v>
      </c>
      <c r="AV80" s="1"/>
      <c r="AW80" s="1"/>
      <c r="AX80" s="1"/>
      <c r="AY80" s="1"/>
      <c r="AZ80" s="1">
        <f>MAX($E80)</f>
        <v>0</v>
      </c>
      <c r="BA80" s="1">
        <f>MAX($F80)</f>
        <v>0</v>
      </c>
      <c r="BB80" s="1">
        <f>MAX($G80)</f>
        <v>0</v>
      </c>
      <c r="BC80" s="1"/>
      <c r="BD80" s="1"/>
      <c r="BE80" s="1">
        <f>MAX($J80)</f>
        <v>0</v>
      </c>
      <c r="BF80" s="1"/>
      <c r="BG80" s="1"/>
      <c r="BH80" s="1"/>
      <c r="BI80" s="1">
        <f>MAX($P80)</f>
        <v>0</v>
      </c>
      <c r="BJ80" s="1">
        <f>MAX($Q80)</f>
        <v>0</v>
      </c>
      <c r="BK80" s="1"/>
    </row>
    <row r="81" spans="1:63">
      <c r="A81" s="1" t="s">
        <v>78</v>
      </c>
      <c r="B81" s="1"/>
      <c r="C81" s="1"/>
      <c r="D81" s="1"/>
      <c r="E81" s="1" cm="1">
        <f t="array" ref="E81">_xlfn.SWITCH($A$2,"average", AVERAGE(Instances!E81:Instances!E81),"median", MEDIAN(Instances!E81:Instances!E81),"min", MIN(Instances!E81:Instances!E81),"max", MAX(Instances!E81:Instances!E81),"diff", MAX(Instances!E81:Instances!E81)-MIN(Instances!E81:Instances!E81))</f>
        <v>0</v>
      </c>
      <c r="F81" s="1" cm="1">
        <f t="array" ref="F81">_xlfn.SWITCH($A$2,"average", AVERAGE(Instances!F81:Instances!F81),"median", MEDIAN(Instances!F81:Instances!F81),"min", MIN(Instances!F81:Instances!F81),"max", MAX(Instances!F81:Instances!F81),"diff", MAX(Instances!F81:Instances!F81)-MIN(Instances!F81:Instances!F81))</f>
        <v>0</v>
      </c>
      <c r="G81" s="1" cm="1">
        <f t="array" ref="G81">_xlfn.SWITCH($A$2,"average", AVERAGE(Instances!G81:Instances!G81),"median", MEDIAN(Instances!G81:Instances!G81),"min", MIN(Instances!G81:Instances!G81),"max", MAX(Instances!G81:Instances!G81),"diff", MAX(Instances!G81:Instances!G81)-MIN(Instances!G81:Instances!G81))</f>
        <v>0</v>
      </c>
      <c r="H81" s="1"/>
      <c r="I81" s="1"/>
      <c r="J81" s="1" cm="1">
        <f t="array" ref="J81">_xlfn.SWITCH($A$2,"average", AVERAGE(Instances!J81:Instances!J81),"median", MEDIAN(Instances!J81:Instances!J81),"min", MIN(Instances!J81:Instances!J81),"max", MAX(Instances!J81:Instances!J81),"diff", MAX(Instances!J81:Instances!J81)-MIN(Instances!J81:Instances!J81))</f>
        <v>0</v>
      </c>
      <c r="K81" s="1"/>
      <c r="L81" s="1"/>
      <c r="M81" s="1"/>
      <c r="N81" s="1"/>
      <c r="O81" s="1"/>
      <c r="P81" s="1" cm="1">
        <f t="array" ref="P81">_xlfn.SWITCH($A$2,"average", AVERAGE(Instances!P81:Instances!P81),"median", MEDIAN(Instances!P81:Instances!P81),"min", MIN(Instances!P81:Instances!P81),"max", MAX(Instances!P81:Instances!P81),"diff", MAX(Instances!P81:Instances!P81)-MIN(Instances!P81:Instances!P81))</f>
        <v>0</v>
      </c>
      <c r="Q81" s="1" cm="1">
        <f t="array" ref="Q81">_xlfn.SWITCH($A$2,"average", AVERAGE(Instances!Q81:Instances!Q81),"median", MEDIAN(Instances!Q81:Instances!Q81),"min", MIN(Instances!Q81:Instances!Q81),"max", MAX(Instances!Q81:Instances!Q81),"diff", MAX(Instances!Q81:Instances!Q81)-MIN(Instances!Q81:Instances!Q81))</f>
        <v>0</v>
      </c>
      <c r="R81" s="1"/>
      <c r="S81" s="1"/>
      <c r="T81" s="1"/>
      <c r="U81" s="1"/>
      <c r="V81" s="1">
        <f>MIN($E81)</f>
        <v>0</v>
      </c>
      <c r="W81" s="1">
        <f>MIN($F81)</f>
        <v>0</v>
      </c>
      <c r="X81" s="1">
        <f>MIN($G81)</f>
        <v>0</v>
      </c>
      <c r="Y81" s="1"/>
      <c r="Z81" s="1"/>
      <c r="AA81" s="1">
        <f>MIN($J81)</f>
        <v>0</v>
      </c>
      <c r="AB81" s="1"/>
      <c r="AC81" s="1"/>
      <c r="AD81" s="1"/>
      <c r="AE81" s="1">
        <f>MIN($P81)</f>
        <v>0</v>
      </c>
      <c r="AF81" s="1">
        <f>MIN($Q81)</f>
        <v>0</v>
      </c>
      <c r="AG81" s="1"/>
      <c r="AH81" s="1"/>
      <c r="AI81" s="1"/>
      <c r="AJ81" s="1"/>
      <c r="AK81" s="1">
        <f>MEDIAN($E81)</f>
        <v>0</v>
      </c>
      <c r="AL81" s="1">
        <f>MEDIAN($F81)</f>
        <v>0</v>
      </c>
      <c r="AM81" s="1">
        <f>MEDIAN($G81)</f>
        <v>0</v>
      </c>
      <c r="AN81" s="1"/>
      <c r="AO81" s="1"/>
      <c r="AP81" s="1">
        <f>MEDIAN($J81)</f>
        <v>0</v>
      </c>
      <c r="AQ81" s="1"/>
      <c r="AR81" s="1"/>
      <c r="AS81" s="1"/>
      <c r="AT81" s="1">
        <f>MEDIAN($P81)</f>
        <v>0</v>
      </c>
      <c r="AU81" s="1">
        <f>MEDIAN($Q81)</f>
        <v>0</v>
      </c>
      <c r="AV81" s="1"/>
      <c r="AW81" s="1"/>
      <c r="AX81" s="1"/>
      <c r="AY81" s="1"/>
      <c r="AZ81" s="1">
        <f>MAX($E81)</f>
        <v>0</v>
      </c>
      <c r="BA81" s="1">
        <f>MAX($F81)</f>
        <v>0</v>
      </c>
      <c r="BB81" s="1">
        <f>MAX($G81)</f>
        <v>0</v>
      </c>
      <c r="BC81" s="1"/>
      <c r="BD81" s="1"/>
      <c r="BE81" s="1">
        <f>MAX($J81)</f>
        <v>0</v>
      </c>
      <c r="BF81" s="1"/>
      <c r="BG81" s="1"/>
      <c r="BH81" s="1"/>
      <c r="BI81" s="1">
        <f>MAX($P81)</f>
        <v>0</v>
      </c>
      <c r="BJ81" s="1">
        <f>MAX($Q81)</f>
        <v>0</v>
      </c>
      <c r="BK81" s="1"/>
    </row>
    <row r="82" spans="1:63">
      <c r="A82" s="1" t="s">
        <v>79</v>
      </c>
      <c r="B82" s="1"/>
      <c r="C82" s="1"/>
      <c r="D82" s="1"/>
      <c r="E82" s="1" cm="1">
        <f t="array" ref="E82">_xlfn.SWITCH($A$2,"average", AVERAGE(Instances!E82:Instances!E82),"median", MEDIAN(Instances!E82:Instances!E82),"min", MIN(Instances!E82:Instances!E82),"max", MAX(Instances!E82:Instances!E82),"diff", MAX(Instances!E82:Instances!E82)-MIN(Instances!E82:Instances!E82))</f>
        <v>0</v>
      </c>
      <c r="F82" s="1" cm="1">
        <f t="array" ref="F82">_xlfn.SWITCH($A$2,"average", AVERAGE(Instances!F82:Instances!F82),"median", MEDIAN(Instances!F82:Instances!F82),"min", MIN(Instances!F82:Instances!F82),"max", MAX(Instances!F82:Instances!F82),"diff", MAX(Instances!F82:Instances!F82)-MIN(Instances!F82:Instances!F82))</f>
        <v>0</v>
      </c>
      <c r="G82" s="1" cm="1">
        <f t="array" ref="G82">_xlfn.SWITCH($A$2,"average", AVERAGE(Instances!G82:Instances!G82),"median", MEDIAN(Instances!G82:Instances!G82),"min", MIN(Instances!G82:Instances!G82),"max", MAX(Instances!G82:Instances!G82),"diff", MAX(Instances!G82:Instances!G82)-MIN(Instances!G82:Instances!G82))</f>
        <v>0</v>
      </c>
      <c r="H82" s="1"/>
      <c r="I82" s="1"/>
      <c r="J82" s="1" cm="1">
        <f t="array" ref="J82">_xlfn.SWITCH($A$2,"average", AVERAGE(Instances!J82:Instances!J82),"median", MEDIAN(Instances!J82:Instances!J82),"min", MIN(Instances!J82:Instances!J82),"max", MAX(Instances!J82:Instances!J82),"diff", MAX(Instances!J82:Instances!J82)-MIN(Instances!J82:Instances!J82))</f>
        <v>0</v>
      </c>
      <c r="K82" s="1"/>
      <c r="L82" s="1"/>
      <c r="M82" s="1"/>
      <c r="N82" s="1"/>
      <c r="O82" s="1"/>
      <c r="P82" s="1" cm="1">
        <f t="array" ref="P82">_xlfn.SWITCH($A$2,"average", AVERAGE(Instances!P82:Instances!P82),"median", MEDIAN(Instances!P82:Instances!P82),"min", MIN(Instances!P82:Instances!P82),"max", MAX(Instances!P82:Instances!P82),"diff", MAX(Instances!P82:Instances!P82)-MIN(Instances!P82:Instances!P82))</f>
        <v>0</v>
      </c>
      <c r="Q82" s="1" cm="1">
        <f t="array" ref="Q82">_xlfn.SWITCH($A$2,"average", AVERAGE(Instances!Q82:Instances!Q82),"median", MEDIAN(Instances!Q82:Instances!Q82),"min", MIN(Instances!Q82:Instances!Q82),"max", MAX(Instances!Q82:Instances!Q82),"diff", MAX(Instances!Q82:Instances!Q82)-MIN(Instances!Q82:Instances!Q82))</f>
        <v>0</v>
      </c>
      <c r="R82" s="1"/>
      <c r="S82" s="1"/>
      <c r="T82" s="1"/>
      <c r="U82" s="1"/>
      <c r="V82" s="1">
        <f>MIN($E82)</f>
        <v>0</v>
      </c>
      <c r="W82" s="1">
        <f>MIN($F82)</f>
        <v>0</v>
      </c>
      <c r="X82" s="1">
        <f>MIN($G82)</f>
        <v>0</v>
      </c>
      <c r="Y82" s="1"/>
      <c r="Z82" s="1"/>
      <c r="AA82" s="1">
        <f>MIN($J82)</f>
        <v>0</v>
      </c>
      <c r="AB82" s="1"/>
      <c r="AC82" s="1"/>
      <c r="AD82" s="1"/>
      <c r="AE82" s="1">
        <f>MIN($P82)</f>
        <v>0</v>
      </c>
      <c r="AF82" s="1">
        <f>MIN($Q82)</f>
        <v>0</v>
      </c>
      <c r="AG82" s="1"/>
      <c r="AH82" s="1"/>
      <c r="AI82" s="1"/>
      <c r="AJ82" s="1"/>
      <c r="AK82" s="1">
        <f>MEDIAN($E82)</f>
        <v>0</v>
      </c>
      <c r="AL82" s="1">
        <f>MEDIAN($F82)</f>
        <v>0</v>
      </c>
      <c r="AM82" s="1">
        <f>MEDIAN($G82)</f>
        <v>0</v>
      </c>
      <c r="AN82" s="1"/>
      <c r="AO82" s="1"/>
      <c r="AP82" s="1">
        <f>MEDIAN($J82)</f>
        <v>0</v>
      </c>
      <c r="AQ82" s="1"/>
      <c r="AR82" s="1"/>
      <c r="AS82" s="1"/>
      <c r="AT82" s="1">
        <f>MEDIAN($P82)</f>
        <v>0</v>
      </c>
      <c r="AU82" s="1">
        <f>MEDIAN($Q82)</f>
        <v>0</v>
      </c>
      <c r="AV82" s="1"/>
      <c r="AW82" s="1"/>
      <c r="AX82" s="1"/>
      <c r="AY82" s="1"/>
      <c r="AZ82" s="1">
        <f>MAX($E82)</f>
        <v>0</v>
      </c>
      <c r="BA82" s="1">
        <f>MAX($F82)</f>
        <v>0</v>
      </c>
      <c r="BB82" s="1">
        <f>MAX($G82)</f>
        <v>0</v>
      </c>
      <c r="BC82" s="1"/>
      <c r="BD82" s="1"/>
      <c r="BE82" s="1">
        <f>MAX($J82)</f>
        <v>0</v>
      </c>
      <c r="BF82" s="1"/>
      <c r="BG82" s="1"/>
      <c r="BH82" s="1"/>
      <c r="BI82" s="1">
        <f>MAX($P82)</f>
        <v>0</v>
      </c>
      <c r="BJ82" s="1">
        <f>MAX($Q82)</f>
        <v>0</v>
      </c>
      <c r="BK82" s="1"/>
    </row>
    <row r="83" spans="1:63">
      <c r="A83" s="1" t="s">
        <v>80</v>
      </c>
      <c r="B83" s="1"/>
      <c r="C83" s="1"/>
      <c r="D83" s="1"/>
      <c r="E83" s="1" cm="1">
        <f t="array" ref="E83">_xlfn.SWITCH($A$2,"average", AVERAGE(Instances!E83:Instances!E83),"median", MEDIAN(Instances!E83:Instances!E83),"min", MIN(Instances!E83:Instances!E83),"max", MAX(Instances!E83:Instances!E83),"diff", MAX(Instances!E83:Instances!E83)-MIN(Instances!E83:Instances!E83))</f>
        <v>0</v>
      </c>
      <c r="F83" s="1" cm="1">
        <f t="array" ref="F83">_xlfn.SWITCH($A$2,"average", AVERAGE(Instances!F83:Instances!F83),"median", MEDIAN(Instances!F83:Instances!F83),"min", MIN(Instances!F83:Instances!F83),"max", MAX(Instances!F83:Instances!F83),"diff", MAX(Instances!F83:Instances!F83)-MIN(Instances!F83:Instances!F83))</f>
        <v>0</v>
      </c>
      <c r="G83" s="1" cm="1">
        <f t="array" ref="G83">_xlfn.SWITCH($A$2,"average", AVERAGE(Instances!G83:Instances!G83),"median", MEDIAN(Instances!G83:Instances!G83),"min", MIN(Instances!G83:Instances!G83),"max", MAX(Instances!G83:Instances!G83),"diff", MAX(Instances!G83:Instances!G83)-MIN(Instances!G83:Instances!G83))</f>
        <v>0</v>
      </c>
      <c r="H83" s="1"/>
      <c r="I83" s="1"/>
      <c r="J83" s="1" cm="1">
        <f t="array" ref="J83">_xlfn.SWITCH($A$2,"average", AVERAGE(Instances!J83:Instances!J83),"median", MEDIAN(Instances!J83:Instances!J83),"min", MIN(Instances!J83:Instances!J83),"max", MAX(Instances!J83:Instances!J83),"diff", MAX(Instances!J83:Instances!J83)-MIN(Instances!J83:Instances!J83))</f>
        <v>0</v>
      </c>
      <c r="K83" s="1"/>
      <c r="L83" s="1"/>
      <c r="M83" s="1"/>
      <c r="N83" s="1"/>
      <c r="O83" s="1"/>
      <c r="P83" s="1" cm="1">
        <f t="array" ref="P83">_xlfn.SWITCH($A$2,"average", AVERAGE(Instances!P83:Instances!P83),"median", MEDIAN(Instances!P83:Instances!P83),"min", MIN(Instances!P83:Instances!P83),"max", MAX(Instances!P83:Instances!P83),"diff", MAX(Instances!P83:Instances!P83)-MIN(Instances!P83:Instances!P83))</f>
        <v>0</v>
      </c>
      <c r="Q83" s="1" cm="1">
        <f t="array" ref="Q83">_xlfn.SWITCH($A$2,"average", AVERAGE(Instances!Q83:Instances!Q83),"median", MEDIAN(Instances!Q83:Instances!Q83),"min", MIN(Instances!Q83:Instances!Q83),"max", MAX(Instances!Q83:Instances!Q83),"diff", MAX(Instances!Q83:Instances!Q83)-MIN(Instances!Q83:Instances!Q83))</f>
        <v>0</v>
      </c>
      <c r="R83" s="1"/>
      <c r="S83" s="1"/>
      <c r="T83" s="1"/>
      <c r="U83" s="1"/>
      <c r="V83" s="1">
        <f>MIN($E83)</f>
        <v>0</v>
      </c>
      <c r="W83" s="1">
        <f>MIN($F83)</f>
        <v>0</v>
      </c>
      <c r="X83" s="1">
        <f>MIN($G83)</f>
        <v>0</v>
      </c>
      <c r="Y83" s="1"/>
      <c r="Z83" s="1"/>
      <c r="AA83" s="1">
        <f>MIN($J83)</f>
        <v>0</v>
      </c>
      <c r="AB83" s="1"/>
      <c r="AC83" s="1"/>
      <c r="AD83" s="1"/>
      <c r="AE83" s="1">
        <f>MIN($P83)</f>
        <v>0</v>
      </c>
      <c r="AF83" s="1">
        <f>MIN($Q83)</f>
        <v>0</v>
      </c>
      <c r="AG83" s="1"/>
      <c r="AH83" s="1"/>
      <c r="AI83" s="1"/>
      <c r="AJ83" s="1"/>
      <c r="AK83" s="1">
        <f>MEDIAN($E83)</f>
        <v>0</v>
      </c>
      <c r="AL83" s="1">
        <f>MEDIAN($F83)</f>
        <v>0</v>
      </c>
      <c r="AM83" s="1">
        <f>MEDIAN($G83)</f>
        <v>0</v>
      </c>
      <c r="AN83" s="1"/>
      <c r="AO83" s="1"/>
      <c r="AP83" s="1">
        <f>MEDIAN($J83)</f>
        <v>0</v>
      </c>
      <c r="AQ83" s="1"/>
      <c r="AR83" s="1"/>
      <c r="AS83" s="1"/>
      <c r="AT83" s="1">
        <f>MEDIAN($P83)</f>
        <v>0</v>
      </c>
      <c r="AU83" s="1">
        <f>MEDIAN($Q83)</f>
        <v>0</v>
      </c>
      <c r="AV83" s="1"/>
      <c r="AW83" s="1"/>
      <c r="AX83" s="1"/>
      <c r="AY83" s="1"/>
      <c r="AZ83" s="1">
        <f>MAX($E83)</f>
        <v>0</v>
      </c>
      <c r="BA83" s="1">
        <f>MAX($F83)</f>
        <v>0</v>
      </c>
      <c r="BB83" s="1">
        <f>MAX($G83)</f>
        <v>0</v>
      </c>
      <c r="BC83" s="1"/>
      <c r="BD83" s="1"/>
      <c r="BE83" s="1">
        <f>MAX($J83)</f>
        <v>0</v>
      </c>
      <c r="BF83" s="1"/>
      <c r="BG83" s="1"/>
      <c r="BH83" s="1"/>
      <c r="BI83" s="1">
        <f>MAX($P83)</f>
        <v>0</v>
      </c>
      <c r="BJ83" s="1">
        <f>MAX($Q83)</f>
        <v>0</v>
      </c>
      <c r="BK83" s="1"/>
    </row>
    <row r="84" spans="1:63">
      <c r="A84" s="1" t="s">
        <v>81</v>
      </c>
      <c r="B84" s="1"/>
      <c r="C84" s="1"/>
      <c r="D84" s="1"/>
      <c r="E84" s="1" cm="1">
        <f t="array" ref="E84">_xlfn.SWITCH($A$2,"average", AVERAGE(Instances!E84:Instances!E84),"median", MEDIAN(Instances!E84:Instances!E84),"min", MIN(Instances!E84:Instances!E84),"max", MAX(Instances!E84:Instances!E84),"diff", MAX(Instances!E84:Instances!E84)-MIN(Instances!E84:Instances!E84))</f>
        <v>0</v>
      </c>
      <c r="F84" s="1" cm="1">
        <f t="array" ref="F84">_xlfn.SWITCH($A$2,"average", AVERAGE(Instances!F84:Instances!F84),"median", MEDIAN(Instances!F84:Instances!F84),"min", MIN(Instances!F84:Instances!F84),"max", MAX(Instances!F84:Instances!F84),"diff", MAX(Instances!F84:Instances!F84)-MIN(Instances!F84:Instances!F84))</f>
        <v>0</v>
      </c>
      <c r="G84" s="1" cm="1">
        <f t="array" ref="G84">_xlfn.SWITCH($A$2,"average", AVERAGE(Instances!G84:Instances!G84),"median", MEDIAN(Instances!G84:Instances!G84),"min", MIN(Instances!G84:Instances!G84),"max", MAX(Instances!G84:Instances!G84),"diff", MAX(Instances!G84:Instances!G84)-MIN(Instances!G84:Instances!G84))</f>
        <v>0</v>
      </c>
      <c r="H84" s="1"/>
      <c r="I84" s="1"/>
      <c r="J84" s="1" cm="1">
        <f t="array" ref="J84">_xlfn.SWITCH($A$2,"average", AVERAGE(Instances!J84:Instances!J84),"median", MEDIAN(Instances!J84:Instances!J84),"min", MIN(Instances!J84:Instances!J84),"max", MAX(Instances!J84:Instances!J84),"diff", MAX(Instances!J84:Instances!J84)-MIN(Instances!J84:Instances!J84))</f>
        <v>0</v>
      </c>
      <c r="K84" s="1"/>
      <c r="L84" s="1"/>
      <c r="M84" s="1"/>
      <c r="N84" s="1"/>
      <c r="O84" s="1"/>
      <c r="P84" s="1" cm="1">
        <f t="array" ref="P84">_xlfn.SWITCH($A$2,"average", AVERAGE(Instances!P84:Instances!P84),"median", MEDIAN(Instances!P84:Instances!P84),"min", MIN(Instances!P84:Instances!P84),"max", MAX(Instances!P84:Instances!P84),"diff", MAX(Instances!P84:Instances!P84)-MIN(Instances!P84:Instances!P84))</f>
        <v>0</v>
      </c>
      <c r="Q84" s="1" cm="1">
        <f t="array" ref="Q84">_xlfn.SWITCH($A$2,"average", AVERAGE(Instances!Q84:Instances!Q84),"median", MEDIAN(Instances!Q84:Instances!Q84),"min", MIN(Instances!Q84:Instances!Q84),"max", MAX(Instances!Q84:Instances!Q84),"diff", MAX(Instances!Q84:Instances!Q84)-MIN(Instances!Q84:Instances!Q84))</f>
        <v>0</v>
      </c>
      <c r="R84" s="1"/>
      <c r="S84" s="1"/>
      <c r="T84" s="1"/>
      <c r="U84" s="1"/>
      <c r="V84" s="1">
        <f>MIN($E84)</f>
        <v>0</v>
      </c>
      <c r="W84" s="1">
        <f>MIN($F84)</f>
        <v>0</v>
      </c>
      <c r="X84" s="1">
        <f>MIN($G84)</f>
        <v>0</v>
      </c>
      <c r="Y84" s="1"/>
      <c r="Z84" s="1"/>
      <c r="AA84" s="1">
        <f>MIN($J84)</f>
        <v>0</v>
      </c>
      <c r="AB84" s="1"/>
      <c r="AC84" s="1"/>
      <c r="AD84" s="1"/>
      <c r="AE84" s="1">
        <f>MIN($P84)</f>
        <v>0</v>
      </c>
      <c r="AF84" s="1">
        <f>MIN($Q84)</f>
        <v>0</v>
      </c>
      <c r="AG84" s="1"/>
      <c r="AH84" s="1"/>
      <c r="AI84" s="1"/>
      <c r="AJ84" s="1"/>
      <c r="AK84" s="1">
        <f>MEDIAN($E84)</f>
        <v>0</v>
      </c>
      <c r="AL84" s="1">
        <f>MEDIAN($F84)</f>
        <v>0</v>
      </c>
      <c r="AM84" s="1">
        <f>MEDIAN($G84)</f>
        <v>0</v>
      </c>
      <c r="AN84" s="1"/>
      <c r="AO84" s="1"/>
      <c r="AP84" s="1">
        <f>MEDIAN($J84)</f>
        <v>0</v>
      </c>
      <c r="AQ84" s="1"/>
      <c r="AR84" s="1"/>
      <c r="AS84" s="1"/>
      <c r="AT84" s="1">
        <f>MEDIAN($P84)</f>
        <v>0</v>
      </c>
      <c r="AU84" s="1">
        <f>MEDIAN($Q84)</f>
        <v>0</v>
      </c>
      <c r="AV84" s="1"/>
      <c r="AW84" s="1"/>
      <c r="AX84" s="1"/>
      <c r="AY84" s="1"/>
      <c r="AZ84" s="1">
        <f>MAX($E84)</f>
        <v>0</v>
      </c>
      <c r="BA84" s="1">
        <f>MAX($F84)</f>
        <v>0</v>
      </c>
      <c r="BB84" s="1">
        <f>MAX($G84)</f>
        <v>0</v>
      </c>
      <c r="BC84" s="1"/>
      <c r="BD84" s="1"/>
      <c r="BE84" s="1">
        <f>MAX($J84)</f>
        <v>0</v>
      </c>
      <c r="BF84" s="1"/>
      <c r="BG84" s="1"/>
      <c r="BH84" s="1"/>
      <c r="BI84" s="1">
        <f>MAX($P84)</f>
        <v>0</v>
      </c>
      <c r="BJ84" s="1">
        <f>MAX($Q84)</f>
        <v>0</v>
      </c>
      <c r="BK84" s="1"/>
    </row>
    <row r="85" spans="1:63">
      <c r="A85" s="1" t="s">
        <v>82</v>
      </c>
      <c r="B85" s="1"/>
      <c r="C85" s="1"/>
      <c r="D85" s="1"/>
      <c r="E85" s="1" cm="1">
        <f t="array" ref="E85">_xlfn.SWITCH($A$2,"average", AVERAGE(Instances!E85:Instances!E85),"median", MEDIAN(Instances!E85:Instances!E85),"min", MIN(Instances!E85:Instances!E85),"max", MAX(Instances!E85:Instances!E85),"diff", MAX(Instances!E85:Instances!E85)-MIN(Instances!E85:Instances!E85))</f>
        <v>0</v>
      </c>
      <c r="F85" s="1" cm="1">
        <f t="array" ref="F85">_xlfn.SWITCH($A$2,"average", AVERAGE(Instances!F85:Instances!F85),"median", MEDIAN(Instances!F85:Instances!F85),"min", MIN(Instances!F85:Instances!F85),"max", MAX(Instances!F85:Instances!F85),"diff", MAX(Instances!F85:Instances!F85)-MIN(Instances!F85:Instances!F85))</f>
        <v>0</v>
      </c>
      <c r="G85" s="1" cm="1">
        <f t="array" ref="G85">_xlfn.SWITCH($A$2,"average", AVERAGE(Instances!G85:Instances!G85),"median", MEDIAN(Instances!G85:Instances!G85),"min", MIN(Instances!G85:Instances!G85),"max", MAX(Instances!G85:Instances!G85),"diff", MAX(Instances!G85:Instances!G85)-MIN(Instances!G85:Instances!G85))</f>
        <v>0</v>
      </c>
      <c r="H85" s="1"/>
      <c r="I85" s="1"/>
      <c r="J85" s="1" cm="1">
        <f t="array" ref="J85">_xlfn.SWITCH($A$2,"average", AVERAGE(Instances!J85:Instances!J85),"median", MEDIAN(Instances!J85:Instances!J85),"min", MIN(Instances!J85:Instances!J85),"max", MAX(Instances!J85:Instances!J85),"diff", MAX(Instances!J85:Instances!J85)-MIN(Instances!J85:Instances!J85))</f>
        <v>0</v>
      </c>
      <c r="K85" s="1"/>
      <c r="L85" s="1"/>
      <c r="M85" s="1"/>
      <c r="N85" s="1"/>
      <c r="O85" s="1"/>
      <c r="P85" s="1" cm="1">
        <f t="array" ref="P85">_xlfn.SWITCH($A$2,"average", AVERAGE(Instances!P85:Instances!P85),"median", MEDIAN(Instances!P85:Instances!P85),"min", MIN(Instances!P85:Instances!P85),"max", MAX(Instances!P85:Instances!P85),"diff", MAX(Instances!P85:Instances!P85)-MIN(Instances!P85:Instances!P85))</f>
        <v>0</v>
      </c>
      <c r="Q85" s="1" cm="1">
        <f t="array" ref="Q85">_xlfn.SWITCH($A$2,"average", AVERAGE(Instances!Q85:Instances!Q85),"median", MEDIAN(Instances!Q85:Instances!Q85),"min", MIN(Instances!Q85:Instances!Q85),"max", MAX(Instances!Q85:Instances!Q85),"diff", MAX(Instances!Q85:Instances!Q85)-MIN(Instances!Q85:Instances!Q85))</f>
        <v>0</v>
      </c>
      <c r="R85" s="1"/>
      <c r="S85" s="1"/>
      <c r="T85" s="1"/>
      <c r="U85" s="1"/>
      <c r="V85" s="1">
        <f>MIN($E85)</f>
        <v>0</v>
      </c>
      <c r="W85" s="1">
        <f>MIN($F85)</f>
        <v>0</v>
      </c>
      <c r="X85" s="1">
        <f>MIN($G85)</f>
        <v>0</v>
      </c>
      <c r="Y85" s="1"/>
      <c r="Z85" s="1"/>
      <c r="AA85" s="1">
        <f>MIN($J85)</f>
        <v>0</v>
      </c>
      <c r="AB85" s="1"/>
      <c r="AC85" s="1"/>
      <c r="AD85" s="1"/>
      <c r="AE85" s="1">
        <f>MIN($P85)</f>
        <v>0</v>
      </c>
      <c r="AF85" s="1">
        <f>MIN($Q85)</f>
        <v>0</v>
      </c>
      <c r="AG85" s="1"/>
      <c r="AH85" s="1"/>
      <c r="AI85" s="1"/>
      <c r="AJ85" s="1"/>
      <c r="AK85" s="1">
        <f>MEDIAN($E85)</f>
        <v>0</v>
      </c>
      <c r="AL85" s="1">
        <f>MEDIAN($F85)</f>
        <v>0</v>
      </c>
      <c r="AM85" s="1">
        <f>MEDIAN($G85)</f>
        <v>0</v>
      </c>
      <c r="AN85" s="1"/>
      <c r="AO85" s="1"/>
      <c r="AP85" s="1">
        <f>MEDIAN($J85)</f>
        <v>0</v>
      </c>
      <c r="AQ85" s="1"/>
      <c r="AR85" s="1"/>
      <c r="AS85" s="1"/>
      <c r="AT85" s="1">
        <f>MEDIAN($P85)</f>
        <v>0</v>
      </c>
      <c r="AU85" s="1">
        <f>MEDIAN($Q85)</f>
        <v>0</v>
      </c>
      <c r="AV85" s="1"/>
      <c r="AW85" s="1"/>
      <c r="AX85" s="1"/>
      <c r="AY85" s="1"/>
      <c r="AZ85" s="1">
        <f>MAX($E85)</f>
        <v>0</v>
      </c>
      <c r="BA85" s="1">
        <f>MAX($F85)</f>
        <v>0</v>
      </c>
      <c r="BB85" s="1">
        <f>MAX($G85)</f>
        <v>0</v>
      </c>
      <c r="BC85" s="1"/>
      <c r="BD85" s="1"/>
      <c r="BE85" s="1">
        <f>MAX($J85)</f>
        <v>0</v>
      </c>
      <c r="BF85" s="1"/>
      <c r="BG85" s="1"/>
      <c r="BH85" s="1"/>
      <c r="BI85" s="1">
        <f>MAX($P85)</f>
        <v>0</v>
      </c>
      <c r="BJ85" s="1">
        <f>MAX($Q85)</f>
        <v>0</v>
      </c>
      <c r="BK85" s="1"/>
    </row>
    <row r="86" spans="1:63">
      <c r="A86" s="1" t="s">
        <v>83</v>
      </c>
      <c r="B86" s="1"/>
      <c r="C86" s="1"/>
      <c r="D86" s="1"/>
      <c r="E86" s="1" cm="1">
        <f t="array" ref="E86">_xlfn.SWITCH($A$2,"average", AVERAGE(Instances!E86:Instances!E86),"median", MEDIAN(Instances!E86:Instances!E86),"min", MIN(Instances!E86:Instances!E86),"max", MAX(Instances!E86:Instances!E86),"diff", MAX(Instances!E86:Instances!E86)-MIN(Instances!E86:Instances!E86))</f>
        <v>0</v>
      </c>
      <c r="F86" s="1" cm="1">
        <f t="array" ref="F86">_xlfn.SWITCH($A$2,"average", AVERAGE(Instances!F86:Instances!F86),"median", MEDIAN(Instances!F86:Instances!F86),"min", MIN(Instances!F86:Instances!F86),"max", MAX(Instances!F86:Instances!F86),"diff", MAX(Instances!F86:Instances!F86)-MIN(Instances!F86:Instances!F86))</f>
        <v>0</v>
      </c>
      <c r="G86" s="1" cm="1">
        <f t="array" ref="G86">_xlfn.SWITCH($A$2,"average", AVERAGE(Instances!G86:Instances!G86),"median", MEDIAN(Instances!G86:Instances!G86),"min", MIN(Instances!G86:Instances!G86),"max", MAX(Instances!G86:Instances!G86),"diff", MAX(Instances!G86:Instances!G86)-MIN(Instances!G86:Instances!G86))</f>
        <v>0</v>
      </c>
      <c r="H86" s="1"/>
      <c r="I86" s="1"/>
      <c r="J86" s="1" cm="1">
        <f t="array" ref="J86">_xlfn.SWITCH($A$2,"average", AVERAGE(Instances!J86:Instances!J86),"median", MEDIAN(Instances!J86:Instances!J86),"min", MIN(Instances!J86:Instances!J86),"max", MAX(Instances!J86:Instances!J86),"diff", MAX(Instances!J86:Instances!J86)-MIN(Instances!J86:Instances!J86))</f>
        <v>0</v>
      </c>
      <c r="K86" s="1"/>
      <c r="L86" s="1"/>
      <c r="M86" s="1"/>
      <c r="N86" s="1"/>
      <c r="O86" s="1"/>
      <c r="P86" s="1" cm="1">
        <f t="array" ref="P86">_xlfn.SWITCH($A$2,"average", AVERAGE(Instances!P86:Instances!P86),"median", MEDIAN(Instances!P86:Instances!P86),"min", MIN(Instances!P86:Instances!P86),"max", MAX(Instances!P86:Instances!P86),"diff", MAX(Instances!P86:Instances!P86)-MIN(Instances!P86:Instances!P86))</f>
        <v>0</v>
      </c>
      <c r="Q86" s="1" cm="1">
        <f t="array" ref="Q86">_xlfn.SWITCH($A$2,"average", AVERAGE(Instances!Q86:Instances!Q86),"median", MEDIAN(Instances!Q86:Instances!Q86),"min", MIN(Instances!Q86:Instances!Q86),"max", MAX(Instances!Q86:Instances!Q86),"diff", MAX(Instances!Q86:Instances!Q86)-MIN(Instances!Q86:Instances!Q86))</f>
        <v>0</v>
      </c>
      <c r="R86" s="1"/>
      <c r="S86" s="1"/>
      <c r="T86" s="1"/>
      <c r="U86" s="1"/>
      <c r="V86" s="1">
        <f>MIN($E86)</f>
        <v>0</v>
      </c>
      <c r="W86" s="1">
        <f>MIN($F86)</f>
        <v>0</v>
      </c>
      <c r="X86" s="1">
        <f>MIN($G86)</f>
        <v>0</v>
      </c>
      <c r="Y86" s="1"/>
      <c r="Z86" s="1"/>
      <c r="AA86" s="1">
        <f>MIN($J86)</f>
        <v>0</v>
      </c>
      <c r="AB86" s="1"/>
      <c r="AC86" s="1"/>
      <c r="AD86" s="1"/>
      <c r="AE86" s="1">
        <f>MIN($P86)</f>
        <v>0</v>
      </c>
      <c r="AF86" s="1">
        <f>MIN($Q86)</f>
        <v>0</v>
      </c>
      <c r="AG86" s="1"/>
      <c r="AH86" s="1"/>
      <c r="AI86" s="1"/>
      <c r="AJ86" s="1"/>
      <c r="AK86" s="1">
        <f>MEDIAN($E86)</f>
        <v>0</v>
      </c>
      <c r="AL86" s="1">
        <f>MEDIAN($F86)</f>
        <v>0</v>
      </c>
      <c r="AM86" s="1">
        <f>MEDIAN($G86)</f>
        <v>0</v>
      </c>
      <c r="AN86" s="1"/>
      <c r="AO86" s="1"/>
      <c r="AP86" s="1">
        <f>MEDIAN($J86)</f>
        <v>0</v>
      </c>
      <c r="AQ86" s="1"/>
      <c r="AR86" s="1"/>
      <c r="AS86" s="1"/>
      <c r="AT86" s="1">
        <f>MEDIAN($P86)</f>
        <v>0</v>
      </c>
      <c r="AU86" s="1">
        <f>MEDIAN($Q86)</f>
        <v>0</v>
      </c>
      <c r="AV86" s="1"/>
      <c r="AW86" s="1"/>
      <c r="AX86" s="1"/>
      <c r="AY86" s="1"/>
      <c r="AZ86" s="1">
        <f>MAX($E86)</f>
        <v>0</v>
      </c>
      <c r="BA86" s="1">
        <f>MAX($F86)</f>
        <v>0</v>
      </c>
      <c r="BB86" s="1">
        <f>MAX($G86)</f>
        <v>0</v>
      </c>
      <c r="BC86" s="1"/>
      <c r="BD86" s="1"/>
      <c r="BE86" s="1">
        <f>MAX($J86)</f>
        <v>0</v>
      </c>
      <c r="BF86" s="1"/>
      <c r="BG86" s="1"/>
      <c r="BH86" s="1"/>
      <c r="BI86" s="1">
        <f>MAX($P86)</f>
        <v>0</v>
      </c>
      <c r="BJ86" s="1">
        <f>MAX($Q86)</f>
        <v>0</v>
      </c>
      <c r="BK86" s="1"/>
    </row>
    <row r="87" spans="1:63">
      <c r="A87" s="1" t="s">
        <v>84</v>
      </c>
      <c r="B87" s="1"/>
      <c r="C87" s="1"/>
      <c r="D87" s="1"/>
      <c r="E87" s="1" cm="1">
        <f t="array" ref="E87">_xlfn.SWITCH($A$2,"average", AVERAGE(Instances!E87:Instances!E87),"median", MEDIAN(Instances!E87:Instances!E87),"min", MIN(Instances!E87:Instances!E87),"max", MAX(Instances!E87:Instances!E87),"diff", MAX(Instances!E87:Instances!E87)-MIN(Instances!E87:Instances!E87))</f>
        <v>0</v>
      </c>
      <c r="F87" s="1" cm="1">
        <f t="array" ref="F87">_xlfn.SWITCH($A$2,"average", AVERAGE(Instances!F87:Instances!F87),"median", MEDIAN(Instances!F87:Instances!F87),"min", MIN(Instances!F87:Instances!F87),"max", MAX(Instances!F87:Instances!F87),"diff", MAX(Instances!F87:Instances!F87)-MIN(Instances!F87:Instances!F87))</f>
        <v>0</v>
      </c>
      <c r="G87" s="1" cm="1">
        <f t="array" ref="G87">_xlfn.SWITCH($A$2,"average", AVERAGE(Instances!G87:Instances!G87),"median", MEDIAN(Instances!G87:Instances!G87),"min", MIN(Instances!G87:Instances!G87),"max", MAX(Instances!G87:Instances!G87),"diff", MAX(Instances!G87:Instances!G87)-MIN(Instances!G87:Instances!G87))</f>
        <v>0</v>
      </c>
      <c r="H87" s="1"/>
      <c r="I87" s="1"/>
      <c r="J87" s="1" cm="1">
        <f t="array" ref="J87">_xlfn.SWITCH($A$2,"average", AVERAGE(Instances!J87:Instances!J87),"median", MEDIAN(Instances!J87:Instances!J87),"min", MIN(Instances!J87:Instances!J87),"max", MAX(Instances!J87:Instances!J87),"diff", MAX(Instances!J87:Instances!J87)-MIN(Instances!J87:Instances!J87))</f>
        <v>0</v>
      </c>
      <c r="K87" s="1"/>
      <c r="L87" s="1"/>
      <c r="M87" s="1"/>
      <c r="N87" s="1"/>
      <c r="O87" s="1"/>
      <c r="P87" s="1" cm="1">
        <f t="array" ref="P87">_xlfn.SWITCH($A$2,"average", AVERAGE(Instances!P87:Instances!P87),"median", MEDIAN(Instances!P87:Instances!P87),"min", MIN(Instances!P87:Instances!P87),"max", MAX(Instances!P87:Instances!P87),"diff", MAX(Instances!P87:Instances!P87)-MIN(Instances!P87:Instances!P87))</f>
        <v>0</v>
      </c>
      <c r="Q87" s="1" cm="1">
        <f t="array" ref="Q87">_xlfn.SWITCH($A$2,"average", AVERAGE(Instances!Q87:Instances!Q87),"median", MEDIAN(Instances!Q87:Instances!Q87),"min", MIN(Instances!Q87:Instances!Q87),"max", MAX(Instances!Q87:Instances!Q87),"diff", MAX(Instances!Q87:Instances!Q87)-MIN(Instances!Q87:Instances!Q87))</f>
        <v>0</v>
      </c>
      <c r="R87" s="1"/>
      <c r="S87" s="1"/>
      <c r="T87" s="1"/>
      <c r="U87" s="1"/>
      <c r="V87" s="1">
        <f>MIN($E87)</f>
        <v>0</v>
      </c>
      <c r="W87" s="1">
        <f>MIN($F87)</f>
        <v>0</v>
      </c>
      <c r="X87" s="1">
        <f>MIN($G87)</f>
        <v>0</v>
      </c>
      <c r="Y87" s="1"/>
      <c r="Z87" s="1"/>
      <c r="AA87" s="1">
        <f>MIN($J87)</f>
        <v>0</v>
      </c>
      <c r="AB87" s="1"/>
      <c r="AC87" s="1"/>
      <c r="AD87" s="1"/>
      <c r="AE87" s="1">
        <f>MIN($P87)</f>
        <v>0</v>
      </c>
      <c r="AF87" s="1">
        <f>MIN($Q87)</f>
        <v>0</v>
      </c>
      <c r="AG87" s="1"/>
      <c r="AH87" s="1"/>
      <c r="AI87" s="1"/>
      <c r="AJ87" s="1"/>
      <c r="AK87" s="1">
        <f>MEDIAN($E87)</f>
        <v>0</v>
      </c>
      <c r="AL87" s="1">
        <f>MEDIAN($F87)</f>
        <v>0</v>
      </c>
      <c r="AM87" s="1">
        <f>MEDIAN($G87)</f>
        <v>0</v>
      </c>
      <c r="AN87" s="1"/>
      <c r="AO87" s="1"/>
      <c r="AP87" s="1">
        <f>MEDIAN($J87)</f>
        <v>0</v>
      </c>
      <c r="AQ87" s="1"/>
      <c r="AR87" s="1"/>
      <c r="AS87" s="1"/>
      <c r="AT87" s="1">
        <f>MEDIAN($P87)</f>
        <v>0</v>
      </c>
      <c r="AU87" s="1">
        <f>MEDIAN($Q87)</f>
        <v>0</v>
      </c>
      <c r="AV87" s="1"/>
      <c r="AW87" s="1"/>
      <c r="AX87" s="1"/>
      <c r="AY87" s="1"/>
      <c r="AZ87" s="1">
        <f>MAX($E87)</f>
        <v>0</v>
      </c>
      <c r="BA87" s="1">
        <f>MAX($F87)</f>
        <v>0</v>
      </c>
      <c r="BB87" s="1">
        <f>MAX($G87)</f>
        <v>0</v>
      </c>
      <c r="BC87" s="1"/>
      <c r="BD87" s="1"/>
      <c r="BE87" s="1">
        <f>MAX($J87)</f>
        <v>0</v>
      </c>
      <c r="BF87" s="1"/>
      <c r="BG87" s="1"/>
      <c r="BH87" s="1"/>
      <c r="BI87" s="1">
        <f>MAX($P87)</f>
        <v>0</v>
      </c>
      <c r="BJ87" s="1">
        <f>MAX($Q87)</f>
        <v>0</v>
      </c>
      <c r="BK87" s="1"/>
    </row>
    <row r="88" spans="1:63">
      <c r="A88" s="1" t="s">
        <v>85</v>
      </c>
      <c r="B88" s="1"/>
      <c r="C88" s="1"/>
      <c r="D88" s="1"/>
      <c r="E88" s="1" cm="1">
        <f t="array" ref="E88">_xlfn.SWITCH($A$2,"average", AVERAGE(Instances!E88:Instances!E88),"median", MEDIAN(Instances!E88:Instances!E88),"min", MIN(Instances!E88:Instances!E88),"max", MAX(Instances!E88:Instances!E88),"diff", MAX(Instances!E88:Instances!E88)-MIN(Instances!E88:Instances!E88))</f>
        <v>0</v>
      </c>
      <c r="F88" s="1" cm="1">
        <f t="array" ref="F88">_xlfn.SWITCH($A$2,"average", AVERAGE(Instances!F88:Instances!F88),"median", MEDIAN(Instances!F88:Instances!F88),"min", MIN(Instances!F88:Instances!F88),"max", MAX(Instances!F88:Instances!F88),"diff", MAX(Instances!F88:Instances!F88)-MIN(Instances!F88:Instances!F88))</f>
        <v>0</v>
      </c>
      <c r="G88" s="1" cm="1">
        <f t="array" ref="G88">_xlfn.SWITCH($A$2,"average", AVERAGE(Instances!G88:Instances!G88),"median", MEDIAN(Instances!G88:Instances!G88),"min", MIN(Instances!G88:Instances!G88),"max", MAX(Instances!G88:Instances!G88),"diff", MAX(Instances!G88:Instances!G88)-MIN(Instances!G88:Instances!G88))</f>
        <v>0</v>
      </c>
      <c r="H88" s="1"/>
      <c r="I88" s="1"/>
      <c r="J88" s="1" cm="1">
        <f t="array" ref="J88">_xlfn.SWITCH($A$2,"average", AVERAGE(Instances!J88:Instances!J88),"median", MEDIAN(Instances!J88:Instances!J88),"min", MIN(Instances!J88:Instances!J88),"max", MAX(Instances!J88:Instances!J88),"diff", MAX(Instances!J88:Instances!J88)-MIN(Instances!J88:Instances!J88))</f>
        <v>0</v>
      </c>
      <c r="K88" s="1"/>
      <c r="L88" s="1"/>
      <c r="M88" s="1"/>
      <c r="N88" s="1"/>
      <c r="O88" s="1"/>
      <c r="P88" s="1" cm="1">
        <f t="array" ref="P88">_xlfn.SWITCH($A$2,"average", AVERAGE(Instances!P88:Instances!P88),"median", MEDIAN(Instances!P88:Instances!P88),"min", MIN(Instances!P88:Instances!P88),"max", MAX(Instances!P88:Instances!P88),"diff", MAX(Instances!P88:Instances!P88)-MIN(Instances!P88:Instances!P88))</f>
        <v>0</v>
      </c>
      <c r="Q88" s="1" cm="1">
        <f t="array" ref="Q88">_xlfn.SWITCH($A$2,"average", AVERAGE(Instances!Q88:Instances!Q88),"median", MEDIAN(Instances!Q88:Instances!Q88),"min", MIN(Instances!Q88:Instances!Q88),"max", MAX(Instances!Q88:Instances!Q88),"diff", MAX(Instances!Q88:Instances!Q88)-MIN(Instances!Q88:Instances!Q88))</f>
        <v>0</v>
      </c>
      <c r="R88" s="1"/>
      <c r="S88" s="1"/>
      <c r="T88" s="1"/>
      <c r="U88" s="1"/>
      <c r="V88" s="1">
        <f>MIN($E88)</f>
        <v>0</v>
      </c>
      <c r="W88" s="1">
        <f>MIN($F88)</f>
        <v>0</v>
      </c>
      <c r="X88" s="1">
        <f>MIN($G88)</f>
        <v>0</v>
      </c>
      <c r="Y88" s="1"/>
      <c r="Z88" s="1"/>
      <c r="AA88" s="1">
        <f>MIN($J88)</f>
        <v>0</v>
      </c>
      <c r="AB88" s="1"/>
      <c r="AC88" s="1"/>
      <c r="AD88" s="1"/>
      <c r="AE88" s="1">
        <f>MIN($P88)</f>
        <v>0</v>
      </c>
      <c r="AF88" s="1">
        <f>MIN($Q88)</f>
        <v>0</v>
      </c>
      <c r="AG88" s="1"/>
      <c r="AH88" s="1"/>
      <c r="AI88" s="1"/>
      <c r="AJ88" s="1"/>
      <c r="AK88" s="1">
        <f>MEDIAN($E88)</f>
        <v>0</v>
      </c>
      <c r="AL88" s="1">
        <f>MEDIAN($F88)</f>
        <v>0</v>
      </c>
      <c r="AM88" s="1">
        <f>MEDIAN($G88)</f>
        <v>0</v>
      </c>
      <c r="AN88" s="1"/>
      <c r="AO88" s="1"/>
      <c r="AP88" s="1">
        <f>MEDIAN($J88)</f>
        <v>0</v>
      </c>
      <c r="AQ88" s="1"/>
      <c r="AR88" s="1"/>
      <c r="AS88" s="1"/>
      <c r="AT88" s="1">
        <f>MEDIAN($P88)</f>
        <v>0</v>
      </c>
      <c r="AU88" s="1">
        <f>MEDIAN($Q88)</f>
        <v>0</v>
      </c>
      <c r="AV88" s="1"/>
      <c r="AW88" s="1"/>
      <c r="AX88" s="1"/>
      <c r="AY88" s="1"/>
      <c r="AZ88" s="1">
        <f>MAX($E88)</f>
        <v>0</v>
      </c>
      <c r="BA88" s="1">
        <f>MAX($F88)</f>
        <v>0</v>
      </c>
      <c r="BB88" s="1">
        <f>MAX($G88)</f>
        <v>0</v>
      </c>
      <c r="BC88" s="1"/>
      <c r="BD88" s="1"/>
      <c r="BE88" s="1">
        <f>MAX($J88)</f>
        <v>0</v>
      </c>
      <c r="BF88" s="1"/>
      <c r="BG88" s="1"/>
      <c r="BH88" s="1"/>
      <c r="BI88" s="1">
        <f>MAX($P88)</f>
        <v>0</v>
      </c>
      <c r="BJ88" s="1">
        <f>MAX($Q88)</f>
        <v>0</v>
      </c>
      <c r="BK88" s="1"/>
    </row>
    <row r="89" spans="1:63">
      <c r="A89" s="1" t="s">
        <v>86</v>
      </c>
      <c r="B89" s="1"/>
      <c r="C89" s="1"/>
      <c r="D89" s="1"/>
      <c r="E89" s="1" cm="1">
        <f t="array" ref="E89">_xlfn.SWITCH($A$2,"average", AVERAGE(Instances!E89:Instances!E89),"median", MEDIAN(Instances!E89:Instances!E89),"min", MIN(Instances!E89:Instances!E89),"max", MAX(Instances!E89:Instances!E89),"diff", MAX(Instances!E89:Instances!E89)-MIN(Instances!E89:Instances!E89))</f>
        <v>0</v>
      </c>
      <c r="F89" s="1"/>
      <c r="G89" s="1" cm="1">
        <f t="array" ref="G89">_xlfn.SWITCH($A$2,"average", AVERAGE(Instances!G89:Instances!G89),"median", MEDIAN(Instances!G89:Instances!G89),"min", MIN(Instances!G89:Instances!G89),"max", MAX(Instances!G89:Instances!G89),"diff", MAX(Instances!G89:Instances!G89)-MIN(Instances!G89:Instances!G89))</f>
        <v>0</v>
      </c>
      <c r="H89" s="1"/>
      <c r="I89" s="1"/>
      <c r="J89" s="1" cm="1">
        <f t="array" ref="J89">_xlfn.SWITCH($A$2,"average", AVERAGE(Instances!J89:Instances!J89),"median", MEDIAN(Instances!J89:Instances!J89),"min", MIN(Instances!J89:Instances!J89),"max", MAX(Instances!J89:Instances!J89),"diff", MAX(Instances!J89:Instances!J89)-MIN(Instances!J89:Instances!J89))</f>
        <v>0</v>
      </c>
      <c r="K89" s="1"/>
      <c r="L89" s="1"/>
      <c r="M89" s="1"/>
      <c r="N89" s="1"/>
      <c r="O89" s="1"/>
      <c r="P89" s="1" cm="1">
        <f t="array" ref="P89">_xlfn.SWITCH($A$2,"average", AVERAGE(Instances!P89:Instances!P89),"median", MEDIAN(Instances!P89:Instances!P89),"min", MIN(Instances!P89:Instances!P89),"max", MAX(Instances!P89:Instances!P89),"diff", MAX(Instances!P89:Instances!P89)-MIN(Instances!P89:Instances!P89))</f>
        <v>0</v>
      </c>
      <c r="Q89" s="1" cm="1">
        <f t="array" ref="Q89">_xlfn.SWITCH($A$2,"average", AVERAGE(Instances!Q89:Instances!Q89),"median", MEDIAN(Instances!Q89:Instances!Q89),"min", MIN(Instances!Q89:Instances!Q89),"max", MAX(Instances!Q89:Instances!Q89),"diff", MAX(Instances!Q89:Instances!Q89)-MIN(Instances!Q89:Instances!Q89))</f>
        <v>0</v>
      </c>
      <c r="R89" s="1"/>
      <c r="S89" s="1"/>
      <c r="T89" s="1"/>
      <c r="U89" s="1"/>
      <c r="V89" s="1">
        <f>MIN($E89)</f>
        <v>0</v>
      </c>
      <c r="W89" s="1"/>
      <c r="X89" s="1">
        <f>MIN($G89)</f>
        <v>0</v>
      </c>
      <c r="Y89" s="1"/>
      <c r="Z89" s="1"/>
      <c r="AA89" s="1">
        <f>MIN($J89)</f>
        <v>0</v>
      </c>
      <c r="AB89" s="1"/>
      <c r="AC89" s="1"/>
      <c r="AD89" s="1"/>
      <c r="AE89" s="1">
        <f>MIN($P89)</f>
        <v>0</v>
      </c>
      <c r="AF89" s="1">
        <f>MIN($Q89)</f>
        <v>0</v>
      </c>
      <c r="AG89" s="1"/>
      <c r="AH89" s="1"/>
      <c r="AI89" s="1"/>
      <c r="AJ89" s="1"/>
      <c r="AK89" s="1">
        <f>MEDIAN($E89)</f>
        <v>0</v>
      </c>
      <c r="AL89" s="1"/>
      <c r="AM89" s="1">
        <f>MEDIAN($G89)</f>
        <v>0</v>
      </c>
      <c r="AN89" s="1"/>
      <c r="AO89" s="1"/>
      <c r="AP89" s="1">
        <f>MEDIAN($J89)</f>
        <v>0</v>
      </c>
      <c r="AQ89" s="1"/>
      <c r="AR89" s="1"/>
      <c r="AS89" s="1"/>
      <c r="AT89" s="1">
        <f>MEDIAN($P89)</f>
        <v>0</v>
      </c>
      <c r="AU89" s="1">
        <f>MEDIAN($Q89)</f>
        <v>0</v>
      </c>
      <c r="AV89" s="1"/>
      <c r="AW89" s="1"/>
      <c r="AX89" s="1"/>
      <c r="AY89" s="1"/>
      <c r="AZ89" s="1">
        <f>MAX($E89)</f>
        <v>0</v>
      </c>
      <c r="BA89" s="1"/>
      <c r="BB89" s="1">
        <f>MAX($G89)</f>
        <v>0</v>
      </c>
      <c r="BC89" s="1"/>
      <c r="BD89" s="1"/>
      <c r="BE89" s="1">
        <f>MAX($J89)</f>
        <v>0</v>
      </c>
      <c r="BF89" s="1"/>
      <c r="BG89" s="1"/>
      <c r="BH89" s="1"/>
      <c r="BI89" s="1">
        <f>MAX($P89)</f>
        <v>0</v>
      </c>
      <c r="BJ89" s="1">
        <f>MAX($Q89)</f>
        <v>0</v>
      </c>
      <c r="BK89" s="1"/>
    </row>
    <row r="90" spans="1:63">
      <c r="A90" s="1" t="s">
        <v>87</v>
      </c>
      <c r="B90" s="1"/>
      <c r="C90" s="1"/>
      <c r="D90" s="1"/>
      <c r="E90" s="1" cm="1">
        <f t="array" ref="E90">_xlfn.SWITCH($A$2,"average", AVERAGE(Instances!E90:Instances!E90),"median", MEDIAN(Instances!E90:Instances!E90),"min", MIN(Instances!E90:Instances!E90),"max", MAX(Instances!E90:Instances!E90),"diff", MAX(Instances!E90:Instances!E90)-MIN(Instances!E90:Instances!E90))</f>
        <v>0</v>
      </c>
      <c r="F90" s="1" cm="1">
        <f t="array" ref="F90">_xlfn.SWITCH($A$2,"average", AVERAGE(Instances!F90:Instances!F90),"median", MEDIAN(Instances!F90:Instances!F90),"min", MIN(Instances!F90:Instances!F90),"max", MAX(Instances!F90:Instances!F90),"diff", MAX(Instances!F90:Instances!F90)-MIN(Instances!F90:Instances!F90))</f>
        <v>0</v>
      </c>
      <c r="G90" s="1" cm="1">
        <f t="array" ref="G90">_xlfn.SWITCH($A$2,"average", AVERAGE(Instances!G90:Instances!G90),"median", MEDIAN(Instances!G90:Instances!G90),"min", MIN(Instances!G90:Instances!G90),"max", MAX(Instances!G90:Instances!G90),"diff", MAX(Instances!G90:Instances!G90)-MIN(Instances!G90:Instances!G90))</f>
        <v>0</v>
      </c>
      <c r="H90" s="1"/>
      <c r="I90" s="1"/>
      <c r="J90" s="1" cm="1">
        <f t="array" ref="J90">_xlfn.SWITCH($A$2,"average", AVERAGE(Instances!J90:Instances!J90),"median", MEDIAN(Instances!J90:Instances!J90),"min", MIN(Instances!J90:Instances!J90),"max", MAX(Instances!J90:Instances!J90),"diff", MAX(Instances!J90:Instances!J90)-MIN(Instances!J90:Instances!J90))</f>
        <v>0</v>
      </c>
      <c r="K90" s="1"/>
      <c r="L90" s="1"/>
      <c r="M90" s="1"/>
      <c r="N90" s="1"/>
      <c r="O90" s="1"/>
      <c r="P90" s="1" cm="1">
        <f t="array" ref="P90">_xlfn.SWITCH($A$2,"average", AVERAGE(Instances!P90:Instances!P90),"median", MEDIAN(Instances!P90:Instances!P90),"min", MIN(Instances!P90:Instances!P90),"max", MAX(Instances!P90:Instances!P90),"diff", MAX(Instances!P90:Instances!P90)-MIN(Instances!P90:Instances!P90))</f>
        <v>0</v>
      </c>
      <c r="Q90" s="1" cm="1">
        <f t="array" ref="Q90">_xlfn.SWITCH($A$2,"average", AVERAGE(Instances!Q90:Instances!Q90),"median", MEDIAN(Instances!Q90:Instances!Q90),"min", MIN(Instances!Q90:Instances!Q90),"max", MAX(Instances!Q90:Instances!Q90),"diff", MAX(Instances!Q90:Instances!Q90)-MIN(Instances!Q90:Instances!Q90))</f>
        <v>0</v>
      </c>
      <c r="R90" s="1"/>
      <c r="S90" s="1"/>
      <c r="T90" s="1"/>
      <c r="U90" s="1"/>
      <c r="V90" s="1">
        <f>MIN($E90)</f>
        <v>0</v>
      </c>
      <c r="W90" s="1">
        <f>MIN($F90)</f>
        <v>0</v>
      </c>
      <c r="X90" s="1">
        <f>MIN($G90)</f>
        <v>0</v>
      </c>
      <c r="Y90" s="1"/>
      <c r="Z90" s="1"/>
      <c r="AA90" s="1">
        <f>MIN($J90)</f>
        <v>0</v>
      </c>
      <c r="AB90" s="1"/>
      <c r="AC90" s="1"/>
      <c r="AD90" s="1"/>
      <c r="AE90" s="1">
        <f>MIN($P90)</f>
        <v>0</v>
      </c>
      <c r="AF90" s="1">
        <f>MIN($Q90)</f>
        <v>0</v>
      </c>
      <c r="AG90" s="1"/>
      <c r="AH90" s="1"/>
      <c r="AI90" s="1"/>
      <c r="AJ90" s="1"/>
      <c r="AK90" s="1">
        <f>MEDIAN($E90)</f>
        <v>0</v>
      </c>
      <c r="AL90" s="1">
        <f>MEDIAN($F90)</f>
        <v>0</v>
      </c>
      <c r="AM90" s="1">
        <f>MEDIAN($G90)</f>
        <v>0</v>
      </c>
      <c r="AN90" s="1"/>
      <c r="AO90" s="1"/>
      <c r="AP90" s="1">
        <f>MEDIAN($J90)</f>
        <v>0</v>
      </c>
      <c r="AQ90" s="1"/>
      <c r="AR90" s="1"/>
      <c r="AS90" s="1"/>
      <c r="AT90" s="1">
        <f>MEDIAN($P90)</f>
        <v>0</v>
      </c>
      <c r="AU90" s="1">
        <f>MEDIAN($Q90)</f>
        <v>0</v>
      </c>
      <c r="AV90" s="1"/>
      <c r="AW90" s="1"/>
      <c r="AX90" s="1"/>
      <c r="AY90" s="1"/>
      <c r="AZ90" s="1">
        <f>MAX($E90)</f>
        <v>0</v>
      </c>
      <c r="BA90" s="1">
        <f>MAX($F90)</f>
        <v>0</v>
      </c>
      <c r="BB90" s="1">
        <f>MAX($G90)</f>
        <v>0</v>
      </c>
      <c r="BC90" s="1"/>
      <c r="BD90" s="1"/>
      <c r="BE90" s="1">
        <f>MAX($J90)</f>
        <v>0</v>
      </c>
      <c r="BF90" s="1"/>
      <c r="BG90" s="1"/>
      <c r="BH90" s="1"/>
      <c r="BI90" s="1">
        <f>MAX($P90)</f>
        <v>0</v>
      </c>
      <c r="BJ90" s="1">
        <f>MAX($Q90)</f>
        <v>0</v>
      </c>
      <c r="BK90" s="1"/>
    </row>
    <row r="91" spans="1:63">
      <c r="A91" s="1" t="s">
        <v>88</v>
      </c>
      <c r="B91" s="1" cm="1">
        <f t="array" ref="B91">_xlfn.SWITCH($A$2,"average", AVERAGE(Instances!B91:Instances!B91),"median", MEDIAN(Instances!B91:Instances!B91),"min", MIN(Instances!B91:Instances!B91),"max", MAX(Instances!B91:Instances!B91),"diff", MAX(Instances!B91:Instances!B91)-MIN(Instances!B91:Instances!B91))</f>
        <v>0</v>
      </c>
      <c r="C91" s="1" cm="1">
        <f t="array" ref="C91">_xlfn.SWITCH($A$2,"average", AVERAGE(Instances!C91:Instances!C91),"median", MEDIAN(Instances!C91:Instances!C91),"min", MIN(Instances!C91:Instances!C91),"max", MAX(Instances!C91:Instances!C91),"diff", MAX(Instances!C91:Instances!C91)-MIN(Instances!C91:Instances!C91))</f>
        <v>0</v>
      </c>
      <c r="D91" s="1" cm="1">
        <f t="array" ref="D91">_xlfn.SWITCH($A$2,"average", AVERAGE(Instances!D91:Instances!D91),"median", MEDIAN(Instances!D91:Instances!D91),"min", MIN(Instances!D91:Instances!D91),"max", MAX(Instances!D91:Instances!D91),"diff", MAX(Instances!D91:Instances!D91)-MIN(Instances!D91:Instances!D91))</f>
        <v>0</v>
      </c>
      <c r="E91" s="1" cm="1">
        <f t="array" ref="E91">_xlfn.SWITCH($A$2,"average", AVERAGE(Instances!E91:Instances!E91),"median", MEDIAN(Instances!E91:Instances!E91),"min", MIN(Instances!E91:Instances!E91),"max", MAX(Instances!E91:Instances!E91),"diff", MAX(Instances!E91:Instances!E91)-MIN(Instances!E91:Instances!E91))</f>
        <v>0</v>
      </c>
      <c r="F91" s="1" cm="1">
        <f t="array" ref="F91">_xlfn.SWITCH($A$2,"average", AVERAGE(Instances!F91:Instances!F91),"median", MEDIAN(Instances!F91:Instances!F91),"min", MIN(Instances!F91:Instances!F91),"max", MAX(Instances!F91:Instances!F91),"diff", MAX(Instances!F91:Instances!F91)-MIN(Instances!F91:Instances!F91))</f>
        <v>0</v>
      </c>
      <c r="G91" s="1" cm="1">
        <f t="array" ref="G91">_xlfn.SWITCH($A$2,"average", AVERAGE(Instances!G91:Instances!G91),"median", MEDIAN(Instances!G91:Instances!G91),"min", MIN(Instances!G91:Instances!G91),"max", MAX(Instances!G91:Instances!G91),"diff", MAX(Instances!G91:Instances!G91)-MIN(Instances!G91:Instances!G91))</f>
        <v>0</v>
      </c>
      <c r="H91" s="1" cm="1">
        <f t="array" ref="H91">_xlfn.SWITCH($A$2,"average", AVERAGE(Instances!H91:Instances!H91),"median", MEDIAN(Instances!H91:Instances!H91),"min", MIN(Instances!H91:Instances!H91),"max", MAX(Instances!H91:Instances!H91),"diff", MAX(Instances!H91:Instances!H91)-MIN(Instances!H91:Instances!H91))</f>
        <v>0</v>
      </c>
      <c r="I91" s="1" cm="1">
        <f t="array" ref="I91">_xlfn.SWITCH($A$2,"average", AVERAGE(Instances!I91:Instances!I91),"median", MEDIAN(Instances!I91:Instances!I91),"min", MIN(Instances!I91:Instances!I91),"max", MAX(Instances!I91:Instances!I91),"diff", MAX(Instances!I91:Instances!I91)-MIN(Instances!I91:Instances!I91))</f>
        <v>0</v>
      </c>
      <c r="J91" s="1" cm="1">
        <f t="array" ref="J91">_xlfn.SWITCH($A$2,"average", AVERAGE(Instances!J91:Instances!J91),"median", MEDIAN(Instances!J91:Instances!J91),"min", MIN(Instances!J91:Instances!J91),"max", MAX(Instances!J91:Instances!J91),"diff", MAX(Instances!J91:Instances!J91)-MIN(Instances!J91:Instances!J91))</f>
        <v>0</v>
      </c>
      <c r="K91" s="1" cm="1">
        <f t="array" ref="K91">_xlfn.SWITCH($A$2,"average", AVERAGE(Instances!K91:Instances!K91),"median", MEDIAN(Instances!K91:Instances!K91),"min", MIN(Instances!K91:Instances!K91),"max", MAX(Instances!K91:Instances!K91),"diff", MAX(Instances!K91:Instances!K91)-MIN(Instances!K91:Instances!K91))</f>
        <v>0</v>
      </c>
      <c r="L91" s="1"/>
      <c r="M91" s="1" cm="1">
        <f t="array" ref="M91">_xlfn.SWITCH($A$2,"average", AVERAGE(Instances!M91:Instances!M91),"median", MEDIAN(Instances!M91:Instances!M91),"min", MIN(Instances!M91:Instances!M91),"max", MAX(Instances!M91:Instances!M91),"diff", MAX(Instances!M91:Instances!M91)-MIN(Instances!M91:Instances!M91))</f>
        <v>0</v>
      </c>
      <c r="N91" s="1" cm="1">
        <f t="array" ref="N91">_xlfn.SWITCH($A$2,"average", AVERAGE(Instances!N91:Instances!N91),"median", MEDIAN(Instances!N91:Instances!N91),"min", MIN(Instances!N91:Instances!N91),"max", MAX(Instances!N91:Instances!N91),"diff", MAX(Instances!N91:Instances!N91)-MIN(Instances!N91:Instances!N91))</f>
        <v>0</v>
      </c>
      <c r="O91" s="1"/>
      <c r="P91" s="1" cm="1">
        <f t="array" ref="P91">_xlfn.SWITCH($A$2,"average", AVERAGE(Instances!P91:Instances!P91),"median", MEDIAN(Instances!P91:Instances!P91),"min", MIN(Instances!P91:Instances!P91),"max", MAX(Instances!P91:Instances!P91),"diff", MAX(Instances!P91:Instances!P91)-MIN(Instances!P91:Instances!P91))</f>
        <v>0</v>
      </c>
      <c r="Q91" s="1" cm="1">
        <f t="array" ref="Q91">_xlfn.SWITCH($A$2,"average", AVERAGE(Instances!Q91:Instances!Q91),"median", MEDIAN(Instances!Q91:Instances!Q91),"min", MIN(Instances!Q91:Instances!Q91),"max", MAX(Instances!Q91:Instances!Q91),"diff", MAX(Instances!Q91:Instances!Q91)-MIN(Instances!Q91:Instances!Q91))</f>
        <v>0</v>
      </c>
      <c r="R91" s="1" cm="1">
        <f t="array" ref="R91">_xlfn.SWITCH($A$2,"average", AVERAGE(Instances!R91:Instances!R91),"median", MEDIAN(Instances!R91:Instances!R91),"min", MIN(Instances!R91:Instances!R91),"max", MAX(Instances!R91:Instances!R91),"diff", MAX(Instances!R91:Instances!R91)-MIN(Instances!R91:Instances!R91))</f>
        <v>0</v>
      </c>
      <c r="S91" s="1">
        <f>MIN($B91)</f>
        <v>0</v>
      </c>
      <c r="T91" s="1">
        <f>MIN($C91)</f>
        <v>0</v>
      </c>
      <c r="U91" s="1">
        <f>MIN($D91)</f>
        <v>0</v>
      </c>
      <c r="V91" s="1">
        <f>MIN($E91)</f>
        <v>0</v>
      </c>
      <c r="W91" s="1">
        <f>MIN($F91)</f>
        <v>0</v>
      </c>
      <c r="X91" s="1">
        <f>MIN($G91)</f>
        <v>0</v>
      </c>
      <c r="Y91" s="1">
        <f>MIN($H91)</f>
        <v>0</v>
      </c>
      <c r="Z91" s="1">
        <f>MIN($I91)</f>
        <v>0</v>
      </c>
      <c r="AA91" s="1">
        <f>MIN($J91)</f>
        <v>0</v>
      </c>
      <c r="AB91" s="1">
        <f>MIN($K91)</f>
        <v>0</v>
      </c>
      <c r="AC91" s="1">
        <f>MIN($M91)</f>
        <v>0</v>
      </c>
      <c r="AD91" s="1">
        <f>MIN($N91)</f>
        <v>0</v>
      </c>
      <c r="AE91" s="1">
        <f>MIN($P91)</f>
        <v>0</v>
      </c>
      <c r="AF91" s="1">
        <f>MIN($Q91)</f>
        <v>0</v>
      </c>
      <c r="AG91" s="1">
        <f>MIN($R91)</f>
        <v>0</v>
      </c>
      <c r="AH91" s="1">
        <f>MEDIAN($B91)</f>
        <v>0</v>
      </c>
      <c r="AI91" s="1">
        <f>MEDIAN($C91)</f>
        <v>0</v>
      </c>
      <c r="AJ91" s="1">
        <f>MEDIAN($D91)</f>
        <v>0</v>
      </c>
      <c r="AK91" s="1">
        <f>MEDIAN($E91)</f>
        <v>0</v>
      </c>
      <c r="AL91" s="1">
        <f>MEDIAN($F91)</f>
        <v>0</v>
      </c>
      <c r="AM91" s="1">
        <f>MEDIAN($G91)</f>
        <v>0</v>
      </c>
      <c r="AN91" s="1">
        <f>MEDIAN($H91)</f>
        <v>0</v>
      </c>
      <c r="AO91" s="1">
        <f>MEDIAN($I91)</f>
        <v>0</v>
      </c>
      <c r="AP91" s="1">
        <f>MEDIAN($J91)</f>
        <v>0</v>
      </c>
      <c r="AQ91" s="1">
        <f>MEDIAN($K91)</f>
        <v>0</v>
      </c>
      <c r="AR91" s="1">
        <f>MEDIAN($M91)</f>
        <v>0</v>
      </c>
      <c r="AS91" s="1">
        <f>MEDIAN($N91)</f>
        <v>0</v>
      </c>
      <c r="AT91" s="1">
        <f>MEDIAN($P91)</f>
        <v>0</v>
      </c>
      <c r="AU91" s="1">
        <f>MEDIAN($Q91)</f>
        <v>0</v>
      </c>
      <c r="AV91" s="1">
        <f>MEDIAN($R91)</f>
        <v>0</v>
      </c>
      <c r="AW91" s="1">
        <f>MAX($B91)</f>
        <v>0</v>
      </c>
      <c r="AX91" s="1">
        <f>MAX($C91)</f>
        <v>0</v>
      </c>
      <c r="AY91" s="1">
        <f>MAX($D91)</f>
        <v>0</v>
      </c>
      <c r="AZ91" s="1">
        <f>MAX($E91)</f>
        <v>0</v>
      </c>
      <c r="BA91" s="1">
        <f>MAX($F91)</f>
        <v>0</v>
      </c>
      <c r="BB91" s="1">
        <f>MAX($G91)</f>
        <v>0</v>
      </c>
      <c r="BC91" s="1">
        <f>MAX($H91)</f>
        <v>0</v>
      </c>
      <c r="BD91" s="1">
        <f>MAX($I91)</f>
        <v>0</v>
      </c>
      <c r="BE91" s="1">
        <f>MAX($J91)</f>
        <v>0</v>
      </c>
      <c r="BF91" s="1">
        <f>MAX($K91)</f>
        <v>0</v>
      </c>
      <c r="BG91" s="1">
        <f>MAX($M91)</f>
        <v>0</v>
      </c>
      <c r="BH91" s="1">
        <f>MAX($N91)</f>
        <v>0</v>
      </c>
      <c r="BI91" s="1">
        <f>MAX($P91)</f>
        <v>0</v>
      </c>
      <c r="BJ91" s="1">
        <f>MAX($Q91)</f>
        <v>0</v>
      </c>
      <c r="BK91" s="1">
        <f>MAX($R91)</f>
        <v>0</v>
      </c>
    </row>
    <row r="92" spans="1:63">
      <c r="A92" s="1" t="s">
        <v>89</v>
      </c>
      <c r="B92" s="1"/>
      <c r="C92" s="1"/>
      <c r="D92" s="1"/>
      <c r="E92" s="1" cm="1">
        <f t="array" ref="E92">_xlfn.SWITCH($A$2,"average", AVERAGE(Instances!E92:Instances!E92),"median", MEDIAN(Instances!E92:Instances!E92),"min", MIN(Instances!E92:Instances!E92),"max", MAX(Instances!E92:Instances!E92),"diff", MAX(Instances!E92:Instances!E92)-MIN(Instances!E92:Instances!E92))</f>
        <v>0</v>
      </c>
      <c r="F92" s="1" cm="1">
        <f t="array" ref="F92">_xlfn.SWITCH($A$2,"average", AVERAGE(Instances!F92:Instances!F92),"median", MEDIAN(Instances!F92:Instances!F92),"min", MIN(Instances!F92:Instances!F92),"max", MAX(Instances!F92:Instances!F92),"diff", MAX(Instances!F92:Instances!F92)-MIN(Instances!F92:Instances!F92))</f>
        <v>0</v>
      </c>
      <c r="G92" s="1" cm="1">
        <f t="array" ref="G92">_xlfn.SWITCH($A$2,"average", AVERAGE(Instances!G92:Instances!G92),"median", MEDIAN(Instances!G92:Instances!G92),"min", MIN(Instances!G92:Instances!G92),"max", MAX(Instances!G92:Instances!G92),"diff", MAX(Instances!G92:Instances!G92)-MIN(Instances!G92:Instances!G92))</f>
        <v>0</v>
      </c>
      <c r="H92" s="1"/>
      <c r="I92" s="1"/>
      <c r="J92" s="1" cm="1">
        <f t="array" ref="J92">_xlfn.SWITCH($A$2,"average", AVERAGE(Instances!J92:Instances!J92),"median", MEDIAN(Instances!J92:Instances!J92),"min", MIN(Instances!J92:Instances!J92),"max", MAX(Instances!J92:Instances!J92),"diff", MAX(Instances!J92:Instances!J92)-MIN(Instances!J92:Instances!J92))</f>
        <v>0</v>
      </c>
      <c r="K92" s="1"/>
      <c r="L92" s="1"/>
      <c r="M92" s="1"/>
      <c r="N92" s="1"/>
      <c r="O92" s="1"/>
      <c r="P92" s="1" cm="1">
        <f t="array" ref="P92">_xlfn.SWITCH($A$2,"average", AVERAGE(Instances!P92:Instances!P92),"median", MEDIAN(Instances!P92:Instances!P92),"min", MIN(Instances!P92:Instances!P92),"max", MAX(Instances!P92:Instances!P92),"diff", MAX(Instances!P92:Instances!P92)-MIN(Instances!P92:Instances!P92))</f>
        <v>0</v>
      </c>
      <c r="Q92" s="1" cm="1">
        <f t="array" ref="Q92">_xlfn.SWITCH($A$2,"average", AVERAGE(Instances!Q92:Instances!Q92),"median", MEDIAN(Instances!Q92:Instances!Q92),"min", MIN(Instances!Q92:Instances!Q92),"max", MAX(Instances!Q92:Instances!Q92),"diff", MAX(Instances!Q92:Instances!Q92)-MIN(Instances!Q92:Instances!Q92))</f>
        <v>0</v>
      </c>
      <c r="R92" s="1"/>
      <c r="S92" s="1"/>
      <c r="T92" s="1"/>
      <c r="U92" s="1"/>
      <c r="V92" s="1">
        <f>MIN($E92)</f>
        <v>0</v>
      </c>
      <c r="W92" s="1">
        <f>MIN($F92)</f>
        <v>0</v>
      </c>
      <c r="X92" s="1">
        <f>MIN($G92)</f>
        <v>0</v>
      </c>
      <c r="Y92" s="1"/>
      <c r="Z92" s="1"/>
      <c r="AA92" s="1">
        <f>MIN($J92)</f>
        <v>0</v>
      </c>
      <c r="AB92" s="1"/>
      <c r="AC92" s="1"/>
      <c r="AD92" s="1"/>
      <c r="AE92" s="1">
        <f>MIN($P92)</f>
        <v>0</v>
      </c>
      <c r="AF92" s="1">
        <f>MIN($Q92)</f>
        <v>0</v>
      </c>
      <c r="AG92" s="1"/>
      <c r="AH92" s="1"/>
      <c r="AI92" s="1"/>
      <c r="AJ92" s="1"/>
      <c r="AK92" s="1">
        <f>MEDIAN($E92)</f>
        <v>0</v>
      </c>
      <c r="AL92" s="1">
        <f>MEDIAN($F92)</f>
        <v>0</v>
      </c>
      <c r="AM92" s="1">
        <f>MEDIAN($G92)</f>
        <v>0</v>
      </c>
      <c r="AN92" s="1"/>
      <c r="AO92" s="1"/>
      <c r="AP92" s="1">
        <f>MEDIAN($J92)</f>
        <v>0</v>
      </c>
      <c r="AQ92" s="1"/>
      <c r="AR92" s="1"/>
      <c r="AS92" s="1"/>
      <c r="AT92" s="1">
        <f>MEDIAN($P92)</f>
        <v>0</v>
      </c>
      <c r="AU92" s="1">
        <f>MEDIAN($Q92)</f>
        <v>0</v>
      </c>
      <c r="AV92" s="1"/>
      <c r="AW92" s="1"/>
      <c r="AX92" s="1"/>
      <c r="AY92" s="1"/>
      <c r="AZ92" s="1">
        <f>MAX($E92)</f>
        <v>0</v>
      </c>
      <c r="BA92" s="1">
        <f>MAX($F92)</f>
        <v>0</v>
      </c>
      <c r="BB92" s="1">
        <f>MAX($G92)</f>
        <v>0</v>
      </c>
      <c r="BC92" s="1"/>
      <c r="BD92" s="1"/>
      <c r="BE92" s="1">
        <f>MAX($J92)</f>
        <v>0</v>
      </c>
      <c r="BF92" s="1"/>
      <c r="BG92" s="1"/>
      <c r="BH92" s="1"/>
      <c r="BI92" s="1">
        <f>MAX($P92)</f>
        <v>0</v>
      </c>
      <c r="BJ92" s="1">
        <f>MAX($Q92)</f>
        <v>0</v>
      </c>
      <c r="BK92" s="1"/>
    </row>
    <row r="93" spans="1:63">
      <c r="A93" s="1" t="s">
        <v>90</v>
      </c>
      <c r="B93" s="1"/>
      <c r="C93" s="1"/>
      <c r="D93" s="1"/>
      <c r="E93" s="1" cm="1">
        <f t="array" ref="E93">_xlfn.SWITCH($A$2,"average", AVERAGE(Instances!E93:Instances!E93),"median", MEDIAN(Instances!E93:Instances!E93),"min", MIN(Instances!E93:Instances!E93),"max", MAX(Instances!E93:Instances!E93),"diff", MAX(Instances!E93:Instances!E93)-MIN(Instances!E93:Instances!E93))</f>
        <v>0</v>
      </c>
      <c r="F93" s="1" cm="1">
        <f t="array" ref="F93">_xlfn.SWITCH($A$2,"average", AVERAGE(Instances!F93:Instances!F93),"median", MEDIAN(Instances!F93:Instances!F93),"min", MIN(Instances!F93:Instances!F93),"max", MAX(Instances!F93:Instances!F93),"diff", MAX(Instances!F93:Instances!F93)-MIN(Instances!F93:Instances!F93))</f>
        <v>0</v>
      </c>
      <c r="G93" s="1" cm="1">
        <f t="array" ref="G93">_xlfn.SWITCH($A$2,"average", AVERAGE(Instances!G93:Instances!G93),"median", MEDIAN(Instances!G93:Instances!G93),"min", MIN(Instances!G93:Instances!G93),"max", MAX(Instances!G93:Instances!G93),"diff", MAX(Instances!G93:Instances!G93)-MIN(Instances!G93:Instances!G93))</f>
        <v>0</v>
      </c>
      <c r="H93" s="1"/>
      <c r="I93" s="1"/>
      <c r="J93" s="1" cm="1">
        <f t="array" ref="J93">_xlfn.SWITCH($A$2,"average", AVERAGE(Instances!J93:Instances!J93),"median", MEDIAN(Instances!J93:Instances!J93),"min", MIN(Instances!J93:Instances!J93),"max", MAX(Instances!J93:Instances!J93),"diff", MAX(Instances!J93:Instances!J93)-MIN(Instances!J93:Instances!J93))</f>
        <v>0</v>
      </c>
      <c r="K93" s="1"/>
      <c r="L93" s="1"/>
      <c r="M93" s="1"/>
      <c r="N93" s="1"/>
      <c r="O93" s="1"/>
      <c r="P93" s="1" cm="1">
        <f t="array" ref="P93">_xlfn.SWITCH($A$2,"average", AVERAGE(Instances!P93:Instances!P93),"median", MEDIAN(Instances!P93:Instances!P93),"min", MIN(Instances!P93:Instances!P93),"max", MAX(Instances!P93:Instances!P93),"diff", MAX(Instances!P93:Instances!P93)-MIN(Instances!P93:Instances!P93))</f>
        <v>0</v>
      </c>
      <c r="Q93" s="1" cm="1">
        <f t="array" ref="Q93">_xlfn.SWITCH($A$2,"average", AVERAGE(Instances!Q93:Instances!Q93),"median", MEDIAN(Instances!Q93:Instances!Q93),"min", MIN(Instances!Q93:Instances!Q93),"max", MAX(Instances!Q93:Instances!Q93),"diff", MAX(Instances!Q93:Instances!Q93)-MIN(Instances!Q93:Instances!Q93))</f>
        <v>0</v>
      </c>
      <c r="R93" s="1"/>
      <c r="S93" s="1"/>
      <c r="T93" s="1"/>
      <c r="U93" s="1"/>
      <c r="V93" s="1">
        <f>MIN($E93)</f>
        <v>0</v>
      </c>
      <c r="W93" s="1">
        <f>MIN($F93)</f>
        <v>0</v>
      </c>
      <c r="X93" s="1">
        <f>MIN($G93)</f>
        <v>0</v>
      </c>
      <c r="Y93" s="1"/>
      <c r="Z93" s="1"/>
      <c r="AA93" s="1">
        <f>MIN($J93)</f>
        <v>0</v>
      </c>
      <c r="AB93" s="1"/>
      <c r="AC93" s="1"/>
      <c r="AD93" s="1"/>
      <c r="AE93" s="1">
        <f>MIN($P93)</f>
        <v>0</v>
      </c>
      <c r="AF93" s="1">
        <f>MIN($Q93)</f>
        <v>0</v>
      </c>
      <c r="AG93" s="1"/>
      <c r="AH93" s="1"/>
      <c r="AI93" s="1"/>
      <c r="AJ93" s="1"/>
      <c r="AK93" s="1">
        <f>MEDIAN($E93)</f>
        <v>0</v>
      </c>
      <c r="AL93" s="1">
        <f>MEDIAN($F93)</f>
        <v>0</v>
      </c>
      <c r="AM93" s="1">
        <f>MEDIAN($G93)</f>
        <v>0</v>
      </c>
      <c r="AN93" s="1"/>
      <c r="AO93" s="1"/>
      <c r="AP93" s="1">
        <f>MEDIAN($J93)</f>
        <v>0</v>
      </c>
      <c r="AQ93" s="1"/>
      <c r="AR93" s="1"/>
      <c r="AS93" s="1"/>
      <c r="AT93" s="1">
        <f>MEDIAN($P93)</f>
        <v>0</v>
      </c>
      <c r="AU93" s="1">
        <f>MEDIAN($Q93)</f>
        <v>0</v>
      </c>
      <c r="AV93" s="1"/>
      <c r="AW93" s="1"/>
      <c r="AX93" s="1"/>
      <c r="AY93" s="1"/>
      <c r="AZ93" s="1">
        <f>MAX($E93)</f>
        <v>0</v>
      </c>
      <c r="BA93" s="1">
        <f>MAX($F93)</f>
        <v>0</v>
      </c>
      <c r="BB93" s="1">
        <f>MAX($G93)</f>
        <v>0</v>
      </c>
      <c r="BC93" s="1"/>
      <c r="BD93" s="1"/>
      <c r="BE93" s="1">
        <f>MAX($J93)</f>
        <v>0</v>
      </c>
      <c r="BF93" s="1"/>
      <c r="BG93" s="1"/>
      <c r="BH93" s="1"/>
      <c r="BI93" s="1">
        <f>MAX($P93)</f>
        <v>0</v>
      </c>
      <c r="BJ93" s="1">
        <f>MAX($Q93)</f>
        <v>0</v>
      </c>
      <c r="BK93" s="1"/>
    </row>
    <row r="94" spans="1:63">
      <c r="A94" s="1" t="s">
        <v>91</v>
      </c>
      <c r="B94" s="1" cm="1">
        <f t="array" ref="B94">_xlfn.SWITCH($A$2,"average", AVERAGE(Instances!B94:Instances!B94),"median", MEDIAN(Instances!B94:Instances!B94),"min", MIN(Instances!B94:Instances!B94),"max", MAX(Instances!B94:Instances!B94),"diff", MAX(Instances!B94:Instances!B94)-MIN(Instances!B94:Instances!B94))</f>
        <v>0</v>
      </c>
      <c r="C94" s="1" cm="1">
        <f t="array" ref="C94">_xlfn.SWITCH($A$2,"average", AVERAGE(Instances!C94:Instances!C94),"median", MEDIAN(Instances!C94:Instances!C94),"min", MIN(Instances!C94:Instances!C94),"max", MAX(Instances!C94:Instances!C94),"diff", MAX(Instances!C94:Instances!C94)-MIN(Instances!C94:Instances!C94))</f>
        <v>0</v>
      </c>
      <c r="D94" s="1" cm="1">
        <f t="array" ref="D94">_xlfn.SWITCH($A$2,"average", AVERAGE(Instances!D94:Instances!D94),"median", MEDIAN(Instances!D94:Instances!D94),"min", MIN(Instances!D94:Instances!D94),"max", MAX(Instances!D94:Instances!D94),"diff", MAX(Instances!D94:Instances!D94)-MIN(Instances!D94:Instances!D94))</f>
        <v>0</v>
      </c>
      <c r="E94" s="1" cm="1">
        <f t="array" ref="E94">_xlfn.SWITCH($A$2,"average", AVERAGE(Instances!E94:Instances!E94),"median", MEDIAN(Instances!E94:Instances!E94),"min", MIN(Instances!E94:Instances!E94),"max", MAX(Instances!E94:Instances!E94),"diff", MAX(Instances!E94:Instances!E94)-MIN(Instances!E94:Instances!E94))</f>
        <v>0</v>
      </c>
      <c r="F94" s="1" cm="1">
        <f t="array" ref="F94">_xlfn.SWITCH($A$2,"average", AVERAGE(Instances!F94:Instances!F94),"median", MEDIAN(Instances!F94:Instances!F94),"min", MIN(Instances!F94:Instances!F94),"max", MAX(Instances!F94:Instances!F94),"diff", MAX(Instances!F94:Instances!F94)-MIN(Instances!F94:Instances!F94))</f>
        <v>0</v>
      </c>
      <c r="G94" s="1" cm="1">
        <f t="array" ref="G94">_xlfn.SWITCH($A$2,"average", AVERAGE(Instances!G94:Instances!G94),"median", MEDIAN(Instances!G94:Instances!G94),"min", MIN(Instances!G94:Instances!G94),"max", MAX(Instances!G94:Instances!G94),"diff", MAX(Instances!G94:Instances!G94)-MIN(Instances!G94:Instances!G94))</f>
        <v>0</v>
      </c>
      <c r="H94" s="1" cm="1">
        <f t="array" ref="H94">_xlfn.SWITCH($A$2,"average", AVERAGE(Instances!H94:Instances!H94),"median", MEDIAN(Instances!H94:Instances!H94),"min", MIN(Instances!H94:Instances!H94),"max", MAX(Instances!H94:Instances!H94),"diff", MAX(Instances!H94:Instances!H94)-MIN(Instances!H94:Instances!H94))</f>
        <v>0</v>
      </c>
      <c r="I94" s="1" cm="1">
        <f t="array" ref="I94">_xlfn.SWITCH($A$2,"average", AVERAGE(Instances!I94:Instances!I94),"median", MEDIAN(Instances!I94:Instances!I94),"min", MIN(Instances!I94:Instances!I94),"max", MAX(Instances!I94:Instances!I94),"diff", MAX(Instances!I94:Instances!I94)-MIN(Instances!I94:Instances!I94))</f>
        <v>0</v>
      </c>
      <c r="J94" s="1" cm="1">
        <f t="array" ref="J94">_xlfn.SWITCH($A$2,"average", AVERAGE(Instances!J94:Instances!J94),"median", MEDIAN(Instances!J94:Instances!J94),"min", MIN(Instances!J94:Instances!J94),"max", MAX(Instances!J94:Instances!J94),"diff", MAX(Instances!J94:Instances!J94)-MIN(Instances!J94:Instances!J94))</f>
        <v>0</v>
      </c>
      <c r="K94" s="1" cm="1">
        <f t="array" ref="K94">_xlfn.SWITCH($A$2,"average", AVERAGE(Instances!K94:Instances!K94),"median", MEDIAN(Instances!K94:Instances!K94),"min", MIN(Instances!K94:Instances!K94),"max", MAX(Instances!K94:Instances!K94),"diff", MAX(Instances!K94:Instances!K94)-MIN(Instances!K94:Instances!K94))</f>
        <v>0</v>
      </c>
      <c r="L94" s="1"/>
      <c r="M94" s="1" cm="1">
        <f t="array" ref="M94">_xlfn.SWITCH($A$2,"average", AVERAGE(Instances!M94:Instances!M94),"median", MEDIAN(Instances!M94:Instances!M94),"min", MIN(Instances!M94:Instances!M94),"max", MAX(Instances!M94:Instances!M94),"diff", MAX(Instances!M94:Instances!M94)-MIN(Instances!M94:Instances!M94))</f>
        <v>0</v>
      </c>
      <c r="N94" s="1" cm="1">
        <f t="array" ref="N94">_xlfn.SWITCH($A$2,"average", AVERAGE(Instances!N94:Instances!N94),"median", MEDIAN(Instances!N94:Instances!N94),"min", MIN(Instances!N94:Instances!N94),"max", MAX(Instances!N94:Instances!N94),"diff", MAX(Instances!N94:Instances!N94)-MIN(Instances!N94:Instances!N94))</f>
        <v>0</v>
      </c>
      <c r="O94" s="1"/>
      <c r="P94" s="1" cm="1">
        <f t="array" ref="P94">_xlfn.SWITCH($A$2,"average", AVERAGE(Instances!P94:Instances!P94),"median", MEDIAN(Instances!P94:Instances!P94),"min", MIN(Instances!P94:Instances!P94),"max", MAX(Instances!P94:Instances!P94),"diff", MAX(Instances!P94:Instances!P94)-MIN(Instances!P94:Instances!P94))</f>
        <v>0</v>
      </c>
      <c r="Q94" s="1" cm="1">
        <f t="array" ref="Q94">_xlfn.SWITCH($A$2,"average", AVERAGE(Instances!Q94:Instances!Q94),"median", MEDIAN(Instances!Q94:Instances!Q94),"min", MIN(Instances!Q94:Instances!Q94),"max", MAX(Instances!Q94:Instances!Q94),"diff", MAX(Instances!Q94:Instances!Q94)-MIN(Instances!Q94:Instances!Q94))</f>
        <v>0</v>
      </c>
      <c r="R94" s="1" cm="1">
        <f t="array" ref="R94">_xlfn.SWITCH($A$2,"average", AVERAGE(Instances!R94:Instances!R94),"median", MEDIAN(Instances!R94:Instances!R94),"min", MIN(Instances!R94:Instances!R94),"max", MAX(Instances!R94:Instances!R94),"diff", MAX(Instances!R94:Instances!R94)-MIN(Instances!R94:Instances!R94))</f>
        <v>0</v>
      </c>
      <c r="S94" s="1">
        <f>MIN($B94)</f>
        <v>0</v>
      </c>
      <c r="T94" s="1">
        <f>MIN($C94)</f>
        <v>0</v>
      </c>
      <c r="U94" s="1">
        <f>MIN($D94)</f>
        <v>0</v>
      </c>
      <c r="V94" s="1">
        <f>MIN($E94)</f>
        <v>0</v>
      </c>
      <c r="W94" s="1">
        <f>MIN($F94)</f>
        <v>0</v>
      </c>
      <c r="X94" s="1">
        <f>MIN($G94)</f>
        <v>0</v>
      </c>
      <c r="Y94" s="1">
        <f>MIN($H94)</f>
        <v>0</v>
      </c>
      <c r="Z94" s="1">
        <f>MIN($I94)</f>
        <v>0</v>
      </c>
      <c r="AA94" s="1">
        <f>MIN($J94)</f>
        <v>0</v>
      </c>
      <c r="AB94" s="1">
        <f>MIN($K94)</f>
        <v>0</v>
      </c>
      <c r="AC94" s="1">
        <f>MIN($M94)</f>
        <v>0</v>
      </c>
      <c r="AD94" s="1">
        <f>MIN($N94)</f>
        <v>0</v>
      </c>
      <c r="AE94" s="1">
        <f>MIN($P94)</f>
        <v>0</v>
      </c>
      <c r="AF94" s="1">
        <f>MIN($Q94)</f>
        <v>0</v>
      </c>
      <c r="AG94" s="1">
        <f>MIN($R94)</f>
        <v>0</v>
      </c>
      <c r="AH94" s="1">
        <f>MEDIAN($B94)</f>
        <v>0</v>
      </c>
      <c r="AI94" s="1">
        <f>MEDIAN($C94)</f>
        <v>0</v>
      </c>
      <c r="AJ94" s="1">
        <f>MEDIAN($D94)</f>
        <v>0</v>
      </c>
      <c r="AK94" s="1">
        <f>MEDIAN($E94)</f>
        <v>0</v>
      </c>
      <c r="AL94" s="1">
        <f>MEDIAN($F94)</f>
        <v>0</v>
      </c>
      <c r="AM94" s="1">
        <f>MEDIAN($G94)</f>
        <v>0</v>
      </c>
      <c r="AN94" s="1">
        <f>MEDIAN($H94)</f>
        <v>0</v>
      </c>
      <c r="AO94" s="1">
        <f>MEDIAN($I94)</f>
        <v>0</v>
      </c>
      <c r="AP94" s="1">
        <f>MEDIAN($J94)</f>
        <v>0</v>
      </c>
      <c r="AQ94" s="1">
        <f>MEDIAN($K94)</f>
        <v>0</v>
      </c>
      <c r="AR94" s="1">
        <f>MEDIAN($M94)</f>
        <v>0</v>
      </c>
      <c r="AS94" s="1">
        <f>MEDIAN($N94)</f>
        <v>0</v>
      </c>
      <c r="AT94" s="1">
        <f>MEDIAN($P94)</f>
        <v>0</v>
      </c>
      <c r="AU94" s="1">
        <f>MEDIAN($Q94)</f>
        <v>0</v>
      </c>
      <c r="AV94" s="1">
        <f>MEDIAN($R94)</f>
        <v>0</v>
      </c>
      <c r="AW94" s="1">
        <f>MAX($B94)</f>
        <v>0</v>
      </c>
      <c r="AX94" s="1">
        <f>MAX($C94)</f>
        <v>0</v>
      </c>
      <c r="AY94" s="1">
        <f>MAX($D94)</f>
        <v>0</v>
      </c>
      <c r="AZ94" s="1">
        <f>MAX($E94)</f>
        <v>0</v>
      </c>
      <c r="BA94" s="1">
        <f>MAX($F94)</f>
        <v>0</v>
      </c>
      <c r="BB94" s="1">
        <f>MAX($G94)</f>
        <v>0</v>
      </c>
      <c r="BC94" s="1">
        <f>MAX($H94)</f>
        <v>0</v>
      </c>
      <c r="BD94" s="1">
        <f>MAX($I94)</f>
        <v>0</v>
      </c>
      <c r="BE94" s="1">
        <f>MAX($J94)</f>
        <v>0</v>
      </c>
      <c r="BF94" s="1">
        <f>MAX($K94)</f>
        <v>0</v>
      </c>
      <c r="BG94" s="1">
        <f>MAX($M94)</f>
        <v>0</v>
      </c>
      <c r="BH94" s="1">
        <f>MAX($N94)</f>
        <v>0</v>
      </c>
      <c r="BI94" s="1">
        <f>MAX($P94)</f>
        <v>0</v>
      </c>
      <c r="BJ94" s="1">
        <f>MAX($Q94)</f>
        <v>0</v>
      </c>
      <c r="BK94" s="1">
        <f>MAX($R94)</f>
        <v>0</v>
      </c>
    </row>
    <row r="95" spans="1:63">
      <c r="A95" s="1" t="s">
        <v>92</v>
      </c>
      <c r="B95" s="1"/>
      <c r="C95" s="1"/>
      <c r="D95" s="1"/>
      <c r="E95" s="1" cm="1">
        <f t="array" ref="E95">_xlfn.SWITCH($A$2,"average", AVERAGE(Instances!E95:Instances!E95),"median", MEDIAN(Instances!E95:Instances!E95),"min", MIN(Instances!E95:Instances!E95),"max", MAX(Instances!E95:Instances!E95),"diff", MAX(Instances!E95:Instances!E95)-MIN(Instances!E95:Instances!E95))</f>
        <v>0</v>
      </c>
      <c r="F95" s="1" cm="1">
        <f t="array" ref="F95">_xlfn.SWITCH($A$2,"average", AVERAGE(Instances!F95:Instances!F95),"median", MEDIAN(Instances!F95:Instances!F95),"min", MIN(Instances!F95:Instances!F95),"max", MAX(Instances!F95:Instances!F95),"diff", MAX(Instances!F95:Instances!F95)-MIN(Instances!F95:Instances!F95))</f>
        <v>0</v>
      </c>
      <c r="G95" s="1" cm="1">
        <f t="array" ref="G95">_xlfn.SWITCH($A$2,"average", AVERAGE(Instances!G95:Instances!G95),"median", MEDIAN(Instances!G95:Instances!G95),"min", MIN(Instances!G95:Instances!G95),"max", MAX(Instances!G95:Instances!G95),"diff", MAX(Instances!G95:Instances!G95)-MIN(Instances!G95:Instances!G95))</f>
        <v>0</v>
      </c>
      <c r="H95" s="1"/>
      <c r="I95" s="1"/>
      <c r="J95" s="1" cm="1">
        <f t="array" ref="J95">_xlfn.SWITCH($A$2,"average", AVERAGE(Instances!J95:Instances!J95),"median", MEDIAN(Instances!J95:Instances!J95),"min", MIN(Instances!J95:Instances!J95),"max", MAX(Instances!J95:Instances!J95),"diff", MAX(Instances!J95:Instances!J95)-MIN(Instances!J95:Instances!J95))</f>
        <v>0</v>
      </c>
      <c r="K95" s="1"/>
      <c r="L95" s="1"/>
      <c r="M95" s="1"/>
      <c r="N95" s="1"/>
      <c r="O95" s="1"/>
      <c r="P95" s="1" cm="1">
        <f t="array" ref="P95">_xlfn.SWITCH($A$2,"average", AVERAGE(Instances!P95:Instances!P95),"median", MEDIAN(Instances!P95:Instances!P95),"min", MIN(Instances!P95:Instances!P95),"max", MAX(Instances!P95:Instances!P95),"diff", MAX(Instances!P95:Instances!P95)-MIN(Instances!P95:Instances!P95))</f>
        <v>0</v>
      </c>
      <c r="Q95" s="1" cm="1">
        <f t="array" ref="Q95">_xlfn.SWITCH($A$2,"average", AVERAGE(Instances!Q95:Instances!Q95),"median", MEDIAN(Instances!Q95:Instances!Q95),"min", MIN(Instances!Q95:Instances!Q95),"max", MAX(Instances!Q95:Instances!Q95),"diff", MAX(Instances!Q95:Instances!Q95)-MIN(Instances!Q95:Instances!Q95))</f>
        <v>0</v>
      </c>
      <c r="R95" s="1"/>
      <c r="S95" s="1"/>
      <c r="T95" s="1"/>
      <c r="U95" s="1"/>
      <c r="V95" s="1">
        <f>MIN($E95)</f>
        <v>0</v>
      </c>
      <c r="W95" s="1">
        <f>MIN($F95)</f>
        <v>0</v>
      </c>
      <c r="X95" s="1">
        <f>MIN($G95)</f>
        <v>0</v>
      </c>
      <c r="Y95" s="1"/>
      <c r="Z95" s="1"/>
      <c r="AA95" s="1">
        <f>MIN($J95)</f>
        <v>0</v>
      </c>
      <c r="AB95" s="1"/>
      <c r="AC95" s="1"/>
      <c r="AD95" s="1"/>
      <c r="AE95" s="1">
        <f>MIN($P95)</f>
        <v>0</v>
      </c>
      <c r="AF95" s="1">
        <f>MIN($Q95)</f>
        <v>0</v>
      </c>
      <c r="AG95" s="1"/>
      <c r="AH95" s="1"/>
      <c r="AI95" s="1"/>
      <c r="AJ95" s="1"/>
      <c r="AK95" s="1">
        <f>MEDIAN($E95)</f>
        <v>0</v>
      </c>
      <c r="AL95" s="1">
        <f>MEDIAN($F95)</f>
        <v>0</v>
      </c>
      <c r="AM95" s="1">
        <f>MEDIAN($G95)</f>
        <v>0</v>
      </c>
      <c r="AN95" s="1"/>
      <c r="AO95" s="1"/>
      <c r="AP95" s="1">
        <f>MEDIAN($J95)</f>
        <v>0</v>
      </c>
      <c r="AQ95" s="1"/>
      <c r="AR95" s="1"/>
      <c r="AS95" s="1"/>
      <c r="AT95" s="1">
        <f>MEDIAN($P95)</f>
        <v>0</v>
      </c>
      <c r="AU95" s="1">
        <f>MEDIAN($Q95)</f>
        <v>0</v>
      </c>
      <c r="AV95" s="1"/>
      <c r="AW95" s="1"/>
      <c r="AX95" s="1"/>
      <c r="AY95" s="1"/>
      <c r="AZ95" s="1">
        <f>MAX($E95)</f>
        <v>0</v>
      </c>
      <c r="BA95" s="1">
        <f>MAX($F95)</f>
        <v>0</v>
      </c>
      <c r="BB95" s="1">
        <f>MAX($G95)</f>
        <v>0</v>
      </c>
      <c r="BC95" s="1"/>
      <c r="BD95" s="1"/>
      <c r="BE95" s="1">
        <f>MAX($J95)</f>
        <v>0</v>
      </c>
      <c r="BF95" s="1"/>
      <c r="BG95" s="1"/>
      <c r="BH95" s="1"/>
      <c r="BI95" s="1">
        <f>MAX($P95)</f>
        <v>0</v>
      </c>
      <c r="BJ95" s="1">
        <f>MAX($Q95)</f>
        <v>0</v>
      </c>
      <c r="BK95" s="1"/>
    </row>
    <row r="96" spans="1:63">
      <c r="A96" s="1" t="s">
        <v>93</v>
      </c>
      <c r="B96" s="1"/>
      <c r="C96" s="1"/>
      <c r="D96" s="1"/>
      <c r="E96" s="1" cm="1">
        <f t="array" ref="E96">_xlfn.SWITCH($A$2,"average", AVERAGE(Instances!E96:Instances!E96),"median", MEDIAN(Instances!E96:Instances!E96),"min", MIN(Instances!E96:Instances!E96),"max", MAX(Instances!E96:Instances!E96),"diff", MAX(Instances!E96:Instances!E96)-MIN(Instances!E96:Instances!E96))</f>
        <v>0</v>
      </c>
      <c r="F96" s="1" cm="1">
        <f t="array" ref="F96">_xlfn.SWITCH($A$2,"average", AVERAGE(Instances!F96:Instances!F96),"median", MEDIAN(Instances!F96:Instances!F96),"min", MIN(Instances!F96:Instances!F96),"max", MAX(Instances!F96:Instances!F96),"diff", MAX(Instances!F96:Instances!F96)-MIN(Instances!F96:Instances!F96))</f>
        <v>0</v>
      </c>
      <c r="G96" s="1" cm="1">
        <f t="array" ref="G96">_xlfn.SWITCH($A$2,"average", AVERAGE(Instances!G96:Instances!G96),"median", MEDIAN(Instances!G96:Instances!G96),"min", MIN(Instances!G96:Instances!G96),"max", MAX(Instances!G96:Instances!G96),"diff", MAX(Instances!G96:Instances!G96)-MIN(Instances!G96:Instances!G96))</f>
        <v>0</v>
      </c>
      <c r="H96" s="1"/>
      <c r="I96" s="1"/>
      <c r="J96" s="1" cm="1">
        <f t="array" ref="J96">_xlfn.SWITCH($A$2,"average", AVERAGE(Instances!J96:Instances!J96),"median", MEDIAN(Instances!J96:Instances!J96),"min", MIN(Instances!J96:Instances!J96),"max", MAX(Instances!J96:Instances!J96),"diff", MAX(Instances!J96:Instances!J96)-MIN(Instances!J96:Instances!J96))</f>
        <v>0</v>
      </c>
      <c r="K96" s="1"/>
      <c r="L96" s="1"/>
      <c r="M96" s="1"/>
      <c r="N96" s="1"/>
      <c r="O96" s="1"/>
      <c r="P96" s="1" cm="1">
        <f t="array" ref="P96">_xlfn.SWITCH($A$2,"average", AVERAGE(Instances!P96:Instances!P96),"median", MEDIAN(Instances!P96:Instances!P96),"min", MIN(Instances!P96:Instances!P96),"max", MAX(Instances!P96:Instances!P96),"diff", MAX(Instances!P96:Instances!P96)-MIN(Instances!P96:Instances!P96))</f>
        <v>0</v>
      </c>
      <c r="Q96" s="1" cm="1">
        <f t="array" ref="Q96">_xlfn.SWITCH($A$2,"average", AVERAGE(Instances!Q96:Instances!Q96),"median", MEDIAN(Instances!Q96:Instances!Q96),"min", MIN(Instances!Q96:Instances!Q96),"max", MAX(Instances!Q96:Instances!Q96),"diff", MAX(Instances!Q96:Instances!Q96)-MIN(Instances!Q96:Instances!Q96))</f>
        <v>0</v>
      </c>
      <c r="R96" s="1"/>
      <c r="S96" s="1"/>
      <c r="T96" s="1"/>
      <c r="U96" s="1"/>
      <c r="V96" s="1">
        <f>MIN($E96)</f>
        <v>0</v>
      </c>
      <c r="W96" s="1">
        <f>MIN($F96)</f>
        <v>0</v>
      </c>
      <c r="X96" s="1">
        <f>MIN($G96)</f>
        <v>0</v>
      </c>
      <c r="Y96" s="1"/>
      <c r="Z96" s="1"/>
      <c r="AA96" s="1">
        <f>MIN($J96)</f>
        <v>0</v>
      </c>
      <c r="AB96" s="1"/>
      <c r="AC96" s="1"/>
      <c r="AD96" s="1"/>
      <c r="AE96" s="1">
        <f>MIN($P96)</f>
        <v>0</v>
      </c>
      <c r="AF96" s="1">
        <f>MIN($Q96)</f>
        <v>0</v>
      </c>
      <c r="AG96" s="1"/>
      <c r="AH96" s="1"/>
      <c r="AI96" s="1"/>
      <c r="AJ96" s="1"/>
      <c r="AK96" s="1">
        <f>MEDIAN($E96)</f>
        <v>0</v>
      </c>
      <c r="AL96" s="1">
        <f>MEDIAN($F96)</f>
        <v>0</v>
      </c>
      <c r="AM96" s="1">
        <f>MEDIAN($G96)</f>
        <v>0</v>
      </c>
      <c r="AN96" s="1"/>
      <c r="AO96" s="1"/>
      <c r="AP96" s="1">
        <f>MEDIAN($J96)</f>
        <v>0</v>
      </c>
      <c r="AQ96" s="1"/>
      <c r="AR96" s="1"/>
      <c r="AS96" s="1"/>
      <c r="AT96" s="1">
        <f>MEDIAN($P96)</f>
        <v>0</v>
      </c>
      <c r="AU96" s="1">
        <f>MEDIAN($Q96)</f>
        <v>0</v>
      </c>
      <c r="AV96" s="1"/>
      <c r="AW96" s="1"/>
      <c r="AX96" s="1"/>
      <c r="AY96" s="1"/>
      <c r="AZ96" s="1">
        <f>MAX($E96)</f>
        <v>0</v>
      </c>
      <c r="BA96" s="1">
        <f>MAX($F96)</f>
        <v>0</v>
      </c>
      <c r="BB96" s="1">
        <f>MAX($G96)</f>
        <v>0</v>
      </c>
      <c r="BC96" s="1"/>
      <c r="BD96" s="1"/>
      <c r="BE96" s="1">
        <f>MAX($J96)</f>
        <v>0</v>
      </c>
      <c r="BF96" s="1"/>
      <c r="BG96" s="1"/>
      <c r="BH96" s="1"/>
      <c r="BI96" s="1">
        <f>MAX($P96)</f>
        <v>0</v>
      </c>
      <c r="BJ96" s="1">
        <f>MAX($Q96)</f>
        <v>0</v>
      </c>
      <c r="BK96" s="1"/>
    </row>
    <row r="97" spans="1:63">
      <c r="A97" s="1" t="s">
        <v>94</v>
      </c>
      <c r="B97" s="1"/>
      <c r="C97" s="1"/>
      <c r="D97" s="1"/>
      <c r="E97" s="1" cm="1">
        <f t="array" ref="E97">_xlfn.SWITCH($A$2,"average", AVERAGE(Instances!E97:Instances!E97),"median", MEDIAN(Instances!E97:Instances!E97),"min", MIN(Instances!E97:Instances!E97),"max", MAX(Instances!E97:Instances!E97),"diff", MAX(Instances!E97:Instances!E97)-MIN(Instances!E97:Instances!E97))</f>
        <v>0</v>
      </c>
      <c r="F97" s="1" cm="1">
        <f t="array" ref="F97">_xlfn.SWITCH($A$2,"average", AVERAGE(Instances!F97:Instances!F97),"median", MEDIAN(Instances!F97:Instances!F97),"min", MIN(Instances!F97:Instances!F97),"max", MAX(Instances!F97:Instances!F97),"diff", MAX(Instances!F97:Instances!F97)-MIN(Instances!F97:Instances!F97))</f>
        <v>0</v>
      </c>
      <c r="G97" s="1" cm="1">
        <f t="array" ref="G97">_xlfn.SWITCH($A$2,"average", AVERAGE(Instances!G97:Instances!G97),"median", MEDIAN(Instances!G97:Instances!G97),"min", MIN(Instances!G97:Instances!G97),"max", MAX(Instances!G97:Instances!G97),"diff", MAX(Instances!G97:Instances!G97)-MIN(Instances!G97:Instances!G97))</f>
        <v>0</v>
      </c>
      <c r="H97" s="1"/>
      <c r="I97" s="1"/>
      <c r="J97" s="1" cm="1">
        <f t="array" ref="J97">_xlfn.SWITCH($A$2,"average", AVERAGE(Instances!J97:Instances!J97),"median", MEDIAN(Instances!J97:Instances!J97),"min", MIN(Instances!J97:Instances!J97),"max", MAX(Instances!J97:Instances!J97),"diff", MAX(Instances!J97:Instances!J97)-MIN(Instances!J97:Instances!J97))</f>
        <v>0</v>
      </c>
      <c r="K97" s="1"/>
      <c r="L97" s="1"/>
      <c r="M97" s="1"/>
      <c r="N97" s="1"/>
      <c r="O97" s="1"/>
      <c r="P97" s="1" cm="1">
        <f t="array" ref="P97">_xlfn.SWITCH($A$2,"average", AVERAGE(Instances!P97:Instances!P97),"median", MEDIAN(Instances!P97:Instances!P97),"min", MIN(Instances!P97:Instances!P97),"max", MAX(Instances!P97:Instances!P97),"diff", MAX(Instances!P97:Instances!P97)-MIN(Instances!P97:Instances!P97))</f>
        <v>0</v>
      </c>
      <c r="Q97" s="1" cm="1">
        <f t="array" ref="Q97">_xlfn.SWITCH($A$2,"average", AVERAGE(Instances!Q97:Instances!Q97),"median", MEDIAN(Instances!Q97:Instances!Q97),"min", MIN(Instances!Q97:Instances!Q97),"max", MAX(Instances!Q97:Instances!Q97),"diff", MAX(Instances!Q97:Instances!Q97)-MIN(Instances!Q97:Instances!Q97))</f>
        <v>0</v>
      </c>
      <c r="R97" s="1"/>
      <c r="S97" s="1"/>
      <c r="T97" s="1"/>
      <c r="U97" s="1"/>
      <c r="V97" s="1">
        <f>MIN($E97)</f>
        <v>0</v>
      </c>
      <c r="W97" s="1">
        <f>MIN($F97)</f>
        <v>0</v>
      </c>
      <c r="X97" s="1">
        <f>MIN($G97)</f>
        <v>0</v>
      </c>
      <c r="Y97" s="1"/>
      <c r="Z97" s="1"/>
      <c r="AA97" s="1">
        <f>MIN($J97)</f>
        <v>0</v>
      </c>
      <c r="AB97" s="1"/>
      <c r="AC97" s="1"/>
      <c r="AD97" s="1"/>
      <c r="AE97" s="1">
        <f>MIN($P97)</f>
        <v>0</v>
      </c>
      <c r="AF97" s="1">
        <f>MIN($Q97)</f>
        <v>0</v>
      </c>
      <c r="AG97" s="1"/>
      <c r="AH97" s="1"/>
      <c r="AI97" s="1"/>
      <c r="AJ97" s="1"/>
      <c r="AK97" s="1">
        <f>MEDIAN($E97)</f>
        <v>0</v>
      </c>
      <c r="AL97" s="1">
        <f>MEDIAN($F97)</f>
        <v>0</v>
      </c>
      <c r="AM97" s="1">
        <f>MEDIAN($G97)</f>
        <v>0</v>
      </c>
      <c r="AN97" s="1"/>
      <c r="AO97" s="1"/>
      <c r="AP97" s="1">
        <f>MEDIAN($J97)</f>
        <v>0</v>
      </c>
      <c r="AQ97" s="1"/>
      <c r="AR97" s="1"/>
      <c r="AS97" s="1"/>
      <c r="AT97" s="1">
        <f>MEDIAN($P97)</f>
        <v>0</v>
      </c>
      <c r="AU97" s="1">
        <f>MEDIAN($Q97)</f>
        <v>0</v>
      </c>
      <c r="AV97" s="1"/>
      <c r="AW97" s="1"/>
      <c r="AX97" s="1"/>
      <c r="AY97" s="1"/>
      <c r="AZ97" s="1">
        <f>MAX($E97)</f>
        <v>0</v>
      </c>
      <c r="BA97" s="1">
        <f>MAX($F97)</f>
        <v>0</v>
      </c>
      <c r="BB97" s="1">
        <f>MAX($G97)</f>
        <v>0</v>
      </c>
      <c r="BC97" s="1"/>
      <c r="BD97" s="1"/>
      <c r="BE97" s="1">
        <f>MAX($J97)</f>
        <v>0</v>
      </c>
      <c r="BF97" s="1"/>
      <c r="BG97" s="1"/>
      <c r="BH97" s="1"/>
      <c r="BI97" s="1">
        <f>MAX($P97)</f>
        <v>0</v>
      </c>
      <c r="BJ97" s="1">
        <f>MAX($Q97)</f>
        <v>0</v>
      </c>
      <c r="BK97" s="1"/>
    </row>
    <row r="98" spans="1:63">
      <c r="A98" s="1" t="s">
        <v>95</v>
      </c>
      <c r="B98" s="1"/>
      <c r="C98" s="1"/>
      <c r="D98" s="1"/>
      <c r="E98" s="1" cm="1">
        <f t="array" ref="E98">_xlfn.SWITCH($A$2,"average", AVERAGE(Instances!E98:Instances!E98),"median", MEDIAN(Instances!E98:Instances!E98),"min", MIN(Instances!E98:Instances!E98),"max", MAX(Instances!E98:Instances!E98),"diff", MAX(Instances!E98:Instances!E98)-MIN(Instances!E98:Instances!E98))</f>
        <v>0</v>
      </c>
      <c r="F98" s="1"/>
      <c r="G98" s="1" cm="1">
        <f t="array" ref="G98">_xlfn.SWITCH($A$2,"average", AVERAGE(Instances!G98:Instances!G98),"median", MEDIAN(Instances!G98:Instances!G98),"min", MIN(Instances!G98:Instances!G98),"max", MAX(Instances!G98:Instances!G98),"diff", MAX(Instances!G98:Instances!G98)-MIN(Instances!G98:Instances!G98))</f>
        <v>0</v>
      </c>
      <c r="H98" s="1"/>
      <c r="I98" s="1"/>
      <c r="J98" s="1" cm="1">
        <f t="array" ref="J98">_xlfn.SWITCH($A$2,"average", AVERAGE(Instances!J98:Instances!J98),"median", MEDIAN(Instances!J98:Instances!J98),"min", MIN(Instances!J98:Instances!J98),"max", MAX(Instances!J98:Instances!J98),"diff", MAX(Instances!J98:Instances!J98)-MIN(Instances!J98:Instances!J98))</f>
        <v>0</v>
      </c>
      <c r="K98" s="1"/>
      <c r="L98" s="1"/>
      <c r="M98" s="1"/>
      <c r="N98" s="1"/>
      <c r="O98" s="1"/>
      <c r="P98" s="1" cm="1">
        <f t="array" ref="P98">_xlfn.SWITCH($A$2,"average", AVERAGE(Instances!P98:Instances!P98),"median", MEDIAN(Instances!P98:Instances!P98),"min", MIN(Instances!P98:Instances!P98),"max", MAX(Instances!P98:Instances!P98),"diff", MAX(Instances!P98:Instances!P98)-MIN(Instances!P98:Instances!P98))</f>
        <v>0</v>
      </c>
      <c r="Q98" s="1" cm="1">
        <f t="array" ref="Q98">_xlfn.SWITCH($A$2,"average", AVERAGE(Instances!Q98:Instances!Q98),"median", MEDIAN(Instances!Q98:Instances!Q98),"min", MIN(Instances!Q98:Instances!Q98),"max", MAX(Instances!Q98:Instances!Q98),"diff", MAX(Instances!Q98:Instances!Q98)-MIN(Instances!Q98:Instances!Q98))</f>
        <v>0</v>
      </c>
      <c r="R98" s="1"/>
      <c r="S98" s="1"/>
      <c r="T98" s="1"/>
      <c r="U98" s="1"/>
      <c r="V98" s="1">
        <f>MIN($E98)</f>
        <v>0</v>
      </c>
      <c r="W98" s="1"/>
      <c r="X98" s="1">
        <f>MIN($G98)</f>
        <v>0</v>
      </c>
      <c r="Y98" s="1"/>
      <c r="Z98" s="1"/>
      <c r="AA98" s="1">
        <f>MIN($J98)</f>
        <v>0</v>
      </c>
      <c r="AB98" s="1"/>
      <c r="AC98" s="1"/>
      <c r="AD98" s="1"/>
      <c r="AE98" s="1">
        <f>MIN($P98)</f>
        <v>0</v>
      </c>
      <c r="AF98" s="1">
        <f>MIN($Q98)</f>
        <v>0</v>
      </c>
      <c r="AG98" s="1"/>
      <c r="AH98" s="1"/>
      <c r="AI98" s="1"/>
      <c r="AJ98" s="1"/>
      <c r="AK98" s="1">
        <f>MEDIAN($E98)</f>
        <v>0</v>
      </c>
      <c r="AL98" s="1"/>
      <c r="AM98" s="1">
        <f>MEDIAN($G98)</f>
        <v>0</v>
      </c>
      <c r="AN98" s="1"/>
      <c r="AO98" s="1"/>
      <c r="AP98" s="1">
        <f>MEDIAN($J98)</f>
        <v>0</v>
      </c>
      <c r="AQ98" s="1"/>
      <c r="AR98" s="1"/>
      <c r="AS98" s="1"/>
      <c r="AT98" s="1">
        <f>MEDIAN($P98)</f>
        <v>0</v>
      </c>
      <c r="AU98" s="1">
        <f>MEDIAN($Q98)</f>
        <v>0</v>
      </c>
      <c r="AV98" s="1"/>
      <c r="AW98" s="1"/>
      <c r="AX98" s="1"/>
      <c r="AY98" s="1"/>
      <c r="AZ98" s="1">
        <f>MAX($E98)</f>
        <v>0</v>
      </c>
      <c r="BA98" s="1"/>
      <c r="BB98" s="1">
        <f>MAX($G98)</f>
        <v>0</v>
      </c>
      <c r="BC98" s="1"/>
      <c r="BD98" s="1"/>
      <c r="BE98" s="1">
        <f>MAX($J98)</f>
        <v>0</v>
      </c>
      <c r="BF98" s="1"/>
      <c r="BG98" s="1"/>
      <c r="BH98" s="1"/>
      <c r="BI98" s="1">
        <f>MAX($P98)</f>
        <v>0</v>
      </c>
      <c r="BJ98" s="1">
        <f>MAX($Q98)</f>
        <v>0</v>
      </c>
      <c r="BK98" s="1"/>
    </row>
    <row r="99" spans="1:63">
      <c r="A99" s="1" t="s">
        <v>96</v>
      </c>
      <c r="B99" s="1"/>
      <c r="C99" s="1"/>
      <c r="D99" s="1"/>
      <c r="E99" s="1" cm="1">
        <f t="array" ref="E99">_xlfn.SWITCH($A$2,"average", AVERAGE(Instances!E99:Instances!E99),"median", MEDIAN(Instances!E99:Instances!E99),"min", MIN(Instances!E99:Instances!E99),"max", MAX(Instances!E99:Instances!E99),"diff", MAX(Instances!E99:Instances!E99)-MIN(Instances!E99:Instances!E99))</f>
        <v>0</v>
      </c>
      <c r="F99" s="1" cm="1">
        <f t="array" ref="F99">_xlfn.SWITCH($A$2,"average", AVERAGE(Instances!F99:Instances!F99),"median", MEDIAN(Instances!F99:Instances!F99),"min", MIN(Instances!F99:Instances!F99),"max", MAX(Instances!F99:Instances!F99),"diff", MAX(Instances!F99:Instances!F99)-MIN(Instances!F99:Instances!F99))</f>
        <v>0</v>
      </c>
      <c r="G99" s="1" cm="1">
        <f t="array" ref="G99">_xlfn.SWITCH($A$2,"average", AVERAGE(Instances!G99:Instances!G99),"median", MEDIAN(Instances!G99:Instances!G99),"min", MIN(Instances!G99:Instances!G99),"max", MAX(Instances!G99:Instances!G99),"diff", MAX(Instances!G99:Instances!G99)-MIN(Instances!G99:Instances!G99))</f>
        <v>0</v>
      </c>
      <c r="H99" s="1"/>
      <c r="I99" s="1"/>
      <c r="J99" s="1" cm="1">
        <f t="array" ref="J99">_xlfn.SWITCH($A$2,"average", AVERAGE(Instances!J99:Instances!J99),"median", MEDIAN(Instances!J99:Instances!J99),"min", MIN(Instances!J99:Instances!J99),"max", MAX(Instances!J99:Instances!J99),"diff", MAX(Instances!J99:Instances!J99)-MIN(Instances!J99:Instances!J99))</f>
        <v>0</v>
      </c>
      <c r="K99" s="1"/>
      <c r="L99" s="1"/>
      <c r="M99" s="1"/>
      <c r="N99" s="1"/>
      <c r="O99" s="1"/>
      <c r="P99" s="1" cm="1">
        <f t="array" ref="P99">_xlfn.SWITCH($A$2,"average", AVERAGE(Instances!P99:Instances!P99),"median", MEDIAN(Instances!P99:Instances!P99),"min", MIN(Instances!P99:Instances!P99),"max", MAX(Instances!P99:Instances!P99),"diff", MAX(Instances!P99:Instances!P99)-MIN(Instances!P99:Instances!P99))</f>
        <v>0</v>
      </c>
      <c r="Q99" s="1" cm="1">
        <f t="array" ref="Q99">_xlfn.SWITCH($A$2,"average", AVERAGE(Instances!Q99:Instances!Q99),"median", MEDIAN(Instances!Q99:Instances!Q99),"min", MIN(Instances!Q99:Instances!Q99),"max", MAX(Instances!Q99:Instances!Q99),"diff", MAX(Instances!Q99:Instances!Q99)-MIN(Instances!Q99:Instances!Q99))</f>
        <v>0</v>
      </c>
      <c r="R99" s="1"/>
      <c r="S99" s="1"/>
      <c r="T99" s="1"/>
      <c r="U99" s="1"/>
      <c r="V99" s="1">
        <f>MIN($E99)</f>
        <v>0</v>
      </c>
      <c r="W99" s="1">
        <f>MIN($F99)</f>
        <v>0</v>
      </c>
      <c r="X99" s="1">
        <f>MIN($G99)</f>
        <v>0</v>
      </c>
      <c r="Y99" s="1"/>
      <c r="Z99" s="1"/>
      <c r="AA99" s="1">
        <f>MIN($J99)</f>
        <v>0</v>
      </c>
      <c r="AB99" s="1"/>
      <c r="AC99" s="1"/>
      <c r="AD99" s="1"/>
      <c r="AE99" s="1">
        <f>MIN($P99)</f>
        <v>0</v>
      </c>
      <c r="AF99" s="1">
        <f>MIN($Q99)</f>
        <v>0</v>
      </c>
      <c r="AG99" s="1"/>
      <c r="AH99" s="1"/>
      <c r="AI99" s="1"/>
      <c r="AJ99" s="1"/>
      <c r="AK99" s="1">
        <f>MEDIAN($E99)</f>
        <v>0</v>
      </c>
      <c r="AL99" s="1">
        <f>MEDIAN($F99)</f>
        <v>0</v>
      </c>
      <c r="AM99" s="1">
        <f>MEDIAN($G99)</f>
        <v>0</v>
      </c>
      <c r="AN99" s="1"/>
      <c r="AO99" s="1"/>
      <c r="AP99" s="1">
        <f>MEDIAN($J99)</f>
        <v>0</v>
      </c>
      <c r="AQ99" s="1"/>
      <c r="AR99" s="1"/>
      <c r="AS99" s="1"/>
      <c r="AT99" s="1">
        <f>MEDIAN($P99)</f>
        <v>0</v>
      </c>
      <c r="AU99" s="1">
        <f>MEDIAN($Q99)</f>
        <v>0</v>
      </c>
      <c r="AV99" s="1"/>
      <c r="AW99" s="1"/>
      <c r="AX99" s="1"/>
      <c r="AY99" s="1"/>
      <c r="AZ99" s="1">
        <f>MAX($E99)</f>
        <v>0</v>
      </c>
      <c r="BA99" s="1">
        <f>MAX($F99)</f>
        <v>0</v>
      </c>
      <c r="BB99" s="1">
        <f>MAX($G99)</f>
        <v>0</v>
      </c>
      <c r="BC99" s="1"/>
      <c r="BD99" s="1"/>
      <c r="BE99" s="1">
        <f>MAX($J99)</f>
        <v>0</v>
      </c>
      <c r="BF99" s="1"/>
      <c r="BG99" s="1"/>
      <c r="BH99" s="1"/>
      <c r="BI99" s="1">
        <f>MAX($P99)</f>
        <v>0</v>
      </c>
      <c r="BJ99" s="1">
        <f>MAX($Q99)</f>
        <v>0</v>
      </c>
      <c r="BK99" s="1"/>
    </row>
    <row r="100" spans="1:63">
      <c r="A100" s="1" t="s">
        <v>97</v>
      </c>
      <c r="B100" s="1"/>
      <c r="C100" s="1"/>
      <c r="D100" s="1"/>
      <c r="E100" s="1" cm="1">
        <f t="array" ref="E100">_xlfn.SWITCH($A$2,"average", AVERAGE(Instances!E100:Instances!E100),"median", MEDIAN(Instances!E100:Instances!E100),"min", MIN(Instances!E100:Instances!E100),"max", MAX(Instances!E100:Instances!E100),"diff", MAX(Instances!E100:Instances!E100)-MIN(Instances!E100:Instances!E100))</f>
        <v>0</v>
      </c>
      <c r="F100" s="1" cm="1">
        <f t="array" ref="F100">_xlfn.SWITCH($A$2,"average", AVERAGE(Instances!F100:Instances!F100),"median", MEDIAN(Instances!F100:Instances!F100),"min", MIN(Instances!F100:Instances!F100),"max", MAX(Instances!F100:Instances!F100),"diff", MAX(Instances!F100:Instances!F100)-MIN(Instances!F100:Instances!F100))</f>
        <v>0</v>
      </c>
      <c r="G100" s="1" cm="1">
        <f t="array" ref="G100">_xlfn.SWITCH($A$2,"average", AVERAGE(Instances!G100:Instances!G100),"median", MEDIAN(Instances!G100:Instances!G100),"min", MIN(Instances!G100:Instances!G100),"max", MAX(Instances!G100:Instances!G100),"diff", MAX(Instances!G100:Instances!G100)-MIN(Instances!G100:Instances!G100))</f>
        <v>0</v>
      </c>
      <c r="H100" s="1"/>
      <c r="I100" s="1"/>
      <c r="J100" s="1" cm="1">
        <f t="array" ref="J100">_xlfn.SWITCH($A$2,"average", AVERAGE(Instances!J100:Instances!J100),"median", MEDIAN(Instances!J100:Instances!J100),"min", MIN(Instances!J100:Instances!J100),"max", MAX(Instances!J100:Instances!J100),"diff", MAX(Instances!J100:Instances!J100)-MIN(Instances!J100:Instances!J100))</f>
        <v>0</v>
      </c>
      <c r="K100" s="1"/>
      <c r="L100" s="1"/>
      <c r="M100" s="1"/>
      <c r="N100" s="1"/>
      <c r="O100" s="1"/>
      <c r="P100" s="1" cm="1">
        <f t="array" ref="P100">_xlfn.SWITCH($A$2,"average", AVERAGE(Instances!P100:Instances!P100),"median", MEDIAN(Instances!P100:Instances!P100),"min", MIN(Instances!P100:Instances!P100),"max", MAX(Instances!P100:Instances!P100),"diff", MAX(Instances!P100:Instances!P100)-MIN(Instances!P100:Instances!P100))</f>
        <v>0</v>
      </c>
      <c r="Q100" s="1" cm="1">
        <f t="array" ref="Q100">_xlfn.SWITCH($A$2,"average", AVERAGE(Instances!Q100:Instances!Q100),"median", MEDIAN(Instances!Q100:Instances!Q100),"min", MIN(Instances!Q100:Instances!Q100),"max", MAX(Instances!Q100:Instances!Q100),"diff", MAX(Instances!Q100:Instances!Q100)-MIN(Instances!Q100:Instances!Q100))</f>
        <v>0</v>
      </c>
      <c r="R100" s="1"/>
      <c r="S100" s="1"/>
      <c r="T100" s="1"/>
      <c r="U100" s="1"/>
      <c r="V100" s="1">
        <f>MIN($E100)</f>
        <v>0</v>
      </c>
      <c r="W100" s="1">
        <f>MIN($F100)</f>
        <v>0</v>
      </c>
      <c r="X100" s="1">
        <f>MIN($G100)</f>
        <v>0</v>
      </c>
      <c r="Y100" s="1"/>
      <c r="Z100" s="1"/>
      <c r="AA100" s="1">
        <f>MIN($J100)</f>
        <v>0</v>
      </c>
      <c r="AB100" s="1"/>
      <c r="AC100" s="1"/>
      <c r="AD100" s="1"/>
      <c r="AE100" s="1">
        <f>MIN($P100)</f>
        <v>0</v>
      </c>
      <c r="AF100" s="1">
        <f>MIN($Q100)</f>
        <v>0</v>
      </c>
      <c r="AG100" s="1"/>
      <c r="AH100" s="1"/>
      <c r="AI100" s="1"/>
      <c r="AJ100" s="1"/>
      <c r="AK100" s="1">
        <f>MEDIAN($E100)</f>
        <v>0</v>
      </c>
      <c r="AL100" s="1">
        <f>MEDIAN($F100)</f>
        <v>0</v>
      </c>
      <c r="AM100" s="1">
        <f>MEDIAN($G100)</f>
        <v>0</v>
      </c>
      <c r="AN100" s="1"/>
      <c r="AO100" s="1"/>
      <c r="AP100" s="1">
        <f>MEDIAN($J100)</f>
        <v>0</v>
      </c>
      <c r="AQ100" s="1"/>
      <c r="AR100" s="1"/>
      <c r="AS100" s="1"/>
      <c r="AT100" s="1">
        <f>MEDIAN($P100)</f>
        <v>0</v>
      </c>
      <c r="AU100" s="1">
        <f>MEDIAN($Q100)</f>
        <v>0</v>
      </c>
      <c r="AV100" s="1"/>
      <c r="AW100" s="1"/>
      <c r="AX100" s="1"/>
      <c r="AY100" s="1"/>
      <c r="AZ100" s="1">
        <f>MAX($E100)</f>
        <v>0</v>
      </c>
      <c r="BA100" s="1">
        <f>MAX($F100)</f>
        <v>0</v>
      </c>
      <c r="BB100" s="1">
        <f>MAX($G100)</f>
        <v>0</v>
      </c>
      <c r="BC100" s="1"/>
      <c r="BD100" s="1"/>
      <c r="BE100" s="1">
        <f>MAX($J100)</f>
        <v>0</v>
      </c>
      <c r="BF100" s="1"/>
      <c r="BG100" s="1"/>
      <c r="BH100" s="1"/>
      <c r="BI100" s="1">
        <f>MAX($P100)</f>
        <v>0</v>
      </c>
      <c r="BJ100" s="1">
        <f>MAX($Q100)</f>
        <v>0</v>
      </c>
      <c r="BK100" s="1"/>
    </row>
    <row r="101" spans="1:63">
      <c r="A101" s="1" t="s">
        <v>98</v>
      </c>
      <c r="B101" s="1" cm="1">
        <f t="array" ref="B101">_xlfn.SWITCH($A$2,"average", AVERAGE(Instances!B101:Instances!B101),"median", MEDIAN(Instances!B101:Instances!B101),"min", MIN(Instances!B101:Instances!B101),"max", MAX(Instances!B101:Instances!B101),"diff", MAX(Instances!B101:Instances!B101)-MIN(Instances!B101:Instances!B101))</f>
        <v>0</v>
      </c>
      <c r="C101" s="1" cm="1">
        <f t="array" ref="C101">_xlfn.SWITCH($A$2,"average", AVERAGE(Instances!C101:Instances!C101),"median", MEDIAN(Instances!C101:Instances!C101),"min", MIN(Instances!C101:Instances!C101),"max", MAX(Instances!C101:Instances!C101),"diff", MAX(Instances!C101:Instances!C101)-MIN(Instances!C101:Instances!C101))</f>
        <v>0</v>
      </c>
      <c r="D101" s="1" cm="1">
        <f t="array" ref="D101">_xlfn.SWITCH($A$2,"average", AVERAGE(Instances!D101:Instances!D101),"median", MEDIAN(Instances!D101:Instances!D101),"min", MIN(Instances!D101:Instances!D101),"max", MAX(Instances!D101:Instances!D101),"diff", MAX(Instances!D101:Instances!D101)-MIN(Instances!D101:Instances!D101))</f>
        <v>0</v>
      </c>
      <c r="E101" s="1" cm="1">
        <f t="array" ref="E101">_xlfn.SWITCH($A$2,"average", AVERAGE(Instances!E101:Instances!E101),"median", MEDIAN(Instances!E101:Instances!E101),"min", MIN(Instances!E101:Instances!E101),"max", MAX(Instances!E101:Instances!E101),"diff", MAX(Instances!E101:Instances!E101)-MIN(Instances!E101:Instances!E101))</f>
        <v>0</v>
      </c>
      <c r="F101" s="1" cm="1">
        <f t="array" ref="F101">_xlfn.SWITCH($A$2,"average", AVERAGE(Instances!F101:Instances!F101),"median", MEDIAN(Instances!F101:Instances!F101),"min", MIN(Instances!F101:Instances!F101),"max", MAX(Instances!F101:Instances!F101),"diff", MAX(Instances!F101:Instances!F101)-MIN(Instances!F101:Instances!F101))</f>
        <v>0</v>
      </c>
      <c r="G101" s="1" cm="1">
        <f t="array" ref="G101">_xlfn.SWITCH($A$2,"average", AVERAGE(Instances!G101:Instances!G101),"median", MEDIAN(Instances!G101:Instances!G101),"min", MIN(Instances!G101:Instances!G101),"max", MAX(Instances!G101:Instances!G101),"diff", MAX(Instances!G101:Instances!G101)-MIN(Instances!G101:Instances!G101))</f>
        <v>0</v>
      </c>
      <c r="H101" s="1" cm="1">
        <f t="array" ref="H101">_xlfn.SWITCH($A$2,"average", AVERAGE(Instances!H101:Instances!H101),"median", MEDIAN(Instances!H101:Instances!H101),"min", MIN(Instances!H101:Instances!H101),"max", MAX(Instances!H101:Instances!H101),"diff", MAX(Instances!H101:Instances!H101)-MIN(Instances!H101:Instances!H101))</f>
        <v>0</v>
      </c>
      <c r="I101" s="1" cm="1">
        <f t="array" ref="I101">_xlfn.SWITCH($A$2,"average", AVERAGE(Instances!I101:Instances!I101),"median", MEDIAN(Instances!I101:Instances!I101),"min", MIN(Instances!I101:Instances!I101),"max", MAX(Instances!I101:Instances!I101),"diff", MAX(Instances!I101:Instances!I101)-MIN(Instances!I101:Instances!I101))</f>
        <v>0</v>
      </c>
      <c r="J101" s="1" cm="1">
        <f t="array" ref="J101">_xlfn.SWITCH($A$2,"average", AVERAGE(Instances!J101:Instances!J101),"median", MEDIAN(Instances!J101:Instances!J101),"min", MIN(Instances!J101:Instances!J101),"max", MAX(Instances!J101:Instances!J101),"diff", MAX(Instances!J101:Instances!J101)-MIN(Instances!J101:Instances!J101))</f>
        <v>0</v>
      </c>
      <c r="K101" s="1" cm="1">
        <f t="array" ref="K101">_xlfn.SWITCH($A$2,"average", AVERAGE(Instances!K101:Instances!K101),"median", MEDIAN(Instances!K101:Instances!K101),"min", MIN(Instances!K101:Instances!K101),"max", MAX(Instances!K101:Instances!K101),"diff", MAX(Instances!K101:Instances!K101)-MIN(Instances!K101:Instances!K101))</f>
        <v>0</v>
      </c>
      <c r="L101" s="1"/>
      <c r="M101" s="1" cm="1">
        <f t="array" ref="M101">_xlfn.SWITCH($A$2,"average", AVERAGE(Instances!M101:Instances!M101),"median", MEDIAN(Instances!M101:Instances!M101),"min", MIN(Instances!M101:Instances!M101),"max", MAX(Instances!M101:Instances!M101),"diff", MAX(Instances!M101:Instances!M101)-MIN(Instances!M101:Instances!M101))</f>
        <v>0</v>
      </c>
      <c r="N101" s="1" cm="1">
        <f t="array" ref="N101">_xlfn.SWITCH($A$2,"average", AVERAGE(Instances!N101:Instances!N101),"median", MEDIAN(Instances!N101:Instances!N101),"min", MIN(Instances!N101:Instances!N101),"max", MAX(Instances!N101:Instances!N101),"diff", MAX(Instances!N101:Instances!N101)-MIN(Instances!N101:Instances!N101))</f>
        <v>0</v>
      </c>
      <c r="O101" s="1"/>
      <c r="P101" s="1" cm="1">
        <f t="array" ref="P101">_xlfn.SWITCH($A$2,"average", AVERAGE(Instances!P101:Instances!P101),"median", MEDIAN(Instances!P101:Instances!P101),"min", MIN(Instances!P101:Instances!P101),"max", MAX(Instances!P101:Instances!P101),"diff", MAX(Instances!P101:Instances!P101)-MIN(Instances!P101:Instances!P101))</f>
        <v>0</v>
      </c>
      <c r="Q101" s="1" cm="1">
        <f t="array" ref="Q101">_xlfn.SWITCH($A$2,"average", AVERAGE(Instances!Q101:Instances!Q101),"median", MEDIAN(Instances!Q101:Instances!Q101),"min", MIN(Instances!Q101:Instances!Q101),"max", MAX(Instances!Q101:Instances!Q101),"diff", MAX(Instances!Q101:Instances!Q101)-MIN(Instances!Q101:Instances!Q101))</f>
        <v>0</v>
      </c>
      <c r="R101" s="1" cm="1">
        <f t="array" ref="R101">_xlfn.SWITCH($A$2,"average", AVERAGE(Instances!R101:Instances!R101),"median", MEDIAN(Instances!R101:Instances!R101),"min", MIN(Instances!R101:Instances!R101),"max", MAX(Instances!R101:Instances!R101),"diff", MAX(Instances!R101:Instances!R101)-MIN(Instances!R101:Instances!R101))</f>
        <v>0</v>
      </c>
      <c r="S101" s="1">
        <f>MIN($B101)</f>
        <v>0</v>
      </c>
      <c r="T101" s="1">
        <f>MIN($C101)</f>
        <v>0</v>
      </c>
      <c r="U101" s="1">
        <f>MIN($D101)</f>
        <v>0</v>
      </c>
      <c r="V101" s="1">
        <f>MIN($E101)</f>
        <v>0</v>
      </c>
      <c r="W101" s="1">
        <f>MIN($F101)</f>
        <v>0</v>
      </c>
      <c r="X101" s="1">
        <f>MIN($G101)</f>
        <v>0</v>
      </c>
      <c r="Y101" s="1">
        <f>MIN($H101)</f>
        <v>0</v>
      </c>
      <c r="Z101" s="1">
        <f>MIN($I101)</f>
        <v>0</v>
      </c>
      <c r="AA101" s="1">
        <f>MIN($J101)</f>
        <v>0</v>
      </c>
      <c r="AB101" s="1">
        <f>MIN($K101)</f>
        <v>0</v>
      </c>
      <c r="AC101" s="1">
        <f>MIN($M101)</f>
        <v>0</v>
      </c>
      <c r="AD101" s="1">
        <f>MIN($N101)</f>
        <v>0</v>
      </c>
      <c r="AE101" s="1">
        <f>MIN($P101)</f>
        <v>0</v>
      </c>
      <c r="AF101" s="1">
        <f>MIN($Q101)</f>
        <v>0</v>
      </c>
      <c r="AG101" s="1">
        <f>MIN($R101)</f>
        <v>0</v>
      </c>
      <c r="AH101" s="1">
        <f>MEDIAN($B101)</f>
        <v>0</v>
      </c>
      <c r="AI101" s="1">
        <f>MEDIAN($C101)</f>
        <v>0</v>
      </c>
      <c r="AJ101" s="1">
        <f>MEDIAN($D101)</f>
        <v>0</v>
      </c>
      <c r="AK101" s="1">
        <f>MEDIAN($E101)</f>
        <v>0</v>
      </c>
      <c r="AL101" s="1">
        <f>MEDIAN($F101)</f>
        <v>0</v>
      </c>
      <c r="AM101" s="1">
        <f>MEDIAN($G101)</f>
        <v>0</v>
      </c>
      <c r="AN101" s="1">
        <f>MEDIAN($H101)</f>
        <v>0</v>
      </c>
      <c r="AO101" s="1">
        <f>MEDIAN($I101)</f>
        <v>0</v>
      </c>
      <c r="AP101" s="1">
        <f>MEDIAN($J101)</f>
        <v>0</v>
      </c>
      <c r="AQ101" s="1">
        <f>MEDIAN($K101)</f>
        <v>0</v>
      </c>
      <c r="AR101" s="1">
        <f>MEDIAN($M101)</f>
        <v>0</v>
      </c>
      <c r="AS101" s="1">
        <f>MEDIAN($N101)</f>
        <v>0</v>
      </c>
      <c r="AT101" s="1">
        <f>MEDIAN($P101)</f>
        <v>0</v>
      </c>
      <c r="AU101" s="1">
        <f>MEDIAN($Q101)</f>
        <v>0</v>
      </c>
      <c r="AV101" s="1">
        <f>MEDIAN($R101)</f>
        <v>0</v>
      </c>
      <c r="AW101" s="1">
        <f>MAX($B101)</f>
        <v>0</v>
      </c>
      <c r="AX101" s="1">
        <f>MAX($C101)</f>
        <v>0</v>
      </c>
      <c r="AY101" s="1">
        <f>MAX($D101)</f>
        <v>0</v>
      </c>
      <c r="AZ101" s="1">
        <f>MAX($E101)</f>
        <v>0</v>
      </c>
      <c r="BA101" s="1">
        <f>MAX($F101)</f>
        <v>0</v>
      </c>
      <c r="BB101" s="1">
        <f>MAX($G101)</f>
        <v>0</v>
      </c>
      <c r="BC101" s="1">
        <f>MAX($H101)</f>
        <v>0</v>
      </c>
      <c r="BD101" s="1">
        <f>MAX($I101)</f>
        <v>0</v>
      </c>
      <c r="BE101" s="1">
        <f>MAX($J101)</f>
        <v>0</v>
      </c>
      <c r="BF101" s="1">
        <f>MAX($K101)</f>
        <v>0</v>
      </c>
      <c r="BG101" s="1">
        <f>MAX($M101)</f>
        <v>0</v>
      </c>
      <c r="BH101" s="1">
        <f>MAX($N101)</f>
        <v>0</v>
      </c>
      <c r="BI101" s="1">
        <f>MAX($P101)</f>
        <v>0</v>
      </c>
      <c r="BJ101" s="1">
        <f>MAX($Q101)</f>
        <v>0</v>
      </c>
      <c r="BK101" s="1">
        <f>MAX($R101)</f>
        <v>0</v>
      </c>
    </row>
    <row r="102" spans="1:63">
      <c r="A102" s="1" t="s">
        <v>99</v>
      </c>
      <c r="B102" s="1"/>
      <c r="C102" s="1"/>
      <c r="D102" s="1"/>
      <c r="E102" s="1" cm="1">
        <f t="array" ref="E102">_xlfn.SWITCH($A$2,"average", AVERAGE(Instances!E102:Instances!E102),"median", MEDIAN(Instances!E102:Instances!E102),"min", MIN(Instances!E102:Instances!E102),"max", MAX(Instances!E102:Instances!E102),"diff", MAX(Instances!E102:Instances!E102)-MIN(Instances!E102:Instances!E102))</f>
        <v>0</v>
      </c>
      <c r="F102" s="1" cm="1">
        <f t="array" ref="F102">_xlfn.SWITCH($A$2,"average", AVERAGE(Instances!F102:Instances!F102),"median", MEDIAN(Instances!F102:Instances!F102),"min", MIN(Instances!F102:Instances!F102),"max", MAX(Instances!F102:Instances!F102),"diff", MAX(Instances!F102:Instances!F102)-MIN(Instances!F102:Instances!F102))</f>
        <v>0</v>
      </c>
      <c r="G102" s="1" cm="1">
        <f t="array" ref="G102">_xlfn.SWITCH($A$2,"average", AVERAGE(Instances!G102:Instances!G102),"median", MEDIAN(Instances!G102:Instances!G102),"min", MIN(Instances!G102:Instances!G102),"max", MAX(Instances!G102:Instances!G102),"diff", MAX(Instances!G102:Instances!G102)-MIN(Instances!G102:Instances!G102))</f>
        <v>0</v>
      </c>
      <c r="H102" s="1"/>
      <c r="I102" s="1"/>
      <c r="J102" s="1" cm="1">
        <f t="array" ref="J102">_xlfn.SWITCH($A$2,"average", AVERAGE(Instances!J102:Instances!J102),"median", MEDIAN(Instances!J102:Instances!J102),"min", MIN(Instances!J102:Instances!J102),"max", MAX(Instances!J102:Instances!J102),"diff", MAX(Instances!J102:Instances!J102)-MIN(Instances!J102:Instances!J102))</f>
        <v>0</v>
      </c>
      <c r="K102" s="1"/>
      <c r="L102" s="1"/>
      <c r="M102" s="1"/>
      <c r="N102" s="1"/>
      <c r="O102" s="1"/>
      <c r="P102" s="1" cm="1">
        <f t="array" ref="P102">_xlfn.SWITCH($A$2,"average", AVERAGE(Instances!P102:Instances!P102),"median", MEDIAN(Instances!P102:Instances!P102),"min", MIN(Instances!P102:Instances!P102),"max", MAX(Instances!P102:Instances!P102),"diff", MAX(Instances!P102:Instances!P102)-MIN(Instances!P102:Instances!P102))</f>
        <v>0</v>
      </c>
      <c r="Q102" s="1" cm="1">
        <f t="array" ref="Q102">_xlfn.SWITCH($A$2,"average", AVERAGE(Instances!Q102:Instances!Q102),"median", MEDIAN(Instances!Q102:Instances!Q102),"min", MIN(Instances!Q102:Instances!Q102),"max", MAX(Instances!Q102:Instances!Q102),"diff", MAX(Instances!Q102:Instances!Q102)-MIN(Instances!Q102:Instances!Q102))</f>
        <v>0</v>
      </c>
      <c r="R102" s="1"/>
      <c r="S102" s="1"/>
      <c r="T102" s="1"/>
      <c r="U102" s="1"/>
      <c r="V102" s="1">
        <f>MIN($E102)</f>
        <v>0</v>
      </c>
      <c r="W102" s="1">
        <f>MIN($F102)</f>
        <v>0</v>
      </c>
      <c r="X102" s="1">
        <f>MIN($G102)</f>
        <v>0</v>
      </c>
      <c r="Y102" s="1"/>
      <c r="Z102" s="1"/>
      <c r="AA102" s="1">
        <f>MIN($J102)</f>
        <v>0</v>
      </c>
      <c r="AB102" s="1"/>
      <c r="AC102" s="1"/>
      <c r="AD102" s="1"/>
      <c r="AE102" s="1">
        <f>MIN($P102)</f>
        <v>0</v>
      </c>
      <c r="AF102" s="1">
        <f>MIN($Q102)</f>
        <v>0</v>
      </c>
      <c r="AG102" s="1"/>
      <c r="AH102" s="1"/>
      <c r="AI102" s="1"/>
      <c r="AJ102" s="1"/>
      <c r="AK102" s="1">
        <f>MEDIAN($E102)</f>
        <v>0</v>
      </c>
      <c r="AL102" s="1">
        <f>MEDIAN($F102)</f>
        <v>0</v>
      </c>
      <c r="AM102" s="1">
        <f>MEDIAN($G102)</f>
        <v>0</v>
      </c>
      <c r="AN102" s="1"/>
      <c r="AO102" s="1"/>
      <c r="AP102" s="1">
        <f>MEDIAN($J102)</f>
        <v>0</v>
      </c>
      <c r="AQ102" s="1"/>
      <c r="AR102" s="1"/>
      <c r="AS102" s="1"/>
      <c r="AT102" s="1">
        <f>MEDIAN($P102)</f>
        <v>0</v>
      </c>
      <c r="AU102" s="1">
        <f>MEDIAN($Q102)</f>
        <v>0</v>
      </c>
      <c r="AV102" s="1"/>
      <c r="AW102" s="1"/>
      <c r="AX102" s="1"/>
      <c r="AY102" s="1"/>
      <c r="AZ102" s="1">
        <f>MAX($E102)</f>
        <v>0</v>
      </c>
      <c r="BA102" s="1">
        <f>MAX($F102)</f>
        <v>0</v>
      </c>
      <c r="BB102" s="1">
        <f>MAX($G102)</f>
        <v>0</v>
      </c>
      <c r="BC102" s="1"/>
      <c r="BD102" s="1"/>
      <c r="BE102" s="1">
        <f>MAX($J102)</f>
        <v>0</v>
      </c>
      <c r="BF102" s="1"/>
      <c r="BG102" s="1"/>
      <c r="BH102" s="1"/>
      <c r="BI102" s="1">
        <f>MAX($P102)</f>
        <v>0</v>
      </c>
      <c r="BJ102" s="1">
        <f>MAX($Q102)</f>
        <v>0</v>
      </c>
      <c r="BK102" s="1"/>
    </row>
    <row r="103" spans="1:63">
      <c r="A103" s="1" t="s">
        <v>100</v>
      </c>
      <c r="B103" s="1"/>
      <c r="C103" s="1"/>
      <c r="D103" s="1"/>
      <c r="E103" s="1" cm="1">
        <f t="array" ref="E103">_xlfn.SWITCH($A$2,"average", AVERAGE(Instances!E103:Instances!E103),"median", MEDIAN(Instances!E103:Instances!E103),"min", MIN(Instances!E103:Instances!E103),"max", MAX(Instances!E103:Instances!E103),"diff", MAX(Instances!E103:Instances!E103)-MIN(Instances!E103:Instances!E103))</f>
        <v>0</v>
      </c>
      <c r="F103" s="1" cm="1">
        <f t="array" ref="F103">_xlfn.SWITCH($A$2,"average", AVERAGE(Instances!F103:Instances!F103),"median", MEDIAN(Instances!F103:Instances!F103),"min", MIN(Instances!F103:Instances!F103),"max", MAX(Instances!F103:Instances!F103),"diff", MAX(Instances!F103:Instances!F103)-MIN(Instances!F103:Instances!F103))</f>
        <v>0</v>
      </c>
      <c r="G103" s="1" cm="1">
        <f t="array" ref="G103">_xlfn.SWITCH($A$2,"average", AVERAGE(Instances!G103:Instances!G103),"median", MEDIAN(Instances!G103:Instances!G103),"min", MIN(Instances!G103:Instances!G103),"max", MAX(Instances!G103:Instances!G103),"diff", MAX(Instances!G103:Instances!G103)-MIN(Instances!G103:Instances!G103))</f>
        <v>0</v>
      </c>
      <c r="H103" s="1"/>
      <c r="I103" s="1"/>
      <c r="J103" s="1" cm="1">
        <f t="array" ref="J103">_xlfn.SWITCH($A$2,"average", AVERAGE(Instances!J103:Instances!J103),"median", MEDIAN(Instances!J103:Instances!J103),"min", MIN(Instances!J103:Instances!J103),"max", MAX(Instances!J103:Instances!J103),"diff", MAX(Instances!J103:Instances!J103)-MIN(Instances!J103:Instances!J103))</f>
        <v>0</v>
      </c>
      <c r="K103" s="1"/>
      <c r="L103" s="1"/>
      <c r="M103" s="1"/>
      <c r="N103" s="1"/>
      <c r="O103" s="1"/>
      <c r="P103" s="1" cm="1">
        <f t="array" ref="P103">_xlfn.SWITCH($A$2,"average", AVERAGE(Instances!P103:Instances!P103),"median", MEDIAN(Instances!P103:Instances!P103),"min", MIN(Instances!P103:Instances!P103),"max", MAX(Instances!P103:Instances!P103),"diff", MAX(Instances!P103:Instances!P103)-MIN(Instances!P103:Instances!P103))</f>
        <v>0</v>
      </c>
      <c r="Q103" s="1" cm="1">
        <f t="array" ref="Q103">_xlfn.SWITCH($A$2,"average", AVERAGE(Instances!Q103:Instances!Q103),"median", MEDIAN(Instances!Q103:Instances!Q103),"min", MIN(Instances!Q103:Instances!Q103),"max", MAX(Instances!Q103:Instances!Q103),"diff", MAX(Instances!Q103:Instances!Q103)-MIN(Instances!Q103:Instances!Q103))</f>
        <v>0</v>
      </c>
      <c r="R103" s="1"/>
      <c r="S103" s="1"/>
      <c r="T103" s="1"/>
      <c r="U103" s="1"/>
      <c r="V103" s="1">
        <f>MIN($E103)</f>
        <v>0</v>
      </c>
      <c r="W103" s="1">
        <f>MIN($F103)</f>
        <v>0</v>
      </c>
      <c r="X103" s="1">
        <f>MIN($G103)</f>
        <v>0</v>
      </c>
      <c r="Y103" s="1"/>
      <c r="Z103" s="1"/>
      <c r="AA103" s="1">
        <f>MIN($J103)</f>
        <v>0</v>
      </c>
      <c r="AB103" s="1"/>
      <c r="AC103" s="1"/>
      <c r="AD103" s="1"/>
      <c r="AE103" s="1">
        <f>MIN($P103)</f>
        <v>0</v>
      </c>
      <c r="AF103" s="1">
        <f>MIN($Q103)</f>
        <v>0</v>
      </c>
      <c r="AG103" s="1"/>
      <c r="AH103" s="1"/>
      <c r="AI103" s="1"/>
      <c r="AJ103" s="1"/>
      <c r="AK103" s="1">
        <f>MEDIAN($E103)</f>
        <v>0</v>
      </c>
      <c r="AL103" s="1">
        <f>MEDIAN($F103)</f>
        <v>0</v>
      </c>
      <c r="AM103" s="1">
        <f>MEDIAN($G103)</f>
        <v>0</v>
      </c>
      <c r="AN103" s="1"/>
      <c r="AO103" s="1"/>
      <c r="AP103" s="1">
        <f>MEDIAN($J103)</f>
        <v>0</v>
      </c>
      <c r="AQ103" s="1"/>
      <c r="AR103" s="1"/>
      <c r="AS103" s="1"/>
      <c r="AT103" s="1">
        <f>MEDIAN($P103)</f>
        <v>0</v>
      </c>
      <c r="AU103" s="1">
        <f>MEDIAN($Q103)</f>
        <v>0</v>
      </c>
      <c r="AV103" s="1"/>
      <c r="AW103" s="1"/>
      <c r="AX103" s="1"/>
      <c r="AY103" s="1"/>
      <c r="AZ103" s="1">
        <f>MAX($E103)</f>
        <v>0</v>
      </c>
      <c r="BA103" s="1">
        <f>MAX($F103)</f>
        <v>0</v>
      </c>
      <c r="BB103" s="1">
        <f>MAX($G103)</f>
        <v>0</v>
      </c>
      <c r="BC103" s="1"/>
      <c r="BD103" s="1"/>
      <c r="BE103" s="1">
        <f>MAX($J103)</f>
        <v>0</v>
      </c>
      <c r="BF103" s="1"/>
      <c r="BG103" s="1"/>
      <c r="BH103" s="1"/>
      <c r="BI103" s="1">
        <f>MAX($P103)</f>
        <v>0</v>
      </c>
      <c r="BJ103" s="1">
        <f>MAX($Q103)</f>
        <v>0</v>
      </c>
      <c r="BK103" s="1"/>
    </row>
    <row r="104" spans="1:63">
      <c r="A104" s="1" t="s">
        <v>101</v>
      </c>
      <c r="B104" s="1"/>
      <c r="C104" s="1"/>
      <c r="D104" s="1"/>
      <c r="E104" s="1" cm="1">
        <f t="array" ref="E104">_xlfn.SWITCH($A$2,"average", AVERAGE(Instances!E104:Instances!E104),"median", MEDIAN(Instances!E104:Instances!E104),"min", MIN(Instances!E104:Instances!E104),"max", MAX(Instances!E104:Instances!E104),"diff", MAX(Instances!E104:Instances!E104)-MIN(Instances!E104:Instances!E104))</f>
        <v>0</v>
      </c>
      <c r="F104" s="1" cm="1">
        <f t="array" ref="F104">_xlfn.SWITCH($A$2,"average", AVERAGE(Instances!F104:Instances!F104),"median", MEDIAN(Instances!F104:Instances!F104),"min", MIN(Instances!F104:Instances!F104),"max", MAX(Instances!F104:Instances!F104),"diff", MAX(Instances!F104:Instances!F104)-MIN(Instances!F104:Instances!F104))</f>
        <v>0</v>
      </c>
      <c r="G104" s="1" cm="1">
        <f t="array" ref="G104">_xlfn.SWITCH($A$2,"average", AVERAGE(Instances!G104:Instances!G104),"median", MEDIAN(Instances!G104:Instances!G104),"min", MIN(Instances!G104:Instances!G104),"max", MAX(Instances!G104:Instances!G104),"diff", MAX(Instances!G104:Instances!G104)-MIN(Instances!G104:Instances!G104))</f>
        <v>0</v>
      </c>
      <c r="H104" s="1"/>
      <c r="I104" s="1"/>
      <c r="J104" s="1" cm="1">
        <f t="array" ref="J104">_xlfn.SWITCH($A$2,"average", AVERAGE(Instances!J104:Instances!J104),"median", MEDIAN(Instances!J104:Instances!J104),"min", MIN(Instances!J104:Instances!J104),"max", MAX(Instances!J104:Instances!J104),"diff", MAX(Instances!J104:Instances!J104)-MIN(Instances!J104:Instances!J104))</f>
        <v>0</v>
      </c>
      <c r="K104" s="1"/>
      <c r="L104" s="1"/>
      <c r="M104" s="1"/>
      <c r="N104" s="1"/>
      <c r="O104" s="1"/>
      <c r="P104" s="1" cm="1">
        <f t="array" ref="P104">_xlfn.SWITCH($A$2,"average", AVERAGE(Instances!P104:Instances!P104),"median", MEDIAN(Instances!P104:Instances!P104),"min", MIN(Instances!P104:Instances!P104),"max", MAX(Instances!P104:Instances!P104),"diff", MAX(Instances!P104:Instances!P104)-MIN(Instances!P104:Instances!P104))</f>
        <v>0</v>
      </c>
      <c r="Q104" s="1" cm="1">
        <f t="array" ref="Q104">_xlfn.SWITCH($A$2,"average", AVERAGE(Instances!Q104:Instances!Q104),"median", MEDIAN(Instances!Q104:Instances!Q104),"min", MIN(Instances!Q104:Instances!Q104),"max", MAX(Instances!Q104:Instances!Q104),"diff", MAX(Instances!Q104:Instances!Q104)-MIN(Instances!Q104:Instances!Q104))</f>
        <v>0</v>
      </c>
      <c r="R104" s="1"/>
      <c r="S104" s="1"/>
      <c r="T104" s="1"/>
      <c r="U104" s="1"/>
      <c r="V104" s="1">
        <f>MIN($E104)</f>
        <v>0</v>
      </c>
      <c r="W104" s="1">
        <f>MIN($F104)</f>
        <v>0</v>
      </c>
      <c r="X104" s="1">
        <f>MIN($G104)</f>
        <v>0</v>
      </c>
      <c r="Y104" s="1"/>
      <c r="Z104" s="1"/>
      <c r="AA104" s="1">
        <f>MIN($J104)</f>
        <v>0</v>
      </c>
      <c r="AB104" s="1"/>
      <c r="AC104" s="1"/>
      <c r="AD104" s="1"/>
      <c r="AE104" s="1">
        <f>MIN($P104)</f>
        <v>0</v>
      </c>
      <c r="AF104" s="1">
        <f>MIN($Q104)</f>
        <v>0</v>
      </c>
      <c r="AG104" s="1"/>
      <c r="AH104" s="1"/>
      <c r="AI104" s="1"/>
      <c r="AJ104" s="1"/>
      <c r="AK104" s="1">
        <f>MEDIAN($E104)</f>
        <v>0</v>
      </c>
      <c r="AL104" s="1">
        <f>MEDIAN($F104)</f>
        <v>0</v>
      </c>
      <c r="AM104" s="1">
        <f>MEDIAN($G104)</f>
        <v>0</v>
      </c>
      <c r="AN104" s="1"/>
      <c r="AO104" s="1"/>
      <c r="AP104" s="1">
        <f>MEDIAN($J104)</f>
        <v>0</v>
      </c>
      <c r="AQ104" s="1"/>
      <c r="AR104" s="1"/>
      <c r="AS104" s="1"/>
      <c r="AT104" s="1">
        <f>MEDIAN($P104)</f>
        <v>0</v>
      </c>
      <c r="AU104" s="1">
        <f>MEDIAN($Q104)</f>
        <v>0</v>
      </c>
      <c r="AV104" s="1"/>
      <c r="AW104" s="1"/>
      <c r="AX104" s="1"/>
      <c r="AY104" s="1"/>
      <c r="AZ104" s="1">
        <f>MAX($E104)</f>
        <v>0</v>
      </c>
      <c r="BA104" s="1">
        <f>MAX($F104)</f>
        <v>0</v>
      </c>
      <c r="BB104" s="1">
        <f>MAX($G104)</f>
        <v>0</v>
      </c>
      <c r="BC104" s="1"/>
      <c r="BD104" s="1"/>
      <c r="BE104" s="1">
        <f>MAX($J104)</f>
        <v>0</v>
      </c>
      <c r="BF104" s="1"/>
      <c r="BG104" s="1"/>
      <c r="BH104" s="1"/>
      <c r="BI104" s="1">
        <f>MAX($P104)</f>
        <v>0</v>
      </c>
      <c r="BJ104" s="1">
        <f>MAX($Q104)</f>
        <v>0</v>
      </c>
      <c r="BK104" s="1"/>
    </row>
    <row r="105" spans="1:63">
      <c r="A105" s="1" t="s">
        <v>102</v>
      </c>
      <c r="B105" s="1"/>
      <c r="C105" s="1"/>
      <c r="D105" s="1"/>
      <c r="E105" s="1" cm="1">
        <f t="array" ref="E105">_xlfn.SWITCH($A$2,"average", AVERAGE(Instances!E105:Instances!E105),"median", MEDIAN(Instances!E105:Instances!E105),"min", MIN(Instances!E105:Instances!E105),"max", MAX(Instances!E105:Instances!E105),"diff", MAX(Instances!E105:Instances!E105)-MIN(Instances!E105:Instances!E105))</f>
        <v>0</v>
      </c>
      <c r="F105" s="1" cm="1">
        <f t="array" ref="F105">_xlfn.SWITCH($A$2,"average", AVERAGE(Instances!F105:Instances!F105),"median", MEDIAN(Instances!F105:Instances!F105),"min", MIN(Instances!F105:Instances!F105),"max", MAX(Instances!F105:Instances!F105),"diff", MAX(Instances!F105:Instances!F105)-MIN(Instances!F105:Instances!F105))</f>
        <v>0</v>
      </c>
      <c r="G105" s="1" cm="1">
        <f t="array" ref="G105">_xlfn.SWITCH($A$2,"average", AVERAGE(Instances!G105:Instances!G105),"median", MEDIAN(Instances!G105:Instances!G105),"min", MIN(Instances!G105:Instances!G105),"max", MAX(Instances!G105:Instances!G105),"diff", MAX(Instances!G105:Instances!G105)-MIN(Instances!G105:Instances!G105))</f>
        <v>0</v>
      </c>
      <c r="H105" s="1"/>
      <c r="I105" s="1"/>
      <c r="J105" s="1" cm="1">
        <f t="array" ref="J105">_xlfn.SWITCH($A$2,"average", AVERAGE(Instances!J105:Instances!J105),"median", MEDIAN(Instances!J105:Instances!J105),"min", MIN(Instances!J105:Instances!J105),"max", MAX(Instances!J105:Instances!J105),"diff", MAX(Instances!J105:Instances!J105)-MIN(Instances!J105:Instances!J105))</f>
        <v>0</v>
      </c>
      <c r="K105" s="1"/>
      <c r="L105" s="1"/>
      <c r="M105" s="1"/>
      <c r="N105" s="1"/>
      <c r="O105" s="1"/>
      <c r="P105" s="1" cm="1">
        <f t="array" ref="P105">_xlfn.SWITCH($A$2,"average", AVERAGE(Instances!P105:Instances!P105),"median", MEDIAN(Instances!P105:Instances!P105),"min", MIN(Instances!P105:Instances!P105),"max", MAX(Instances!P105:Instances!P105),"diff", MAX(Instances!P105:Instances!P105)-MIN(Instances!P105:Instances!P105))</f>
        <v>0</v>
      </c>
      <c r="Q105" s="1" cm="1">
        <f t="array" ref="Q105">_xlfn.SWITCH($A$2,"average", AVERAGE(Instances!Q105:Instances!Q105),"median", MEDIAN(Instances!Q105:Instances!Q105),"min", MIN(Instances!Q105:Instances!Q105),"max", MAX(Instances!Q105:Instances!Q105),"diff", MAX(Instances!Q105:Instances!Q105)-MIN(Instances!Q105:Instances!Q105))</f>
        <v>0</v>
      </c>
      <c r="R105" s="1"/>
      <c r="S105" s="1"/>
      <c r="T105" s="1"/>
      <c r="U105" s="1"/>
      <c r="V105" s="1">
        <f>MIN($E105)</f>
        <v>0</v>
      </c>
      <c r="W105" s="1">
        <f>MIN($F105)</f>
        <v>0</v>
      </c>
      <c r="X105" s="1">
        <f>MIN($G105)</f>
        <v>0</v>
      </c>
      <c r="Y105" s="1"/>
      <c r="Z105" s="1"/>
      <c r="AA105" s="1">
        <f>MIN($J105)</f>
        <v>0</v>
      </c>
      <c r="AB105" s="1"/>
      <c r="AC105" s="1"/>
      <c r="AD105" s="1"/>
      <c r="AE105" s="1">
        <f>MIN($P105)</f>
        <v>0</v>
      </c>
      <c r="AF105" s="1">
        <f>MIN($Q105)</f>
        <v>0</v>
      </c>
      <c r="AG105" s="1"/>
      <c r="AH105" s="1"/>
      <c r="AI105" s="1"/>
      <c r="AJ105" s="1"/>
      <c r="AK105" s="1">
        <f>MEDIAN($E105)</f>
        <v>0</v>
      </c>
      <c r="AL105" s="1">
        <f>MEDIAN($F105)</f>
        <v>0</v>
      </c>
      <c r="AM105" s="1">
        <f>MEDIAN($G105)</f>
        <v>0</v>
      </c>
      <c r="AN105" s="1"/>
      <c r="AO105" s="1"/>
      <c r="AP105" s="1">
        <f>MEDIAN($J105)</f>
        <v>0</v>
      </c>
      <c r="AQ105" s="1"/>
      <c r="AR105" s="1"/>
      <c r="AS105" s="1"/>
      <c r="AT105" s="1">
        <f>MEDIAN($P105)</f>
        <v>0</v>
      </c>
      <c r="AU105" s="1">
        <f>MEDIAN($Q105)</f>
        <v>0</v>
      </c>
      <c r="AV105" s="1"/>
      <c r="AW105" s="1"/>
      <c r="AX105" s="1"/>
      <c r="AY105" s="1"/>
      <c r="AZ105" s="1">
        <f>MAX($E105)</f>
        <v>0</v>
      </c>
      <c r="BA105" s="1">
        <f>MAX($F105)</f>
        <v>0</v>
      </c>
      <c r="BB105" s="1">
        <f>MAX($G105)</f>
        <v>0</v>
      </c>
      <c r="BC105" s="1"/>
      <c r="BD105" s="1"/>
      <c r="BE105" s="1">
        <f>MAX($J105)</f>
        <v>0</v>
      </c>
      <c r="BF105" s="1"/>
      <c r="BG105" s="1"/>
      <c r="BH105" s="1"/>
      <c r="BI105" s="1">
        <f>MAX($P105)</f>
        <v>0</v>
      </c>
      <c r="BJ105" s="1">
        <f>MAX($Q105)</f>
        <v>0</v>
      </c>
      <c r="BK105" s="1"/>
    </row>
    <row r="106" spans="1:63">
      <c r="A106" s="1" t="s">
        <v>103</v>
      </c>
      <c r="B106" s="1"/>
      <c r="C106" s="1"/>
      <c r="D106" s="1"/>
      <c r="E106" s="1" cm="1">
        <f t="array" ref="E106">_xlfn.SWITCH($A$2,"average", AVERAGE(Instances!E106:Instances!E106),"median", MEDIAN(Instances!E106:Instances!E106),"min", MIN(Instances!E106:Instances!E106),"max", MAX(Instances!E106:Instances!E106),"diff", MAX(Instances!E106:Instances!E106)-MIN(Instances!E106:Instances!E106))</f>
        <v>0</v>
      </c>
      <c r="F106" s="1" cm="1">
        <f t="array" ref="F106">_xlfn.SWITCH($A$2,"average", AVERAGE(Instances!F106:Instances!F106),"median", MEDIAN(Instances!F106:Instances!F106),"min", MIN(Instances!F106:Instances!F106),"max", MAX(Instances!F106:Instances!F106),"diff", MAX(Instances!F106:Instances!F106)-MIN(Instances!F106:Instances!F106))</f>
        <v>0</v>
      </c>
      <c r="G106" s="1" cm="1">
        <f t="array" ref="G106">_xlfn.SWITCH($A$2,"average", AVERAGE(Instances!G106:Instances!G106),"median", MEDIAN(Instances!G106:Instances!G106),"min", MIN(Instances!G106:Instances!G106),"max", MAX(Instances!G106:Instances!G106),"diff", MAX(Instances!G106:Instances!G106)-MIN(Instances!G106:Instances!G106))</f>
        <v>0</v>
      </c>
      <c r="H106" s="1"/>
      <c r="I106" s="1"/>
      <c r="J106" s="1" cm="1">
        <f t="array" ref="J106">_xlfn.SWITCH($A$2,"average", AVERAGE(Instances!J106:Instances!J106),"median", MEDIAN(Instances!J106:Instances!J106),"min", MIN(Instances!J106:Instances!J106),"max", MAX(Instances!J106:Instances!J106),"diff", MAX(Instances!J106:Instances!J106)-MIN(Instances!J106:Instances!J106))</f>
        <v>0</v>
      </c>
      <c r="K106" s="1"/>
      <c r="L106" s="1"/>
      <c r="M106" s="1"/>
      <c r="N106" s="1"/>
      <c r="O106" s="1"/>
      <c r="P106" s="1" cm="1">
        <f t="array" ref="P106">_xlfn.SWITCH($A$2,"average", AVERAGE(Instances!P106:Instances!P106),"median", MEDIAN(Instances!P106:Instances!P106),"min", MIN(Instances!P106:Instances!P106),"max", MAX(Instances!P106:Instances!P106),"diff", MAX(Instances!P106:Instances!P106)-MIN(Instances!P106:Instances!P106))</f>
        <v>0</v>
      </c>
      <c r="Q106" s="1" cm="1">
        <f t="array" ref="Q106">_xlfn.SWITCH($A$2,"average", AVERAGE(Instances!Q106:Instances!Q106),"median", MEDIAN(Instances!Q106:Instances!Q106),"min", MIN(Instances!Q106:Instances!Q106),"max", MAX(Instances!Q106:Instances!Q106),"diff", MAX(Instances!Q106:Instances!Q106)-MIN(Instances!Q106:Instances!Q106))</f>
        <v>0</v>
      </c>
      <c r="R106" s="1"/>
      <c r="S106" s="1"/>
      <c r="T106" s="1"/>
      <c r="U106" s="1"/>
      <c r="V106" s="1">
        <f>MIN($E106)</f>
        <v>0</v>
      </c>
      <c r="W106" s="1">
        <f>MIN($F106)</f>
        <v>0</v>
      </c>
      <c r="X106" s="1">
        <f>MIN($G106)</f>
        <v>0</v>
      </c>
      <c r="Y106" s="1"/>
      <c r="Z106" s="1"/>
      <c r="AA106" s="1">
        <f>MIN($J106)</f>
        <v>0</v>
      </c>
      <c r="AB106" s="1"/>
      <c r="AC106" s="1"/>
      <c r="AD106" s="1"/>
      <c r="AE106" s="1">
        <f>MIN($P106)</f>
        <v>0</v>
      </c>
      <c r="AF106" s="1">
        <f>MIN($Q106)</f>
        <v>0</v>
      </c>
      <c r="AG106" s="1"/>
      <c r="AH106" s="1"/>
      <c r="AI106" s="1"/>
      <c r="AJ106" s="1"/>
      <c r="AK106" s="1">
        <f>MEDIAN($E106)</f>
        <v>0</v>
      </c>
      <c r="AL106" s="1">
        <f>MEDIAN($F106)</f>
        <v>0</v>
      </c>
      <c r="AM106" s="1">
        <f>MEDIAN($G106)</f>
        <v>0</v>
      </c>
      <c r="AN106" s="1"/>
      <c r="AO106" s="1"/>
      <c r="AP106" s="1">
        <f>MEDIAN($J106)</f>
        <v>0</v>
      </c>
      <c r="AQ106" s="1"/>
      <c r="AR106" s="1"/>
      <c r="AS106" s="1"/>
      <c r="AT106" s="1">
        <f>MEDIAN($P106)</f>
        <v>0</v>
      </c>
      <c r="AU106" s="1">
        <f>MEDIAN($Q106)</f>
        <v>0</v>
      </c>
      <c r="AV106" s="1"/>
      <c r="AW106" s="1"/>
      <c r="AX106" s="1"/>
      <c r="AY106" s="1"/>
      <c r="AZ106" s="1">
        <f>MAX($E106)</f>
        <v>0</v>
      </c>
      <c r="BA106" s="1">
        <f>MAX($F106)</f>
        <v>0</v>
      </c>
      <c r="BB106" s="1">
        <f>MAX($G106)</f>
        <v>0</v>
      </c>
      <c r="BC106" s="1"/>
      <c r="BD106" s="1"/>
      <c r="BE106" s="1">
        <f>MAX($J106)</f>
        <v>0</v>
      </c>
      <c r="BF106" s="1"/>
      <c r="BG106" s="1"/>
      <c r="BH106" s="1"/>
      <c r="BI106" s="1">
        <f>MAX($P106)</f>
        <v>0</v>
      </c>
      <c r="BJ106" s="1">
        <f>MAX($Q106)</f>
        <v>0</v>
      </c>
      <c r="BK106" s="1"/>
    </row>
    <row r="107" spans="1:63">
      <c r="A107" s="1" t="s">
        <v>104</v>
      </c>
      <c r="B107" s="1"/>
      <c r="C107" s="1"/>
      <c r="D107" s="1"/>
      <c r="E107" s="1" cm="1">
        <f t="array" ref="E107">_xlfn.SWITCH($A$2,"average", AVERAGE(Instances!E107:Instances!E107),"median", MEDIAN(Instances!E107:Instances!E107),"min", MIN(Instances!E107:Instances!E107),"max", MAX(Instances!E107:Instances!E107),"diff", MAX(Instances!E107:Instances!E107)-MIN(Instances!E107:Instances!E107))</f>
        <v>0</v>
      </c>
      <c r="F107" s="1" cm="1">
        <f t="array" ref="F107">_xlfn.SWITCH($A$2,"average", AVERAGE(Instances!F107:Instances!F107),"median", MEDIAN(Instances!F107:Instances!F107),"min", MIN(Instances!F107:Instances!F107),"max", MAX(Instances!F107:Instances!F107),"diff", MAX(Instances!F107:Instances!F107)-MIN(Instances!F107:Instances!F107))</f>
        <v>0</v>
      </c>
      <c r="G107" s="1" cm="1">
        <f t="array" ref="G107">_xlfn.SWITCH($A$2,"average", AVERAGE(Instances!G107:Instances!G107),"median", MEDIAN(Instances!G107:Instances!G107),"min", MIN(Instances!G107:Instances!G107),"max", MAX(Instances!G107:Instances!G107),"diff", MAX(Instances!G107:Instances!G107)-MIN(Instances!G107:Instances!G107))</f>
        <v>0</v>
      </c>
      <c r="H107" s="1"/>
      <c r="I107" s="1"/>
      <c r="J107" s="1" cm="1">
        <f t="array" ref="J107">_xlfn.SWITCH($A$2,"average", AVERAGE(Instances!J107:Instances!J107),"median", MEDIAN(Instances!J107:Instances!J107),"min", MIN(Instances!J107:Instances!J107),"max", MAX(Instances!J107:Instances!J107),"diff", MAX(Instances!J107:Instances!J107)-MIN(Instances!J107:Instances!J107))</f>
        <v>0</v>
      </c>
      <c r="K107" s="1"/>
      <c r="L107" s="1"/>
      <c r="M107" s="1"/>
      <c r="N107" s="1"/>
      <c r="O107" s="1"/>
      <c r="P107" s="1" cm="1">
        <f t="array" ref="P107">_xlfn.SWITCH($A$2,"average", AVERAGE(Instances!P107:Instances!P107),"median", MEDIAN(Instances!P107:Instances!P107),"min", MIN(Instances!P107:Instances!P107),"max", MAX(Instances!P107:Instances!P107),"diff", MAX(Instances!P107:Instances!P107)-MIN(Instances!P107:Instances!P107))</f>
        <v>0</v>
      </c>
      <c r="Q107" s="1" cm="1">
        <f t="array" ref="Q107">_xlfn.SWITCH($A$2,"average", AVERAGE(Instances!Q107:Instances!Q107),"median", MEDIAN(Instances!Q107:Instances!Q107),"min", MIN(Instances!Q107:Instances!Q107),"max", MAX(Instances!Q107:Instances!Q107),"diff", MAX(Instances!Q107:Instances!Q107)-MIN(Instances!Q107:Instances!Q107))</f>
        <v>0</v>
      </c>
      <c r="R107" s="1"/>
      <c r="S107" s="1"/>
      <c r="T107" s="1"/>
      <c r="U107" s="1"/>
      <c r="V107" s="1">
        <f>MIN($E107)</f>
        <v>0</v>
      </c>
      <c r="W107" s="1">
        <f>MIN($F107)</f>
        <v>0</v>
      </c>
      <c r="X107" s="1">
        <f>MIN($G107)</f>
        <v>0</v>
      </c>
      <c r="Y107" s="1"/>
      <c r="Z107" s="1"/>
      <c r="AA107" s="1">
        <f>MIN($J107)</f>
        <v>0</v>
      </c>
      <c r="AB107" s="1"/>
      <c r="AC107" s="1"/>
      <c r="AD107" s="1"/>
      <c r="AE107" s="1">
        <f>MIN($P107)</f>
        <v>0</v>
      </c>
      <c r="AF107" s="1">
        <f>MIN($Q107)</f>
        <v>0</v>
      </c>
      <c r="AG107" s="1"/>
      <c r="AH107" s="1"/>
      <c r="AI107" s="1"/>
      <c r="AJ107" s="1"/>
      <c r="AK107" s="1">
        <f>MEDIAN($E107)</f>
        <v>0</v>
      </c>
      <c r="AL107" s="1">
        <f>MEDIAN($F107)</f>
        <v>0</v>
      </c>
      <c r="AM107" s="1">
        <f>MEDIAN($G107)</f>
        <v>0</v>
      </c>
      <c r="AN107" s="1"/>
      <c r="AO107" s="1"/>
      <c r="AP107" s="1">
        <f>MEDIAN($J107)</f>
        <v>0</v>
      </c>
      <c r="AQ107" s="1"/>
      <c r="AR107" s="1"/>
      <c r="AS107" s="1"/>
      <c r="AT107" s="1">
        <f>MEDIAN($P107)</f>
        <v>0</v>
      </c>
      <c r="AU107" s="1">
        <f>MEDIAN($Q107)</f>
        <v>0</v>
      </c>
      <c r="AV107" s="1"/>
      <c r="AW107" s="1"/>
      <c r="AX107" s="1"/>
      <c r="AY107" s="1"/>
      <c r="AZ107" s="1">
        <f>MAX($E107)</f>
        <v>0</v>
      </c>
      <c r="BA107" s="1">
        <f>MAX($F107)</f>
        <v>0</v>
      </c>
      <c r="BB107" s="1">
        <f>MAX($G107)</f>
        <v>0</v>
      </c>
      <c r="BC107" s="1"/>
      <c r="BD107" s="1"/>
      <c r="BE107" s="1">
        <f>MAX($J107)</f>
        <v>0</v>
      </c>
      <c r="BF107" s="1"/>
      <c r="BG107" s="1"/>
      <c r="BH107" s="1"/>
      <c r="BI107" s="1">
        <f>MAX($P107)</f>
        <v>0</v>
      </c>
      <c r="BJ107" s="1">
        <f>MAX($Q107)</f>
        <v>0</v>
      </c>
      <c r="BK107" s="1"/>
    </row>
    <row r="108" spans="1:63">
      <c r="A108" s="1" t="s">
        <v>105</v>
      </c>
      <c r="B108" s="1"/>
      <c r="C108" s="1"/>
      <c r="D108" s="1"/>
      <c r="E108" s="1" cm="1">
        <f t="array" ref="E108">_xlfn.SWITCH($A$2,"average", AVERAGE(Instances!E108:Instances!E108),"median", MEDIAN(Instances!E108:Instances!E108),"min", MIN(Instances!E108:Instances!E108),"max", MAX(Instances!E108:Instances!E108),"diff", MAX(Instances!E108:Instances!E108)-MIN(Instances!E108:Instances!E108))</f>
        <v>0</v>
      </c>
      <c r="F108" s="1" cm="1">
        <f t="array" ref="F108">_xlfn.SWITCH($A$2,"average", AVERAGE(Instances!F108:Instances!F108),"median", MEDIAN(Instances!F108:Instances!F108),"min", MIN(Instances!F108:Instances!F108),"max", MAX(Instances!F108:Instances!F108),"diff", MAX(Instances!F108:Instances!F108)-MIN(Instances!F108:Instances!F108))</f>
        <v>0</v>
      </c>
      <c r="G108" s="1" cm="1">
        <f t="array" ref="G108">_xlfn.SWITCH($A$2,"average", AVERAGE(Instances!G108:Instances!G108),"median", MEDIAN(Instances!G108:Instances!G108),"min", MIN(Instances!G108:Instances!G108),"max", MAX(Instances!G108:Instances!G108),"diff", MAX(Instances!G108:Instances!G108)-MIN(Instances!G108:Instances!G108))</f>
        <v>0</v>
      </c>
      <c r="H108" s="1"/>
      <c r="I108" s="1"/>
      <c r="J108" s="1" cm="1">
        <f t="array" ref="J108">_xlfn.SWITCH($A$2,"average", AVERAGE(Instances!J108:Instances!J108),"median", MEDIAN(Instances!J108:Instances!J108),"min", MIN(Instances!J108:Instances!J108),"max", MAX(Instances!J108:Instances!J108),"diff", MAX(Instances!J108:Instances!J108)-MIN(Instances!J108:Instances!J108))</f>
        <v>0</v>
      </c>
      <c r="K108" s="1"/>
      <c r="L108" s="1"/>
      <c r="M108" s="1"/>
      <c r="N108" s="1"/>
      <c r="O108" s="1"/>
      <c r="P108" s="1" cm="1">
        <f t="array" ref="P108">_xlfn.SWITCH($A$2,"average", AVERAGE(Instances!P108:Instances!P108),"median", MEDIAN(Instances!P108:Instances!P108),"min", MIN(Instances!P108:Instances!P108),"max", MAX(Instances!P108:Instances!P108),"diff", MAX(Instances!P108:Instances!P108)-MIN(Instances!P108:Instances!P108))</f>
        <v>0</v>
      </c>
      <c r="Q108" s="1" cm="1">
        <f t="array" ref="Q108">_xlfn.SWITCH($A$2,"average", AVERAGE(Instances!Q108:Instances!Q108),"median", MEDIAN(Instances!Q108:Instances!Q108),"min", MIN(Instances!Q108:Instances!Q108),"max", MAX(Instances!Q108:Instances!Q108),"diff", MAX(Instances!Q108:Instances!Q108)-MIN(Instances!Q108:Instances!Q108))</f>
        <v>0</v>
      </c>
      <c r="R108" s="1"/>
      <c r="S108" s="1"/>
      <c r="T108" s="1"/>
      <c r="U108" s="1"/>
      <c r="V108" s="1">
        <f>MIN($E108)</f>
        <v>0</v>
      </c>
      <c r="W108" s="1">
        <f>MIN($F108)</f>
        <v>0</v>
      </c>
      <c r="X108" s="1">
        <f>MIN($G108)</f>
        <v>0</v>
      </c>
      <c r="Y108" s="1"/>
      <c r="Z108" s="1"/>
      <c r="AA108" s="1">
        <f>MIN($J108)</f>
        <v>0</v>
      </c>
      <c r="AB108" s="1"/>
      <c r="AC108" s="1"/>
      <c r="AD108" s="1"/>
      <c r="AE108" s="1">
        <f>MIN($P108)</f>
        <v>0</v>
      </c>
      <c r="AF108" s="1">
        <f>MIN($Q108)</f>
        <v>0</v>
      </c>
      <c r="AG108" s="1"/>
      <c r="AH108" s="1"/>
      <c r="AI108" s="1"/>
      <c r="AJ108" s="1"/>
      <c r="AK108" s="1">
        <f>MEDIAN($E108)</f>
        <v>0</v>
      </c>
      <c r="AL108" s="1">
        <f>MEDIAN($F108)</f>
        <v>0</v>
      </c>
      <c r="AM108" s="1">
        <f>MEDIAN($G108)</f>
        <v>0</v>
      </c>
      <c r="AN108" s="1"/>
      <c r="AO108" s="1"/>
      <c r="AP108" s="1">
        <f>MEDIAN($J108)</f>
        <v>0</v>
      </c>
      <c r="AQ108" s="1"/>
      <c r="AR108" s="1"/>
      <c r="AS108" s="1"/>
      <c r="AT108" s="1">
        <f>MEDIAN($P108)</f>
        <v>0</v>
      </c>
      <c r="AU108" s="1">
        <f>MEDIAN($Q108)</f>
        <v>0</v>
      </c>
      <c r="AV108" s="1"/>
      <c r="AW108" s="1"/>
      <c r="AX108" s="1"/>
      <c r="AY108" s="1"/>
      <c r="AZ108" s="1">
        <f>MAX($E108)</f>
        <v>0</v>
      </c>
      <c r="BA108" s="1">
        <f>MAX($F108)</f>
        <v>0</v>
      </c>
      <c r="BB108" s="1">
        <f>MAX($G108)</f>
        <v>0</v>
      </c>
      <c r="BC108" s="1"/>
      <c r="BD108" s="1"/>
      <c r="BE108" s="1">
        <f>MAX($J108)</f>
        <v>0</v>
      </c>
      <c r="BF108" s="1"/>
      <c r="BG108" s="1"/>
      <c r="BH108" s="1"/>
      <c r="BI108" s="1">
        <f>MAX($P108)</f>
        <v>0</v>
      </c>
      <c r="BJ108" s="1">
        <f>MAX($Q108)</f>
        <v>0</v>
      </c>
      <c r="BK108" s="1"/>
    </row>
    <row r="109" spans="1:63">
      <c r="A109" s="1" t="s">
        <v>106</v>
      </c>
      <c r="B109" s="1"/>
      <c r="C109" s="1"/>
      <c r="D109" s="1"/>
      <c r="E109" s="1" cm="1">
        <f t="array" ref="E109">_xlfn.SWITCH($A$2,"average", AVERAGE(Instances!E109:Instances!E109),"median", MEDIAN(Instances!E109:Instances!E109),"min", MIN(Instances!E109:Instances!E109),"max", MAX(Instances!E109:Instances!E109),"diff", MAX(Instances!E109:Instances!E109)-MIN(Instances!E109:Instances!E109))</f>
        <v>0</v>
      </c>
      <c r="F109" s="1" cm="1">
        <f t="array" ref="F109">_xlfn.SWITCH($A$2,"average", AVERAGE(Instances!F109:Instances!F109),"median", MEDIAN(Instances!F109:Instances!F109),"min", MIN(Instances!F109:Instances!F109),"max", MAX(Instances!F109:Instances!F109),"diff", MAX(Instances!F109:Instances!F109)-MIN(Instances!F109:Instances!F109))</f>
        <v>0</v>
      </c>
      <c r="G109" s="1" cm="1">
        <f t="array" ref="G109">_xlfn.SWITCH($A$2,"average", AVERAGE(Instances!G109:Instances!G109),"median", MEDIAN(Instances!G109:Instances!G109),"min", MIN(Instances!G109:Instances!G109),"max", MAX(Instances!G109:Instances!G109),"diff", MAX(Instances!G109:Instances!G109)-MIN(Instances!G109:Instances!G109))</f>
        <v>0</v>
      </c>
      <c r="H109" s="1"/>
      <c r="I109" s="1"/>
      <c r="J109" s="1" cm="1">
        <f t="array" ref="J109">_xlfn.SWITCH($A$2,"average", AVERAGE(Instances!J109:Instances!J109),"median", MEDIAN(Instances!J109:Instances!J109),"min", MIN(Instances!J109:Instances!J109),"max", MAX(Instances!J109:Instances!J109),"diff", MAX(Instances!J109:Instances!J109)-MIN(Instances!J109:Instances!J109))</f>
        <v>0</v>
      </c>
      <c r="K109" s="1"/>
      <c r="L109" s="1"/>
      <c r="M109" s="1"/>
      <c r="N109" s="1"/>
      <c r="O109" s="1"/>
      <c r="P109" s="1" cm="1">
        <f t="array" ref="P109">_xlfn.SWITCH($A$2,"average", AVERAGE(Instances!P109:Instances!P109),"median", MEDIAN(Instances!P109:Instances!P109),"min", MIN(Instances!P109:Instances!P109),"max", MAX(Instances!P109:Instances!P109),"diff", MAX(Instances!P109:Instances!P109)-MIN(Instances!P109:Instances!P109))</f>
        <v>0</v>
      </c>
      <c r="Q109" s="1" cm="1">
        <f t="array" ref="Q109">_xlfn.SWITCH($A$2,"average", AVERAGE(Instances!Q109:Instances!Q109),"median", MEDIAN(Instances!Q109:Instances!Q109),"min", MIN(Instances!Q109:Instances!Q109),"max", MAX(Instances!Q109:Instances!Q109),"diff", MAX(Instances!Q109:Instances!Q109)-MIN(Instances!Q109:Instances!Q109))</f>
        <v>0</v>
      </c>
      <c r="R109" s="1"/>
      <c r="S109" s="1"/>
      <c r="T109" s="1"/>
      <c r="U109" s="1"/>
      <c r="V109" s="1">
        <f>MIN($E109)</f>
        <v>0</v>
      </c>
      <c r="W109" s="1">
        <f>MIN($F109)</f>
        <v>0</v>
      </c>
      <c r="X109" s="1">
        <f>MIN($G109)</f>
        <v>0</v>
      </c>
      <c r="Y109" s="1"/>
      <c r="Z109" s="1"/>
      <c r="AA109" s="1">
        <f>MIN($J109)</f>
        <v>0</v>
      </c>
      <c r="AB109" s="1"/>
      <c r="AC109" s="1"/>
      <c r="AD109" s="1"/>
      <c r="AE109" s="1">
        <f>MIN($P109)</f>
        <v>0</v>
      </c>
      <c r="AF109" s="1">
        <f>MIN($Q109)</f>
        <v>0</v>
      </c>
      <c r="AG109" s="1"/>
      <c r="AH109" s="1"/>
      <c r="AI109" s="1"/>
      <c r="AJ109" s="1"/>
      <c r="AK109" s="1">
        <f>MEDIAN($E109)</f>
        <v>0</v>
      </c>
      <c r="AL109" s="1">
        <f>MEDIAN($F109)</f>
        <v>0</v>
      </c>
      <c r="AM109" s="1">
        <f>MEDIAN($G109)</f>
        <v>0</v>
      </c>
      <c r="AN109" s="1"/>
      <c r="AO109" s="1"/>
      <c r="AP109" s="1">
        <f>MEDIAN($J109)</f>
        <v>0</v>
      </c>
      <c r="AQ109" s="1"/>
      <c r="AR109" s="1"/>
      <c r="AS109" s="1"/>
      <c r="AT109" s="1">
        <f>MEDIAN($P109)</f>
        <v>0</v>
      </c>
      <c r="AU109" s="1">
        <f>MEDIAN($Q109)</f>
        <v>0</v>
      </c>
      <c r="AV109" s="1"/>
      <c r="AW109" s="1"/>
      <c r="AX109" s="1"/>
      <c r="AY109" s="1"/>
      <c r="AZ109" s="1">
        <f>MAX($E109)</f>
        <v>0</v>
      </c>
      <c r="BA109" s="1">
        <f>MAX($F109)</f>
        <v>0</v>
      </c>
      <c r="BB109" s="1">
        <f>MAX($G109)</f>
        <v>0</v>
      </c>
      <c r="BC109" s="1"/>
      <c r="BD109" s="1"/>
      <c r="BE109" s="1">
        <f>MAX($J109)</f>
        <v>0</v>
      </c>
      <c r="BF109" s="1"/>
      <c r="BG109" s="1"/>
      <c r="BH109" s="1"/>
      <c r="BI109" s="1">
        <f>MAX($P109)</f>
        <v>0</v>
      </c>
      <c r="BJ109" s="1">
        <f>MAX($Q109)</f>
        <v>0</v>
      </c>
      <c r="BK109" s="1"/>
    </row>
    <row r="110" spans="1:63">
      <c r="A110" s="1" t="s">
        <v>107</v>
      </c>
      <c r="B110" s="1"/>
      <c r="C110" s="1"/>
      <c r="D110" s="1"/>
      <c r="E110" s="1" cm="1">
        <f t="array" ref="E110">_xlfn.SWITCH($A$2,"average", AVERAGE(Instances!E110:Instances!E110),"median", MEDIAN(Instances!E110:Instances!E110),"min", MIN(Instances!E110:Instances!E110),"max", MAX(Instances!E110:Instances!E110),"diff", MAX(Instances!E110:Instances!E110)-MIN(Instances!E110:Instances!E110))</f>
        <v>0</v>
      </c>
      <c r="F110" s="1" cm="1">
        <f t="array" ref="F110">_xlfn.SWITCH($A$2,"average", AVERAGE(Instances!F110:Instances!F110),"median", MEDIAN(Instances!F110:Instances!F110),"min", MIN(Instances!F110:Instances!F110),"max", MAX(Instances!F110:Instances!F110),"diff", MAX(Instances!F110:Instances!F110)-MIN(Instances!F110:Instances!F110))</f>
        <v>0</v>
      </c>
      <c r="G110" s="1" cm="1">
        <f t="array" ref="G110">_xlfn.SWITCH($A$2,"average", AVERAGE(Instances!G110:Instances!G110),"median", MEDIAN(Instances!G110:Instances!G110),"min", MIN(Instances!G110:Instances!G110),"max", MAX(Instances!G110:Instances!G110),"diff", MAX(Instances!G110:Instances!G110)-MIN(Instances!G110:Instances!G110))</f>
        <v>0</v>
      </c>
      <c r="H110" s="1"/>
      <c r="I110" s="1"/>
      <c r="J110" s="1" cm="1">
        <f t="array" ref="J110">_xlfn.SWITCH($A$2,"average", AVERAGE(Instances!J110:Instances!J110),"median", MEDIAN(Instances!J110:Instances!J110),"min", MIN(Instances!J110:Instances!J110),"max", MAX(Instances!J110:Instances!J110),"diff", MAX(Instances!J110:Instances!J110)-MIN(Instances!J110:Instances!J110))</f>
        <v>0</v>
      </c>
      <c r="K110" s="1"/>
      <c r="L110" s="1"/>
      <c r="M110" s="1"/>
      <c r="N110" s="1"/>
      <c r="O110" s="1"/>
      <c r="P110" s="1" cm="1">
        <f t="array" ref="P110">_xlfn.SWITCH($A$2,"average", AVERAGE(Instances!P110:Instances!P110),"median", MEDIAN(Instances!P110:Instances!P110),"min", MIN(Instances!P110:Instances!P110),"max", MAX(Instances!P110:Instances!P110),"diff", MAX(Instances!P110:Instances!P110)-MIN(Instances!P110:Instances!P110))</f>
        <v>0</v>
      </c>
      <c r="Q110" s="1" cm="1">
        <f t="array" ref="Q110">_xlfn.SWITCH($A$2,"average", AVERAGE(Instances!Q110:Instances!Q110),"median", MEDIAN(Instances!Q110:Instances!Q110),"min", MIN(Instances!Q110:Instances!Q110),"max", MAX(Instances!Q110:Instances!Q110),"diff", MAX(Instances!Q110:Instances!Q110)-MIN(Instances!Q110:Instances!Q110))</f>
        <v>0</v>
      </c>
      <c r="R110" s="1"/>
      <c r="S110" s="1"/>
      <c r="T110" s="1"/>
      <c r="U110" s="1"/>
      <c r="V110" s="1">
        <f>MIN($E110)</f>
        <v>0</v>
      </c>
      <c r="W110" s="1">
        <f>MIN($F110)</f>
        <v>0</v>
      </c>
      <c r="X110" s="1">
        <f>MIN($G110)</f>
        <v>0</v>
      </c>
      <c r="Y110" s="1"/>
      <c r="Z110" s="1"/>
      <c r="AA110" s="1">
        <f>MIN($J110)</f>
        <v>0</v>
      </c>
      <c r="AB110" s="1"/>
      <c r="AC110" s="1"/>
      <c r="AD110" s="1"/>
      <c r="AE110" s="1">
        <f>MIN($P110)</f>
        <v>0</v>
      </c>
      <c r="AF110" s="1">
        <f>MIN($Q110)</f>
        <v>0</v>
      </c>
      <c r="AG110" s="1"/>
      <c r="AH110" s="1"/>
      <c r="AI110" s="1"/>
      <c r="AJ110" s="1"/>
      <c r="AK110" s="1">
        <f>MEDIAN($E110)</f>
        <v>0</v>
      </c>
      <c r="AL110" s="1">
        <f>MEDIAN($F110)</f>
        <v>0</v>
      </c>
      <c r="AM110" s="1">
        <f>MEDIAN($G110)</f>
        <v>0</v>
      </c>
      <c r="AN110" s="1"/>
      <c r="AO110" s="1"/>
      <c r="AP110" s="1">
        <f>MEDIAN($J110)</f>
        <v>0</v>
      </c>
      <c r="AQ110" s="1"/>
      <c r="AR110" s="1"/>
      <c r="AS110" s="1"/>
      <c r="AT110" s="1">
        <f>MEDIAN($P110)</f>
        <v>0</v>
      </c>
      <c r="AU110" s="1">
        <f>MEDIAN($Q110)</f>
        <v>0</v>
      </c>
      <c r="AV110" s="1"/>
      <c r="AW110" s="1"/>
      <c r="AX110" s="1"/>
      <c r="AY110" s="1"/>
      <c r="AZ110" s="1">
        <f>MAX($E110)</f>
        <v>0</v>
      </c>
      <c r="BA110" s="1">
        <f>MAX($F110)</f>
        <v>0</v>
      </c>
      <c r="BB110" s="1">
        <f>MAX($G110)</f>
        <v>0</v>
      </c>
      <c r="BC110" s="1"/>
      <c r="BD110" s="1"/>
      <c r="BE110" s="1">
        <f>MAX($J110)</f>
        <v>0</v>
      </c>
      <c r="BF110" s="1"/>
      <c r="BG110" s="1"/>
      <c r="BH110" s="1"/>
      <c r="BI110" s="1">
        <f>MAX($P110)</f>
        <v>0</v>
      </c>
      <c r="BJ110" s="1">
        <f>MAX($Q110)</f>
        <v>0</v>
      </c>
      <c r="BK110" s="1"/>
    </row>
    <row r="111" spans="1:63">
      <c r="A111" s="1" t="s">
        <v>108</v>
      </c>
      <c r="B111" s="1"/>
      <c r="C111" s="1"/>
      <c r="D111" s="1"/>
      <c r="E111" s="1" cm="1">
        <f t="array" ref="E111">_xlfn.SWITCH($A$2,"average", AVERAGE(Instances!E111:Instances!E111),"median", MEDIAN(Instances!E111:Instances!E111),"min", MIN(Instances!E111:Instances!E111),"max", MAX(Instances!E111:Instances!E111),"diff", MAX(Instances!E111:Instances!E111)-MIN(Instances!E111:Instances!E111))</f>
        <v>0</v>
      </c>
      <c r="F111" s="1" cm="1">
        <f t="array" ref="F111">_xlfn.SWITCH($A$2,"average", AVERAGE(Instances!F111:Instances!F111),"median", MEDIAN(Instances!F111:Instances!F111),"min", MIN(Instances!F111:Instances!F111),"max", MAX(Instances!F111:Instances!F111),"diff", MAX(Instances!F111:Instances!F111)-MIN(Instances!F111:Instances!F111))</f>
        <v>0</v>
      </c>
      <c r="G111" s="1" cm="1">
        <f t="array" ref="G111">_xlfn.SWITCH($A$2,"average", AVERAGE(Instances!G111:Instances!G111),"median", MEDIAN(Instances!G111:Instances!G111),"min", MIN(Instances!G111:Instances!G111),"max", MAX(Instances!G111:Instances!G111),"diff", MAX(Instances!G111:Instances!G111)-MIN(Instances!G111:Instances!G111))</f>
        <v>0</v>
      </c>
      <c r="H111" s="1"/>
      <c r="I111" s="1"/>
      <c r="J111" s="1" cm="1">
        <f t="array" ref="J111">_xlfn.SWITCH($A$2,"average", AVERAGE(Instances!J111:Instances!J111),"median", MEDIAN(Instances!J111:Instances!J111),"min", MIN(Instances!J111:Instances!J111),"max", MAX(Instances!J111:Instances!J111),"diff", MAX(Instances!J111:Instances!J111)-MIN(Instances!J111:Instances!J111))</f>
        <v>0</v>
      </c>
      <c r="K111" s="1"/>
      <c r="L111" s="1"/>
      <c r="M111" s="1"/>
      <c r="N111" s="1"/>
      <c r="O111" s="1"/>
      <c r="P111" s="1" cm="1">
        <f t="array" ref="P111">_xlfn.SWITCH($A$2,"average", AVERAGE(Instances!P111:Instances!P111),"median", MEDIAN(Instances!P111:Instances!P111),"min", MIN(Instances!P111:Instances!P111),"max", MAX(Instances!P111:Instances!P111),"diff", MAX(Instances!P111:Instances!P111)-MIN(Instances!P111:Instances!P111))</f>
        <v>0</v>
      </c>
      <c r="Q111" s="1" cm="1">
        <f t="array" ref="Q111">_xlfn.SWITCH($A$2,"average", AVERAGE(Instances!Q111:Instances!Q111),"median", MEDIAN(Instances!Q111:Instances!Q111),"min", MIN(Instances!Q111:Instances!Q111),"max", MAX(Instances!Q111:Instances!Q111),"diff", MAX(Instances!Q111:Instances!Q111)-MIN(Instances!Q111:Instances!Q111))</f>
        <v>0</v>
      </c>
      <c r="R111" s="1"/>
      <c r="S111" s="1"/>
      <c r="T111" s="1"/>
      <c r="U111" s="1"/>
      <c r="V111" s="1">
        <f>MIN($E111)</f>
        <v>0</v>
      </c>
      <c r="W111" s="1">
        <f>MIN($F111)</f>
        <v>0</v>
      </c>
      <c r="X111" s="1">
        <f>MIN($G111)</f>
        <v>0</v>
      </c>
      <c r="Y111" s="1"/>
      <c r="Z111" s="1"/>
      <c r="AA111" s="1">
        <f>MIN($J111)</f>
        <v>0</v>
      </c>
      <c r="AB111" s="1"/>
      <c r="AC111" s="1"/>
      <c r="AD111" s="1"/>
      <c r="AE111" s="1">
        <f>MIN($P111)</f>
        <v>0</v>
      </c>
      <c r="AF111" s="1">
        <f>MIN($Q111)</f>
        <v>0</v>
      </c>
      <c r="AG111" s="1"/>
      <c r="AH111" s="1"/>
      <c r="AI111" s="1"/>
      <c r="AJ111" s="1"/>
      <c r="AK111" s="1">
        <f>MEDIAN($E111)</f>
        <v>0</v>
      </c>
      <c r="AL111" s="1">
        <f>MEDIAN($F111)</f>
        <v>0</v>
      </c>
      <c r="AM111" s="1">
        <f>MEDIAN($G111)</f>
        <v>0</v>
      </c>
      <c r="AN111" s="1"/>
      <c r="AO111" s="1"/>
      <c r="AP111" s="1">
        <f>MEDIAN($J111)</f>
        <v>0</v>
      </c>
      <c r="AQ111" s="1"/>
      <c r="AR111" s="1"/>
      <c r="AS111" s="1"/>
      <c r="AT111" s="1">
        <f>MEDIAN($P111)</f>
        <v>0</v>
      </c>
      <c r="AU111" s="1">
        <f>MEDIAN($Q111)</f>
        <v>0</v>
      </c>
      <c r="AV111" s="1"/>
      <c r="AW111" s="1"/>
      <c r="AX111" s="1"/>
      <c r="AY111" s="1"/>
      <c r="AZ111" s="1">
        <f>MAX($E111)</f>
        <v>0</v>
      </c>
      <c r="BA111" s="1">
        <f>MAX($F111)</f>
        <v>0</v>
      </c>
      <c r="BB111" s="1">
        <f>MAX($G111)</f>
        <v>0</v>
      </c>
      <c r="BC111" s="1"/>
      <c r="BD111" s="1"/>
      <c r="BE111" s="1">
        <f>MAX($J111)</f>
        <v>0</v>
      </c>
      <c r="BF111" s="1"/>
      <c r="BG111" s="1"/>
      <c r="BH111" s="1"/>
      <c r="BI111" s="1">
        <f>MAX($P111)</f>
        <v>0</v>
      </c>
      <c r="BJ111" s="1">
        <f>MAX($Q111)</f>
        <v>0</v>
      </c>
      <c r="BK111" s="1"/>
    </row>
    <row r="112" spans="1:63">
      <c r="A112" s="1" t="s">
        <v>109</v>
      </c>
      <c r="B112" s="1" cm="1">
        <f t="array" ref="B112">_xlfn.SWITCH($A$2,"average", AVERAGE(Instances!B112:Instances!B112),"median", MEDIAN(Instances!B112:Instances!B112),"min", MIN(Instances!B112:Instances!B112),"max", MAX(Instances!B112:Instances!B112),"diff", MAX(Instances!B112:Instances!B112)-MIN(Instances!B112:Instances!B112))</f>
        <v>0</v>
      </c>
      <c r="C112" s="1" cm="1">
        <f t="array" ref="C112">_xlfn.SWITCH($A$2,"average", AVERAGE(Instances!C112:Instances!C112),"median", MEDIAN(Instances!C112:Instances!C112),"min", MIN(Instances!C112:Instances!C112),"max", MAX(Instances!C112:Instances!C112),"diff", MAX(Instances!C112:Instances!C112)-MIN(Instances!C112:Instances!C112))</f>
        <v>0</v>
      </c>
      <c r="D112" s="1" cm="1">
        <f t="array" ref="D112">_xlfn.SWITCH($A$2,"average", AVERAGE(Instances!D112:Instances!D112),"median", MEDIAN(Instances!D112:Instances!D112),"min", MIN(Instances!D112:Instances!D112),"max", MAX(Instances!D112:Instances!D112),"diff", MAX(Instances!D112:Instances!D112)-MIN(Instances!D112:Instances!D112))</f>
        <v>0</v>
      </c>
      <c r="E112" s="1" cm="1">
        <f t="array" ref="E112">_xlfn.SWITCH($A$2,"average", AVERAGE(Instances!E112:Instances!E112),"median", MEDIAN(Instances!E112:Instances!E112),"min", MIN(Instances!E112:Instances!E112),"max", MAX(Instances!E112:Instances!E112),"diff", MAX(Instances!E112:Instances!E112)-MIN(Instances!E112:Instances!E112))</f>
        <v>0</v>
      </c>
      <c r="F112" s="1" cm="1">
        <f t="array" ref="F112">_xlfn.SWITCH($A$2,"average", AVERAGE(Instances!F112:Instances!F112),"median", MEDIAN(Instances!F112:Instances!F112),"min", MIN(Instances!F112:Instances!F112),"max", MAX(Instances!F112:Instances!F112),"diff", MAX(Instances!F112:Instances!F112)-MIN(Instances!F112:Instances!F112))</f>
        <v>0</v>
      </c>
      <c r="G112" s="1" cm="1">
        <f t="array" ref="G112">_xlfn.SWITCH($A$2,"average", AVERAGE(Instances!G112:Instances!G112),"median", MEDIAN(Instances!G112:Instances!G112),"min", MIN(Instances!G112:Instances!G112),"max", MAX(Instances!G112:Instances!G112),"diff", MAX(Instances!G112:Instances!G112)-MIN(Instances!G112:Instances!G112))</f>
        <v>0</v>
      </c>
      <c r="H112" s="1" cm="1">
        <f t="array" ref="H112">_xlfn.SWITCH($A$2,"average", AVERAGE(Instances!H112:Instances!H112),"median", MEDIAN(Instances!H112:Instances!H112),"min", MIN(Instances!H112:Instances!H112),"max", MAX(Instances!H112:Instances!H112),"diff", MAX(Instances!H112:Instances!H112)-MIN(Instances!H112:Instances!H112))</f>
        <v>0</v>
      </c>
      <c r="I112" s="1" cm="1">
        <f t="array" ref="I112">_xlfn.SWITCH($A$2,"average", AVERAGE(Instances!I112:Instances!I112),"median", MEDIAN(Instances!I112:Instances!I112),"min", MIN(Instances!I112:Instances!I112),"max", MAX(Instances!I112:Instances!I112),"diff", MAX(Instances!I112:Instances!I112)-MIN(Instances!I112:Instances!I112))</f>
        <v>0</v>
      </c>
      <c r="J112" s="1" cm="1">
        <f t="array" ref="J112">_xlfn.SWITCH($A$2,"average", AVERAGE(Instances!J112:Instances!J112),"median", MEDIAN(Instances!J112:Instances!J112),"min", MIN(Instances!J112:Instances!J112),"max", MAX(Instances!J112:Instances!J112),"diff", MAX(Instances!J112:Instances!J112)-MIN(Instances!J112:Instances!J112))</f>
        <v>0</v>
      </c>
      <c r="K112" s="1" cm="1">
        <f t="array" ref="K112">_xlfn.SWITCH($A$2,"average", AVERAGE(Instances!K112:Instances!K112),"median", MEDIAN(Instances!K112:Instances!K112),"min", MIN(Instances!K112:Instances!K112),"max", MAX(Instances!K112:Instances!K112),"diff", MAX(Instances!K112:Instances!K112)-MIN(Instances!K112:Instances!K112))</f>
        <v>0</v>
      </c>
      <c r="L112" s="1"/>
      <c r="M112" s="1" cm="1">
        <f t="array" ref="M112">_xlfn.SWITCH($A$2,"average", AVERAGE(Instances!M112:Instances!M112),"median", MEDIAN(Instances!M112:Instances!M112),"min", MIN(Instances!M112:Instances!M112),"max", MAX(Instances!M112:Instances!M112),"diff", MAX(Instances!M112:Instances!M112)-MIN(Instances!M112:Instances!M112))</f>
        <v>0</v>
      </c>
      <c r="N112" s="1" cm="1">
        <f t="array" ref="N112">_xlfn.SWITCH($A$2,"average", AVERAGE(Instances!N112:Instances!N112),"median", MEDIAN(Instances!N112:Instances!N112),"min", MIN(Instances!N112:Instances!N112),"max", MAX(Instances!N112:Instances!N112),"diff", MAX(Instances!N112:Instances!N112)-MIN(Instances!N112:Instances!N112))</f>
        <v>0</v>
      </c>
      <c r="O112" s="1"/>
      <c r="P112" s="1" cm="1">
        <f t="array" ref="P112">_xlfn.SWITCH($A$2,"average", AVERAGE(Instances!P112:Instances!P112),"median", MEDIAN(Instances!P112:Instances!P112),"min", MIN(Instances!P112:Instances!P112),"max", MAX(Instances!P112:Instances!P112),"diff", MAX(Instances!P112:Instances!P112)-MIN(Instances!P112:Instances!P112))</f>
        <v>0</v>
      </c>
      <c r="Q112" s="1" cm="1">
        <f t="array" ref="Q112">_xlfn.SWITCH($A$2,"average", AVERAGE(Instances!Q112:Instances!Q112),"median", MEDIAN(Instances!Q112:Instances!Q112),"min", MIN(Instances!Q112:Instances!Q112),"max", MAX(Instances!Q112:Instances!Q112),"diff", MAX(Instances!Q112:Instances!Q112)-MIN(Instances!Q112:Instances!Q112))</f>
        <v>0</v>
      </c>
      <c r="R112" s="1" cm="1">
        <f t="array" ref="R112">_xlfn.SWITCH($A$2,"average", AVERAGE(Instances!R112:Instances!R112),"median", MEDIAN(Instances!R112:Instances!R112),"min", MIN(Instances!R112:Instances!R112),"max", MAX(Instances!R112:Instances!R112),"diff", MAX(Instances!R112:Instances!R112)-MIN(Instances!R112:Instances!R112))</f>
        <v>0</v>
      </c>
      <c r="S112" s="1">
        <f>MIN($B112)</f>
        <v>0</v>
      </c>
      <c r="T112" s="1">
        <f>MIN($C112)</f>
        <v>0</v>
      </c>
      <c r="U112" s="1">
        <f>MIN($D112)</f>
        <v>0</v>
      </c>
      <c r="V112" s="1">
        <f>MIN($E112)</f>
        <v>0</v>
      </c>
      <c r="W112" s="1">
        <f>MIN($F112)</f>
        <v>0</v>
      </c>
      <c r="X112" s="1">
        <f>MIN($G112)</f>
        <v>0</v>
      </c>
      <c r="Y112" s="1">
        <f>MIN($H112)</f>
        <v>0</v>
      </c>
      <c r="Z112" s="1">
        <f>MIN($I112)</f>
        <v>0</v>
      </c>
      <c r="AA112" s="1">
        <f>MIN($J112)</f>
        <v>0</v>
      </c>
      <c r="AB112" s="1">
        <f>MIN($K112)</f>
        <v>0</v>
      </c>
      <c r="AC112" s="1">
        <f>MIN($M112)</f>
        <v>0</v>
      </c>
      <c r="AD112" s="1">
        <f>MIN($N112)</f>
        <v>0</v>
      </c>
      <c r="AE112" s="1">
        <f>MIN($P112)</f>
        <v>0</v>
      </c>
      <c r="AF112" s="1">
        <f>MIN($Q112)</f>
        <v>0</v>
      </c>
      <c r="AG112" s="1">
        <f>MIN($R112)</f>
        <v>0</v>
      </c>
      <c r="AH112" s="1">
        <f>MEDIAN($B112)</f>
        <v>0</v>
      </c>
      <c r="AI112" s="1">
        <f>MEDIAN($C112)</f>
        <v>0</v>
      </c>
      <c r="AJ112" s="1">
        <f>MEDIAN($D112)</f>
        <v>0</v>
      </c>
      <c r="AK112" s="1">
        <f>MEDIAN($E112)</f>
        <v>0</v>
      </c>
      <c r="AL112" s="1">
        <f>MEDIAN($F112)</f>
        <v>0</v>
      </c>
      <c r="AM112" s="1">
        <f>MEDIAN($G112)</f>
        <v>0</v>
      </c>
      <c r="AN112" s="1">
        <f>MEDIAN($H112)</f>
        <v>0</v>
      </c>
      <c r="AO112" s="1">
        <f>MEDIAN($I112)</f>
        <v>0</v>
      </c>
      <c r="AP112" s="1">
        <f>MEDIAN($J112)</f>
        <v>0</v>
      </c>
      <c r="AQ112" s="1">
        <f>MEDIAN($K112)</f>
        <v>0</v>
      </c>
      <c r="AR112" s="1">
        <f>MEDIAN($M112)</f>
        <v>0</v>
      </c>
      <c r="AS112" s="1">
        <f>MEDIAN($N112)</f>
        <v>0</v>
      </c>
      <c r="AT112" s="1">
        <f>MEDIAN($P112)</f>
        <v>0</v>
      </c>
      <c r="AU112" s="1">
        <f>MEDIAN($Q112)</f>
        <v>0</v>
      </c>
      <c r="AV112" s="1">
        <f>MEDIAN($R112)</f>
        <v>0</v>
      </c>
      <c r="AW112" s="1">
        <f>MAX($B112)</f>
        <v>0</v>
      </c>
      <c r="AX112" s="1">
        <f>MAX($C112)</f>
        <v>0</v>
      </c>
      <c r="AY112" s="1">
        <f>MAX($D112)</f>
        <v>0</v>
      </c>
      <c r="AZ112" s="1">
        <f>MAX($E112)</f>
        <v>0</v>
      </c>
      <c r="BA112" s="1">
        <f>MAX($F112)</f>
        <v>0</v>
      </c>
      <c r="BB112" s="1">
        <f>MAX($G112)</f>
        <v>0</v>
      </c>
      <c r="BC112" s="1">
        <f>MAX($H112)</f>
        <v>0</v>
      </c>
      <c r="BD112" s="1">
        <f>MAX($I112)</f>
        <v>0</v>
      </c>
      <c r="BE112" s="1">
        <f>MAX($J112)</f>
        <v>0</v>
      </c>
      <c r="BF112" s="1">
        <f>MAX($K112)</f>
        <v>0</v>
      </c>
      <c r="BG112" s="1">
        <f>MAX($M112)</f>
        <v>0</v>
      </c>
      <c r="BH112" s="1">
        <f>MAX($N112)</f>
        <v>0</v>
      </c>
      <c r="BI112" s="1">
        <f>MAX($P112)</f>
        <v>0</v>
      </c>
      <c r="BJ112" s="1">
        <f>MAX($Q112)</f>
        <v>0</v>
      </c>
      <c r="BK112" s="1">
        <f>MAX($R112)</f>
        <v>0</v>
      </c>
    </row>
    <row r="113" spans="1:63">
      <c r="A113" s="1" t="s">
        <v>110</v>
      </c>
      <c r="B113" s="1"/>
      <c r="C113" s="1"/>
      <c r="D113" s="1"/>
      <c r="E113" s="1" cm="1">
        <f t="array" ref="E113">_xlfn.SWITCH($A$2,"average", AVERAGE(Instances!E113:Instances!E113),"median", MEDIAN(Instances!E113:Instances!E113),"min", MIN(Instances!E113:Instances!E113),"max", MAX(Instances!E113:Instances!E113),"diff", MAX(Instances!E113:Instances!E113)-MIN(Instances!E113:Instances!E113))</f>
        <v>0</v>
      </c>
      <c r="F113" s="1"/>
      <c r="G113" s="1" cm="1">
        <f t="array" ref="G113">_xlfn.SWITCH($A$2,"average", AVERAGE(Instances!G113:Instances!G113),"median", MEDIAN(Instances!G113:Instances!G113),"min", MIN(Instances!G113:Instances!G113),"max", MAX(Instances!G113:Instances!G113),"diff", MAX(Instances!G113:Instances!G113)-MIN(Instances!G113:Instances!G113))</f>
        <v>0</v>
      </c>
      <c r="H113" s="1"/>
      <c r="I113" s="1"/>
      <c r="J113" s="1" cm="1">
        <f t="array" ref="J113">_xlfn.SWITCH($A$2,"average", AVERAGE(Instances!J113:Instances!J113),"median", MEDIAN(Instances!J113:Instances!J113),"min", MIN(Instances!J113:Instances!J113),"max", MAX(Instances!J113:Instances!J113),"diff", MAX(Instances!J113:Instances!J113)-MIN(Instances!J113:Instances!J113))</f>
        <v>0</v>
      </c>
      <c r="K113" s="1"/>
      <c r="L113" s="1"/>
      <c r="M113" s="1"/>
      <c r="N113" s="1"/>
      <c r="O113" s="1"/>
      <c r="P113" s="1" cm="1">
        <f t="array" ref="P113">_xlfn.SWITCH($A$2,"average", AVERAGE(Instances!P113:Instances!P113),"median", MEDIAN(Instances!P113:Instances!P113),"min", MIN(Instances!P113:Instances!P113),"max", MAX(Instances!P113:Instances!P113),"diff", MAX(Instances!P113:Instances!P113)-MIN(Instances!P113:Instances!P113))</f>
        <v>0</v>
      </c>
      <c r="Q113" s="1" cm="1">
        <f t="array" ref="Q113">_xlfn.SWITCH($A$2,"average", AVERAGE(Instances!Q113:Instances!Q113),"median", MEDIAN(Instances!Q113:Instances!Q113),"min", MIN(Instances!Q113:Instances!Q113),"max", MAX(Instances!Q113:Instances!Q113),"diff", MAX(Instances!Q113:Instances!Q113)-MIN(Instances!Q113:Instances!Q113))</f>
        <v>0</v>
      </c>
      <c r="R113" s="1"/>
      <c r="S113" s="1"/>
      <c r="T113" s="1"/>
      <c r="U113" s="1"/>
      <c r="V113" s="1">
        <f>MIN($E113)</f>
        <v>0</v>
      </c>
      <c r="W113" s="1"/>
      <c r="X113" s="1">
        <f>MIN($G113)</f>
        <v>0</v>
      </c>
      <c r="Y113" s="1"/>
      <c r="Z113" s="1"/>
      <c r="AA113" s="1">
        <f>MIN($J113)</f>
        <v>0</v>
      </c>
      <c r="AB113" s="1"/>
      <c r="AC113" s="1"/>
      <c r="AD113" s="1"/>
      <c r="AE113" s="1">
        <f>MIN($P113)</f>
        <v>0</v>
      </c>
      <c r="AF113" s="1">
        <f>MIN($Q113)</f>
        <v>0</v>
      </c>
      <c r="AG113" s="1"/>
      <c r="AH113" s="1"/>
      <c r="AI113" s="1"/>
      <c r="AJ113" s="1"/>
      <c r="AK113" s="1">
        <f>MEDIAN($E113)</f>
        <v>0</v>
      </c>
      <c r="AL113" s="1"/>
      <c r="AM113" s="1">
        <f>MEDIAN($G113)</f>
        <v>0</v>
      </c>
      <c r="AN113" s="1"/>
      <c r="AO113" s="1"/>
      <c r="AP113" s="1">
        <f>MEDIAN($J113)</f>
        <v>0</v>
      </c>
      <c r="AQ113" s="1"/>
      <c r="AR113" s="1"/>
      <c r="AS113" s="1"/>
      <c r="AT113" s="1">
        <f>MEDIAN($P113)</f>
        <v>0</v>
      </c>
      <c r="AU113" s="1">
        <f>MEDIAN($Q113)</f>
        <v>0</v>
      </c>
      <c r="AV113" s="1"/>
      <c r="AW113" s="1"/>
      <c r="AX113" s="1"/>
      <c r="AY113" s="1"/>
      <c r="AZ113" s="1">
        <f>MAX($E113)</f>
        <v>0</v>
      </c>
      <c r="BA113" s="1"/>
      <c r="BB113" s="1">
        <f>MAX($G113)</f>
        <v>0</v>
      </c>
      <c r="BC113" s="1"/>
      <c r="BD113" s="1"/>
      <c r="BE113" s="1">
        <f>MAX($J113)</f>
        <v>0</v>
      </c>
      <c r="BF113" s="1"/>
      <c r="BG113" s="1"/>
      <c r="BH113" s="1"/>
      <c r="BI113" s="1">
        <f>MAX($P113)</f>
        <v>0</v>
      </c>
      <c r="BJ113" s="1">
        <f>MAX($Q113)</f>
        <v>0</v>
      </c>
      <c r="BK113" s="1"/>
    </row>
    <row r="114" spans="1:63">
      <c r="A114" s="1" t="s">
        <v>111</v>
      </c>
      <c r="B114" s="1"/>
      <c r="C114" s="1"/>
      <c r="D114" s="1"/>
      <c r="E114" s="1" cm="1">
        <f t="array" ref="E114">_xlfn.SWITCH($A$2,"average", AVERAGE(Instances!E114:Instances!E114),"median", MEDIAN(Instances!E114:Instances!E114),"min", MIN(Instances!E114:Instances!E114),"max", MAX(Instances!E114:Instances!E114),"diff", MAX(Instances!E114:Instances!E114)-MIN(Instances!E114:Instances!E114))</f>
        <v>0</v>
      </c>
      <c r="F114" s="1" cm="1">
        <f t="array" ref="F114">_xlfn.SWITCH($A$2,"average", AVERAGE(Instances!F114:Instances!F114),"median", MEDIAN(Instances!F114:Instances!F114),"min", MIN(Instances!F114:Instances!F114),"max", MAX(Instances!F114:Instances!F114),"diff", MAX(Instances!F114:Instances!F114)-MIN(Instances!F114:Instances!F114))</f>
        <v>0</v>
      </c>
      <c r="G114" s="1" cm="1">
        <f t="array" ref="G114">_xlfn.SWITCH($A$2,"average", AVERAGE(Instances!G114:Instances!G114),"median", MEDIAN(Instances!G114:Instances!G114),"min", MIN(Instances!G114:Instances!G114),"max", MAX(Instances!G114:Instances!G114),"diff", MAX(Instances!G114:Instances!G114)-MIN(Instances!G114:Instances!G114))</f>
        <v>0</v>
      </c>
      <c r="H114" s="1"/>
      <c r="I114" s="1"/>
      <c r="J114" s="1" cm="1">
        <f t="array" ref="J114">_xlfn.SWITCH($A$2,"average", AVERAGE(Instances!J114:Instances!J114),"median", MEDIAN(Instances!J114:Instances!J114),"min", MIN(Instances!J114:Instances!J114),"max", MAX(Instances!J114:Instances!J114),"diff", MAX(Instances!J114:Instances!J114)-MIN(Instances!J114:Instances!J114))</f>
        <v>0</v>
      </c>
      <c r="K114" s="1"/>
      <c r="L114" s="1"/>
      <c r="M114" s="1"/>
      <c r="N114" s="1"/>
      <c r="O114" s="1"/>
      <c r="P114" s="1" cm="1">
        <f t="array" ref="P114">_xlfn.SWITCH($A$2,"average", AVERAGE(Instances!P114:Instances!P114),"median", MEDIAN(Instances!P114:Instances!P114),"min", MIN(Instances!P114:Instances!P114),"max", MAX(Instances!P114:Instances!P114),"diff", MAX(Instances!P114:Instances!P114)-MIN(Instances!P114:Instances!P114))</f>
        <v>0</v>
      </c>
      <c r="Q114" s="1" cm="1">
        <f t="array" ref="Q114">_xlfn.SWITCH($A$2,"average", AVERAGE(Instances!Q114:Instances!Q114),"median", MEDIAN(Instances!Q114:Instances!Q114),"min", MIN(Instances!Q114:Instances!Q114),"max", MAX(Instances!Q114:Instances!Q114),"diff", MAX(Instances!Q114:Instances!Q114)-MIN(Instances!Q114:Instances!Q114))</f>
        <v>0</v>
      </c>
      <c r="R114" s="1"/>
      <c r="S114" s="1"/>
      <c r="T114" s="1"/>
      <c r="U114" s="1"/>
      <c r="V114" s="1">
        <f>MIN($E114)</f>
        <v>0</v>
      </c>
      <c r="W114" s="1">
        <f>MIN($F114)</f>
        <v>0</v>
      </c>
      <c r="X114" s="1">
        <f>MIN($G114)</f>
        <v>0</v>
      </c>
      <c r="Y114" s="1"/>
      <c r="Z114" s="1"/>
      <c r="AA114" s="1">
        <f>MIN($J114)</f>
        <v>0</v>
      </c>
      <c r="AB114" s="1"/>
      <c r="AC114" s="1"/>
      <c r="AD114" s="1"/>
      <c r="AE114" s="1">
        <f>MIN($P114)</f>
        <v>0</v>
      </c>
      <c r="AF114" s="1">
        <f>MIN($Q114)</f>
        <v>0</v>
      </c>
      <c r="AG114" s="1"/>
      <c r="AH114" s="1"/>
      <c r="AI114" s="1"/>
      <c r="AJ114" s="1"/>
      <c r="AK114" s="1">
        <f>MEDIAN($E114)</f>
        <v>0</v>
      </c>
      <c r="AL114" s="1">
        <f>MEDIAN($F114)</f>
        <v>0</v>
      </c>
      <c r="AM114" s="1">
        <f>MEDIAN($G114)</f>
        <v>0</v>
      </c>
      <c r="AN114" s="1"/>
      <c r="AO114" s="1"/>
      <c r="AP114" s="1">
        <f>MEDIAN($J114)</f>
        <v>0</v>
      </c>
      <c r="AQ114" s="1"/>
      <c r="AR114" s="1"/>
      <c r="AS114" s="1"/>
      <c r="AT114" s="1">
        <f>MEDIAN($P114)</f>
        <v>0</v>
      </c>
      <c r="AU114" s="1">
        <f>MEDIAN($Q114)</f>
        <v>0</v>
      </c>
      <c r="AV114" s="1"/>
      <c r="AW114" s="1"/>
      <c r="AX114" s="1"/>
      <c r="AY114" s="1"/>
      <c r="AZ114" s="1">
        <f>MAX($E114)</f>
        <v>0</v>
      </c>
      <c r="BA114" s="1">
        <f>MAX($F114)</f>
        <v>0</v>
      </c>
      <c r="BB114" s="1">
        <f>MAX($G114)</f>
        <v>0</v>
      </c>
      <c r="BC114" s="1"/>
      <c r="BD114" s="1"/>
      <c r="BE114" s="1">
        <f>MAX($J114)</f>
        <v>0</v>
      </c>
      <c r="BF114" s="1"/>
      <c r="BG114" s="1"/>
      <c r="BH114" s="1"/>
      <c r="BI114" s="1">
        <f>MAX($P114)</f>
        <v>0</v>
      </c>
      <c r="BJ114" s="1">
        <f>MAX($Q114)</f>
        <v>0</v>
      </c>
      <c r="BK114" s="1"/>
    </row>
    <row r="115" spans="1:63">
      <c r="A115" s="1" t="s">
        <v>112</v>
      </c>
      <c r="B115" s="1"/>
      <c r="C115" s="1"/>
      <c r="D115" s="1"/>
      <c r="E115" s="1" cm="1">
        <f t="array" ref="E115">_xlfn.SWITCH($A$2,"average", AVERAGE(Instances!E115:Instances!E115),"median", MEDIAN(Instances!E115:Instances!E115),"min", MIN(Instances!E115:Instances!E115),"max", MAX(Instances!E115:Instances!E115),"diff", MAX(Instances!E115:Instances!E115)-MIN(Instances!E115:Instances!E115))</f>
        <v>0</v>
      </c>
      <c r="F115" s="1" cm="1">
        <f t="array" ref="F115">_xlfn.SWITCH($A$2,"average", AVERAGE(Instances!F115:Instances!F115),"median", MEDIAN(Instances!F115:Instances!F115),"min", MIN(Instances!F115:Instances!F115),"max", MAX(Instances!F115:Instances!F115),"diff", MAX(Instances!F115:Instances!F115)-MIN(Instances!F115:Instances!F115))</f>
        <v>0</v>
      </c>
      <c r="G115" s="1" cm="1">
        <f t="array" ref="G115">_xlfn.SWITCH($A$2,"average", AVERAGE(Instances!G115:Instances!G115),"median", MEDIAN(Instances!G115:Instances!G115),"min", MIN(Instances!G115:Instances!G115),"max", MAX(Instances!G115:Instances!G115),"diff", MAX(Instances!G115:Instances!G115)-MIN(Instances!G115:Instances!G115))</f>
        <v>0</v>
      </c>
      <c r="H115" s="1"/>
      <c r="I115" s="1"/>
      <c r="J115" s="1" cm="1">
        <f t="array" ref="J115">_xlfn.SWITCH($A$2,"average", AVERAGE(Instances!J115:Instances!J115),"median", MEDIAN(Instances!J115:Instances!J115),"min", MIN(Instances!J115:Instances!J115),"max", MAX(Instances!J115:Instances!J115),"diff", MAX(Instances!J115:Instances!J115)-MIN(Instances!J115:Instances!J115))</f>
        <v>0</v>
      </c>
      <c r="K115" s="1"/>
      <c r="L115" s="1"/>
      <c r="M115" s="1"/>
      <c r="N115" s="1"/>
      <c r="O115" s="1"/>
      <c r="P115" s="1" cm="1">
        <f t="array" ref="P115">_xlfn.SWITCH($A$2,"average", AVERAGE(Instances!P115:Instances!P115),"median", MEDIAN(Instances!P115:Instances!P115),"min", MIN(Instances!P115:Instances!P115),"max", MAX(Instances!P115:Instances!P115),"diff", MAX(Instances!P115:Instances!P115)-MIN(Instances!P115:Instances!P115))</f>
        <v>0</v>
      </c>
      <c r="Q115" s="1" cm="1">
        <f t="array" ref="Q115">_xlfn.SWITCH($A$2,"average", AVERAGE(Instances!Q115:Instances!Q115),"median", MEDIAN(Instances!Q115:Instances!Q115),"min", MIN(Instances!Q115:Instances!Q115),"max", MAX(Instances!Q115:Instances!Q115),"diff", MAX(Instances!Q115:Instances!Q115)-MIN(Instances!Q115:Instances!Q115))</f>
        <v>0</v>
      </c>
      <c r="R115" s="1"/>
      <c r="S115" s="1"/>
      <c r="T115" s="1"/>
      <c r="U115" s="1"/>
      <c r="V115" s="1">
        <f>MIN($E115)</f>
        <v>0</v>
      </c>
      <c r="W115" s="1">
        <f>MIN($F115)</f>
        <v>0</v>
      </c>
      <c r="X115" s="1">
        <f>MIN($G115)</f>
        <v>0</v>
      </c>
      <c r="Y115" s="1"/>
      <c r="Z115" s="1"/>
      <c r="AA115" s="1">
        <f>MIN($J115)</f>
        <v>0</v>
      </c>
      <c r="AB115" s="1"/>
      <c r="AC115" s="1"/>
      <c r="AD115" s="1"/>
      <c r="AE115" s="1">
        <f>MIN($P115)</f>
        <v>0</v>
      </c>
      <c r="AF115" s="1">
        <f>MIN($Q115)</f>
        <v>0</v>
      </c>
      <c r="AG115" s="1"/>
      <c r="AH115" s="1"/>
      <c r="AI115" s="1"/>
      <c r="AJ115" s="1"/>
      <c r="AK115" s="1">
        <f>MEDIAN($E115)</f>
        <v>0</v>
      </c>
      <c r="AL115" s="1">
        <f>MEDIAN($F115)</f>
        <v>0</v>
      </c>
      <c r="AM115" s="1">
        <f>MEDIAN($G115)</f>
        <v>0</v>
      </c>
      <c r="AN115" s="1"/>
      <c r="AO115" s="1"/>
      <c r="AP115" s="1">
        <f>MEDIAN($J115)</f>
        <v>0</v>
      </c>
      <c r="AQ115" s="1"/>
      <c r="AR115" s="1"/>
      <c r="AS115" s="1"/>
      <c r="AT115" s="1">
        <f>MEDIAN($P115)</f>
        <v>0</v>
      </c>
      <c r="AU115" s="1">
        <f>MEDIAN($Q115)</f>
        <v>0</v>
      </c>
      <c r="AV115" s="1"/>
      <c r="AW115" s="1"/>
      <c r="AX115" s="1"/>
      <c r="AY115" s="1"/>
      <c r="AZ115" s="1">
        <f>MAX($E115)</f>
        <v>0</v>
      </c>
      <c r="BA115" s="1">
        <f>MAX($F115)</f>
        <v>0</v>
      </c>
      <c r="BB115" s="1">
        <f>MAX($G115)</f>
        <v>0</v>
      </c>
      <c r="BC115" s="1"/>
      <c r="BD115" s="1"/>
      <c r="BE115" s="1">
        <f>MAX($J115)</f>
        <v>0</v>
      </c>
      <c r="BF115" s="1"/>
      <c r="BG115" s="1"/>
      <c r="BH115" s="1"/>
      <c r="BI115" s="1">
        <f>MAX($P115)</f>
        <v>0</v>
      </c>
      <c r="BJ115" s="1">
        <f>MAX($Q115)</f>
        <v>0</v>
      </c>
      <c r="BK115" s="1"/>
    </row>
    <row r="116" spans="1:63">
      <c r="A116" s="1" t="s">
        <v>113</v>
      </c>
      <c r="B116" s="1" cm="1">
        <f t="array" ref="B116">_xlfn.SWITCH($A$2,"average", AVERAGE(Instances!B116:Instances!B116),"median", MEDIAN(Instances!B116:Instances!B116),"min", MIN(Instances!B116:Instances!B116),"max", MAX(Instances!B116:Instances!B116),"diff", MAX(Instances!B116:Instances!B116)-MIN(Instances!B116:Instances!B116))</f>
        <v>0</v>
      </c>
      <c r="C116" s="1" cm="1">
        <f t="array" ref="C116">_xlfn.SWITCH($A$2,"average", AVERAGE(Instances!C116:Instances!C116),"median", MEDIAN(Instances!C116:Instances!C116),"min", MIN(Instances!C116:Instances!C116),"max", MAX(Instances!C116:Instances!C116),"diff", MAX(Instances!C116:Instances!C116)-MIN(Instances!C116:Instances!C116))</f>
        <v>0</v>
      </c>
      <c r="D116" s="1" cm="1">
        <f t="array" ref="D116">_xlfn.SWITCH($A$2,"average", AVERAGE(Instances!D116:Instances!D116),"median", MEDIAN(Instances!D116:Instances!D116),"min", MIN(Instances!D116:Instances!D116),"max", MAX(Instances!D116:Instances!D116),"diff", MAX(Instances!D116:Instances!D116)-MIN(Instances!D116:Instances!D116))</f>
        <v>0</v>
      </c>
      <c r="E116" s="1" cm="1">
        <f t="array" ref="E116">_xlfn.SWITCH($A$2,"average", AVERAGE(Instances!E116:Instances!E116),"median", MEDIAN(Instances!E116:Instances!E116),"min", MIN(Instances!E116:Instances!E116),"max", MAX(Instances!E116:Instances!E116),"diff", MAX(Instances!E116:Instances!E116)-MIN(Instances!E116:Instances!E116))</f>
        <v>0</v>
      </c>
      <c r="F116" s="1" cm="1">
        <f t="array" ref="F116">_xlfn.SWITCH($A$2,"average", AVERAGE(Instances!F116:Instances!F116),"median", MEDIAN(Instances!F116:Instances!F116),"min", MIN(Instances!F116:Instances!F116),"max", MAX(Instances!F116:Instances!F116),"diff", MAX(Instances!F116:Instances!F116)-MIN(Instances!F116:Instances!F116))</f>
        <v>0</v>
      </c>
      <c r="G116" s="1" cm="1">
        <f t="array" ref="G116">_xlfn.SWITCH($A$2,"average", AVERAGE(Instances!G116:Instances!G116),"median", MEDIAN(Instances!G116:Instances!G116),"min", MIN(Instances!G116:Instances!G116),"max", MAX(Instances!G116:Instances!G116),"diff", MAX(Instances!G116:Instances!G116)-MIN(Instances!G116:Instances!G116))</f>
        <v>0</v>
      </c>
      <c r="H116" s="1" cm="1">
        <f t="array" ref="H116">_xlfn.SWITCH($A$2,"average", AVERAGE(Instances!H116:Instances!H116),"median", MEDIAN(Instances!H116:Instances!H116),"min", MIN(Instances!H116:Instances!H116),"max", MAX(Instances!H116:Instances!H116),"diff", MAX(Instances!H116:Instances!H116)-MIN(Instances!H116:Instances!H116))</f>
        <v>0</v>
      </c>
      <c r="I116" s="1" cm="1">
        <f t="array" ref="I116">_xlfn.SWITCH($A$2,"average", AVERAGE(Instances!I116:Instances!I116),"median", MEDIAN(Instances!I116:Instances!I116),"min", MIN(Instances!I116:Instances!I116),"max", MAX(Instances!I116:Instances!I116),"diff", MAX(Instances!I116:Instances!I116)-MIN(Instances!I116:Instances!I116))</f>
        <v>0</v>
      </c>
      <c r="J116" s="1" cm="1">
        <f t="array" ref="J116">_xlfn.SWITCH($A$2,"average", AVERAGE(Instances!J116:Instances!J116),"median", MEDIAN(Instances!J116:Instances!J116),"min", MIN(Instances!J116:Instances!J116),"max", MAX(Instances!J116:Instances!J116),"diff", MAX(Instances!J116:Instances!J116)-MIN(Instances!J116:Instances!J116))</f>
        <v>0</v>
      </c>
      <c r="K116" s="1" cm="1">
        <f t="array" ref="K116">_xlfn.SWITCH($A$2,"average", AVERAGE(Instances!K116:Instances!K116),"median", MEDIAN(Instances!K116:Instances!K116),"min", MIN(Instances!K116:Instances!K116),"max", MAX(Instances!K116:Instances!K116),"diff", MAX(Instances!K116:Instances!K116)-MIN(Instances!K116:Instances!K116))</f>
        <v>0</v>
      </c>
      <c r="L116" s="1"/>
      <c r="M116" s="1" cm="1">
        <f t="array" ref="M116">_xlfn.SWITCH($A$2,"average", AVERAGE(Instances!M116:Instances!M116),"median", MEDIAN(Instances!M116:Instances!M116),"min", MIN(Instances!M116:Instances!M116),"max", MAX(Instances!M116:Instances!M116),"diff", MAX(Instances!M116:Instances!M116)-MIN(Instances!M116:Instances!M116))</f>
        <v>0</v>
      </c>
      <c r="N116" s="1" cm="1">
        <f t="array" ref="N116">_xlfn.SWITCH($A$2,"average", AVERAGE(Instances!N116:Instances!N116),"median", MEDIAN(Instances!N116:Instances!N116),"min", MIN(Instances!N116:Instances!N116),"max", MAX(Instances!N116:Instances!N116),"diff", MAX(Instances!N116:Instances!N116)-MIN(Instances!N116:Instances!N116))</f>
        <v>0</v>
      </c>
      <c r="O116" s="1"/>
      <c r="P116" s="1" cm="1">
        <f t="array" ref="P116">_xlfn.SWITCH($A$2,"average", AVERAGE(Instances!P116:Instances!P116),"median", MEDIAN(Instances!P116:Instances!P116),"min", MIN(Instances!P116:Instances!P116),"max", MAX(Instances!P116:Instances!P116),"diff", MAX(Instances!P116:Instances!P116)-MIN(Instances!P116:Instances!P116))</f>
        <v>0</v>
      </c>
      <c r="Q116" s="1" cm="1">
        <f t="array" ref="Q116">_xlfn.SWITCH($A$2,"average", AVERAGE(Instances!Q116:Instances!Q116),"median", MEDIAN(Instances!Q116:Instances!Q116),"min", MIN(Instances!Q116:Instances!Q116),"max", MAX(Instances!Q116:Instances!Q116),"diff", MAX(Instances!Q116:Instances!Q116)-MIN(Instances!Q116:Instances!Q116))</f>
        <v>0</v>
      </c>
      <c r="R116" s="1" cm="1">
        <f t="array" ref="R116">_xlfn.SWITCH($A$2,"average", AVERAGE(Instances!R116:Instances!R116),"median", MEDIAN(Instances!R116:Instances!R116),"min", MIN(Instances!R116:Instances!R116),"max", MAX(Instances!R116:Instances!R116),"diff", MAX(Instances!R116:Instances!R116)-MIN(Instances!R116:Instances!R116))</f>
        <v>0</v>
      </c>
      <c r="S116" s="1">
        <f>MIN($B116)</f>
        <v>0</v>
      </c>
      <c r="T116" s="1">
        <f>MIN($C116)</f>
        <v>0</v>
      </c>
      <c r="U116" s="1">
        <f>MIN($D116)</f>
        <v>0</v>
      </c>
      <c r="V116" s="1">
        <f>MIN($E116)</f>
        <v>0</v>
      </c>
      <c r="W116" s="1">
        <f>MIN($F116)</f>
        <v>0</v>
      </c>
      <c r="X116" s="1">
        <f>MIN($G116)</f>
        <v>0</v>
      </c>
      <c r="Y116" s="1">
        <f>MIN($H116)</f>
        <v>0</v>
      </c>
      <c r="Z116" s="1">
        <f>MIN($I116)</f>
        <v>0</v>
      </c>
      <c r="AA116" s="1">
        <f>MIN($J116)</f>
        <v>0</v>
      </c>
      <c r="AB116" s="1">
        <f>MIN($K116)</f>
        <v>0</v>
      </c>
      <c r="AC116" s="1">
        <f>MIN($M116)</f>
        <v>0</v>
      </c>
      <c r="AD116" s="1">
        <f>MIN($N116)</f>
        <v>0</v>
      </c>
      <c r="AE116" s="1">
        <f>MIN($P116)</f>
        <v>0</v>
      </c>
      <c r="AF116" s="1">
        <f>MIN($Q116)</f>
        <v>0</v>
      </c>
      <c r="AG116" s="1">
        <f>MIN($R116)</f>
        <v>0</v>
      </c>
      <c r="AH116" s="1">
        <f>MEDIAN($B116)</f>
        <v>0</v>
      </c>
      <c r="AI116" s="1">
        <f>MEDIAN($C116)</f>
        <v>0</v>
      </c>
      <c r="AJ116" s="1">
        <f>MEDIAN($D116)</f>
        <v>0</v>
      </c>
      <c r="AK116" s="1">
        <f>MEDIAN($E116)</f>
        <v>0</v>
      </c>
      <c r="AL116" s="1">
        <f>MEDIAN($F116)</f>
        <v>0</v>
      </c>
      <c r="AM116" s="1">
        <f>MEDIAN($G116)</f>
        <v>0</v>
      </c>
      <c r="AN116" s="1">
        <f>MEDIAN($H116)</f>
        <v>0</v>
      </c>
      <c r="AO116" s="1">
        <f>MEDIAN($I116)</f>
        <v>0</v>
      </c>
      <c r="AP116" s="1">
        <f>MEDIAN($J116)</f>
        <v>0</v>
      </c>
      <c r="AQ116" s="1">
        <f>MEDIAN($K116)</f>
        <v>0</v>
      </c>
      <c r="AR116" s="1">
        <f>MEDIAN($M116)</f>
        <v>0</v>
      </c>
      <c r="AS116" s="1">
        <f>MEDIAN($N116)</f>
        <v>0</v>
      </c>
      <c r="AT116" s="1">
        <f>MEDIAN($P116)</f>
        <v>0</v>
      </c>
      <c r="AU116" s="1">
        <f>MEDIAN($Q116)</f>
        <v>0</v>
      </c>
      <c r="AV116" s="1">
        <f>MEDIAN($R116)</f>
        <v>0</v>
      </c>
      <c r="AW116" s="1">
        <f>MAX($B116)</f>
        <v>0</v>
      </c>
      <c r="AX116" s="1">
        <f>MAX($C116)</f>
        <v>0</v>
      </c>
      <c r="AY116" s="1">
        <f>MAX($D116)</f>
        <v>0</v>
      </c>
      <c r="AZ116" s="1">
        <f>MAX($E116)</f>
        <v>0</v>
      </c>
      <c r="BA116" s="1">
        <f>MAX($F116)</f>
        <v>0</v>
      </c>
      <c r="BB116" s="1">
        <f>MAX($G116)</f>
        <v>0</v>
      </c>
      <c r="BC116" s="1">
        <f>MAX($H116)</f>
        <v>0</v>
      </c>
      <c r="BD116" s="1">
        <f>MAX($I116)</f>
        <v>0</v>
      </c>
      <c r="BE116" s="1">
        <f>MAX($J116)</f>
        <v>0</v>
      </c>
      <c r="BF116" s="1">
        <f>MAX($K116)</f>
        <v>0</v>
      </c>
      <c r="BG116" s="1">
        <f>MAX($M116)</f>
        <v>0</v>
      </c>
      <c r="BH116" s="1">
        <f>MAX($N116)</f>
        <v>0</v>
      </c>
      <c r="BI116" s="1">
        <f>MAX($P116)</f>
        <v>0</v>
      </c>
      <c r="BJ116" s="1">
        <f>MAX($Q116)</f>
        <v>0</v>
      </c>
      <c r="BK116" s="1">
        <f>MAX($R116)</f>
        <v>0</v>
      </c>
    </row>
    <row r="117" spans="1:63">
      <c r="A117" s="1" t="s">
        <v>114</v>
      </c>
      <c r="B117" s="1" cm="1">
        <f t="array" ref="B117">_xlfn.SWITCH($A$2,"average", AVERAGE(Instances!B117:Instances!B117),"median", MEDIAN(Instances!B117:Instances!B117),"min", MIN(Instances!B117:Instances!B117),"max", MAX(Instances!B117:Instances!B117),"diff", MAX(Instances!B117:Instances!B117)-MIN(Instances!B117:Instances!B117))</f>
        <v>0</v>
      </c>
      <c r="C117" s="1" cm="1">
        <f t="array" ref="C117">_xlfn.SWITCH($A$2,"average", AVERAGE(Instances!C117:Instances!C117),"median", MEDIAN(Instances!C117:Instances!C117),"min", MIN(Instances!C117:Instances!C117),"max", MAX(Instances!C117:Instances!C117),"diff", MAX(Instances!C117:Instances!C117)-MIN(Instances!C117:Instances!C117))</f>
        <v>0</v>
      </c>
      <c r="D117" s="1" cm="1">
        <f t="array" ref="D117">_xlfn.SWITCH($A$2,"average", AVERAGE(Instances!D117:Instances!D117),"median", MEDIAN(Instances!D117:Instances!D117),"min", MIN(Instances!D117:Instances!D117),"max", MAX(Instances!D117:Instances!D117),"diff", MAX(Instances!D117:Instances!D117)-MIN(Instances!D117:Instances!D117))</f>
        <v>0</v>
      </c>
      <c r="E117" s="1" cm="1">
        <f t="array" ref="E117">_xlfn.SWITCH($A$2,"average", AVERAGE(Instances!E117:Instances!E117),"median", MEDIAN(Instances!E117:Instances!E117),"min", MIN(Instances!E117:Instances!E117),"max", MAX(Instances!E117:Instances!E117),"diff", MAX(Instances!E117:Instances!E117)-MIN(Instances!E117:Instances!E117))</f>
        <v>0</v>
      </c>
      <c r="F117" s="1" cm="1">
        <f t="array" ref="F117">_xlfn.SWITCH($A$2,"average", AVERAGE(Instances!F117:Instances!F117),"median", MEDIAN(Instances!F117:Instances!F117),"min", MIN(Instances!F117:Instances!F117),"max", MAX(Instances!F117:Instances!F117),"diff", MAX(Instances!F117:Instances!F117)-MIN(Instances!F117:Instances!F117))</f>
        <v>0</v>
      </c>
      <c r="G117" s="1" cm="1">
        <f t="array" ref="G117">_xlfn.SWITCH($A$2,"average", AVERAGE(Instances!G117:Instances!G117),"median", MEDIAN(Instances!G117:Instances!G117),"min", MIN(Instances!G117:Instances!G117),"max", MAX(Instances!G117:Instances!G117),"diff", MAX(Instances!G117:Instances!G117)-MIN(Instances!G117:Instances!G117))</f>
        <v>0</v>
      </c>
      <c r="H117" s="1" cm="1">
        <f t="array" ref="H117">_xlfn.SWITCH($A$2,"average", AVERAGE(Instances!H117:Instances!H117),"median", MEDIAN(Instances!H117:Instances!H117),"min", MIN(Instances!H117:Instances!H117),"max", MAX(Instances!H117:Instances!H117),"diff", MAX(Instances!H117:Instances!H117)-MIN(Instances!H117:Instances!H117))</f>
        <v>0</v>
      </c>
      <c r="I117" s="1" cm="1">
        <f t="array" ref="I117">_xlfn.SWITCH($A$2,"average", AVERAGE(Instances!I117:Instances!I117),"median", MEDIAN(Instances!I117:Instances!I117),"min", MIN(Instances!I117:Instances!I117),"max", MAX(Instances!I117:Instances!I117),"diff", MAX(Instances!I117:Instances!I117)-MIN(Instances!I117:Instances!I117))</f>
        <v>0</v>
      </c>
      <c r="J117" s="1" cm="1">
        <f t="array" ref="J117">_xlfn.SWITCH($A$2,"average", AVERAGE(Instances!J117:Instances!J117),"median", MEDIAN(Instances!J117:Instances!J117),"min", MIN(Instances!J117:Instances!J117),"max", MAX(Instances!J117:Instances!J117),"diff", MAX(Instances!J117:Instances!J117)-MIN(Instances!J117:Instances!J117))</f>
        <v>0</v>
      </c>
      <c r="K117" s="1" cm="1">
        <f t="array" ref="K117">_xlfn.SWITCH($A$2,"average", AVERAGE(Instances!K117:Instances!K117),"median", MEDIAN(Instances!K117:Instances!K117),"min", MIN(Instances!K117:Instances!K117),"max", MAX(Instances!K117:Instances!K117),"diff", MAX(Instances!K117:Instances!K117)-MIN(Instances!K117:Instances!K117))</f>
        <v>0</v>
      </c>
      <c r="L117" s="1"/>
      <c r="M117" s="1" cm="1">
        <f t="array" ref="M117">_xlfn.SWITCH($A$2,"average", AVERAGE(Instances!M117:Instances!M117),"median", MEDIAN(Instances!M117:Instances!M117),"min", MIN(Instances!M117:Instances!M117),"max", MAX(Instances!M117:Instances!M117),"diff", MAX(Instances!M117:Instances!M117)-MIN(Instances!M117:Instances!M117))</f>
        <v>0</v>
      </c>
      <c r="N117" s="1" cm="1">
        <f t="array" ref="N117">_xlfn.SWITCH($A$2,"average", AVERAGE(Instances!N117:Instances!N117),"median", MEDIAN(Instances!N117:Instances!N117),"min", MIN(Instances!N117:Instances!N117),"max", MAX(Instances!N117:Instances!N117),"diff", MAX(Instances!N117:Instances!N117)-MIN(Instances!N117:Instances!N117))</f>
        <v>0</v>
      </c>
      <c r="O117" s="1"/>
      <c r="P117" s="1" cm="1">
        <f t="array" ref="P117">_xlfn.SWITCH($A$2,"average", AVERAGE(Instances!P117:Instances!P117),"median", MEDIAN(Instances!P117:Instances!P117),"min", MIN(Instances!P117:Instances!P117),"max", MAX(Instances!P117:Instances!P117),"diff", MAX(Instances!P117:Instances!P117)-MIN(Instances!P117:Instances!P117))</f>
        <v>0</v>
      </c>
      <c r="Q117" s="1" cm="1">
        <f t="array" ref="Q117">_xlfn.SWITCH($A$2,"average", AVERAGE(Instances!Q117:Instances!Q117),"median", MEDIAN(Instances!Q117:Instances!Q117),"min", MIN(Instances!Q117:Instances!Q117),"max", MAX(Instances!Q117:Instances!Q117),"diff", MAX(Instances!Q117:Instances!Q117)-MIN(Instances!Q117:Instances!Q117))</f>
        <v>0</v>
      </c>
      <c r="R117" s="1" cm="1">
        <f t="array" ref="R117">_xlfn.SWITCH($A$2,"average", AVERAGE(Instances!R117:Instances!R117),"median", MEDIAN(Instances!R117:Instances!R117),"min", MIN(Instances!R117:Instances!R117),"max", MAX(Instances!R117:Instances!R117),"diff", MAX(Instances!R117:Instances!R117)-MIN(Instances!R117:Instances!R117))</f>
        <v>0</v>
      </c>
      <c r="S117" s="1">
        <f>MIN($B117)</f>
        <v>0</v>
      </c>
      <c r="T117" s="1">
        <f>MIN($C117)</f>
        <v>0</v>
      </c>
      <c r="U117" s="1">
        <f>MIN($D117)</f>
        <v>0</v>
      </c>
      <c r="V117" s="1">
        <f>MIN($E117)</f>
        <v>0</v>
      </c>
      <c r="W117" s="1">
        <f>MIN($F117)</f>
        <v>0</v>
      </c>
      <c r="X117" s="1">
        <f>MIN($G117)</f>
        <v>0</v>
      </c>
      <c r="Y117" s="1">
        <f>MIN($H117)</f>
        <v>0</v>
      </c>
      <c r="Z117" s="1">
        <f>MIN($I117)</f>
        <v>0</v>
      </c>
      <c r="AA117" s="1">
        <f>MIN($J117)</f>
        <v>0</v>
      </c>
      <c r="AB117" s="1">
        <f>MIN($K117)</f>
        <v>0</v>
      </c>
      <c r="AC117" s="1">
        <f>MIN($M117)</f>
        <v>0</v>
      </c>
      <c r="AD117" s="1">
        <f>MIN($N117)</f>
        <v>0</v>
      </c>
      <c r="AE117" s="1">
        <f>MIN($P117)</f>
        <v>0</v>
      </c>
      <c r="AF117" s="1">
        <f>MIN($Q117)</f>
        <v>0</v>
      </c>
      <c r="AG117" s="1">
        <f>MIN($R117)</f>
        <v>0</v>
      </c>
      <c r="AH117" s="1">
        <f>MEDIAN($B117)</f>
        <v>0</v>
      </c>
      <c r="AI117" s="1">
        <f>MEDIAN($C117)</f>
        <v>0</v>
      </c>
      <c r="AJ117" s="1">
        <f>MEDIAN($D117)</f>
        <v>0</v>
      </c>
      <c r="AK117" s="1">
        <f>MEDIAN($E117)</f>
        <v>0</v>
      </c>
      <c r="AL117" s="1">
        <f>MEDIAN($F117)</f>
        <v>0</v>
      </c>
      <c r="AM117" s="1">
        <f>MEDIAN($G117)</f>
        <v>0</v>
      </c>
      <c r="AN117" s="1">
        <f>MEDIAN($H117)</f>
        <v>0</v>
      </c>
      <c r="AO117" s="1">
        <f>MEDIAN($I117)</f>
        <v>0</v>
      </c>
      <c r="AP117" s="1">
        <f>MEDIAN($J117)</f>
        <v>0</v>
      </c>
      <c r="AQ117" s="1">
        <f>MEDIAN($K117)</f>
        <v>0</v>
      </c>
      <c r="AR117" s="1">
        <f>MEDIAN($M117)</f>
        <v>0</v>
      </c>
      <c r="AS117" s="1">
        <f>MEDIAN($N117)</f>
        <v>0</v>
      </c>
      <c r="AT117" s="1">
        <f>MEDIAN($P117)</f>
        <v>0</v>
      </c>
      <c r="AU117" s="1">
        <f>MEDIAN($Q117)</f>
        <v>0</v>
      </c>
      <c r="AV117" s="1">
        <f>MEDIAN($R117)</f>
        <v>0</v>
      </c>
      <c r="AW117" s="1">
        <f>MAX($B117)</f>
        <v>0</v>
      </c>
      <c r="AX117" s="1">
        <f>MAX($C117)</f>
        <v>0</v>
      </c>
      <c r="AY117" s="1">
        <f>MAX($D117)</f>
        <v>0</v>
      </c>
      <c r="AZ117" s="1">
        <f>MAX($E117)</f>
        <v>0</v>
      </c>
      <c r="BA117" s="1">
        <f>MAX($F117)</f>
        <v>0</v>
      </c>
      <c r="BB117" s="1">
        <f>MAX($G117)</f>
        <v>0</v>
      </c>
      <c r="BC117" s="1">
        <f>MAX($H117)</f>
        <v>0</v>
      </c>
      <c r="BD117" s="1">
        <f>MAX($I117)</f>
        <v>0</v>
      </c>
      <c r="BE117" s="1">
        <f>MAX($J117)</f>
        <v>0</v>
      </c>
      <c r="BF117" s="1">
        <f>MAX($K117)</f>
        <v>0</v>
      </c>
      <c r="BG117" s="1">
        <f>MAX($M117)</f>
        <v>0</v>
      </c>
      <c r="BH117" s="1">
        <f>MAX($N117)</f>
        <v>0</v>
      </c>
      <c r="BI117" s="1">
        <f>MAX($P117)</f>
        <v>0</v>
      </c>
      <c r="BJ117" s="1">
        <f>MAX($Q117)</f>
        <v>0</v>
      </c>
      <c r="BK117" s="1">
        <f>MAX($R117)</f>
        <v>0</v>
      </c>
    </row>
    <row r="118" spans="1:63">
      <c r="A118" s="1" t="s">
        <v>115</v>
      </c>
      <c r="B118" s="1" cm="1">
        <f t="array" ref="B118">_xlfn.SWITCH($A$2,"average", AVERAGE(Instances!B118:Instances!B118),"median", MEDIAN(Instances!B118:Instances!B118),"min", MIN(Instances!B118:Instances!B118),"max", MAX(Instances!B118:Instances!B118),"diff", MAX(Instances!B118:Instances!B118)-MIN(Instances!B118:Instances!B118))</f>
        <v>0</v>
      </c>
      <c r="C118" s="1" cm="1">
        <f t="array" ref="C118">_xlfn.SWITCH($A$2,"average", AVERAGE(Instances!C118:Instances!C118),"median", MEDIAN(Instances!C118:Instances!C118),"min", MIN(Instances!C118:Instances!C118),"max", MAX(Instances!C118:Instances!C118),"diff", MAX(Instances!C118:Instances!C118)-MIN(Instances!C118:Instances!C118))</f>
        <v>0</v>
      </c>
      <c r="D118" s="1" cm="1">
        <f t="array" ref="D118">_xlfn.SWITCH($A$2,"average", AVERAGE(Instances!D118:Instances!D118),"median", MEDIAN(Instances!D118:Instances!D118),"min", MIN(Instances!D118:Instances!D118),"max", MAX(Instances!D118:Instances!D118),"diff", MAX(Instances!D118:Instances!D118)-MIN(Instances!D118:Instances!D118))</f>
        <v>0</v>
      </c>
      <c r="E118" s="1" cm="1">
        <f t="array" ref="E118">_xlfn.SWITCH($A$2,"average", AVERAGE(Instances!E118:Instances!E118),"median", MEDIAN(Instances!E118:Instances!E118),"min", MIN(Instances!E118:Instances!E118),"max", MAX(Instances!E118:Instances!E118),"diff", MAX(Instances!E118:Instances!E118)-MIN(Instances!E118:Instances!E118))</f>
        <v>0</v>
      </c>
      <c r="F118" s="1" cm="1">
        <f t="array" ref="F118">_xlfn.SWITCH($A$2,"average", AVERAGE(Instances!F118:Instances!F118),"median", MEDIAN(Instances!F118:Instances!F118),"min", MIN(Instances!F118:Instances!F118),"max", MAX(Instances!F118:Instances!F118),"diff", MAX(Instances!F118:Instances!F118)-MIN(Instances!F118:Instances!F118))</f>
        <v>0</v>
      </c>
      <c r="G118" s="1" cm="1">
        <f t="array" ref="G118">_xlfn.SWITCH($A$2,"average", AVERAGE(Instances!G118:Instances!G118),"median", MEDIAN(Instances!G118:Instances!G118),"min", MIN(Instances!G118:Instances!G118),"max", MAX(Instances!G118:Instances!G118),"diff", MAX(Instances!G118:Instances!G118)-MIN(Instances!G118:Instances!G118))</f>
        <v>0</v>
      </c>
      <c r="H118" s="1" cm="1">
        <f t="array" ref="H118">_xlfn.SWITCH($A$2,"average", AVERAGE(Instances!H118:Instances!H118),"median", MEDIAN(Instances!H118:Instances!H118),"min", MIN(Instances!H118:Instances!H118),"max", MAX(Instances!H118:Instances!H118),"diff", MAX(Instances!H118:Instances!H118)-MIN(Instances!H118:Instances!H118))</f>
        <v>0</v>
      </c>
      <c r="I118" s="1" cm="1">
        <f t="array" ref="I118">_xlfn.SWITCH($A$2,"average", AVERAGE(Instances!I118:Instances!I118),"median", MEDIAN(Instances!I118:Instances!I118),"min", MIN(Instances!I118:Instances!I118),"max", MAX(Instances!I118:Instances!I118),"diff", MAX(Instances!I118:Instances!I118)-MIN(Instances!I118:Instances!I118))</f>
        <v>0</v>
      </c>
      <c r="J118" s="1" cm="1">
        <f t="array" ref="J118">_xlfn.SWITCH($A$2,"average", AVERAGE(Instances!J118:Instances!J118),"median", MEDIAN(Instances!J118:Instances!J118),"min", MIN(Instances!J118:Instances!J118),"max", MAX(Instances!J118:Instances!J118),"diff", MAX(Instances!J118:Instances!J118)-MIN(Instances!J118:Instances!J118))</f>
        <v>0</v>
      </c>
      <c r="K118" s="1" cm="1">
        <f t="array" ref="K118">_xlfn.SWITCH($A$2,"average", AVERAGE(Instances!K118:Instances!K118),"median", MEDIAN(Instances!K118:Instances!K118),"min", MIN(Instances!K118:Instances!K118),"max", MAX(Instances!K118:Instances!K118),"diff", MAX(Instances!K118:Instances!K118)-MIN(Instances!K118:Instances!K118))</f>
        <v>0</v>
      </c>
      <c r="L118" s="1"/>
      <c r="M118" s="1" cm="1">
        <f t="array" ref="M118">_xlfn.SWITCH($A$2,"average", AVERAGE(Instances!M118:Instances!M118),"median", MEDIAN(Instances!M118:Instances!M118),"min", MIN(Instances!M118:Instances!M118),"max", MAX(Instances!M118:Instances!M118),"diff", MAX(Instances!M118:Instances!M118)-MIN(Instances!M118:Instances!M118))</f>
        <v>0</v>
      </c>
      <c r="N118" s="1" cm="1">
        <f t="array" ref="N118">_xlfn.SWITCH($A$2,"average", AVERAGE(Instances!N118:Instances!N118),"median", MEDIAN(Instances!N118:Instances!N118),"min", MIN(Instances!N118:Instances!N118),"max", MAX(Instances!N118:Instances!N118),"diff", MAX(Instances!N118:Instances!N118)-MIN(Instances!N118:Instances!N118))</f>
        <v>0</v>
      </c>
      <c r="O118" s="1"/>
      <c r="P118" s="1" cm="1">
        <f t="array" ref="P118">_xlfn.SWITCH($A$2,"average", AVERAGE(Instances!P118:Instances!P118),"median", MEDIAN(Instances!P118:Instances!P118),"min", MIN(Instances!P118:Instances!P118),"max", MAX(Instances!P118:Instances!P118),"diff", MAX(Instances!P118:Instances!P118)-MIN(Instances!P118:Instances!P118))</f>
        <v>0</v>
      </c>
      <c r="Q118" s="1" cm="1">
        <f t="array" ref="Q118">_xlfn.SWITCH($A$2,"average", AVERAGE(Instances!Q118:Instances!Q118),"median", MEDIAN(Instances!Q118:Instances!Q118),"min", MIN(Instances!Q118:Instances!Q118),"max", MAX(Instances!Q118:Instances!Q118),"diff", MAX(Instances!Q118:Instances!Q118)-MIN(Instances!Q118:Instances!Q118))</f>
        <v>0</v>
      </c>
      <c r="R118" s="1" cm="1">
        <f t="array" ref="R118">_xlfn.SWITCH($A$2,"average", AVERAGE(Instances!R118:Instances!R118),"median", MEDIAN(Instances!R118:Instances!R118),"min", MIN(Instances!R118:Instances!R118),"max", MAX(Instances!R118:Instances!R118),"diff", MAX(Instances!R118:Instances!R118)-MIN(Instances!R118:Instances!R118))</f>
        <v>0</v>
      </c>
      <c r="S118" s="1">
        <f>MIN($B118)</f>
        <v>0</v>
      </c>
      <c r="T118" s="1">
        <f>MIN($C118)</f>
        <v>0</v>
      </c>
      <c r="U118" s="1">
        <f>MIN($D118)</f>
        <v>0</v>
      </c>
      <c r="V118" s="1">
        <f>MIN($E118)</f>
        <v>0</v>
      </c>
      <c r="W118" s="1">
        <f>MIN($F118)</f>
        <v>0</v>
      </c>
      <c r="X118" s="1">
        <f>MIN($G118)</f>
        <v>0</v>
      </c>
      <c r="Y118" s="1">
        <f>MIN($H118)</f>
        <v>0</v>
      </c>
      <c r="Z118" s="1">
        <f>MIN($I118)</f>
        <v>0</v>
      </c>
      <c r="AA118" s="1">
        <f>MIN($J118)</f>
        <v>0</v>
      </c>
      <c r="AB118" s="1">
        <f>MIN($K118)</f>
        <v>0</v>
      </c>
      <c r="AC118" s="1">
        <f>MIN($M118)</f>
        <v>0</v>
      </c>
      <c r="AD118" s="1">
        <f>MIN($N118)</f>
        <v>0</v>
      </c>
      <c r="AE118" s="1">
        <f>MIN($P118)</f>
        <v>0</v>
      </c>
      <c r="AF118" s="1">
        <f>MIN($Q118)</f>
        <v>0</v>
      </c>
      <c r="AG118" s="1">
        <f>MIN($R118)</f>
        <v>0</v>
      </c>
      <c r="AH118" s="1">
        <f>MEDIAN($B118)</f>
        <v>0</v>
      </c>
      <c r="AI118" s="1">
        <f>MEDIAN($C118)</f>
        <v>0</v>
      </c>
      <c r="AJ118" s="1">
        <f>MEDIAN($D118)</f>
        <v>0</v>
      </c>
      <c r="AK118" s="1">
        <f>MEDIAN($E118)</f>
        <v>0</v>
      </c>
      <c r="AL118" s="1">
        <f>MEDIAN($F118)</f>
        <v>0</v>
      </c>
      <c r="AM118" s="1">
        <f>MEDIAN($G118)</f>
        <v>0</v>
      </c>
      <c r="AN118" s="1">
        <f>MEDIAN($H118)</f>
        <v>0</v>
      </c>
      <c r="AO118" s="1">
        <f>MEDIAN($I118)</f>
        <v>0</v>
      </c>
      <c r="AP118" s="1">
        <f>MEDIAN($J118)</f>
        <v>0</v>
      </c>
      <c r="AQ118" s="1">
        <f>MEDIAN($K118)</f>
        <v>0</v>
      </c>
      <c r="AR118" s="1">
        <f>MEDIAN($M118)</f>
        <v>0</v>
      </c>
      <c r="AS118" s="1">
        <f>MEDIAN($N118)</f>
        <v>0</v>
      </c>
      <c r="AT118" s="1">
        <f>MEDIAN($P118)</f>
        <v>0</v>
      </c>
      <c r="AU118" s="1">
        <f>MEDIAN($Q118)</f>
        <v>0</v>
      </c>
      <c r="AV118" s="1">
        <f>MEDIAN($R118)</f>
        <v>0</v>
      </c>
      <c r="AW118" s="1">
        <f>MAX($B118)</f>
        <v>0</v>
      </c>
      <c r="AX118" s="1">
        <f>MAX($C118)</f>
        <v>0</v>
      </c>
      <c r="AY118" s="1">
        <f>MAX($D118)</f>
        <v>0</v>
      </c>
      <c r="AZ118" s="1">
        <f>MAX($E118)</f>
        <v>0</v>
      </c>
      <c r="BA118" s="1">
        <f>MAX($F118)</f>
        <v>0</v>
      </c>
      <c r="BB118" s="1">
        <f>MAX($G118)</f>
        <v>0</v>
      </c>
      <c r="BC118" s="1">
        <f>MAX($H118)</f>
        <v>0</v>
      </c>
      <c r="BD118" s="1">
        <f>MAX($I118)</f>
        <v>0</v>
      </c>
      <c r="BE118" s="1">
        <f>MAX($J118)</f>
        <v>0</v>
      </c>
      <c r="BF118" s="1">
        <f>MAX($K118)</f>
        <v>0</v>
      </c>
      <c r="BG118" s="1">
        <f>MAX($M118)</f>
        <v>0</v>
      </c>
      <c r="BH118" s="1">
        <f>MAX($N118)</f>
        <v>0</v>
      </c>
      <c r="BI118" s="1">
        <f>MAX($P118)</f>
        <v>0</v>
      </c>
      <c r="BJ118" s="1">
        <f>MAX($Q118)</f>
        <v>0</v>
      </c>
      <c r="BK118" s="1">
        <f>MAX($R118)</f>
        <v>0</v>
      </c>
    </row>
    <row r="119" spans="1:63">
      <c r="A119" s="1" t="s">
        <v>116</v>
      </c>
      <c r="B119" s="1"/>
      <c r="C119" s="1"/>
      <c r="D119" s="1"/>
      <c r="E119" s="1" cm="1">
        <f t="array" ref="E119">_xlfn.SWITCH($A$2,"average", AVERAGE(Instances!E119:Instances!E119),"median", MEDIAN(Instances!E119:Instances!E119),"min", MIN(Instances!E119:Instances!E119),"max", MAX(Instances!E119:Instances!E119),"diff", MAX(Instances!E119:Instances!E119)-MIN(Instances!E119:Instances!E119))</f>
        <v>0</v>
      </c>
      <c r="F119" s="1" cm="1">
        <f t="array" ref="F119">_xlfn.SWITCH($A$2,"average", AVERAGE(Instances!F119:Instances!F119),"median", MEDIAN(Instances!F119:Instances!F119),"min", MIN(Instances!F119:Instances!F119),"max", MAX(Instances!F119:Instances!F119),"diff", MAX(Instances!F119:Instances!F119)-MIN(Instances!F119:Instances!F119))</f>
        <v>0</v>
      </c>
      <c r="G119" s="1" cm="1">
        <f t="array" ref="G119">_xlfn.SWITCH($A$2,"average", AVERAGE(Instances!G119:Instances!G119),"median", MEDIAN(Instances!G119:Instances!G119),"min", MIN(Instances!G119:Instances!G119),"max", MAX(Instances!G119:Instances!G119),"diff", MAX(Instances!G119:Instances!G119)-MIN(Instances!G119:Instances!G119))</f>
        <v>0</v>
      </c>
      <c r="H119" s="1"/>
      <c r="I119" s="1"/>
      <c r="J119" s="1" cm="1">
        <f t="array" ref="J119">_xlfn.SWITCH($A$2,"average", AVERAGE(Instances!J119:Instances!J119),"median", MEDIAN(Instances!J119:Instances!J119),"min", MIN(Instances!J119:Instances!J119),"max", MAX(Instances!J119:Instances!J119),"diff", MAX(Instances!J119:Instances!J119)-MIN(Instances!J119:Instances!J119))</f>
        <v>0</v>
      </c>
      <c r="K119" s="1"/>
      <c r="L119" s="1"/>
      <c r="M119" s="1"/>
      <c r="N119" s="1"/>
      <c r="O119" s="1"/>
      <c r="P119" s="1" cm="1">
        <f t="array" ref="P119">_xlfn.SWITCH($A$2,"average", AVERAGE(Instances!P119:Instances!P119),"median", MEDIAN(Instances!P119:Instances!P119),"min", MIN(Instances!P119:Instances!P119),"max", MAX(Instances!P119:Instances!P119),"diff", MAX(Instances!P119:Instances!P119)-MIN(Instances!P119:Instances!P119))</f>
        <v>0</v>
      </c>
      <c r="Q119" s="1" cm="1">
        <f t="array" ref="Q119">_xlfn.SWITCH($A$2,"average", AVERAGE(Instances!Q119:Instances!Q119),"median", MEDIAN(Instances!Q119:Instances!Q119),"min", MIN(Instances!Q119:Instances!Q119),"max", MAX(Instances!Q119:Instances!Q119),"diff", MAX(Instances!Q119:Instances!Q119)-MIN(Instances!Q119:Instances!Q119))</f>
        <v>0</v>
      </c>
      <c r="R119" s="1"/>
      <c r="S119" s="1"/>
      <c r="T119" s="1"/>
      <c r="U119" s="1"/>
      <c r="V119" s="1">
        <f>MIN($E119)</f>
        <v>0</v>
      </c>
      <c r="W119" s="1">
        <f>MIN($F119)</f>
        <v>0</v>
      </c>
      <c r="X119" s="1">
        <f>MIN($G119)</f>
        <v>0</v>
      </c>
      <c r="Y119" s="1"/>
      <c r="Z119" s="1"/>
      <c r="AA119" s="1">
        <f>MIN($J119)</f>
        <v>0</v>
      </c>
      <c r="AB119" s="1"/>
      <c r="AC119" s="1"/>
      <c r="AD119" s="1"/>
      <c r="AE119" s="1">
        <f>MIN($P119)</f>
        <v>0</v>
      </c>
      <c r="AF119" s="1">
        <f>MIN($Q119)</f>
        <v>0</v>
      </c>
      <c r="AG119" s="1"/>
      <c r="AH119" s="1"/>
      <c r="AI119" s="1"/>
      <c r="AJ119" s="1"/>
      <c r="AK119" s="1">
        <f>MEDIAN($E119)</f>
        <v>0</v>
      </c>
      <c r="AL119" s="1">
        <f>MEDIAN($F119)</f>
        <v>0</v>
      </c>
      <c r="AM119" s="1">
        <f>MEDIAN($G119)</f>
        <v>0</v>
      </c>
      <c r="AN119" s="1"/>
      <c r="AO119" s="1"/>
      <c r="AP119" s="1">
        <f>MEDIAN($J119)</f>
        <v>0</v>
      </c>
      <c r="AQ119" s="1"/>
      <c r="AR119" s="1"/>
      <c r="AS119" s="1"/>
      <c r="AT119" s="1">
        <f>MEDIAN($P119)</f>
        <v>0</v>
      </c>
      <c r="AU119" s="1">
        <f>MEDIAN($Q119)</f>
        <v>0</v>
      </c>
      <c r="AV119" s="1"/>
      <c r="AW119" s="1"/>
      <c r="AX119" s="1"/>
      <c r="AY119" s="1"/>
      <c r="AZ119" s="1">
        <f>MAX($E119)</f>
        <v>0</v>
      </c>
      <c r="BA119" s="1">
        <f>MAX($F119)</f>
        <v>0</v>
      </c>
      <c r="BB119" s="1">
        <f>MAX($G119)</f>
        <v>0</v>
      </c>
      <c r="BC119" s="1"/>
      <c r="BD119" s="1"/>
      <c r="BE119" s="1">
        <f>MAX($J119)</f>
        <v>0</v>
      </c>
      <c r="BF119" s="1"/>
      <c r="BG119" s="1"/>
      <c r="BH119" s="1"/>
      <c r="BI119" s="1">
        <f>MAX($P119)</f>
        <v>0</v>
      </c>
      <c r="BJ119" s="1">
        <f>MAX($Q119)</f>
        <v>0</v>
      </c>
      <c r="BK119" s="1"/>
    </row>
    <row r="120" spans="1:63">
      <c r="A120" s="1" t="s">
        <v>117</v>
      </c>
      <c r="B120" s="1" cm="1">
        <f t="array" ref="B120">_xlfn.SWITCH($A$2,"average", AVERAGE(Instances!B120:Instances!B120),"median", MEDIAN(Instances!B120:Instances!B120),"min", MIN(Instances!B120:Instances!B120),"max", MAX(Instances!B120:Instances!B120),"diff", MAX(Instances!B120:Instances!B120)-MIN(Instances!B120:Instances!B120))</f>
        <v>0</v>
      </c>
      <c r="C120" s="1" cm="1">
        <f t="array" ref="C120">_xlfn.SWITCH($A$2,"average", AVERAGE(Instances!C120:Instances!C120),"median", MEDIAN(Instances!C120:Instances!C120),"min", MIN(Instances!C120:Instances!C120),"max", MAX(Instances!C120:Instances!C120),"diff", MAX(Instances!C120:Instances!C120)-MIN(Instances!C120:Instances!C120))</f>
        <v>0</v>
      </c>
      <c r="D120" s="1" cm="1">
        <f t="array" ref="D120">_xlfn.SWITCH($A$2,"average", AVERAGE(Instances!D120:Instances!D120),"median", MEDIAN(Instances!D120:Instances!D120),"min", MIN(Instances!D120:Instances!D120),"max", MAX(Instances!D120:Instances!D120),"diff", MAX(Instances!D120:Instances!D120)-MIN(Instances!D120:Instances!D120))</f>
        <v>0</v>
      </c>
      <c r="E120" s="1" cm="1">
        <f t="array" ref="E120">_xlfn.SWITCH($A$2,"average", AVERAGE(Instances!E120:Instances!E120),"median", MEDIAN(Instances!E120:Instances!E120),"min", MIN(Instances!E120:Instances!E120),"max", MAX(Instances!E120:Instances!E120),"diff", MAX(Instances!E120:Instances!E120)-MIN(Instances!E120:Instances!E120))</f>
        <v>0</v>
      </c>
      <c r="F120" s="1" cm="1">
        <f t="array" ref="F120">_xlfn.SWITCH($A$2,"average", AVERAGE(Instances!F120:Instances!F120),"median", MEDIAN(Instances!F120:Instances!F120),"min", MIN(Instances!F120:Instances!F120),"max", MAX(Instances!F120:Instances!F120),"diff", MAX(Instances!F120:Instances!F120)-MIN(Instances!F120:Instances!F120))</f>
        <v>0</v>
      </c>
      <c r="G120" s="1" cm="1">
        <f t="array" ref="G120">_xlfn.SWITCH($A$2,"average", AVERAGE(Instances!G120:Instances!G120),"median", MEDIAN(Instances!G120:Instances!G120),"min", MIN(Instances!G120:Instances!G120),"max", MAX(Instances!G120:Instances!G120),"diff", MAX(Instances!G120:Instances!G120)-MIN(Instances!G120:Instances!G120))</f>
        <v>0</v>
      </c>
      <c r="H120" s="1" cm="1">
        <f t="array" ref="H120">_xlfn.SWITCH($A$2,"average", AVERAGE(Instances!H120:Instances!H120),"median", MEDIAN(Instances!H120:Instances!H120),"min", MIN(Instances!H120:Instances!H120),"max", MAX(Instances!H120:Instances!H120),"diff", MAX(Instances!H120:Instances!H120)-MIN(Instances!H120:Instances!H120))</f>
        <v>0</v>
      </c>
      <c r="I120" s="1" cm="1">
        <f t="array" ref="I120">_xlfn.SWITCH($A$2,"average", AVERAGE(Instances!I120:Instances!I120),"median", MEDIAN(Instances!I120:Instances!I120),"min", MIN(Instances!I120:Instances!I120),"max", MAX(Instances!I120:Instances!I120),"diff", MAX(Instances!I120:Instances!I120)-MIN(Instances!I120:Instances!I120))</f>
        <v>0</v>
      </c>
      <c r="J120" s="1" cm="1">
        <f t="array" ref="J120">_xlfn.SWITCH($A$2,"average", AVERAGE(Instances!J120:Instances!J120),"median", MEDIAN(Instances!J120:Instances!J120),"min", MIN(Instances!J120:Instances!J120),"max", MAX(Instances!J120:Instances!J120),"diff", MAX(Instances!J120:Instances!J120)-MIN(Instances!J120:Instances!J120))</f>
        <v>0</v>
      </c>
      <c r="K120" s="1" cm="1">
        <f t="array" ref="K120">_xlfn.SWITCH($A$2,"average", AVERAGE(Instances!K120:Instances!K120),"median", MEDIAN(Instances!K120:Instances!K120),"min", MIN(Instances!K120:Instances!K120),"max", MAX(Instances!K120:Instances!K120),"diff", MAX(Instances!K120:Instances!K120)-MIN(Instances!K120:Instances!K120))</f>
        <v>0</v>
      </c>
      <c r="L120" s="1"/>
      <c r="M120" s="1" cm="1">
        <f t="array" ref="M120">_xlfn.SWITCH($A$2,"average", AVERAGE(Instances!M120:Instances!M120),"median", MEDIAN(Instances!M120:Instances!M120),"min", MIN(Instances!M120:Instances!M120),"max", MAX(Instances!M120:Instances!M120),"diff", MAX(Instances!M120:Instances!M120)-MIN(Instances!M120:Instances!M120))</f>
        <v>0</v>
      </c>
      <c r="N120" s="1" cm="1">
        <f t="array" ref="N120">_xlfn.SWITCH($A$2,"average", AVERAGE(Instances!N120:Instances!N120),"median", MEDIAN(Instances!N120:Instances!N120),"min", MIN(Instances!N120:Instances!N120),"max", MAX(Instances!N120:Instances!N120),"diff", MAX(Instances!N120:Instances!N120)-MIN(Instances!N120:Instances!N120))</f>
        <v>0</v>
      </c>
      <c r="O120" s="1"/>
      <c r="P120" s="1" cm="1">
        <f t="array" ref="P120">_xlfn.SWITCH($A$2,"average", AVERAGE(Instances!P120:Instances!P120),"median", MEDIAN(Instances!P120:Instances!P120),"min", MIN(Instances!P120:Instances!P120),"max", MAX(Instances!P120:Instances!P120),"diff", MAX(Instances!P120:Instances!P120)-MIN(Instances!P120:Instances!P120))</f>
        <v>0</v>
      </c>
      <c r="Q120" s="1" cm="1">
        <f t="array" ref="Q120">_xlfn.SWITCH($A$2,"average", AVERAGE(Instances!Q120:Instances!Q120),"median", MEDIAN(Instances!Q120:Instances!Q120),"min", MIN(Instances!Q120:Instances!Q120),"max", MAX(Instances!Q120:Instances!Q120),"diff", MAX(Instances!Q120:Instances!Q120)-MIN(Instances!Q120:Instances!Q120))</f>
        <v>0</v>
      </c>
      <c r="R120" s="1" cm="1">
        <f t="array" ref="R120">_xlfn.SWITCH($A$2,"average", AVERAGE(Instances!R120:Instances!R120),"median", MEDIAN(Instances!R120:Instances!R120),"min", MIN(Instances!R120:Instances!R120),"max", MAX(Instances!R120:Instances!R120),"diff", MAX(Instances!R120:Instances!R120)-MIN(Instances!R120:Instances!R120))</f>
        <v>0</v>
      </c>
      <c r="S120" s="1">
        <f>MIN($B120)</f>
        <v>0</v>
      </c>
      <c r="T120" s="1">
        <f>MIN($C120)</f>
        <v>0</v>
      </c>
      <c r="U120" s="1">
        <f>MIN($D120)</f>
        <v>0</v>
      </c>
      <c r="V120" s="1">
        <f>MIN($E120)</f>
        <v>0</v>
      </c>
      <c r="W120" s="1">
        <f>MIN($F120)</f>
        <v>0</v>
      </c>
      <c r="X120" s="1">
        <f>MIN($G120)</f>
        <v>0</v>
      </c>
      <c r="Y120" s="1">
        <f>MIN($H120)</f>
        <v>0</v>
      </c>
      <c r="Z120" s="1">
        <f>MIN($I120)</f>
        <v>0</v>
      </c>
      <c r="AA120" s="1">
        <f>MIN($J120)</f>
        <v>0</v>
      </c>
      <c r="AB120" s="1">
        <f>MIN($K120)</f>
        <v>0</v>
      </c>
      <c r="AC120" s="1">
        <f>MIN($M120)</f>
        <v>0</v>
      </c>
      <c r="AD120" s="1">
        <f>MIN($N120)</f>
        <v>0</v>
      </c>
      <c r="AE120" s="1">
        <f>MIN($P120)</f>
        <v>0</v>
      </c>
      <c r="AF120" s="1">
        <f>MIN($Q120)</f>
        <v>0</v>
      </c>
      <c r="AG120" s="1">
        <f>MIN($R120)</f>
        <v>0</v>
      </c>
      <c r="AH120" s="1">
        <f>MEDIAN($B120)</f>
        <v>0</v>
      </c>
      <c r="AI120" s="1">
        <f>MEDIAN($C120)</f>
        <v>0</v>
      </c>
      <c r="AJ120" s="1">
        <f>MEDIAN($D120)</f>
        <v>0</v>
      </c>
      <c r="AK120" s="1">
        <f>MEDIAN($E120)</f>
        <v>0</v>
      </c>
      <c r="AL120" s="1">
        <f>MEDIAN($F120)</f>
        <v>0</v>
      </c>
      <c r="AM120" s="1">
        <f>MEDIAN($G120)</f>
        <v>0</v>
      </c>
      <c r="AN120" s="1">
        <f>MEDIAN($H120)</f>
        <v>0</v>
      </c>
      <c r="AO120" s="1">
        <f>MEDIAN($I120)</f>
        <v>0</v>
      </c>
      <c r="AP120" s="1">
        <f>MEDIAN($J120)</f>
        <v>0</v>
      </c>
      <c r="AQ120" s="1">
        <f>MEDIAN($K120)</f>
        <v>0</v>
      </c>
      <c r="AR120" s="1">
        <f>MEDIAN($M120)</f>
        <v>0</v>
      </c>
      <c r="AS120" s="1">
        <f>MEDIAN($N120)</f>
        <v>0</v>
      </c>
      <c r="AT120" s="1">
        <f>MEDIAN($P120)</f>
        <v>0</v>
      </c>
      <c r="AU120" s="1">
        <f>MEDIAN($Q120)</f>
        <v>0</v>
      </c>
      <c r="AV120" s="1">
        <f>MEDIAN($R120)</f>
        <v>0</v>
      </c>
      <c r="AW120" s="1">
        <f>MAX($B120)</f>
        <v>0</v>
      </c>
      <c r="AX120" s="1">
        <f>MAX($C120)</f>
        <v>0</v>
      </c>
      <c r="AY120" s="1">
        <f>MAX($D120)</f>
        <v>0</v>
      </c>
      <c r="AZ120" s="1">
        <f>MAX($E120)</f>
        <v>0</v>
      </c>
      <c r="BA120" s="1">
        <f>MAX($F120)</f>
        <v>0</v>
      </c>
      <c r="BB120" s="1">
        <f>MAX($G120)</f>
        <v>0</v>
      </c>
      <c r="BC120" s="1">
        <f>MAX($H120)</f>
        <v>0</v>
      </c>
      <c r="BD120" s="1">
        <f>MAX($I120)</f>
        <v>0</v>
      </c>
      <c r="BE120" s="1">
        <f>MAX($J120)</f>
        <v>0</v>
      </c>
      <c r="BF120" s="1">
        <f>MAX($K120)</f>
        <v>0</v>
      </c>
      <c r="BG120" s="1">
        <f>MAX($M120)</f>
        <v>0</v>
      </c>
      <c r="BH120" s="1">
        <f>MAX($N120)</f>
        <v>0</v>
      </c>
      <c r="BI120" s="1">
        <f>MAX($P120)</f>
        <v>0</v>
      </c>
      <c r="BJ120" s="1">
        <f>MAX($Q120)</f>
        <v>0</v>
      </c>
      <c r="BK120" s="1">
        <f>MAX($R120)</f>
        <v>0</v>
      </c>
    </row>
    <row r="121" spans="1:63">
      <c r="A121" s="1" t="s">
        <v>118</v>
      </c>
      <c r="B121" s="1" cm="1">
        <f t="array" ref="B121">_xlfn.SWITCH($A$2,"average", AVERAGE(Instances!B121:Instances!B121),"median", MEDIAN(Instances!B121:Instances!B121),"min", MIN(Instances!B121:Instances!B121),"max", MAX(Instances!B121:Instances!B121),"diff", MAX(Instances!B121:Instances!B121)-MIN(Instances!B121:Instances!B121))</f>
        <v>0</v>
      </c>
      <c r="C121" s="1" cm="1">
        <f t="array" ref="C121">_xlfn.SWITCH($A$2,"average", AVERAGE(Instances!C121:Instances!C121),"median", MEDIAN(Instances!C121:Instances!C121),"min", MIN(Instances!C121:Instances!C121),"max", MAX(Instances!C121:Instances!C121),"diff", MAX(Instances!C121:Instances!C121)-MIN(Instances!C121:Instances!C121))</f>
        <v>0</v>
      </c>
      <c r="D121" s="1" cm="1">
        <f t="array" ref="D121">_xlfn.SWITCH($A$2,"average", AVERAGE(Instances!D121:Instances!D121),"median", MEDIAN(Instances!D121:Instances!D121),"min", MIN(Instances!D121:Instances!D121),"max", MAX(Instances!D121:Instances!D121),"diff", MAX(Instances!D121:Instances!D121)-MIN(Instances!D121:Instances!D121))</f>
        <v>0</v>
      </c>
      <c r="E121" s="1" cm="1">
        <f t="array" ref="E121">_xlfn.SWITCH($A$2,"average", AVERAGE(Instances!E121:Instances!E121),"median", MEDIAN(Instances!E121:Instances!E121),"min", MIN(Instances!E121:Instances!E121),"max", MAX(Instances!E121:Instances!E121),"diff", MAX(Instances!E121:Instances!E121)-MIN(Instances!E121:Instances!E121))</f>
        <v>0</v>
      </c>
      <c r="F121" s="1" cm="1">
        <f t="array" ref="F121">_xlfn.SWITCH($A$2,"average", AVERAGE(Instances!F121:Instances!F121),"median", MEDIAN(Instances!F121:Instances!F121),"min", MIN(Instances!F121:Instances!F121),"max", MAX(Instances!F121:Instances!F121),"diff", MAX(Instances!F121:Instances!F121)-MIN(Instances!F121:Instances!F121))</f>
        <v>0</v>
      </c>
      <c r="G121" s="1" cm="1">
        <f t="array" ref="G121">_xlfn.SWITCH($A$2,"average", AVERAGE(Instances!G121:Instances!G121),"median", MEDIAN(Instances!G121:Instances!G121),"min", MIN(Instances!G121:Instances!G121),"max", MAX(Instances!G121:Instances!G121),"diff", MAX(Instances!G121:Instances!G121)-MIN(Instances!G121:Instances!G121))</f>
        <v>0</v>
      </c>
      <c r="H121" s="1" cm="1">
        <f t="array" ref="H121">_xlfn.SWITCH($A$2,"average", AVERAGE(Instances!H121:Instances!H121),"median", MEDIAN(Instances!H121:Instances!H121),"min", MIN(Instances!H121:Instances!H121),"max", MAX(Instances!H121:Instances!H121),"diff", MAX(Instances!H121:Instances!H121)-MIN(Instances!H121:Instances!H121))</f>
        <v>0</v>
      </c>
      <c r="I121" s="1" cm="1">
        <f t="array" ref="I121">_xlfn.SWITCH($A$2,"average", AVERAGE(Instances!I121:Instances!I121),"median", MEDIAN(Instances!I121:Instances!I121),"min", MIN(Instances!I121:Instances!I121),"max", MAX(Instances!I121:Instances!I121),"diff", MAX(Instances!I121:Instances!I121)-MIN(Instances!I121:Instances!I121))</f>
        <v>0</v>
      </c>
      <c r="J121" s="1" cm="1">
        <f t="array" ref="J121">_xlfn.SWITCH($A$2,"average", AVERAGE(Instances!J121:Instances!J121),"median", MEDIAN(Instances!J121:Instances!J121),"min", MIN(Instances!J121:Instances!J121),"max", MAX(Instances!J121:Instances!J121),"diff", MAX(Instances!J121:Instances!J121)-MIN(Instances!J121:Instances!J121))</f>
        <v>0</v>
      </c>
      <c r="K121" s="1" cm="1">
        <f t="array" ref="K121">_xlfn.SWITCH($A$2,"average", AVERAGE(Instances!K121:Instances!K121),"median", MEDIAN(Instances!K121:Instances!K121),"min", MIN(Instances!K121:Instances!K121),"max", MAX(Instances!K121:Instances!K121),"diff", MAX(Instances!K121:Instances!K121)-MIN(Instances!K121:Instances!K121))</f>
        <v>0</v>
      </c>
      <c r="L121" s="1"/>
      <c r="M121" s="1" cm="1">
        <f t="array" ref="M121">_xlfn.SWITCH($A$2,"average", AVERAGE(Instances!M121:Instances!M121),"median", MEDIAN(Instances!M121:Instances!M121),"min", MIN(Instances!M121:Instances!M121),"max", MAX(Instances!M121:Instances!M121),"diff", MAX(Instances!M121:Instances!M121)-MIN(Instances!M121:Instances!M121))</f>
        <v>0</v>
      </c>
      <c r="N121" s="1" cm="1">
        <f t="array" ref="N121">_xlfn.SWITCH($A$2,"average", AVERAGE(Instances!N121:Instances!N121),"median", MEDIAN(Instances!N121:Instances!N121),"min", MIN(Instances!N121:Instances!N121),"max", MAX(Instances!N121:Instances!N121),"diff", MAX(Instances!N121:Instances!N121)-MIN(Instances!N121:Instances!N121))</f>
        <v>0</v>
      </c>
      <c r="O121" s="1"/>
      <c r="P121" s="1" cm="1">
        <f t="array" ref="P121">_xlfn.SWITCH($A$2,"average", AVERAGE(Instances!P121:Instances!P121),"median", MEDIAN(Instances!P121:Instances!P121),"min", MIN(Instances!P121:Instances!P121),"max", MAX(Instances!P121:Instances!P121),"diff", MAX(Instances!P121:Instances!P121)-MIN(Instances!P121:Instances!P121))</f>
        <v>0</v>
      </c>
      <c r="Q121" s="1" cm="1">
        <f t="array" ref="Q121">_xlfn.SWITCH($A$2,"average", AVERAGE(Instances!Q121:Instances!Q121),"median", MEDIAN(Instances!Q121:Instances!Q121),"min", MIN(Instances!Q121:Instances!Q121),"max", MAX(Instances!Q121:Instances!Q121),"diff", MAX(Instances!Q121:Instances!Q121)-MIN(Instances!Q121:Instances!Q121))</f>
        <v>0</v>
      </c>
      <c r="R121" s="1" cm="1">
        <f t="array" ref="R121">_xlfn.SWITCH($A$2,"average", AVERAGE(Instances!R121:Instances!R121),"median", MEDIAN(Instances!R121:Instances!R121),"min", MIN(Instances!R121:Instances!R121),"max", MAX(Instances!R121:Instances!R121),"diff", MAX(Instances!R121:Instances!R121)-MIN(Instances!R121:Instances!R121))</f>
        <v>0</v>
      </c>
      <c r="S121" s="1">
        <f>MIN($B121)</f>
        <v>0</v>
      </c>
      <c r="T121" s="1">
        <f>MIN($C121)</f>
        <v>0</v>
      </c>
      <c r="U121" s="1">
        <f>MIN($D121)</f>
        <v>0</v>
      </c>
      <c r="V121" s="1">
        <f>MIN($E121)</f>
        <v>0</v>
      </c>
      <c r="W121" s="1">
        <f>MIN($F121)</f>
        <v>0</v>
      </c>
      <c r="X121" s="1">
        <f>MIN($G121)</f>
        <v>0</v>
      </c>
      <c r="Y121" s="1">
        <f>MIN($H121)</f>
        <v>0</v>
      </c>
      <c r="Z121" s="1">
        <f>MIN($I121)</f>
        <v>0</v>
      </c>
      <c r="AA121" s="1">
        <f>MIN($J121)</f>
        <v>0</v>
      </c>
      <c r="AB121" s="1">
        <f>MIN($K121)</f>
        <v>0</v>
      </c>
      <c r="AC121" s="1">
        <f>MIN($M121)</f>
        <v>0</v>
      </c>
      <c r="AD121" s="1">
        <f>MIN($N121)</f>
        <v>0</v>
      </c>
      <c r="AE121" s="1">
        <f>MIN($P121)</f>
        <v>0</v>
      </c>
      <c r="AF121" s="1">
        <f>MIN($Q121)</f>
        <v>0</v>
      </c>
      <c r="AG121" s="1">
        <f>MIN($R121)</f>
        <v>0</v>
      </c>
      <c r="AH121" s="1">
        <f>MEDIAN($B121)</f>
        <v>0</v>
      </c>
      <c r="AI121" s="1">
        <f>MEDIAN($C121)</f>
        <v>0</v>
      </c>
      <c r="AJ121" s="1">
        <f>MEDIAN($D121)</f>
        <v>0</v>
      </c>
      <c r="AK121" s="1">
        <f>MEDIAN($E121)</f>
        <v>0</v>
      </c>
      <c r="AL121" s="1">
        <f>MEDIAN($F121)</f>
        <v>0</v>
      </c>
      <c r="AM121" s="1">
        <f>MEDIAN($G121)</f>
        <v>0</v>
      </c>
      <c r="AN121" s="1">
        <f>MEDIAN($H121)</f>
        <v>0</v>
      </c>
      <c r="AO121" s="1">
        <f>MEDIAN($I121)</f>
        <v>0</v>
      </c>
      <c r="AP121" s="1">
        <f>MEDIAN($J121)</f>
        <v>0</v>
      </c>
      <c r="AQ121" s="1">
        <f>MEDIAN($K121)</f>
        <v>0</v>
      </c>
      <c r="AR121" s="1">
        <f>MEDIAN($M121)</f>
        <v>0</v>
      </c>
      <c r="AS121" s="1">
        <f>MEDIAN($N121)</f>
        <v>0</v>
      </c>
      <c r="AT121" s="1">
        <f>MEDIAN($P121)</f>
        <v>0</v>
      </c>
      <c r="AU121" s="1">
        <f>MEDIAN($Q121)</f>
        <v>0</v>
      </c>
      <c r="AV121" s="1">
        <f>MEDIAN($R121)</f>
        <v>0</v>
      </c>
      <c r="AW121" s="1">
        <f>MAX($B121)</f>
        <v>0</v>
      </c>
      <c r="AX121" s="1">
        <f>MAX($C121)</f>
        <v>0</v>
      </c>
      <c r="AY121" s="1">
        <f>MAX($D121)</f>
        <v>0</v>
      </c>
      <c r="AZ121" s="1">
        <f>MAX($E121)</f>
        <v>0</v>
      </c>
      <c r="BA121" s="1">
        <f>MAX($F121)</f>
        <v>0</v>
      </c>
      <c r="BB121" s="1">
        <f>MAX($G121)</f>
        <v>0</v>
      </c>
      <c r="BC121" s="1">
        <f>MAX($H121)</f>
        <v>0</v>
      </c>
      <c r="BD121" s="1">
        <f>MAX($I121)</f>
        <v>0</v>
      </c>
      <c r="BE121" s="1">
        <f>MAX($J121)</f>
        <v>0</v>
      </c>
      <c r="BF121" s="1">
        <f>MAX($K121)</f>
        <v>0</v>
      </c>
      <c r="BG121" s="1">
        <f>MAX($M121)</f>
        <v>0</v>
      </c>
      <c r="BH121" s="1">
        <f>MAX($N121)</f>
        <v>0</v>
      </c>
      <c r="BI121" s="1">
        <f>MAX($P121)</f>
        <v>0</v>
      </c>
      <c r="BJ121" s="1">
        <f>MAX($Q121)</f>
        <v>0</v>
      </c>
      <c r="BK121" s="1">
        <f>MAX($R121)</f>
        <v>0</v>
      </c>
    </row>
    <row r="122" spans="1:63">
      <c r="A122" s="1" t="s">
        <v>119</v>
      </c>
      <c r="B122" s="1"/>
      <c r="C122" s="1"/>
      <c r="D122" s="1"/>
      <c r="E122" s="1" cm="1">
        <f t="array" ref="E122">_xlfn.SWITCH($A$2,"average", AVERAGE(Instances!E122:Instances!E122),"median", MEDIAN(Instances!E122:Instances!E122),"min", MIN(Instances!E122:Instances!E122),"max", MAX(Instances!E122:Instances!E122),"diff", MAX(Instances!E122:Instances!E122)-MIN(Instances!E122:Instances!E122))</f>
        <v>0</v>
      </c>
      <c r="F122" s="1" cm="1">
        <f t="array" ref="F122">_xlfn.SWITCH($A$2,"average", AVERAGE(Instances!F122:Instances!F122),"median", MEDIAN(Instances!F122:Instances!F122),"min", MIN(Instances!F122:Instances!F122),"max", MAX(Instances!F122:Instances!F122),"diff", MAX(Instances!F122:Instances!F122)-MIN(Instances!F122:Instances!F122))</f>
        <v>0</v>
      </c>
      <c r="G122" s="1" cm="1">
        <f t="array" ref="G122">_xlfn.SWITCH($A$2,"average", AVERAGE(Instances!G122:Instances!G122),"median", MEDIAN(Instances!G122:Instances!G122),"min", MIN(Instances!G122:Instances!G122),"max", MAX(Instances!G122:Instances!G122),"diff", MAX(Instances!G122:Instances!G122)-MIN(Instances!G122:Instances!G122))</f>
        <v>0</v>
      </c>
      <c r="H122" s="1"/>
      <c r="I122" s="1"/>
      <c r="J122" s="1" cm="1">
        <f t="array" ref="J122">_xlfn.SWITCH($A$2,"average", AVERAGE(Instances!J122:Instances!J122),"median", MEDIAN(Instances!J122:Instances!J122),"min", MIN(Instances!J122:Instances!J122),"max", MAX(Instances!J122:Instances!J122),"diff", MAX(Instances!J122:Instances!J122)-MIN(Instances!J122:Instances!J122))</f>
        <v>0</v>
      </c>
      <c r="K122" s="1"/>
      <c r="L122" s="1"/>
      <c r="M122" s="1"/>
      <c r="N122" s="1"/>
      <c r="O122" s="1"/>
      <c r="P122" s="1" cm="1">
        <f t="array" ref="P122">_xlfn.SWITCH($A$2,"average", AVERAGE(Instances!P122:Instances!P122),"median", MEDIAN(Instances!P122:Instances!P122),"min", MIN(Instances!P122:Instances!P122),"max", MAX(Instances!P122:Instances!P122),"diff", MAX(Instances!P122:Instances!P122)-MIN(Instances!P122:Instances!P122))</f>
        <v>0</v>
      </c>
      <c r="Q122" s="1" cm="1">
        <f t="array" ref="Q122">_xlfn.SWITCH($A$2,"average", AVERAGE(Instances!Q122:Instances!Q122),"median", MEDIAN(Instances!Q122:Instances!Q122),"min", MIN(Instances!Q122:Instances!Q122),"max", MAX(Instances!Q122:Instances!Q122),"diff", MAX(Instances!Q122:Instances!Q122)-MIN(Instances!Q122:Instances!Q122))</f>
        <v>0</v>
      </c>
      <c r="R122" s="1"/>
      <c r="S122" s="1"/>
      <c r="T122" s="1"/>
      <c r="U122" s="1"/>
      <c r="V122" s="1">
        <f>MIN($E122)</f>
        <v>0</v>
      </c>
      <c r="W122" s="1">
        <f>MIN($F122)</f>
        <v>0</v>
      </c>
      <c r="X122" s="1">
        <f>MIN($G122)</f>
        <v>0</v>
      </c>
      <c r="Y122" s="1"/>
      <c r="Z122" s="1"/>
      <c r="AA122" s="1">
        <f>MIN($J122)</f>
        <v>0</v>
      </c>
      <c r="AB122" s="1"/>
      <c r="AC122" s="1"/>
      <c r="AD122" s="1"/>
      <c r="AE122" s="1">
        <f>MIN($P122)</f>
        <v>0</v>
      </c>
      <c r="AF122" s="1">
        <f>MIN($Q122)</f>
        <v>0</v>
      </c>
      <c r="AG122" s="1"/>
      <c r="AH122" s="1"/>
      <c r="AI122" s="1"/>
      <c r="AJ122" s="1"/>
      <c r="AK122" s="1">
        <f>MEDIAN($E122)</f>
        <v>0</v>
      </c>
      <c r="AL122" s="1">
        <f>MEDIAN($F122)</f>
        <v>0</v>
      </c>
      <c r="AM122" s="1">
        <f>MEDIAN($G122)</f>
        <v>0</v>
      </c>
      <c r="AN122" s="1"/>
      <c r="AO122" s="1"/>
      <c r="AP122" s="1">
        <f>MEDIAN($J122)</f>
        <v>0</v>
      </c>
      <c r="AQ122" s="1"/>
      <c r="AR122" s="1"/>
      <c r="AS122" s="1"/>
      <c r="AT122" s="1">
        <f>MEDIAN($P122)</f>
        <v>0</v>
      </c>
      <c r="AU122" s="1">
        <f>MEDIAN($Q122)</f>
        <v>0</v>
      </c>
      <c r="AV122" s="1"/>
      <c r="AW122" s="1"/>
      <c r="AX122" s="1"/>
      <c r="AY122" s="1"/>
      <c r="AZ122" s="1">
        <f>MAX($E122)</f>
        <v>0</v>
      </c>
      <c r="BA122" s="1">
        <f>MAX($F122)</f>
        <v>0</v>
      </c>
      <c r="BB122" s="1">
        <f>MAX($G122)</f>
        <v>0</v>
      </c>
      <c r="BC122" s="1"/>
      <c r="BD122" s="1"/>
      <c r="BE122" s="1">
        <f>MAX($J122)</f>
        <v>0</v>
      </c>
      <c r="BF122" s="1"/>
      <c r="BG122" s="1"/>
      <c r="BH122" s="1"/>
      <c r="BI122" s="1">
        <f>MAX($P122)</f>
        <v>0</v>
      </c>
      <c r="BJ122" s="1">
        <f>MAX($Q122)</f>
        <v>0</v>
      </c>
      <c r="BK122" s="1"/>
    </row>
    <row r="123" spans="1:63">
      <c r="A123" s="1" t="s">
        <v>120</v>
      </c>
      <c r="B123" s="1"/>
      <c r="C123" s="1"/>
      <c r="D123" s="1"/>
      <c r="E123" s="1" cm="1">
        <f t="array" ref="E123">_xlfn.SWITCH($A$2,"average", AVERAGE(Instances!E123:Instances!E123),"median", MEDIAN(Instances!E123:Instances!E123),"min", MIN(Instances!E123:Instances!E123),"max", MAX(Instances!E123:Instances!E123),"diff", MAX(Instances!E123:Instances!E123)-MIN(Instances!E123:Instances!E123))</f>
        <v>0</v>
      </c>
      <c r="F123" s="1" cm="1">
        <f t="array" ref="F123">_xlfn.SWITCH($A$2,"average", AVERAGE(Instances!F123:Instances!F123),"median", MEDIAN(Instances!F123:Instances!F123),"min", MIN(Instances!F123:Instances!F123),"max", MAX(Instances!F123:Instances!F123),"diff", MAX(Instances!F123:Instances!F123)-MIN(Instances!F123:Instances!F123))</f>
        <v>0</v>
      </c>
      <c r="G123" s="1" cm="1">
        <f t="array" ref="G123">_xlfn.SWITCH($A$2,"average", AVERAGE(Instances!G123:Instances!G123),"median", MEDIAN(Instances!G123:Instances!G123),"min", MIN(Instances!G123:Instances!G123),"max", MAX(Instances!G123:Instances!G123),"diff", MAX(Instances!G123:Instances!G123)-MIN(Instances!G123:Instances!G123))</f>
        <v>0</v>
      </c>
      <c r="H123" s="1"/>
      <c r="I123" s="1"/>
      <c r="J123" s="1" cm="1">
        <f t="array" ref="J123">_xlfn.SWITCH($A$2,"average", AVERAGE(Instances!J123:Instances!J123),"median", MEDIAN(Instances!J123:Instances!J123),"min", MIN(Instances!J123:Instances!J123),"max", MAX(Instances!J123:Instances!J123),"diff", MAX(Instances!J123:Instances!J123)-MIN(Instances!J123:Instances!J123))</f>
        <v>0</v>
      </c>
      <c r="K123" s="1"/>
      <c r="L123" s="1"/>
      <c r="M123" s="1"/>
      <c r="N123" s="1"/>
      <c r="O123" s="1"/>
      <c r="P123" s="1" cm="1">
        <f t="array" ref="P123">_xlfn.SWITCH($A$2,"average", AVERAGE(Instances!P123:Instances!P123),"median", MEDIAN(Instances!P123:Instances!P123),"min", MIN(Instances!P123:Instances!P123),"max", MAX(Instances!P123:Instances!P123),"diff", MAX(Instances!P123:Instances!P123)-MIN(Instances!P123:Instances!P123))</f>
        <v>0</v>
      </c>
      <c r="Q123" s="1" cm="1">
        <f t="array" ref="Q123">_xlfn.SWITCH($A$2,"average", AVERAGE(Instances!Q123:Instances!Q123),"median", MEDIAN(Instances!Q123:Instances!Q123),"min", MIN(Instances!Q123:Instances!Q123),"max", MAX(Instances!Q123:Instances!Q123),"diff", MAX(Instances!Q123:Instances!Q123)-MIN(Instances!Q123:Instances!Q123))</f>
        <v>0</v>
      </c>
      <c r="R123" s="1"/>
      <c r="S123" s="1"/>
      <c r="T123" s="1"/>
      <c r="U123" s="1"/>
      <c r="V123" s="1">
        <f>MIN($E123)</f>
        <v>0</v>
      </c>
      <c r="W123" s="1">
        <f>MIN($F123)</f>
        <v>0</v>
      </c>
      <c r="X123" s="1">
        <f>MIN($G123)</f>
        <v>0</v>
      </c>
      <c r="Y123" s="1"/>
      <c r="Z123" s="1"/>
      <c r="AA123" s="1">
        <f>MIN($J123)</f>
        <v>0</v>
      </c>
      <c r="AB123" s="1"/>
      <c r="AC123" s="1"/>
      <c r="AD123" s="1"/>
      <c r="AE123" s="1">
        <f>MIN($P123)</f>
        <v>0</v>
      </c>
      <c r="AF123" s="1">
        <f>MIN($Q123)</f>
        <v>0</v>
      </c>
      <c r="AG123" s="1"/>
      <c r="AH123" s="1"/>
      <c r="AI123" s="1"/>
      <c r="AJ123" s="1"/>
      <c r="AK123" s="1">
        <f>MEDIAN($E123)</f>
        <v>0</v>
      </c>
      <c r="AL123" s="1">
        <f>MEDIAN($F123)</f>
        <v>0</v>
      </c>
      <c r="AM123" s="1">
        <f>MEDIAN($G123)</f>
        <v>0</v>
      </c>
      <c r="AN123" s="1"/>
      <c r="AO123" s="1"/>
      <c r="AP123" s="1">
        <f>MEDIAN($J123)</f>
        <v>0</v>
      </c>
      <c r="AQ123" s="1"/>
      <c r="AR123" s="1"/>
      <c r="AS123" s="1"/>
      <c r="AT123" s="1">
        <f>MEDIAN($P123)</f>
        <v>0</v>
      </c>
      <c r="AU123" s="1">
        <f>MEDIAN($Q123)</f>
        <v>0</v>
      </c>
      <c r="AV123" s="1"/>
      <c r="AW123" s="1"/>
      <c r="AX123" s="1"/>
      <c r="AY123" s="1"/>
      <c r="AZ123" s="1">
        <f>MAX($E123)</f>
        <v>0</v>
      </c>
      <c r="BA123" s="1">
        <f>MAX($F123)</f>
        <v>0</v>
      </c>
      <c r="BB123" s="1">
        <f>MAX($G123)</f>
        <v>0</v>
      </c>
      <c r="BC123" s="1"/>
      <c r="BD123" s="1"/>
      <c r="BE123" s="1">
        <f>MAX($J123)</f>
        <v>0</v>
      </c>
      <c r="BF123" s="1"/>
      <c r="BG123" s="1"/>
      <c r="BH123" s="1"/>
      <c r="BI123" s="1">
        <f>MAX($P123)</f>
        <v>0</v>
      </c>
      <c r="BJ123" s="1">
        <f>MAX($Q123)</f>
        <v>0</v>
      </c>
      <c r="BK123" s="1"/>
    </row>
    <row r="124" spans="1:63">
      <c r="A124" s="1" t="s">
        <v>121</v>
      </c>
      <c r="B124" s="1"/>
      <c r="C124" s="1"/>
      <c r="D124" s="1"/>
      <c r="E124" s="1" cm="1">
        <f t="array" ref="E124">_xlfn.SWITCH($A$2,"average", AVERAGE(Instances!E124:Instances!E124),"median", MEDIAN(Instances!E124:Instances!E124),"min", MIN(Instances!E124:Instances!E124),"max", MAX(Instances!E124:Instances!E124),"diff", MAX(Instances!E124:Instances!E124)-MIN(Instances!E124:Instances!E124))</f>
        <v>0</v>
      </c>
      <c r="F124" s="1" cm="1">
        <f t="array" ref="F124">_xlfn.SWITCH($A$2,"average", AVERAGE(Instances!F124:Instances!F124),"median", MEDIAN(Instances!F124:Instances!F124),"min", MIN(Instances!F124:Instances!F124),"max", MAX(Instances!F124:Instances!F124),"diff", MAX(Instances!F124:Instances!F124)-MIN(Instances!F124:Instances!F124))</f>
        <v>0</v>
      </c>
      <c r="G124" s="1" cm="1">
        <f t="array" ref="G124">_xlfn.SWITCH($A$2,"average", AVERAGE(Instances!G124:Instances!G124),"median", MEDIAN(Instances!G124:Instances!G124),"min", MIN(Instances!G124:Instances!G124),"max", MAX(Instances!G124:Instances!G124),"diff", MAX(Instances!G124:Instances!G124)-MIN(Instances!G124:Instances!G124))</f>
        <v>0</v>
      </c>
      <c r="H124" s="1"/>
      <c r="I124" s="1"/>
      <c r="J124" s="1" cm="1">
        <f t="array" ref="J124">_xlfn.SWITCH($A$2,"average", AVERAGE(Instances!J124:Instances!J124),"median", MEDIAN(Instances!J124:Instances!J124),"min", MIN(Instances!J124:Instances!J124),"max", MAX(Instances!J124:Instances!J124),"diff", MAX(Instances!J124:Instances!J124)-MIN(Instances!J124:Instances!J124))</f>
        <v>0</v>
      </c>
      <c r="K124" s="1"/>
      <c r="L124" s="1"/>
      <c r="M124" s="1"/>
      <c r="N124" s="1"/>
      <c r="O124" s="1"/>
      <c r="P124" s="1" cm="1">
        <f t="array" ref="P124">_xlfn.SWITCH($A$2,"average", AVERAGE(Instances!P124:Instances!P124),"median", MEDIAN(Instances!P124:Instances!P124),"min", MIN(Instances!P124:Instances!P124),"max", MAX(Instances!P124:Instances!P124),"diff", MAX(Instances!P124:Instances!P124)-MIN(Instances!P124:Instances!P124))</f>
        <v>0</v>
      </c>
      <c r="Q124" s="1" cm="1">
        <f t="array" ref="Q124">_xlfn.SWITCH($A$2,"average", AVERAGE(Instances!Q124:Instances!Q124),"median", MEDIAN(Instances!Q124:Instances!Q124),"min", MIN(Instances!Q124:Instances!Q124),"max", MAX(Instances!Q124:Instances!Q124),"diff", MAX(Instances!Q124:Instances!Q124)-MIN(Instances!Q124:Instances!Q124))</f>
        <v>0</v>
      </c>
      <c r="R124" s="1"/>
      <c r="S124" s="1"/>
      <c r="T124" s="1"/>
      <c r="U124" s="1"/>
      <c r="V124" s="1">
        <f>MIN($E124)</f>
        <v>0</v>
      </c>
      <c r="W124" s="1">
        <f>MIN($F124)</f>
        <v>0</v>
      </c>
      <c r="X124" s="1">
        <f>MIN($G124)</f>
        <v>0</v>
      </c>
      <c r="Y124" s="1"/>
      <c r="Z124" s="1"/>
      <c r="AA124" s="1">
        <f>MIN($J124)</f>
        <v>0</v>
      </c>
      <c r="AB124" s="1"/>
      <c r="AC124" s="1"/>
      <c r="AD124" s="1"/>
      <c r="AE124" s="1">
        <f>MIN($P124)</f>
        <v>0</v>
      </c>
      <c r="AF124" s="1">
        <f>MIN($Q124)</f>
        <v>0</v>
      </c>
      <c r="AG124" s="1"/>
      <c r="AH124" s="1"/>
      <c r="AI124" s="1"/>
      <c r="AJ124" s="1"/>
      <c r="AK124" s="1">
        <f>MEDIAN($E124)</f>
        <v>0</v>
      </c>
      <c r="AL124" s="1">
        <f>MEDIAN($F124)</f>
        <v>0</v>
      </c>
      <c r="AM124" s="1">
        <f>MEDIAN($G124)</f>
        <v>0</v>
      </c>
      <c r="AN124" s="1"/>
      <c r="AO124" s="1"/>
      <c r="AP124" s="1">
        <f>MEDIAN($J124)</f>
        <v>0</v>
      </c>
      <c r="AQ124" s="1"/>
      <c r="AR124" s="1"/>
      <c r="AS124" s="1"/>
      <c r="AT124" s="1">
        <f>MEDIAN($P124)</f>
        <v>0</v>
      </c>
      <c r="AU124" s="1">
        <f>MEDIAN($Q124)</f>
        <v>0</v>
      </c>
      <c r="AV124" s="1"/>
      <c r="AW124" s="1"/>
      <c r="AX124" s="1"/>
      <c r="AY124" s="1"/>
      <c r="AZ124" s="1">
        <f>MAX($E124)</f>
        <v>0</v>
      </c>
      <c r="BA124" s="1">
        <f>MAX($F124)</f>
        <v>0</v>
      </c>
      <c r="BB124" s="1">
        <f>MAX($G124)</f>
        <v>0</v>
      </c>
      <c r="BC124" s="1"/>
      <c r="BD124" s="1"/>
      <c r="BE124" s="1">
        <f>MAX($J124)</f>
        <v>0</v>
      </c>
      <c r="BF124" s="1"/>
      <c r="BG124" s="1"/>
      <c r="BH124" s="1"/>
      <c r="BI124" s="1">
        <f>MAX($P124)</f>
        <v>0</v>
      </c>
      <c r="BJ124" s="1">
        <f>MAX($Q124)</f>
        <v>0</v>
      </c>
      <c r="BK124" s="1"/>
    </row>
    <row r="125" spans="1:63">
      <c r="A125" s="1" t="s">
        <v>122</v>
      </c>
      <c r="B125" s="1"/>
      <c r="C125" s="1"/>
      <c r="D125" s="1"/>
      <c r="E125" s="1" cm="1">
        <f t="array" ref="E125">_xlfn.SWITCH($A$2,"average", AVERAGE(Instances!E125:Instances!E125),"median", MEDIAN(Instances!E125:Instances!E125),"min", MIN(Instances!E125:Instances!E125),"max", MAX(Instances!E125:Instances!E125),"diff", MAX(Instances!E125:Instances!E125)-MIN(Instances!E125:Instances!E125))</f>
        <v>0</v>
      </c>
      <c r="F125" s="1" cm="1">
        <f t="array" ref="F125">_xlfn.SWITCH($A$2,"average", AVERAGE(Instances!F125:Instances!F125),"median", MEDIAN(Instances!F125:Instances!F125),"min", MIN(Instances!F125:Instances!F125),"max", MAX(Instances!F125:Instances!F125),"diff", MAX(Instances!F125:Instances!F125)-MIN(Instances!F125:Instances!F125))</f>
        <v>0</v>
      </c>
      <c r="G125" s="1" cm="1">
        <f t="array" ref="G125">_xlfn.SWITCH($A$2,"average", AVERAGE(Instances!G125:Instances!G125),"median", MEDIAN(Instances!G125:Instances!G125),"min", MIN(Instances!G125:Instances!G125),"max", MAX(Instances!G125:Instances!G125),"diff", MAX(Instances!G125:Instances!G125)-MIN(Instances!G125:Instances!G125))</f>
        <v>0</v>
      </c>
      <c r="H125" s="1"/>
      <c r="I125" s="1"/>
      <c r="J125" s="1" cm="1">
        <f t="array" ref="J125">_xlfn.SWITCH($A$2,"average", AVERAGE(Instances!J125:Instances!J125),"median", MEDIAN(Instances!J125:Instances!J125),"min", MIN(Instances!J125:Instances!J125),"max", MAX(Instances!J125:Instances!J125),"diff", MAX(Instances!J125:Instances!J125)-MIN(Instances!J125:Instances!J125))</f>
        <v>0</v>
      </c>
      <c r="K125" s="1"/>
      <c r="L125" s="1"/>
      <c r="M125" s="1"/>
      <c r="N125" s="1"/>
      <c r="O125" s="1"/>
      <c r="P125" s="1" cm="1">
        <f t="array" ref="P125">_xlfn.SWITCH($A$2,"average", AVERAGE(Instances!P125:Instances!P125),"median", MEDIAN(Instances!P125:Instances!P125),"min", MIN(Instances!P125:Instances!P125),"max", MAX(Instances!P125:Instances!P125),"diff", MAX(Instances!P125:Instances!P125)-MIN(Instances!P125:Instances!P125))</f>
        <v>0</v>
      </c>
      <c r="Q125" s="1" cm="1">
        <f t="array" ref="Q125">_xlfn.SWITCH($A$2,"average", AVERAGE(Instances!Q125:Instances!Q125),"median", MEDIAN(Instances!Q125:Instances!Q125),"min", MIN(Instances!Q125:Instances!Q125),"max", MAX(Instances!Q125:Instances!Q125),"diff", MAX(Instances!Q125:Instances!Q125)-MIN(Instances!Q125:Instances!Q125))</f>
        <v>0</v>
      </c>
      <c r="R125" s="1"/>
      <c r="S125" s="1"/>
      <c r="T125" s="1"/>
      <c r="U125" s="1"/>
      <c r="V125" s="1">
        <f>MIN($E125)</f>
        <v>0</v>
      </c>
      <c r="W125" s="1">
        <f>MIN($F125)</f>
        <v>0</v>
      </c>
      <c r="X125" s="1">
        <f>MIN($G125)</f>
        <v>0</v>
      </c>
      <c r="Y125" s="1"/>
      <c r="Z125" s="1"/>
      <c r="AA125" s="1">
        <f>MIN($J125)</f>
        <v>0</v>
      </c>
      <c r="AB125" s="1"/>
      <c r="AC125" s="1"/>
      <c r="AD125" s="1"/>
      <c r="AE125" s="1">
        <f>MIN($P125)</f>
        <v>0</v>
      </c>
      <c r="AF125" s="1">
        <f>MIN($Q125)</f>
        <v>0</v>
      </c>
      <c r="AG125" s="1"/>
      <c r="AH125" s="1"/>
      <c r="AI125" s="1"/>
      <c r="AJ125" s="1"/>
      <c r="AK125" s="1">
        <f>MEDIAN($E125)</f>
        <v>0</v>
      </c>
      <c r="AL125" s="1">
        <f>MEDIAN($F125)</f>
        <v>0</v>
      </c>
      <c r="AM125" s="1">
        <f>MEDIAN($G125)</f>
        <v>0</v>
      </c>
      <c r="AN125" s="1"/>
      <c r="AO125" s="1"/>
      <c r="AP125" s="1">
        <f>MEDIAN($J125)</f>
        <v>0</v>
      </c>
      <c r="AQ125" s="1"/>
      <c r="AR125" s="1"/>
      <c r="AS125" s="1"/>
      <c r="AT125" s="1">
        <f>MEDIAN($P125)</f>
        <v>0</v>
      </c>
      <c r="AU125" s="1">
        <f>MEDIAN($Q125)</f>
        <v>0</v>
      </c>
      <c r="AV125" s="1"/>
      <c r="AW125" s="1"/>
      <c r="AX125" s="1"/>
      <c r="AY125" s="1"/>
      <c r="AZ125" s="1">
        <f>MAX($E125)</f>
        <v>0</v>
      </c>
      <c r="BA125" s="1">
        <f>MAX($F125)</f>
        <v>0</v>
      </c>
      <c r="BB125" s="1">
        <f>MAX($G125)</f>
        <v>0</v>
      </c>
      <c r="BC125" s="1"/>
      <c r="BD125" s="1"/>
      <c r="BE125" s="1">
        <f>MAX($J125)</f>
        <v>0</v>
      </c>
      <c r="BF125" s="1"/>
      <c r="BG125" s="1"/>
      <c r="BH125" s="1"/>
      <c r="BI125" s="1">
        <f>MAX($P125)</f>
        <v>0</v>
      </c>
      <c r="BJ125" s="1">
        <f>MAX($Q125)</f>
        <v>0</v>
      </c>
      <c r="BK125" s="1"/>
    </row>
    <row r="126" spans="1:63">
      <c r="A126" s="1" t="s">
        <v>123</v>
      </c>
      <c r="B126" s="1"/>
      <c r="C126" s="1"/>
      <c r="D126" s="1"/>
      <c r="E126" s="1" cm="1">
        <f t="array" ref="E126">_xlfn.SWITCH($A$2,"average", AVERAGE(Instances!E126:Instances!E126),"median", MEDIAN(Instances!E126:Instances!E126),"min", MIN(Instances!E126:Instances!E126),"max", MAX(Instances!E126:Instances!E126),"diff", MAX(Instances!E126:Instances!E126)-MIN(Instances!E126:Instances!E126))</f>
        <v>0</v>
      </c>
      <c r="F126" s="1" cm="1">
        <f t="array" ref="F126">_xlfn.SWITCH($A$2,"average", AVERAGE(Instances!F126:Instances!F126),"median", MEDIAN(Instances!F126:Instances!F126),"min", MIN(Instances!F126:Instances!F126),"max", MAX(Instances!F126:Instances!F126),"diff", MAX(Instances!F126:Instances!F126)-MIN(Instances!F126:Instances!F126))</f>
        <v>0</v>
      </c>
      <c r="G126" s="1" cm="1">
        <f t="array" ref="G126">_xlfn.SWITCH($A$2,"average", AVERAGE(Instances!G126:Instances!G126),"median", MEDIAN(Instances!G126:Instances!G126),"min", MIN(Instances!G126:Instances!G126),"max", MAX(Instances!G126:Instances!G126),"diff", MAX(Instances!G126:Instances!G126)-MIN(Instances!G126:Instances!G126))</f>
        <v>0</v>
      </c>
      <c r="H126" s="1"/>
      <c r="I126" s="1"/>
      <c r="J126" s="1" cm="1">
        <f t="array" ref="J126">_xlfn.SWITCH($A$2,"average", AVERAGE(Instances!J126:Instances!J126),"median", MEDIAN(Instances!J126:Instances!J126),"min", MIN(Instances!J126:Instances!J126),"max", MAX(Instances!J126:Instances!J126),"diff", MAX(Instances!J126:Instances!J126)-MIN(Instances!J126:Instances!J126))</f>
        <v>0</v>
      </c>
      <c r="K126" s="1"/>
      <c r="L126" s="1"/>
      <c r="M126" s="1"/>
      <c r="N126" s="1"/>
      <c r="O126" s="1"/>
      <c r="P126" s="1" cm="1">
        <f t="array" ref="P126">_xlfn.SWITCH($A$2,"average", AVERAGE(Instances!P126:Instances!P126),"median", MEDIAN(Instances!P126:Instances!P126),"min", MIN(Instances!P126:Instances!P126),"max", MAX(Instances!P126:Instances!P126),"diff", MAX(Instances!P126:Instances!P126)-MIN(Instances!P126:Instances!P126))</f>
        <v>0</v>
      </c>
      <c r="Q126" s="1" cm="1">
        <f t="array" ref="Q126">_xlfn.SWITCH($A$2,"average", AVERAGE(Instances!Q126:Instances!Q126),"median", MEDIAN(Instances!Q126:Instances!Q126),"min", MIN(Instances!Q126:Instances!Q126),"max", MAX(Instances!Q126:Instances!Q126),"diff", MAX(Instances!Q126:Instances!Q126)-MIN(Instances!Q126:Instances!Q126))</f>
        <v>0</v>
      </c>
      <c r="R126" s="1"/>
      <c r="S126" s="1"/>
      <c r="T126" s="1"/>
      <c r="U126" s="1"/>
      <c r="V126" s="1">
        <f>MIN($E126)</f>
        <v>0</v>
      </c>
      <c r="W126" s="1">
        <f>MIN($F126)</f>
        <v>0</v>
      </c>
      <c r="X126" s="1">
        <f>MIN($G126)</f>
        <v>0</v>
      </c>
      <c r="Y126" s="1"/>
      <c r="Z126" s="1"/>
      <c r="AA126" s="1">
        <f>MIN($J126)</f>
        <v>0</v>
      </c>
      <c r="AB126" s="1"/>
      <c r="AC126" s="1"/>
      <c r="AD126" s="1"/>
      <c r="AE126" s="1">
        <f>MIN($P126)</f>
        <v>0</v>
      </c>
      <c r="AF126" s="1">
        <f>MIN($Q126)</f>
        <v>0</v>
      </c>
      <c r="AG126" s="1"/>
      <c r="AH126" s="1"/>
      <c r="AI126" s="1"/>
      <c r="AJ126" s="1"/>
      <c r="AK126" s="1">
        <f>MEDIAN($E126)</f>
        <v>0</v>
      </c>
      <c r="AL126" s="1">
        <f>MEDIAN($F126)</f>
        <v>0</v>
      </c>
      <c r="AM126" s="1">
        <f>MEDIAN($G126)</f>
        <v>0</v>
      </c>
      <c r="AN126" s="1"/>
      <c r="AO126" s="1"/>
      <c r="AP126" s="1">
        <f>MEDIAN($J126)</f>
        <v>0</v>
      </c>
      <c r="AQ126" s="1"/>
      <c r="AR126" s="1"/>
      <c r="AS126" s="1"/>
      <c r="AT126" s="1">
        <f>MEDIAN($P126)</f>
        <v>0</v>
      </c>
      <c r="AU126" s="1">
        <f>MEDIAN($Q126)</f>
        <v>0</v>
      </c>
      <c r="AV126" s="1"/>
      <c r="AW126" s="1"/>
      <c r="AX126" s="1"/>
      <c r="AY126" s="1"/>
      <c r="AZ126" s="1">
        <f>MAX($E126)</f>
        <v>0</v>
      </c>
      <c r="BA126" s="1">
        <f>MAX($F126)</f>
        <v>0</v>
      </c>
      <c r="BB126" s="1">
        <f>MAX($G126)</f>
        <v>0</v>
      </c>
      <c r="BC126" s="1"/>
      <c r="BD126" s="1"/>
      <c r="BE126" s="1">
        <f>MAX($J126)</f>
        <v>0</v>
      </c>
      <c r="BF126" s="1"/>
      <c r="BG126" s="1"/>
      <c r="BH126" s="1"/>
      <c r="BI126" s="1">
        <f>MAX($P126)</f>
        <v>0</v>
      </c>
      <c r="BJ126" s="1">
        <f>MAX($Q126)</f>
        <v>0</v>
      </c>
      <c r="BK126" s="1"/>
    </row>
    <row r="127" spans="1:63">
      <c r="A127" s="1" t="s">
        <v>124</v>
      </c>
      <c r="B127" s="1"/>
      <c r="C127" s="1"/>
      <c r="D127" s="1"/>
      <c r="E127" s="1" cm="1">
        <f t="array" ref="E127">_xlfn.SWITCH($A$2,"average", AVERAGE(Instances!E127:Instances!E127),"median", MEDIAN(Instances!E127:Instances!E127),"min", MIN(Instances!E127:Instances!E127),"max", MAX(Instances!E127:Instances!E127),"diff", MAX(Instances!E127:Instances!E127)-MIN(Instances!E127:Instances!E127))</f>
        <v>0</v>
      </c>
      <c r="F127" s="1" cm="1">
        <f t="array" ref="F127">_xlfn.SWITCH($A$2,"average", AVERAGE(Instances!F127:Instances!F127),"median", MEDIAN(Instances!F127:Instances!F127),"min", MIN(Instances!F127:Instances!F127),"max", MAX(Instances!F127:Instances!F127),"diff", MAX(Instances!F127:Instances!F127)-MIN(Instances!F127:Instances!F127))</f>
        <v>0</v>
      </c>
      <c r="G127" s="1" cm="1">
        <f t="array" ref="G127">_xlfn.SWITCH($A$2,"average", AVERAGE(Instances!G127:Instances!G127),"median", MEDIAN(Instances!G127:Instances!G127),"min", MIN(Instances!G127:Instances!G127),"max", MAX(Instances!G127:Instances!G127),"diff", MAX(Instances!G127:Instances!G127)-MIN(Instances!G127:Instances!G127))</f>
        <v>0</v>
      </c>
      <c r="H127" s="1"/>
      <c r="I127" s="1"/>
      <c r="J127" s="1" cm="1">
        <f t="array" ref="J127">_xlfn.SWITCH($A$2,"average", AVERAGE(Instances!J127:Instances!J127),"median", MEDIAN(Instances!J127:Instances!J127),"min", MIN(Instances!J127:Instances!J127),"max", MAX(Instances!J127:Instances!J127),"diff", MAX(Instances!J127:Instances!J127)-MIN(Instances!J127:Instances!J127))</f>
        <v>0</v>
      </c>
      <c r="K127" s="1"/>
      <c r="L127" s="1"/>
      <c r="M127" s="1"/>
      <c r="N127" s="1"/>
      <c r="O127" s="1"/>
      <c r="P127" s="1" cm="1">
        <f t="array" ref="P127">_xlfn.SWITCH($A$2,"average", AVERAGE(Instances!P127:Instances!P127),"median", MEDIAN(Instances!P127:Instances!P127),"min", MIN(Instances!P127:Instances!P127),"max", MAX(Instances!P127:Instances!P127),"diff", MAX(Instances!P127:Instances!P127)-MIN(Instances!P127:Instances!P127))</f>
        <v>0</v>
      </c>
      <c r="Q127" s="1" cm="1">
        <f t="array" ref="Q127">_xlfn.SWITCH($A$2,"average", AVERAGE(Instances!Q127:Instances!Q127),"median", MEDIAN(Instances!Q127:Instances!Q127),"min", MIN(Instances!Q127:Instances!Q127),"max", MAX(Instances!Q127:Instances!Q127),"diff", MAX(Instances!Q127:Instances!Q127)-MIN(Instances!Q127:Instances!Q127))</f>
        <v>0</v>
      </c>
      <c r="R127" s="1"/>
      <c r="S127" s="1"/>
      <c r="T127" s="1"/>
      <c r="U127" s="1"/>
      <c r="V127" s="1">
        <f>MIN($E127)</f>
        <v>0</v>
      </c>
      <c r="W127" s="1">
        <f>MIN($F127)</f>
        <v>0</v>
      </c>
      <c r="X127" s="1">
        <f>MIN($G127)</f>
        <v>0</v>
      </c>
      <c r="Y127" s="1"/>
      <c r="Z127" s="1"/>
      <c r="AA127" s="1">
        <f>MIN($J127)</f>
        <v>0</v>
      </c>
      <c r="AB127" s="1"/>
      <c r="AC127" s="1"/>
      <c r="AD127" s="1"/>
      <c r="AE127" s="1">
        <f>MIN($P127)</f>
        <v>0</v>
      </c>
      <c r="AF127" s="1">
        <f>MIN($Q127)</f>
        <v>0</v>
      </c>
      <c r="AG127" s="1"/>
      <c r="AH127" s="1"/>
      <c r="AI127" s="1"/>
      <c r="AJ127" s="1"/>
      <c r="AK127" s="1">
        <f>MEDIAN($E127)</f>
        <v>0</v>
      </c>
      <c r="AL127" s="1">
        <f>MEDIAN($F127)</f>
        <v>0</v>
      </c>
      <c r="AM127" s="1">
        <f>MEDIAN($G127)</f>
        <v>0</v>
      </c>
      <c r="AN127" s="1"/>
      <c r="AO127" s="1"/>
      <c r="AP127" s="1">
        <f>MEDIAN($J127)</f>
        <v>0</v>
      </c>
      <c r="AQ127" s="1"/>
      <c r="AR127" s="1"/>
      <c r="AS127" s="1"/>
      <c r="AT127" s="1">
        <f>MEDIAN($P127)</f>
        <v>0</v>
      </c>
      <c r="AU127" s="1">
        <f>MEDIAN($Q127)</f>
        <v>0</v>
      </c>
      <c r="AV127" s="1"/>
      <c r="AW127" s="1"/>
      <c r="AX127" s="1"/>
      <c r="AY127" s="1"/>
      <c r="AZ127" s="1">
        <f>MAX($E127)</f>
        <v>0</v>
      </c>
      <c r="BA127" s="1">
        <f>MAX($F127)</f>
        <v>0</v>
      </c>
      <c r="BB127" s="1">
        <f>MAX($G127)</f>
        <v>0</v>
      </c>
      <c r="BC127" s="1"/>
      <c r="BD127" s="1"/>
      <c r="BE127" s="1">
        <f>MAX($J127)</f>
        <v>0</v>
      </c>
      <c r="BF127" s="1"/>
      <c r="BG127" s="1"/>
      <c r="BH127" s="1"/>
      <c r="BI127" s="1">
        <f>MAX($P127)</f>
        <v>0</v>
      </c>
      <c r="BJ127" s="1">
        <f>MAX($Q127)</f>
        <v>0</v>
      </c>
      <c r="BK127" s="1"/>
    </row>
    <row r="128" spans="1:63">
      <c r="A128" s="1" t="s">
        <v>125</v>
      </c>
      <c r="B128" s="1"/>
      <c r="C128" s="1"/>
      <c r="D128" s="1"/>
      <c r="E128" s="1" cm="1">
        <f t="array" ref="E128">_xlfn.SWITCH($A$2,"average", AVERAGE(Instances!E128:Instances!E128),"median", MEDIAN(Instances!E128:Instances!E128),"min", MIN(Instances!E128:Instances!E128),"max", MAX(Instances!E128:Instances!E128),"diff", MAX(Instances!E128:Instances!E128)-MIN(Instances!E128:Instances!E128))</f>
        <v>0</v>
      </c>
      <c r="F128" s="1" cm="1">
        <f t="array" ref="F128">_xlfn.SWITCH($A$2,"average", AVERAGE(Instances!F128:Instances!F128),"median", MEDIAN(Instances!F128:Instances!F128),"min", MIN(Instances!F128:Instances!F128),"max", MAX(Instances!F128:Instances!F128),"diff", MAX(Instances!F128:Instances!F128)-MIN(Instances!F128:Instances!F128))</f>
        <v>0</v>
      </c>
      <c r="G128" s="1" cm="1">
        <f t="array" ref="G128">_xlfn.SWITCH($A$2,"average", AVERAGE(Instances!G128:Instances!G128),"median", MEDIAN(Instances!G128:Instances!G128),"min", MIN(Instances!G128:Instances!G128),"max", MAX(Instances!G128:Instances!G128),"diff", MAX(Instances!G128:Instances!G128)-MIN(Instances!G128:Instances!G128))</f>
        <v>0</v>
      </c>
      <c r="H128" s="1"/>
      <c r="I128" s="1"/>
      <c r="J128" s="1" cm="1">
        <f t="array" ref="J128">_xlfn.SWITCH($A$2,"average", AVERAGE(Instances!J128:Instances!J128),"median", MEDIAN(Instances!J128:Instances!J128),"min", MIN(Instances!J128:Instances!J128),"max", MAX(Instances!J128:Instances!J128),"diff", MAX(Instances!J128:Instances!J128)-MIN(Instances!J128:Instances!J128))</f>
        <v>0</v>
      </c>
      <c r="K128" s="1"/>
      <c r="L128" s="1"/>
      <c r="M128" s="1"/>
      <c r="N128" s="1"/>
      <c r="O128" s="1"/>
      <c r="P128" s="1" cm="1">
        <f t="array" ref="P128">_xlfn.SWITCH($A$2,"average", AVERAGE(Instances!P128:Instances!P128),"median", MEDIAN(Instances!P128:Instances!P128),"min", MIN(Instances!P128:Instances!P128),"max", MAX(Instances!P128:Instances!P128),"diff", MAX(Instances!P128:Instances!P128)-MIN(Instances!P128:Instances!P128))</f>
        <v>0</v>
      </c>
      <c r="Q128" s="1" cm="1">
        <f t="array" ref="Q128">_xlfn.SWITCH($A$2,"average", AVERAGE(Instances!Q128:Instances!Q128),"median", MEDIAN(Instances!Q128:Instances!Q128),"min", MIN(Instances!Q128:Instances!Q128),"max", MAX(Instances!Q128:Instances!Q128),"diff", MAX(Instances!Q128:Instances!Q128)-MIN(Instances!Q128:Instances!Q128))</f>
        <v>0</v>
      </c>
      <c r="R128" s="1"/>
      <c r="S128" s="1"/>
      <c r="T128" s="1"/>
      <c r="U128" s="1"/>
      <c r="V128" s="1">
        <f>MIN($E128)</f>
        <v>0</v>
      </c>
      <c r="W128" s="1">
        <f>MIN($F128)</f>
        <v>0</v>
      </c>
      <c r="X128" s="1">
        <f>MIN($G128)</f>
        <v>0</v>
      </c>
      <c r="Y128" s="1"/>
      <c r="Z128" s="1"/>
      <c r="AA128" s="1">
        <f>MIN($J128)</f>
        <v>0</v>
      </c>
      <c r="AB128" s="1"/>
      <c r="AC128" s="1"/>
      <c r="AD128" s="1"/>
      <c r="AE128" s="1">
        <f>MIN($P128)</f>
        <v>0</v>
      </c>
      <c r="AF128" s="1">
        <f>MIN($Q128)</f>
        <v>0</v>
      </c>
      <c r="AG128" s="1"/>
      <c r="AH128" s="1"/>
      <c r="AI128" s="1"/>
      <c r="AJ128" s="1"/>
      <c r="AK128" s="1">
        <f>MEDIAN($E128)</f>
        <v>0</v>
      </c>
      <c r="AL128" s="1">
        <f>MEDIAN($F128)</f>
        <v>0</v>
      </c>
      <c r="AM128" s="1">
        <f>MEDIAN($G128)</f>
        <v>0</v>
      </c>
      <c r="AN128" s="1"/>
      <c r="AO128" s="1"/>
      <c r="AP128" s="1">
        <f>MEDIAN($J128)</f>
        <v>0</v>
      </c>
      <c r="AQ128" s="1"/>
      <c r="AR128" s="1"/>
      <c r="AS128" s="1"/>
      <c r="AT128" s="1">
        <f>MEDIAN($P128)</f>
        <v>0</v>
      </c>
      <c r="AU128" s="1">
        <f>MEDIAN($Q128)</f>
        <v>0</v>
      </c>
      <c r="AV128" s="1"/>
      <c r="AW128" s="1"/>
      <c r="AX128" s="1"/>
      <c r="AY128" s="1"/>
      <c r="AZ128" s="1">
        <f>MAX($E128)</f>
        <v>0</v>
      </c>
      <c r="BA128" s="1">
        <f>MAX($F128)</f>
        <v>0</v>
      </c>
      <c r="BB128" s="1">
        <f>MAX($G128)</f>
        <v>0</v>
      </c>
      <c r="BC128" s="1"/>
      <c r="BD128" s="1"/>
      <c r="BE128" s="1">
        <f>MAX($J128)</f>
        <v>0</v>
      </c>
      <c r="BF128" s="1"/>
      <c r="BG128" s="1"/>
      <c r="BH128" s="1"/>
      <c r="BI128" s="1">
        <f>MAX($P128)</f>
        <v>0</v>
      </c>
      <c r="BJ128" s="1">
        <f>MAX($Q128)</f>
        <v>0</v>
      </c>
      <c r="BK128" s="1"/>
    </row>
    <row r="129" spans="1:63">
      <c r="A129" s="1" t="s">
        <v>126</v>
      </c>
      <c r="B129" s="1"/>
      <c r="C129" s="1"/>
      <c r="D129" s="1"/>
      <c r="E129" s="1" cm="1">
        <f t="array" ref="E129">_xlfn.SWITCH($A$2,"average", AVERAGE(Instances!E129:Instances!E129),"median", MEDIAN(Instances!E129:Instances!E129),"min", MIN(Instances!E129:Instances!E129),"max", MAX(Instances!E129:Instances!E129),"diff", MAX(Instances!E129:Instances!E129)-MIN(Instances!E129:Instances!E129))</f>
        <v>0</v>
      </c>
      <c r="F129" s="1" cm="1">
        <f t="array" ref="F129">_xlfn.SWITCH($A$2,"average", AVERAGE(Instances!F129:Instances!F129),"median", MEDIAN(Instances!F129:Instances!F129),"min", MIN(Instances!F129:Instances!F129),"max", MAX(Instances!F129:Instances!F129),"diff", MAX(Instances!F129:Instances!F129)-MIN(Instances!F129:Instances!F129))</f>
        <v>0</v>
      </c>
      <c r="G129" s="1" cm="1">
        <f t="array" ref="G129">_xlfn.SWITCH($A$2,"average", AVERAGE(Instances!G129:Instances!G129),"median", MEDIAN(Instances!G129:Instances!G129),"min", MIN(Instances!G129:Instances!G129),"max", MAX(Instances!G129:Instances!G129),"diff", MAX(Instances!G129:Instances!G129)-MIN(Instances!G129:Instances!G129))</f>
        <v>0</v>
      </c>
      <c r="H129" s="1"/>
      <c r="I129" s="1"/>
      <c r="J129" s="1" cm="1">
        <f t="array" ref="J129">_xlfn.SWITCH($A$2,"average", AVERAGE(Instances!J129:Instances!J129),"median", MEDIAN(Instances!J129:Instances!J129),"min", MIN(Instances!J129:Instances!J129),"max", MAX(Instances!J129:Instances!J129),"diff", MAX(Instances!J129:Instances!J129)-MIN(Instances!J129:Instances!J129))</f>
        <v>0</v>
      </c>
      <c r="K129" s="1"/>
      <c r="L129" s="1"/>
      <c r="M129" s="1"/>
      <c r="N129" s="1"/>
      <c r="O129" s="1"/>
      <c r="P129" s="1" cm="1">
        <f t="array" ref="P129">_xlfn.SWITCH($A$2,"average", AVERAGE(Instances!P129:Instances!P129),"median", MEDIAN(Instances!P129:Instances!P129),"min", MIN(Instances!P129:Instances!P129),"max", MAX(Instances!P129:Instances!P129),"diff", MAX(Instances!P129:Instances!P129)-MIN(Instances!P129:Instances!P129))</f>
        <v>0</v>
      </c>
      <c r="Q129" s="1" cm="1">
        <f t="array" ref="Q129">_xlfn.SWITCH($A$2,"average", AVERAGE(Instances!Q129:Instances!Q129),"median", MEDIAN(Instances!Q129:Instances!Q129),"min", MIN(Instances!Q129:Instances!Q129),"max", MAX(Instances!Q129:Instances!Q129),"diff", MAX(Instances!Q129:Instances!Q129)-MIN(Instances!Q129:Instances!Q129))</f>
        <v>0</v>
      </c>
      <c r="R129" s="1"/>
      <c r="S129" s="1"/>
      <c r="T129" s="1"/>
      <c r="U129" s="1"/>
      <c r="V129" s="1">
        <f>MIN($E129)</f>
        <v>0</v>
      </c>
      <c r="W129" s="1">
        <f>MIN($F129)</f>
        <v>0</v>
      </c>
      <c r="X129" s="1">
        <f>MIN($G129)</f>
        <v>0</v>
      </c>
      <c r="Y129" s="1"/>
      <c r="Z129" s="1"/>
      <c r="AA129" s="1">
        <f>MIN($J129)</f>
        <v>0</v>
      </c>
      <c r="AB129" s="1"/>
      <c r="AC129" s="1"/>
      <c r="AD129" s="1"/>
      <c r="AE129" s="1">
        <f>MIN($P129)</f>
        <v>0</v>
      </c>
      <c r="AF129" s="1">
        <f>MIN($Q129)</f>
        <v>0</v>
      </c>
      <c r="AG129" s="1"/>
      <c r="AH129" s="1"/>
      <c r="AI129" s="1"/>
      <c r="AJ129" s="1"/>
      <c r="AK129" s="1">
        <f>MEDIAN($E129)</f>
        <v>0</v>
      </c>
      <c r="AL129" s="1">
        <f>MEDIAN($F129)</f>
        <v>0</v>
      </c>
      <c r="AM129" s="1">
        <f>MEDIAN($G129)</f>
        <v>0</v>
      </c>
      <c r="AN129" s="1"/>
      <c r="AO129" s="1"/>
      <c r="AP129" s="1">
        <f>MEDIAN($J129)</f>
        <v>0</v>
      </c>
      <c r="AQ129" s="1"/>
      <c r="AR129" s="1"/>
      <c r="AS129" s="1"/>
      <c r="AT129" s="1">
        <f>MEDIAN($P129)</f>
        <v>0</v>
      </c>
      <c r="AU129" s="1">
        <f>MEDIAN($Q129)</f>
        <v>0</v>
      </c>
      <c r="AV129" s="1"/>
      <c r="AW129" s="1"/>
      <c r="AX129" s="1"/>
      <c r="AY129" s="1"/>
      <c r="AZ129" s="1">
        <f>MAX($E129)</f>
        <v>0</v>
      </c>
      <c r="BA129" s="1">
        <f>MAX($F129)</f>
        <v>0</v>
      </c>
      <c r="BB129" s="1">
        <f>MAX($G129)</f>
        <v>0</v>
      </c>
      <c r="BC129" s="1"/>
      <c r="BD129" s="1"/>
      <c r="BE129" s="1">
        <f>MAX($J129)</f>
        <v>0</v>
      </c>
      <c r="BF129" s="1"/>
      <c r="BG129" s="1"/>
      <c r="BH129" s="1"/>
      <c r="BI129" s="1">
        <f>MAX($P129)</f>
        <v>0</v>
      </c>
      <c r="BJ129" s="1">
        <f>MAX($Q129)</f>
        <v>0</v>
      </c>
      <c r="BK129" s="1"/>
    </row>
    <row r="130" spans="1:63">
      <c r="A130" s="1" t="s">
        <v>127</v>
      </c>
      <c r="B130" s="1" cm="1">
        <f t="array" ref="B130">_xlfn.SWITCH($A$2,"average", AVERAGE(Instances!B130:Instances!B130),"median", MEDIAN(Instances!B130:Instances!B130),"min", MIN(Instances!B130:Instances!B130),"max", MAX(Instances!B130:Instances!B130),"diff", MAX(Instances!B130:Instances!B130)-MIN(Instances!B130:Instances!B130))</f>
        <v>0</v>
      </c>
      <c r="C130" s="1" cm="1">
        <f t="array" ref="C130">_xlfn.SWITCH($A$2,"average", AVERAGE(Instances!C130:Instances!C130),"median", MEDIAN(Instances!C130:Instances!C130),"min", MIN(Instances!C130:Instances!C130),"max", MAX(Instances!C130:Instances!C130),"diff", MAX(Instances!C130:Instances!C130)-MIN(Instances!C130:Instances!C130))</f>
        <v>0</v>
      </c>
      <c r="D130" s="1" cm="1">
        <f t="array" ref="D130">_xlfn.SWITCH($A$2,"average", AVERAGE(Instances!D130:Instances!D130),"median", MEDIAN(Instances!D130:Instances!D130),"min", MIN(Instances!D130:Instances!D130),"max", MAX(Instances!D130:Instances!D130),"diff", MAX(Instances!D130:Instances!D130)-MIN(Instances!D130:Instances!D130))</f>
        <v>0</v>
      </c>
      <c r="E130" s="1" cm="1">
        <f t="array" ref="E130">_xlfn.SWITCH($A$2,"average", AVERAGE(Instances!E130:Instances!E130),"median", MEDIAN(Instances!E130:Instances!E130),"min", MIN(Instances!E130:Instances!E130),"max", MAX(Instances!E130:Instances!E130),"diff", MAX(Instances!E130:Instances!E130)-MIN(Instances!E130:Instances!E130))</f>
        <v>0</v>
      </c>
      <c r="F130" s="1" cm="1">
        <f t="array" ref="F130">_xlfn.SWITCH($A$2,"average", AVERAGE(Instances!F130:Instances!F130),"median", MEDIAN(Instances!F130:Instances!F130),"min", MIN(Instances!F130:Instances!F130),"max", MAX(Instances!F130:Instances!F130),"diff", MAX(Instances!F130:Instances!F130)-MIN(Instances!F130:Instances!F130))</f>
        <v>0</v>
      </c>
      <c r="G130" s="1" cm="1">
        <f t="array" ref="G130">_xlfn.SWITCH($A$2,"average", AVERAGE(Instances!G130:Instances!G130),"median", MEDIAN(Instances!G130:Instances!G130),"min", MIN(Instances!G130:Instances!G130),"max", MAX(Instances!G130:Instances!G130),"diff", MAX(Instances!G130:Instances!G130)-MIN(Instances!G130:Instances!G130))</f>
        <v>0</v>
      </c>
      <c r="H130" s="1" cm="1">
        <f t="array" ref="H130">_xlfn.SWITCH($A$2,"average", AVERAGE(Instances!H130:Instances!H130),"median", MEDIAN(Instances!H130:Instances!H130),"min", MIN(Instances!H130:Instances!H130),"max", MAX(Instances!H130:Instances!H130),"diff", MAX(Instances!H130:Instances!H130)-MIN(Instances!H130:Instances!H130))</f>
        <v>0</v>
      </c>
      <c r="I130" s="1" cm="1">
        <f t="array" ref="I130">_xlfn.SWITCH($A$2,"average", AVERAGE(Instances!I130:Instances!I130),"median", MEDIAN(Instances!I130:Instances!I130),"min", MIN(Instances!I130:Instances!I130),"max", MAX(Instances!I130:Instances!I130),"diff", MAX(Instances!I130:Instances!I130)-MIN(Instances!I130:Instances!I130))</f>
        <v>0</v>
      </c>
      <c r="J130" s="1" cm="1">
        <f t="array" ref="J130">_xlfn.SWITCH($A$2,"average", AVERAGE(Instances!J130:Instances!J130),"median", MEDIAN(Instances!J130:Instances!J130),"min", MIN(Instances!J130:Instances!J130),"max", MAX(Instances!J130:Instances!J130),"diff", MAX(Instances!J130:Instances!J130)-MIN(Instances!J130:Instances!J130))</f>
        <v>0</v>
      </c>
      <c r="K130" s="1" cm="1">
        <f t="array" ref="K130">_xlfn.SWITCH($A$2,"average", AVERAGE(Instances!K130:Instances!K130),"median", MEDIAN(Instances!K130:Instances!K130),"min", MIN(Instances!K130:Instances!K130),"max", MAX(Instances!K130:Instances!K130),"diff", MAX(Instances!K130:Instances!K130)-MIN(Instances!K130:Instances!K130))</f>
        <v>0</v>
      </c>
      <c r="L130" s="1"/>
      <c r="M130" s="1" cm="1">
        <f t="array" ref="M130">_xlfn.SWITCH($A$2,"average", AVERAGE(Instances!M130:Instances!M130),"median", MEDIAN(Instances!M130:Instances!M130),"min", MIN(Instances!M130:Instances!M130),"max", MAX(Instances!M130:Instances!M130),"diff", MAX(Instances!M130:Instances!M130)-MIN(Instances!M130:Instances!M130))</f>
        <v>0</v>
      </c>
      <c r="N130" s="1" cm="1">
        <f t="array" ref="N130">_xlfn.SWITCH($A$2,"average", AVERAGE(Instances!N130:Instances!N130),"median", MEDIAN(Instances!N130:Instances!N130),"min", MIN(Instances!N130:Instances!N130),"max", MAX(Instances!N130:Instances!N130),"diff", MAX(Instances!N130:Instances!N130)-MIN(Instances!N130:Instances!N130))</f>
        <v>0</v>
      </c>
      <c r="O130" s="1"/>
      <c r="P130" s="1" cm="1">
        <f t="array" ref="P130">_xlfn.SWITCH($A$2,"average", AVERAGE(Instances!P130:Instances!P130),"median", MEDIAN(Instances!P130:Instances!P130),"min", MIN(Instances!P130:Instances!P130),"max", MAX(Instances!P130:Instances!P130),"diff", MAX(Instances!P130:Instances!P130)-MIN(Instances!P130:Instances!P130))</f>
        <v>0</v>
      </c>
      <c r="Q130" s="1" cm="1">
        <f t="array" ref="Q130">_xlfn.SWITCH($A$2,"average", AVERAGE(Instances!Q130:Instances!Q130),"median", MEDIAN(Instances!Q130:Instances!Q130),"min", MIN(Instances!Q130:Instances!Q130),"max", MAX(Instances!Q130:Instances!Q130),"diff", MAX(Instances!Q130:Instances!Q130)-MIN(Instances!Q130:Instances!Q130))</f>
        <v>0</v>
      </c>
      <c r="R130" s="1" cm="1">
        <f t="array" ref="R130">_xlfn.SWITCH($A$2,"average", AVERAGE(Instances!R130:Instances!R130),"median", MEDIAN(Instances!R130:Instances!R130),"min", MIN(Instances!R130:Instances!R130),"max", MAX(Instances!R130:Instances!R130),"diff", MAX(Instances!R130:Instances!R130)-MIN(Instances!R130:Instances!R130))</f>
        <v>0</v>
      </c>
      <c r="S130" s="1">
        <f>MIN($B130)</f>
        <v>0</v>
      </c>
      <c r="T130" s="1">
        <f>MIN($C130)</f>
        <v>0</v>
      </c>
      <c r="U130" s="1">
        <f>MIN($D130)</f>
        <v>0</v>
      </c>
      <c r="V130" s="1">
        <f>MIN($E130)</f>
        <v>0</v>
      </c>
      <c r="W130" s="1">
        <f>MIN($F130)</f>
        <v>0</v>
      </c>
      <c r="X130" s="1">
        <f>MIN($G130)</f>
        <v>0</v>
      </c>
      <c r="Y130" s="1">
        <f>MIN($H130)</f>
        <v>0</v>
      </c>
      <c r="Z130" s="1">
        <f>MIN($I130)</f>
        <v>0</v>
      </c>
      <c r="AA130" s="1">
        <f>MIN($J130)</f>
        <v>0</v>
      </c>
      <c r="AB130" s="1">
        <f>MIN($K130)</f>
        <v>0</v>
      </c>
      <c r="AC130" s="1">
        <f>MIN($M130)</f>
        <v>0</v>
      </c>
      <c r="AD130" s="1">
        <f>MIN($N130)</f>
        <v>0</v>
      </c>
      <c r="AE130" s="1">
        <f>MIN($P130)</f>
        <v>0</v>
      </c>
      <c r="AF130" s="1">
        <f>MIN($Q130)</f>
        <v>0</v>
      </c>
      <c r="AG130" s="1">
        <f>MIN($R130)</f>
        <v>0</v>
      </c>
      <c r="AH130" s="1">
        <f>MEDIAN($B130)</f>
        <v>0</v>
      </c>
      <c r="AI130" s="1">
        <f>MEDIAN($C130)</f>
        <v>0</v>
      </c>
      <c r="AJ130" s="1">
        <f>MEDIAN($D130)</f>
        <v>0</v>
      </c>
      <c r="AK130" s="1">
        <f>MEDIAN($E130)</f>
        <v>0</v>
      </c>
      <c r="AL130" s="1">
        <f>MEDIAN($F130)</f>
        <v>0</v>
      </c>
      <c r="AM130" s="1">
        <f>MEDIAN($G130)</f>
        <v>0</v>
      </c>
      <c r="AN130" s="1">
        <f>MEDIAN($H130)</f>
        <v>0</v>
      </c>
      <c r="AO130" s="1">
        <f>MEDIAN($I130)</f>
        <v>0</v>
      </c>
      <c r="AP130" s="1">
        <f>MEDIAN($J130)</f>
        <v>0</v>
      </c>
      <c r="AQ130" s="1">
        <f>MEDIAN($K130)</f>
        <v>0</v>
      </c>
      <c r="AR130" s="1">
        <f>MEDIAN($M130)</f>
        <v>0</v>
      </c>
      <c r="AS130" s="1">
        <f>MEDIAN($N130)</f>
        <v>0</v>
      </c>
      <c r="AT130" s="1">
        <f>MEDIAN($P130)</f>
        <v>0</v>
      </c>
      <c r="AU130" s="1">
        <f>MEDIAN($Q130)</f>
        <v>0</v>
      </c>
      <c r="AV130" s="1">
        <f>MEDIAN($R130)</f>
        <v>0</v>
      </c>
      <c r="AW130" s="1">
        <f>MAX($B130)</f>
        <v>0</v>
      </c>
      <c r="AX130" s="1">
        <f>MAX($C130)</f>
        <v>0</v>
      </c>
      <c r="AY130" s="1">
        <f>MAX($D130)</f>
        <v>0</v>
      </c>
      <c r="AZ130" s="1">
        <f>MAX($E130)</f>
        <v>0</v>
      </c>
      <c r="BA130" s="1">
        <f>MAX($F130)</f>
        <v>0</v>
      </c>
      <c r="BB130" s="1">
        <f>MAX($G130)</f>
        <v>0</v>
      </c>
      <c r="BC130" s="1">
        <f>MAX($H130)</f>
        <v>0</v>
      </c>
      <c r="BD130" s="1">
        <f>MAX($I130)</f>
        <v>0</v>
      </c>
      <c r="BE130" s="1">
        <f>MAX($J130)</f>
        <v>0</v>
      </c>
      <c r="BF130" s="1">
        <f>MAX($K130)</f>
        <v>0</v>
      </c>
      <c r="BG130" s="1">
        <f>MAX($M130)</f>
        <v>0</v>
      </c>
      <c r="BH130" s="1">
        <f>MAX($N130)</f>
        <v>0</v>
      </c>
      <c r="BI130" s="1">
        <f>MAX($P130)</f>
        <v>0</v>
      </c>
      <c r="BJ130" s="1">
        <f>MAX($Q130)</f>
        <v>0</v>
      </c>
      <c r="BK130" s="1">
        <f>MAX($R130)</f>
        <v>0</v>
      </c>
    </row>
    <row r="131" spans="1:63">
      <c r="A131" s="1" t="s">
        <v>128</v>
      </c>
      <c r="B131" s="1" cm="1">
        <f t="array" ref="B131">_xlfn.SWITCH($A$2,"average", AVERAGE(Instances!B131:Instances!B131),"median", MEDIAN(Instances!B131:Instances!B131),"min", MIN(Instances!B131:Instances!B131),"max", MAX(Instances!B131:Instances!B131),"diff", MAX(Instances!B131:Instances!B131)-MIN(Instances!B131:Instances!B131))</f>
        <v>0</v>
      </c>
      <c r="C131" s="1" cm="1">
        <f t="array" ref="C131">_xlfn.SWITCH($A$2,"average", AVERAGE(Instances!C131:Instances!C131),"median", MEDIAN(Instances!C131:Instances!C131),"min", MIN(Instances!C131:Instances!C131),"max", MAX(Instances!C131:Instances!C131),"diff", MAX(Instances!C131:Instances!C131)-MIN(Instances!C131:Instances!C131))</f>
        <v>0</v>
      </c>
      <c r="D131" s="1" cm="1">
        <f t="array" ref="D131">_xlfn.SWITCH($A$2,"average", AVERAGE(Instances!D131:Instances!D131),"median", MEDIAN(Instances!D131:Instances!D131),"min", MIN(Instances!D131:Instances!D131),"max", MAX(Instances!D131:Instances!D131),"diff", MAX(Instances!D131:Instances!D131)-MIN(Instances!D131:Instances!D131))</f>
        <v>0</v>
      </c>
      <c r="E131" s="1" cm="1">
        <f t="array" ref="E131">_xlfn.SWITCH($A$2,"average", AVERAGE(Instances!E131:Instances!E131),"median", MEDIAN(Instances!E131:Instances!E131),"min", MIN(Instances!E131:Instances!E131),"max", MAX(Instances!E131:Instances!E131),"diff", MAX(Instances!E131:Instances!E131)-MIN(Instances!E131:Instances!E131))</f>
        <v>0</v>
      </c>
      <c r="F131" s="1" cm="1">
        <f t="array" ref="F131">_xlfn.SWITCH($A$2,"average", AVERAGE(Instances!F131:Instances!F131),"median", MEDIAN(Instances!F131:Instances!F131),"min", MIN(Instances!F131:Instances!F131),"max", MAX(Instances!F131:Instances!F131),"diff", MAX(Instances!F131:Instances!F131)-MIN(Instances!F131:Instances!F131))</f>
        <v>0</v>
      </c>
      <c r="G131" s="1" cm="1">
        <f t="array" ref="G131">_xlfn.SWITCH($A$2,"average", AVERAGE(Instances!G131:Instances!G131),"median", MEDIAN(Instances!G131:Instances!G131),"min", MIN(Instances!G131:Instances!G131),"max", MAX(Instances!G131:Instances!G131),"diff", MAX(Instances!G131:Instances!G131)-MIN(Instances!G131:Instances!G131))</f>
        <v>0</v>
      </c>
      <c r="H131" s="1" cm="1">
        <f t="array" ref="H131">_xlfn.SWITCH($A$2,"average", AVERAGE(Instances!H131:Instances!H131),"median", MEDIAN(Instances!H131:Instances!H131),"min", MIN(Instances!H131:Instances!H131),"max", MAX(Instances!H131:Instances!H131),"diff", MAX(Instances!H131:Instances!H131)-MIN(Instances!H131:Instances!H131))</f>
        <v>0</v>
      </c>
      <c r="I131" s="1" cm="1">
        <f t="array" ref="I131">_xlfn.SWITCH($A$2,"average", AVERAGE(Instances!I131:Instances!I131),"median", MEDIAN(Instances!I131:Instances!I131),"min", MIN(Instances!I131:Instances!I131),"max", MAX(Instances!I131:Instances!I131),"diff", MAX(Instances!I131:Instances!I131)-MIN(Instances!I131:Instances!I131))</f>
        <v>0</v>
      </c>
      <c r="J131" s="1" cm="1">
        <f t="array" ref="J131">_xlfn.SWITCH($A$2,"average", AVERAGE(Instances!J131:Instances!J131),"median", MEDIAN(Instances!J131:Instances!J131),"min", MIN(Instances!J131:Instances!J131),"max", MAX(Instances!J131:Instances!J131),"diff", MAX(Instances!J131:Instances!J131)-MIN(Instances!J131:Instances!J131))</f>
        <v>0</v>
      </c>
      <c r="K131" s="1" cm="1">
        <f t="array" ref="K131">_xlfn.SWITCH($A$2,"average", AVERAGE(Instances!K131:Instances!K131),"median", MEDIAN(Instances!K131:Instances!K131),"min", MIN(Instances!K131:Instances!K131),"max", MAX(Instances!K131:Instances!K131),"diff", MAX(Instances!K131:Instances!K131)-MIN(Instances!K131:Instances!K131))</f>
        <v>0</v>
      </c>
      <c r="L131" s="1"/>
      <c r="M131" s="1" cm="1">
        <f t="array" ref="M131">_xlfn.SWITCH($A$2,"average", AVERAGE(Instances!M131:Instances!M131),"median", MEDIAN(Instances!M131:Instances!M131),"min", MIN(Instances!M131:Instances!M131),"max", MAX(Instances!M131:Instances!M131),"diff", MAX(Instances!M131:Instances!M131)-MIN(Instances!M131:Instances!M131))</f>
        <v>0</v>
      </c>
      <c r="N131" s="1" cm="1">
        <f t="array" ref="N131">_xlfn.SWITCH($A$2,"average", AVERAGE(Instances!N131:Instances!N131),"median", MEDIAN(Instances!N131:Instances!N131),"min", MIN(Instances!N131:Instances!N131),"max", MAX(Instances!N131:Instances!N131),"diff", MAX(Instances!N131:Instances!N131)-MIN(Instances!N131:Instances!N131))</f>
        <v>0</v>
      </c>
      <c r="O131" s="1"/>
      <c r="P131" s="1" cm="1">
        <f t="array" ref="P131">_xlfn.SWITCH($A$2,"average", AVERAGE(Instances!P131:Instances!P131),"median", MEDIAN(Instances!P131:Instances!P131),"min", MIN(Instances!P131:Instances!P131),"max", MAX(Instances!P131:Instances!P131),"diff", MAX(Instances!P131:Instances!P131)-MIN(Instances!P131:Instances!P131))</f>
        <v>0</v>
      </c>
      <c r="Q131" s="1" cm="1">
        <f t="array" ref="Q131">_xlfn.SWITCH($A$2,"average", AVERAGE(Instances!Q131:Instances!Q131),"median", MEDIAN(Instances!Q131:Instances!Q131),"min", MIN(Instances!Q131:Instances!Q131),"max", MAX(Instances!Q131:Instances!Q131),"diff", MAX(Instances!Q131:Instances!Q131)-MIN(Instances!Q131:Instances!Q131))</f>
        <v>0</v>
      </c>
      <c r="R131" s="1" cm="1">
        <f t="array" ref="R131">_xlfn.SWITCH($A$2,"average", AVERAGE(Instances!R131:Instances!R131),"median", MEDIAN(Instances!R131:Instances!R131),"min", MIN(Instances!R131:Instances!R131),"max", MAX(Instances!R131:Instances!R131),"diff", MAX(Instances!R131:Instances!R131)-MIN(Instances!R131:Instances!R131))</f>
        <v>0</v>
      </c>
      <c r="S131" s="1">
        <f>MIN($B131)</f>
        <v>0</v>
      </c>
      <c r="T131" s="1">
        <f>MIN($C131)</f>
        <v>0</v>
      </c>
      <c r="U131" s="1">
        <f>MIN($D131)</f>
        <v>0</v>
      </c>
      <c r="V131" s="1">
        <f>MIN($E131)</f>
        <v>0</v>
      </c>
      <c r="W131" s="1">
        <f>MIN($F131)</f>
        <v>0</v>
      </c>
      <c r="X131" s="1">
        <f>MIN($G131)</f>
        <v>0</v>
      </c>
      <c r="Y131" s="1">
        <f>MIN($H131)</f>
        <v>0</v>
      </c>
      <c r="Z131" s="1">
        <f>MIN($I131)</f>
        <v>0</v>
      </c>
      <c r="AA131" s="1">
        <f>MIN($J131)</f>
        <v>0</v>
      </c>
      <c r="AB131" s="1">
        <f>MIN($K131)</f>
        <v>0</v>
      </c>
      <c r="AC131" s="1">
        <f>MIN($M131)</f>
        <v>0</v>
      </c>
      <c r="AD131" s="1">
        <f>MIN($N131)</f>
        <v>0</v>
      </c>
      <c r="AE131" s="1">
        <f>MIN($P131)</f>
        <v>0</v>
      </c>
      <c r="AF131" s="1">
        <f>MIN($Q131)</f>
        <v>0</v>
      </c>
      <c r="AG131" s="1">
        <f>MIN($R131)</f>
        <v>0</v>
      </c>
      <c r="AH131" s="1">
        <f>MEDIAN($B131)</f>
        <v>0</v>
      </c>
      <c r="AI131" s="1">
        <f>MEDIAN($C131)</f>
        <v>0</v>
      </c>
      <c r="AJ131" s="1">
        <f>MEDIAN($D131)</f>
        <v>0</v>
      </c>
      <c r="AK131" s="1">
        <f>MEDIAN($E131)</f>
        <v>0</v>
      </c>
      <c r="AL131" s="1">
        <f>MEDIAN($F131)</f>
        <v>0</v>
      </c>
      <c r="AM131" s="1">
        <f>MEDIAN($G131)</f>
        <v>0</v>
      </c>
      <c r="AN131" s="1">
        <f>MEDIAN($H131)</f>
        <v>0</v>
      </c>
      <c r="AO131" s="1">
        <f>MEDIAN($I131)</f>
        <v>0</v>
      </c>
      <c r="AP131" s="1">
        <f>MEDIAN($J131)</f>
        <v>0</v>
      </c>
      <c r="AQ131" s="1">
        <f>MEDIAN($K131)</f>
        <v>0</v>
      </c>
      <c r="AR131" s="1">
        <f>MEDIAN($M131)</f>
        <v>0</v>
      </c>
      <c r="AS131" s="1">
        <f>MEDIAN($N131)</f>
        <v>0</v>
      </c>
      <c r="AT131" s="1">
        <f>MEDIAN($P131)</f>
        <v>0</v>
      </c>
      <c r="AU131" s="1">
        <f>MEDIAN($Q131)</f>
        <v>0</v>
      </c>
      <c r="AV131" s="1">
        <f>MEDIAN($R131)</f>
        <v>0</v>
      </c>
      <c r="AW131" s="1">
        <f>MAX($B131)</f>
        <v>0</v>
      </c>
      <c r="AX131" s="1">
        <f>MAX($C131)</f>
        <v>0</v>
      </c>
      <c r="AY131" s="1">
        <f>MAX($D131)</f>
        <v>0</v>
      </c>
      <c r="AZ131" s="1">
        <f>MAX($E131)</f>
        <v>0</v>
      </c>
      <c r="BA131" s="1">
        <f>MAX($F131)</f>
        <v>0</v>
      </c>
      <c r="BB131" s="1">
        <f>MAX($G131)</f>
        <v>0</v>
      </c>
      <c r="BC131" s="1">
        <f>MAX($H131)</f>
        <v>0</v>
      </c>
      <c r="BD131" s="1">
        <f>MAX($I131)</f>
        <v>0</v>
      </c>
      <c r="BE131" s="1">
        <f>MAX($J131)</f>
        <v>0</v>
      </c>
      <c r="BF131" s="1">
        <f>MAX($K131)</f>
        <v>0</v>
      </c>
      <c r="BG131" s="1">
        <f>MAX($M131)</f>
        <v>0</v>
      </c>
      <c r="BH131" s="1">
        <f>MAX($N131)</f>
        <v>0</v>
      </c>
      <c r="BI131" s="1">
        <f>MAX($P131)</f>
        <v>0</v>
      </c>
      <c r="BJ131" s="1">
        <f>MAX($Q131)</f>
        <v>0</v>
      </c>
      <c r="BK131" s="1">
        <f>MAX($R131)</f>
        <v>0</v>
      </c>
    </row>
    <row r="132" spans="1:63">
      <c r="A132" s="1" t="s">
        <v>129</v>
      </c>
      <c r="B132" s="1" cm="1">
        <f t="array" ref="B132">_xlfn.SWITCH($A$2,"average", AVERAGE(Instances!B132:Instances!B132),"median", MEDIAN(Instances!B132:Instances!B132),"min", MIN(Instances!B132:Instances!B132),"max", MAX(Instances!B132:Instances!B132),"diff", MAX(Instances!B132:Instances!B132)-MIN(Instances!B132:Instances!B132))</f>
        <v>0</v>
      </c>
      <c r="C132" s="1" cm="1">
        <f t="array" ref="C132">_xlfn.SWITCH($A$2,"average", AVERAGE(Instances!C132:Instances!C132),"median", MEDIAN(Instances!C132:Instances!C132),"min", MIN(Instances!C132:Instances!C132),"max", MAX(Instances!C132:Instances!C132),"diff", MAX(Instances!C132:Instances!C132)-MIN(Instances!C132:Instances!C132))</f>
        <v>0</v>
      </c>
      <c r="D132" s="1" cm="1">
        <f t="array" ref="D132">_xlfn.SWITCH($A$2,"average", AVERAGE(Instances!D132:Instances!D132),"median", MEDIAN(Instances!D132:Instances!D132),"min", MIN(Instances!D132:Instances!D132),"max", MAX(Instances!D132:Instances!D132),"diff", MAX(Instances!D132:Instances!D132)-MIN(Instances!D132:Instances!D132))</f>
        <v>0</v>
      </c>
      <c r="E132" s="1" cm="1">
        <f t="array" ref="E132">_xlfn.SWITCH($A$2,"average", AVERAGE(Instances!E132:Instances!E132),"median", MEDIAN(Instances!E132:Instances!E132),"min", MIN(Instances!E132:Instances!E132),"max", MAX(Instances!E132:Instances!E132),"diff", MAX(Instances!E132:Instances!E132)-MIN(Instances!E132:Instances!E132))</f>
        <v>0</v>
      </c>
      <c r="F132" s="1" cm="1">
        <f t="array" ref="F132">_xlfn.SWITCH($A$2,"average", AVERAGE(Instances!F132:Instances!F132),"median", MEDIAN(Instances!F132:Instances!F132),"min", MIN(Instances!F132:Instances!F132),"max", MAX(Instances!F132:Instances!F132),"diff", MAX(Instances!F132:Instances!F132)-MIN(Instances!F132:Instances!F132))</f>
        <v>0</v>
      </c>
      <c r="G132" s="1" cm="1">
        <f t="array" ref="G132">_xlfn.SWITCH($A$2,"average", AVERAGE(Instances!G132:Instances!G132),"median", MEDIAN(Instances!G132:Instances!G132),"min", MIN(Instances!G132:Instances!G132),"max", MAX(Instances!G132:Instances!G132),"diff", MAX(Instances!G132:Instances!G132)-MIN(Instances!G132:Instances!G132))</f>
        <v>0</v>
      </c>
      <c r="H132" s="1" cm="1">
        <f t="array" ref="H132">_xlfn.SWITCH($A$2,"average", AVERAGE(Instances!H132:Instances!H132),"median", MEDIAN(Instances!H132:Instances!H132),"min", MIN(Instances!H132:Instances!H132),"max", MAX(Instances!H132:Instances!H132),"diff", MAX(Instances!H132:Instances!H132)-MIN(Instances!H132:Instances!H132))</f>
        <v>0</v>
      </c>
      <c r="I132" s="1" cm="1">
        <f t="array" ref="I132">_xlfn.SWITCH($A$2,"average", AVERAGE(Instances!I132:Instances!I132),"median", MEDIAN(Instances!I132:Instances!I132),"min", MIN(Instances!I132:Instances!I132),"max", MAX(Instances!I132:Instances!I132),"diff", MAX(Instances!I132:Instances!I132)-MIN(Instances!I132:Instances!I132))</f>
        <v>0</v>
      </c>
      <c r="J132" s="1" cm="1">
        <f t="array" ref="J132">_xlfn.SWITCH($A$2,"average", AVERAGE(Instances!J132:Instances!J132),"median", MEDIAN(Instances!J132:Instances!J132),"min", MIN(Instances!J132:Instances!J132),"max", MAX(Instances!J132:Instances!J132),"diff", MAX(Instances!J132:Instances!J132)-MIN(Instances!J132:Instances!J132))</f>
        <v>0</v>
      </c>
      <c r="K132" s="1" cm="1">
        <f t="array" ref="K132">_xlfn.SWITCH($A$2,"average", AVERAGE(Instances!K132:Instances!K132),"median", MEDIAN(Instances!K132:Instances!K132),"min", MIN(Instances!K132:Instances!K132),"max", MAX(Instances!K132:Instances!K132),"diff", MAX(Instances!K132:Instances!K132)-MIN(Instances!K132:Instances!K132))</f>
        <v>0</v>
      </c>
      <c r="L132" s="1"/>
      <c r="M132" s="1" cm="1">
        <f t="array" ref="M132">_xlfn.SWITCH($A$2,"average", AVERAGE(Instances!M132:Instances!M132),"median", MEDIAN(Instances!M132:Instances!M132),"min", MIN(Instances!M132:Instances!M132),"max", MAX(Instances!M132:Instances!M132),"diff", MAX(Instances!M132:Instances!M132)-MIN(Instances!M132:Instances!M132))</f>
        <v>0</v>
      </c>
      <c r="N132" s="1" cm="1">
        <f t="array" ref="N132">_xlfn.SWITCH($A$2,"average", AVERAGE(Instances!N132:Instances!N132),"median", MEDIAN(Instances!N132:Instances!N132),"min", MIN(Instances!N132:Instances!N132),"max", MAX(Instances!N132:Instances!N132),"diff", MAX(Instances!N132:Instances!N132)-MIN(Instances!N132:Instances!N132))</f>
        <v>0</v>
      </c>
      <c r="O132" s="1"/>
      <c r="P132" s="1" cm="1">
        <f t="array" ref="P132">_xlfn.SWITCH($A$2,"average", AVERAGE(Instances!P132:Instances!P132),"median", MEDIAN(Instances!P132:Instances!P132),"min", MIN(Instances!P132:Instances!P132),"max", MAX(Instances!P132:Instances!P132),"diff", MAX(Instances!P132:Instances!P132)-MIN(Instances!P132:Instances!P132))</f>
        <v>0</v>
      </c>
      <c r="Q132" s="1" cm="1">
        <f t="array" ref="Q132">_xlfn.SWITCH($A$2,"average", AVERAGE(Instances!Q132:Instances!Q132),"median", MEDIAN(Instances!Q132:Instances!Q132),"min", MIN(Instances!Q132:Instances!Q132),"max", MAX(Instances!Q132:Instances!Q132),"diff", MAX(Instances!Q132:Instances!Q132)-MIN(Instances!Q132:Instances!Q132))</f>
        <v>0</v>
      </c>
      <c r="R132" s="1" cm="1">
        <f t="array" ref="R132">_xlfn.SWITCH($A$2,"average", AVERAGE(Instances!R132:Instances!R132),"median", MEDIAN(Instances!R132:Instances!R132),"min", MIN(Instances!R132:Instances!R132),"max", MAX(Instances!R132:Instances!R132),"diff", MAX(Instances!R132:Instances!R132)-MIN(Instances!R132:Instances!R132))</f>
        <v>0</v>
      </c>
      <c r="S132" s="1">
        <f>MIN($B132)</f>
        <v>0</v>
      </c>
      <c r="T132" s="1">
        <f>MIN($C132)</f>
        <v>0</v>
      </c>
      <c r="U132" s="1">
        <f>MIN($D132)</f>
        <v>0</v>
      </c>
      <c r="V132" s="1">
        <f>MIN($E132)</f>
        <v>0</v>
      </c>
      <c r="W132" s="1">
        <f>MIN($F132)</f>
        <v>0</v>
      </c>
      <c r="X132" s="1">
        <f>MIN($G132)</f>
        <v>0</v>
      </c>
      <c r="Y132" s="1">
        <f>MIN($H132)</f>
        <v>0</v>
      </c>
      <c r="Z132" s="1">
        <f>MIN($I132)</f>
        <v>0</v>
      </c>
      <c r="AA132" s="1">
        <f>MIN($J132)</f>
        <v>0</v>
      </c>
      <c r="AB132" s="1">
        <f>MIN($K132)</f>
        <v>0</v>
      </c>
      <c r="AC132" s="1">
        <f>MIN($M132)</f>
        <v>0</v>
      </c>
      <c r="AD132" s="1">
        <f>MIN($N132)</f>
        <v>0</v>
      </c>
      <c r="AE132" s="1">
        <f>MIN($P132)</f>
        <v>0</v>
      </c>
      <c r="AF132" s="1">
        <f>MIN($Q132)</f>
        <v>0</v>
      </c>
      <c r="AG132" s="1">
        <f>MIN($R132)</f>
        <v>0</v>
      </c>
      <c r="AH132" s="1">
        <f>MEDIAN($B132)</f>
        <v>0</v>
      </c>
      <c r="AI132" s="1">
        <f>MEDIAN($C132)</f>
        <v>0</v>
      </c>
      <c r="AJ132" s="1">
        <f>MEDIAN($D132)</f>
        <v>0</v>
      </c>
      <c r="AK132" s="1">
        <f>MEDIAN($E132)</f>
        <v>0</v>
      </c>
      <c r="AL132" s="1">
        <f>MEDIAN($F132)</f>
        <v>0</v>
      </c>
      <c r="AM132" s="1">
        <f>MEDIAN($G132)</f>
        <v>0</v>
      </c>
      <c r="AN132" s="1">
        <f>MEDIAN($H132)</f>
        <v>0</v>
      </c>
      <c r="AO132" s="1">
        <f>MEDIAN($I132)</f>
        <v>0</v>
      </c>
      <c r="AP132" s="1">
        <f>MEDIAN($J132)</f>
        <v>0</v>
      </c>
      <c r="AQ132" s="1">
        <f>MEDIAN($K132)</f>
        <v>0</v>
      </c>
      <c r="AR132" s="1">
        <f>MEDIAN($M132)</f>
        <v>0</v>
      </c>
      <c r="AS132" s="1">
        <f>MEDIAN($N132)</f>
        <v>0</v>
      </c>
      <c r="AT132" s="1">
        <f>MEDIAN($P132)</f>
        <v>0</v>
      </c>
      <c r="AU132" s="1">
        <f>MEDIAN($Q132)</f>
        <v>0</v>
      </c>
      <c r="AV132" s="1">
        <f>MEDIAN($R132)</f>
        <v>0</v>
      </c>
      <c r="AW132" s="1">
        <f>MAX($B132)</f>
        <v>0</v>
      </c>
      <c r="AX132" s="1">
        <f>MAX($C132)</f>
        <v>0</v>
      </c>
      <c r="AY132" s="1">
        <f>MAX($D132)</f>
        <v>0</v>
      </c>
      <c r="AZ132" s="1">
        <f>MAX($E132)</f>
        <v>0</v>
      </c>
      <c r="BA132" s="1">
        <f>MAX($F132)</f>
        <v>0</v>
      </c>
      <c r="BB132" s="1">
        <f>MAX($G132)</f>
        <v>0</v>
      </c>
      <c r="BC132" s="1">
        <f>MAX($H132)</f>
        <v>0</v>
      </c>
      <c r="BD132" s="1">
        <f>MAX($I132)</f>
        <v>0</v>
      </c>
      <c r="BE132" s="1">
        <f>MAX($J132)</f>
        <v>0</v>
      </c>
      <c r="BF132" s="1">
        <f>MAX($K132)</f>
        <v>0</v>
      </c>
      <c r="BG132" s="1">
        <f>MAX($M132)</f>
        <v>0</v>
      </c>
      <c r="BH132" s="1">
        <f>MAX($N132)</f>
        <v>0</v>
      </c>
      <c r="BI132" s="1">
        <f>MAX($P132)</f>
        <v>0</v>
      </c>
      <c r="BJ132" s="1">
        <f>MAX($Q132)</f>
        <v>0</v>
      </c>
      <c r="BK132" s="1">
        <f>MAX($R132)</f>
        <v>0</v>
      </c>
    </row>
    <row r="133" spans="1:63">
      <c r="A133" s="1" t="s">
        <v>130</v>
      </c>
      <c r="B133" s="1" cm="1">
        <f t="array" ref="B133">_xlfn.SWITCH($A$2,"average", AVERAGE(Instances!B133:Instances!B133),"median", MEDIAN(Instances!B133:Instances!B133),"min", MIN(Instances!B133:Instances!B133),"max", MAX(Instances!B133:Instances!B133),"diff", MAX(Instances!B133:Instances!B133)-MIN(Instances!B133:Instances!B133))</f>
        <v>0</v>
      </c>
      <c r="C133" s="1" cm="1">
        <f t="array" ref="C133">_xlfn.SWITCH($A$2,"average", AVERAGE(Instances!C133:Instances!C133),"median", MEDIAN(Instances!C133:Instances!C133),"min", MIN(Instances!C133:Instances!C133),"max", MAX(Instances!C133:Instances!C133),"diff", MAX(Instances!C133:Instances!C133)-MIN(Instances!C133:Instances!C133))</f>
        <v>0</v>
      </c>
      <c r="D133" s="1" cm="1">
        <f t="array" ref="D133">_xlfn.SWITCH($A$2,"average", AVERAGE(Instances!D133:Instances!D133),"median", MEDIAN(Instances!D133:Instances!D133),"min", MIN(Instances!D133:Instances!D133),"max", MAX(Instances!D133:Instances!D133),"diff", MAX(Instances!D133:Instances!D133)-MIN(Instances!D133:Instances!D133))</f>
        <v>0</v>
      </c>
      <c r="E133" s="1" cm="1">
        <f t="array" ref="E133">_xlfn.SWITCH($A$2,"average", AVERAGE(Instances!E133:Instances!E133),"median", MEDIAN(Instances!E133:Instances!E133),"min", MIN(Instances!E133:Instances!E133),"max", MAX(Instances!E133:Instances!E133),"diff", MAX(Instances!E133:Instances!E133)-MIN(Instances!E133:Instances!E133))</f>
        <v>0</v>
      </c>
      <c r="F133" s="1" cm="1">
        <f t="array" ref="F133">_xlfn.SWITCH($A$2,"average", AVERAGE(Instances!F133:Instances!F133),"median", MEDIAN(Instances!F133:Instances!F133),"min", MIN(Instances!F133:Instances!F133),"max", MAX(Instances!F133:Instances!F133),"diff", MAX(Instances!F133:Instances!F133)-MIN(Instances!F133:Instances!F133))</f>
        <v>0</v>
      </c>
      <c r="G133" s="1" cm="1">
        <f t="array" ref="G133">_xlfn.SWITCH($A$2,"average", AVERAGE(Instances!G133:Instances!G133),"median", MEDIAN(Instances!G133:Instances!G133),"min", MIN(Instances!G133:Instances!G133),"max", MAX(Instances!G133:Instances!G133),"diff", MAX(Instances!G133:Instances!G133)-MIN(Instances!G133:Instances!G133))</f>
        <v>0</v>
      </c>
      <c r="H133" s="1" cm="1">
        <f t="array" ref="H133">_xlfn.SWITCH($A$2,"average", AVERAGE(Instances!H133:Instances!H133),"median", MEDIAN(Instances!H133:Instances!H133),"min", MIN(Instances!H133:Instances!H133),"max", MAX(Instances!H133:Instances!H133),"diff", MAX(Instances!H133:Instances!H133)-MIN(Instances!H133:Instances!H133))</f>
        <v>0</v>
      </c>
      <c r="I133" s="1" cm="1">
        <f t="array" ref="I133">_xlfn.SWITCH($A$2,"average", AVERAGE(Instances!I133:Instances!I133),"median", MEDIAN(Instances!I133:Instances!I133),"min", MIN(Instances!I133:Instances!I133),"max", MAX(Instances!I133:Instances!I133),"diff", MAX(Instances!I133:Instances!I133)-MIN(Instances!I133:Instances!I133))</f>
        <v>0</v>
      </c>
      <c r="J133" s="1" cm="1">
        <f t="array" ref="J133">_xlfn.SWITCH($A$2,"average", AVERAGE(Instances!J133:Instances!J133),"median", MEDIAN(Instances!J133:Instances!J133),"min", MIN(Instances!J133:Instances!J133),"max", MAX(Instances!J133:Instances!J133),"diff", MAX(Instances!J133:Instances!J133)-MIN(Instances!J133:Instances!J133))</f>
        <v>0</v>
      </c>
      <c r="K133" s="1" cm="1">
        <f t="array" ref="K133">_xlfn.SWITCH($A$2,"average", AVERAGE(Instances!K133:Instances!K133),"median", MEDIAN(Instances!K133:Instances!K133),"min", MIN(Instances!K133:Instances!K133),"max", MAX(Instances!K133:Instances!K133),"diff", MAX(Instances!K133:Instances!K133)-MIN(Instances!K133:Instances!K133))</f>
        <v>0</v>
      </c>
      <c r="L133" s="1"/>
      <c r="M133" s="1" cm="1">
        <f t="array" ref="M133">_xlfn.SWITCH($A$2,"average", AVERAGE(Instances!M133:Instances!M133),"median", MEDIAN(Instances!M133:Instances!M133),"min", MIN(Instances!M133:Instances!M133),"max", MAX(Instances!M133:Instances!M133),"diff", MAX(Instances!M133:Instances!M133)-MIN(Instances!M133:Instances!M133))</f>
        <v>0</v>
      </c>
      <c r="N133" s="1" cm="1">
        <f t="array" ref="N133">_xlfn.SWITCH($A$2,"average", AVERAGE(Instances!N133:Instances!N133),"median", MEDIAN(Instances!N133:Instances!N133),"min", MIN(Instances!N133:Instances!N133),"max", MAX(Instances!N133:Instances!N133),"diff", MAX(Instances!N133:Instances!N133)-MIN(Instances!N133:Instances!N133))</f>
        <v>0</v>
      </c>
      <c r="O133" s="1"/>
      <c r="P133" s="1" cm="1">
        <f t="array" ref="P133">_xlfn.SWITCH($A$2,"average", AVERAGE(Instances!P133:Instances!P133),"median", MEDIAN(Instances!P133:Instances!P133),"min", MIN(Instances!P133:Instances!P133),"max", MAX(Instances!P133:Instances!P133),"diff", MAX(Instances!P133:Instances!P133)-MIN(Instances!P133:Instances!P133))</f>
        <v>0</v>
      </c>
      <c r="Q133" s="1" cm="1">
        <f t="array" ref="Q133">_xlfn.SWITCH($A$2,"average", AVERAGE(Instances!Q133:Instances!Q133),"median", MEDIAN(Instances!Q133:Instances!Q133),"min", MIN(Instances!Q133:Instances!Q133),"max", MAX(Instances!Q133:Instances!Q133),"diff", MAX(Instances!Q133:Instances!Q133)-MIN(Instances!Q133:Instances!Q133))</f>
        <v>0</v>
      </c>
      <c r="R133" s="1" cm="1">
        <f t="array" ref="R133">_xlfn.SWITCH($A$2,"average", AVERAGE(Instances!R133:Instances!R133),"median", MEDIAN(Instances!R133:Instances!R133),"min", MIN(Instances!R133:Instances!R133),"max", MAX(Instances!R133:Instances!R133),"diff", MAX(Instances!R133:Instances!R133)-MIN(Instances!R133:Instances!R133))</f>
        <v>0</v>
      </c>
      <c r="S133" s="1">
        <f>MIN($B133)</f>
        <v>0</v>
      </c>
      <c r="T133" s="1">
        <f>MIN($C133)</f>
        <v>0</v>
      </c>
      <c r="U133" s="1">
        <f>MIN($D133)</f>
        <v>0</v>
      </c>
      <c r="V133" s="1">
        <f>MIN($E133)</f>
        <v>0</v>
      </c>
      <c r="W133" s="1">
        <f>MIN($F133)</f>
        <v>0</v>
      </c>
      <c r="X133" s="1">
        <f>MIN($G133)</f>
        <v>0</v>
      </c>
      <c r="Y133" s="1">
        <f>MIN($H133)</f>
        <v>0</v>
      </c>
      <c r="Z133" s="1">
        <f>MIN($I133)</f>
        <v>0</v>
      </c>
      <c r="AA133" s="1">
        <f>MIN($J133)</f>
        <v>0</v>
      </c>
      <c r="AB133" s="1">
        <f>MIN($K133)</f>
        <v>0</v>
      </c>
      <c r="AC133" s="1">
        <f>MIN($M133)</f>
        <v>0</v>
      </c>
      <c r="AD133" s="1">
        <f>MIN($N133)</f>
        <v>0</v>
      </c>
      <c r="AE133" s="1">
        <f>MIN($P133)</f>
        <v>0</v>
      </c>
      <c r="AF133" s="1">
        <f>MIN($Q133)</f>
        <v>0</v>
      </c>
      <c r="AG133" s="1">
        <f>MIN($R133)</f>
        <v>0</v>
      </c>
      <c r="AH133" s="1">
        <f>MEDIAN($B133)</f>
        <v>0</v>
      </c>
      <c r="AI133" s="1">
        <f>MEDIAN($C133)</f>
        <v>0</v>
      </c>
      <c r="AJ133" s="1">
        <f>MEDIAN($D133)</f>
        <v>0</v>
      </c>
      <c r="AK133" s="1">
        <f>MEDIAN($E133)</f>
        <v>0</v>
      </c>
      <c r="AL133" s="1">
        <f>MEDIAN($F133)</f>
        <v>0</v>
      </c>
      <c r="AM133" s="1">
        <f>MEDIAN($G133)</f>
        <v>0</v>
      </c>
      <c r="AN133" s="1">
        <f>MEDIAN($H133)</f>
        <v>0</v>
      </c>
      <c r="AO133" s="1">
        <f>MEDIAN($I133)</f>
        <v>0</v>
      </c>
      <c r="AP133" s="1">
        <f>MEDIAN($J133)</f>
        <v>0</v>
      </c>
      <c r="AQ133" s="1">
        <f>MEDIAN($K133)</f>
        <v>0</v>
      </c>
      <c r="AR133" s="1">
        <f>MEDIAN($M133)</f>
        <v>0</v>
      </c>
      <c r="AS133" s="1">
        <f>MEDIAN($N133)</f>
        <v>0</v>
      </c>
      <c r="AT133" s="1">
        <f>MEDIAN($P133)</f>
        <v>0</v>
      </c>
      <c r="AU133" s="1">
        <f>MEDIAN($Q133)</f>
        <v>0</v>
      </c>
      <c r="AV133" s="1">
        <f>MEDIAN($R133)</f>
        <v>0</v>
      </c>
      <c r="AW133" s="1">
        <f>MAX($B133)</f>
        <v>0</v>
      </c>
      <c r="AX133" s="1">
        <f>MAX($C133)</f>
        <v>0</v>
      </c>
      <c r="AY133" s="1">
        <f>MAX($D133)</f>
        <v>0</v>
      </c>
      <c r="AZ133" s="1">
        <f>MAX($E133)</f>
        <v>0</v>
      </c>
      <c r="BA133" s="1">
        <f>MAX($F133)</f>
        <v>0</v>
      </c>
      <c r="BB133" s="1">
        <f>MAX($G133)</f>
        <v>0</v>
      </c>
      <c r="BC133" s="1">
        <f>MAX($H133)</f>
        <v>0</v>
      </c>
      <c r="BD133" s="1">
        <f>MAX($I133)</f>
        <v>0</v>
      </c>
      <c r="BE133" s="1">
        <f>MAX($J133)</f>
        <v>0</v>
      </c>
      <c r="BF133" s="1">
        <f>MAX($K133)</f>
        <v>0</v>
      </c>
      <c r="BG133" s="1">
        <f>MAX($M133)</f>
        <v>0</v>
      </c>
      <c r="BH133" s="1">
        <f>MAX($N133)</f>
        <v>0</v>
      </c>
      <c r="BI133" s="1">
        <f>MAX($P133)</f>
        <v>0</v>
      </c>
      <c r="BJ133" s="1">
        <f>MAX($Q133)</f>
        <v>0</v>
      </c>
      <c r="BK133" s="1">
        <f>MAX($R133)</f>
        <v>0</v>
      </c>
    </row>
    <row r="134" spans="1:63">
      <c r="A134" s="1" t="s">
        <v>131</v>
      </c>
      <c r="B134" s="1" cm="1">
        <f t="array" ref="B134">_xlfn.SWITCH($A$2,"average", AVERAGE(Instances!B134:Instances!B134),"median", MEDIAN(Instances!B134:Instances!B134),"min", MIN(Instances!B134:Instances!B134),"max", MAX(Instances!B134:Instances!B134),"diff", MAX(Instances!B134:Instances!B134)-MIN(Instances!B134:Instances!B134))</f>
        <v>0</v>
      </c>
      <c r="C134" s="1" cm="1">
        <f t="array" ref="C134">_xlfn.SWITCH($A$2,"average", AVERAGE(Instances!C134:Instances!C134),"median", MEDIAN(Instances!C134:Instances!C134),"min", MIN(Instances!C134:Instances!C134),"max", MAX(Instances!C134:Instances!C134),"diff", MAX(Instances!C134:Instances!C134)-MIN(Instances!C134:Instances!C134))</f>
        <v>0</v>
      </c>
      <c r="D134" s="1" cm="1">
        <f t="array" ref="D134">_xlfn.SWITCH($A$2,"average", AVERAGE(Instances!D134:Instances!D134),"median", MEDIAN(Instances!D134:Instances!D134),"min", MIN(Instances!D134:Instances!D134),"max", MAX(Instances!D134:Instances!D134),"diff", MAX(Instances!D134:Instances!D134)-MIN(Instances!D134:Instances!D134))</f>
        <v>0</v>
      </c>
      <c r="E134" s="1" cm="1">
        <f t="array" ref="E134">_xlfn.SWITCH($A$2,"average", AVERAGE(Instances!E134:Instances!E134),"median", MEDIAN(Instances!E134:Instances!E134),"min", MIN(Instances!E134:Instances!E134),"max", MAX(Instances!E134:Instances!E134),"diff", MAX(Instances!E134:Instances!E134)-MIN(Instances!E134:Instances!E134))</f>
        <v>0</v>
      </c>
      <c r="F134" s="1" cm="1">
        <f t="array" ref="F134">_xlfn.SWITCH($A$2,"average", AVERAGE(Instances!F134:Instances!F134),"median", MEDIAN(Instances!F134:Instances!F134),"min", MIN(Instances!F134:Instances!F134),"max", MAX(Instances!F134:Instances!F134),"diff", MAX(Instances!F134:Instances!F134)-MIN(Instances!F134:Instances!F134))</f>
        <v>0</v>
      </c>
      <c r="G134" s="1" cm="1">
        <f t="array" ref="G134">_xlfn.SWITCH($A$2,"average", AVERAGE(Instances!G134:Instances!G134),"median", MEDIAN(Instances!G134:Instances!G134),"min", MIN(Instances!G134:Instances!G134),"max", MAX(Instances!G134:Instances!G134),"diff", MAX(Instances!G134:Instances!G134)-MIN(Instances!G134:Instances!G134))</f>
        <v>0</v>
      </c>
      <c r="H134" s="1" cm="1">
        <f t="array" ref="H134">_xlfn.SWITCH($A$2,"average", AVERAGE(Instances!H134:Instances!H134),"median", MEDIAN(Instances!H134:Instances!H134),"min", MIN(Instances!H134:Instances!H134),"max", MAX(Instances!H134:Instances!H134),"diff", MAX(Instances!H134:Instances!H134)-MIN(Instances!H134:Instances!H134))</f>
        <v>0</v>
      </c>
      <c r="I134" s="1" cm="1">
        <f t="array" ref="I134">_xlfn.SWITCH($A$2,"average", AVERAGE(Instances!I134:Instances!I134),"median", MEDIAN(Instances!I134:Instances!I134),"min", MIN(Instances!I134:Instances!I134),"max", MAX(Instances!I134:Instances!I134),"diff", MAX(Instances!I134:Instances!I134)-MIN(Instances!I134:Instances!I134))</f>
        <v>0</v>
      </c>
      <c r="J134" s="1" cm="1">
        <f t="array" ref="J134">_xlfn.SWITCH($A$2,"average", AVERAGE(Instances!J134:Instances!J134),"median", MEDIAN(Instances!J134:Instances!J134),"min", MIN(Instances!J134:Instances!J134),"max", MAX(Instances!J134:Instances!J134),"diff", MAX(Instances!J134:Instances!J134)-MIN(Instances!J134:Instances!J134))</f>
        <v>0</v>
      </c>
      <c r="K134" s="1" cm="1">
        <f t="array" ref="K134">_xlfn.SWITCH($A$2,"average", AVERAGE(Instances!K134:Instances!K134),"median", MEDIAN(Instances!K134:Instances!K134),"min", MIN(Instances!K134:Instances!K134),"max", MAX(Instances!K134:Instances!K134),"diff", MAX(Instances!K134:Instances!K134)-MIN(Instances!K134:Instances!K134))</f>
        <v>0</v>
      </c>
      <c r="L134" s="1"/>
      <c r="M134" s="1" cm="1">
        <f t="array" ref="M134">_xlfn.SWITCH($A$2,"average", AVERAGE(Instances!M134:Instances!M134),"median", MEDIAN(Instances!M134:Instances!M134),"min", MIN(Instances!M134:Instances!M134),"max", MAX(Instances!M134:Instances!M134),"diff", MAX(Instances!M134:Instances!M134)-MIN(Instances!M134:Instances!M134))</f>
        <v>0</v>
      </c>
      <c r="N134" s="1" cm="1">
        <f t="array" ref="N134">_xlfn.SWITCH($A$2,"average", AVERAGE(Instances!N134:Instances!N134),"median", MEDIAN(Instances!N134:Instances!N134),"min", MIN(Instances!N134:Instances!N134),"max", MAX(Instances!N134:Instances!N134),"diff", MAX(Instances!N134:Instances!N134)-MIN(Instances!N134:Instances!N134))</f>
        <v>0</v>
      </c>
      <c r="O134" s="1"/>
      <c r="P134" s="1" cm="1">
        <f t="array" ref="P134">_xlfn.SWITCH($A$2,"average", AVERAGE(Instances!P134:Instances!P134),"median", MEDIAN(Instances!P134:Instances!P134),"min", MIN(Instances!P134:Instances!P134),"max", MAX(Instances!P134:Instances!P134),"diff", MAX(Instances!P134:Instances!P134)-MIN(Instances!P134:Instances!P134))</f>
        <v>0</v>
      </c>
      <c r="Q134" s="1" cm="1">
        <f t="array" ref="Q134">_xlfn.SWITCH($A$2,"average", AVERAGE(Instances!Q134:Instances!Q134),"median", MEDIAN(Instances!Q134:Instances!Q134),"min", MIN(Instances!Q134:Instances!Q134),"max", MAX(Instances!Q134:Instances!Q134),"diff", MAX(Instances!Q134:Instances!Q134)-MIN(Instances!Q134:Instances!Q134))</f>
        <v>0</v>
      </c>
      <c r="R134" s="1" cm="1">
        <f t="array" ref="R134">_xlfn.SWITCH($A$2,"average", AVERAGE(Instances!R134:Instances!R134),"median", MEDIAN(Instances!R134:Instances!R134),"min", MIN(Instances!R134:Instances!R134),"max", MAX(Instances!R134:Instances!R134),"diff", MAX(Instances!R134:Instances!R134)-MIN(Instances!R134:Instances!R134))</f>
        <v>0</v>
      </c>
      <c r="S134" s="1">
        <f>MIN($B134)</f>
        <v>0</v>
      </c>
      <c r="T134" s="1">
        <f>MIN($C134)</f>
        <v>0</v>
      </c>
      <c r="U134" s="1">
        <f>MIN($D134)</f>
        <v>0</v>
      </c>
      <c r="V134" s="1">
        <f>MIN($E134)</f>
        <v>0</v>
      </c>
      <c r="W134" s="1">
        <f>MIN($F134)</f>
        <v>0</v>
      </c>
      <c r="X134" s="1">
        <f>MIN($G134)</f>
        <v>0</v>
      </c>
      <c r="Y134" s="1">
        <f>MIN($H134)</f>
        <v>0</v>
      </c>
      <c r="Z134" s="1">
        <f>MIN($I134)</f>
        <v>0</v>
      </c>
      <c r="AA134" s="1">
        <f>MIN($J134)</f>
        <v>0</v>
      </c>
      <c r="AB134" s="1">
        <f>MIN($K134)</f>
        <v>0</v>
      </c>
      <c r="AC134" s="1">
        <f>MIN($M134)</f>
        <v>0</v>
      </c>
      <c r="AD134" s="1">
        <f>MIN($N134)</f>
        <v>0</v>
      </c>
      <c r="AE134" s="1">
        <f>MIN($P134)</f>
        <v>0</v>
      </c>
      <c r="AF134" s="1">
        <f>MIN($Q134)</f>
        <v>0</v>
      </c>
      <c r="AG134" s="1">
        <f>MIN($R134)</f>
        <v>0</v>
      </c>
      <c r="AH134" s="1">
        <f>MEDIAN($B134)</f>
        <v>0</v>
      </c>
      <c r="AI134" s="1">
        <f>MEDIAN($C134)</f>
        <v>0</v>
      </c>
      <c r="AJ134" s="1">
        <f>MEDIAN($D134)</f>
        <v>0</v>
      </c>
      <c r="AK134" s="1">
        <f>MEDIAN($E134)</f>
        <v>0</v>
      </c>
      <c r="AL134" s="1">
        <f>MEDIAN($F134)</f>
        <v>0</v>
      </c>
      <c r="AM134" s="1">
        <f>MEDIAN($G134)</f>
        <v>0</v>
      </c>
      <c r="AN134" s="1">
        <f>MEDIAN($H134)</f>
        <v>0</v>
      </c>
      <c r="AO134" s="1">
        <f>MEDIAN($I134)</f>
        <v>0</v>
      </c>
      <c r="AP134" s="1">
        <f>MEDIAN($J134)</f>
        <v>0</v>
      </c>
      <c r="AQ134" s="1">
        <f>MEDIAN($K134)</f>
        <v>0</v>
      </c>
      <c r="AR134" s="1">
        <f>MEDIAN($M134)</f>
        <v>0</v>
      </c>
      <c r="AS134" s="1">
        <f>MEDIAN($N134)</f>
        <v>0</v>
      </c>
      <c r="AT134" s="1">
        <f>MEDIAN($P134)</f>
        <v>0</v>
      </c>
      <c r="AU134" s="1">
        <f>MEDIAN($Q134)</f>
        <v>0</v>
      </c>
      <c r="AV134" s="1">
        <f>MEDIAN($R134)</f>
        <v>0</v>
      </c>
      <c r="AW134" s="1">
        <f>MAX($B134)</f>
        <v>0</v>
      </c>
      <c r="AX134" s="1">
        <f>MAX($C134)</f>
        <v>0</v>
      </c>
      <c r="AY134" s="1">
        <f>MAX($D134)</f>
        <v>0</v>
      </c>
      <c r="AZ134" s="1">
        <f>MAX($E134)</f>
        <v>0</v>
      </c>
      <c r="BA134" s="1">
        <f>MAX($F134)</f>
        <v>0</v>
      </c>
      <c r="BB134" s="1">
        <f>MAX($G134)</f>
        <v>0</v>
      </c>
      <c r="BC134" s="1">
        <f>MAX($H134)</f>
        <v>0</v>
      </c>
      <c r="BD134" s="1">
        <f>MAX($I134)</f>
        <v>0</v>
      </c>
      <c r="BE134" s="1">
        <f>MAX($J134)</f>
        <v>0</v>
      </c>
      <c r="BF134" s="1">
        <f>MAX($K134)</f>
        <v>0</v>
      </c>
      <c r="BG134" s="1">
        <f>MAX($M134)</f>
        <v>0</v>
      </c>
      <c r="BH134" s="1">
        <f>MAX($N134)</f>
        <v>0</v>
      </c>
      <c r="BI134" s="1">
        <f>MAX($P134)</f>
        <v>0</v>
      </c>
      <c r="BJ134" s="1">
        <f>MAX($Q134)</f>
        <v>0</v>
      </c>
      <c r="BK134" s="1">
        <f>MAX($R134)</f>
        <v>0</v>
      </c>
    </row>
    <row r="135" spans="1:63">
      <c r="A135" s="1" t="s">
        <v>132</v>
      </c>
      <c r="B135" s="1" cm="1">
        <f t="array" ref="B135">_xlfn.SWITCH($A$2,"average", AVERAGE(Instances!B135:Instances!B135),"median", MEDIAN(Instances!B135:Instances!B135),"min", MIN(Instances!B135:Instances!B135),"max", MAX(Instances!B135:Instances!B135),"diff", MAX(Instances!B135:Instances!B135)-MIN(Instances!B135:Instances!B135))</f>
        <v>0</v>
      </c>
      <c r="C135" s="1" cm="1">
        <f t="array" ref="C135">_xlfn.SWITCH($A$2,"average", AVERAGE(Instances!C135:Instances!C135),"median", MEDIAN(Instances!C135:Instances!C135),"min", MIN(Instances!C135:Instances!C135),"max", MAX(Instances!C135:Instances!C135),"diff", MAX(Instances!C135:Instances!C135)-MIN(Instances!C135:Instances!C135))</f>
        <v>0</v>
      </c>
      <c r="D135" s="1" cm="1">
        <f t="array" ref="D135">_xlfn.SWITCH($A$2,"average", AVERAGE(Instances!D135:Instances!D135),"median", MEDIAN(Instances!D135:Instances!D135),"min", MIN(Instances!D135:Instances!D135),"max", MAX(Instances!D135:Instances!D135),"diff", MAX(Instances!D135:Instances!D135)-MIN(Instances!D135:Instances!D135))</f>
        <v>0</v>
      </c>
      <c r="E135" s="1" cm="1">
        <f t="array" ref="E135">_xlfn.SWITCH($A$2,"average", AVERAGE(Instances!E135:Instances!E135),"median", MEDIAN(Instances!E135:Instances!E135),"min", MIN(Instances!E135:Instances!E135),"max", MAX(Instances!E135:Instances!E135),"diff", MAX(Instances!E135:Instances!E135)-MIN(Instances!E135:Instances!E135))</f>
        <v>0</v>
      </c>
      <c r="F135" s="1" cm="1">
        <f t="array" ref="F135">_xlfn.SWITCH($A$2,"average", AVERAGE(Instances!F135:Instances!F135),"median", MEDIAN(Instances!F135:Instances!F135),"min", MIN(Instances!F135:Instances!F135),"max", MAX(Instances!F135:Instances!F135),"diff", MAX(Instances!F135:Instances!F135)-MIN(Instances!F135:Instances!F135))</f>
        <v>0</v>
      </c>
      <c r="G135" s="1" cm="1">
        <f t="array" ref="G135">_xlfn.SWITCH($A$2,"average", AVERAGE(Instances!G135:Instances!G135),"median", MEDIAN(Instances!G135:Instances!G135),"min", MIN(Instances!G135:Instances!G135),"max", MAX(Instances!G135:Instances!G135),"diff", MAX(Instances!G135:Instances!G135)-MIN(Instances!G135:Instances!G135))</f>
        <v>0</v>
      </c>
      <c r="H135" s="1" cm="1">
        <f t="array" ref="H135">_xlfn.SWITCH($A$2,"average", AVERAGE(Instances!H135:Instances!H135),"median", MEDIAN(Instances!H135:Instances!H135),"min", MIN(Instances!H135:Instances!H135),"max", MAX(Instances!H135:Instances!H135),"diff", MAX(Instances!H135:Instances!H135)-MIN(Instances!H135:Instances!H135))</f>
        <v>0</v>
      </c>
      <c r="I135" s="1" cm="1">
        <f t="array" ref="I135">_xlfn.SWITCH($A$2,"average", AVERAGE(Instances!I135:Instances!I135),"median", MEDIAN(Instances!I135:Instances!I135),"min", MIN(Instances!I135:Instances!I135),"max", MAX(Instances!I135:Instances!I135),"diff", MAX(Instances!I135:Instances!I135)-MIN(Instances!I135:Instances!I135))</f>
        <v>0</v>
      </c>
      <c r="J135" s="1" cm="1">
        <f t="array" ref="J135">_xlfn.SWITCH($A$2,"average", AVERAGE(Instances!J135:Instances!J135),"median", MEDIAN(Instances!J135:Instances!J135),"min", MIN(Instances!J135:Instances!J135),"max", MAX(Instances!J135:Instances!J135),"diff", MAX(Instances!J135:Instances!J135)-MIN(Instances!J135:Instances!J135))</f>
        <v>0</v>
      </c>
      <c r="K135" s="1" cm="1">
        <f t="array" ref="K135">_xlfn.SWITCH($A$2,"average", AVERAGE(Instances!K135:Instances!K135),"median", MEDIAN(Instances!K135:Instances!K135),"min", MIN(Instances!K135:Instances!K135),"max", MAX(Instances!K135:Instances!K135),"diff", MAX(Instances!K135:Instances!K135)-MIN(Instances!K135:Instances!K135))</f>
        <v>0</v>
      </c>
      <c r="L135" s="1"/>
      <c r="M135" s="1" cm="1">
        <f t="array" ref="M135">_xlfn.SWITCH($A$2,"average", AVERAGE(Instances!M135:Instances!M135),"median", MEDIAN(Instances!M135:Instances!M135),"min", MIN(Instances!M135:Instances!M135),"max", MAX(Instances!M135:Instances!M135),"diff", MAX(Instances!M135:Instances!M135)-MIN(Instances!M135:Instances!M135))</f>
        <v>0</v>
      </c>
      <c r="N135" s="1" cm="1">
        <f t="array" ref="N135">_xlfn.SWITCH($A$2,"average", AVERAGE(Instances!N135:Instances!N135),"median", MEDIAN(Instances!N135:Instances!N135),"min", MIN(Instances!N135:Instances!N135),"max", MAX(Instances!N135:Instances!N135),"diff", MAX(Instances!N135:Instances!N135)-MIN(Instances!N135:Instances!N135))</f>
        <v>0</v>
      </c>
      <c r="O135" s="1"/>
      <c r="P135" s="1" cm="1">
        <f t="array" ref="P135">_xlfn.SWITCH($A$2,"average", AVERAGE(Instances!P135:Instances!P135),"median", MEDIAN(Instances!P135:Instances!P135),"min", MIN(Instances!P135:Instances!P135),"max", MAX(Instances!P135:Instances!P135),"diff", MAX(Instances!P135:Instances!P135)-MIN(Instances!P135:Instances!P135))</f>
        <v>0</v>
      </c>
      <c r="Q135" s="1" cm="1">
        <f t="array" ref="Q135">_xlfn.SWITCH($A$2,"average", AVERAGE(Instances!Q135:Instances!Q135),"median", MEDIAN(Instances!Q135:Instances!Q135),"min", MIN(Instances!Q135:Instances!Q135),"max", MAX(Instances!Q135:Instances!Q135),"diff", MAX(Instances!Q135:Instances!Q135)-MIN(Instances!Q135:Instances!Q135))</f>
        <v>0</v>
      </c>
      <c r="R135" s="1" cm="1">
        <f t="array" ref="R135">_xlfn.SWITCH($A$2,"average", AVERAGE(Instances!R135:Instances!R135),"median", MEDIAN(Instances!R135:Instances!R135),"min", MIN(Instances!R135:Instances!R135),"max", MAX(Instances!R135:Instances!R135),"diff", MAX(Instances!R135:Instances!R135)-MIN(Instances!R135:Instances!R135))</f>
        <v>0</v>
      </c>
      <c r="S135" s="1">
        <f>MIN($B135)</f>
        <v>0</v>
      </c>
      <c r="T135" s="1">
        <f>MIN($C135)</f>
        <v>0</v>
      </c>
      <c r="U135" s="1">
        <f>MIN($D135)</f>
        <v>0</v>
      </c>
      <c r="V135" s="1">
        <f>MIN($E135)</f>
        <v>0</v>
      </c>
      <c r="W135" s="1">
        <f>MIN($F135)</f>
        <v>0</v>
      </c>
      <c r="X135" s="1">
        <f>MIN($G135)</f>
        <v>0</v>
      </c>
      <c r="Y135" s="1">
        <f>MIN($H135)</f>
        <v>0</v>
      </c>
      <c r="Z135" s="1">
        <f>MIN($I135)</f>
        <v>0</v>
      </c>
      <c r="AA135" s="1">
        <f>MIN($J135)</f>
        <v>0</v>
      </c>
      <c r="AB135" s="1">
        <f>MIN($K135)</f>
        <v>0</v>
      </c>
      <c r="AC135" s="1">
        <f>MIN($M135)</f>
        <v>0</v>
      </c>
      <c r="AD135" s="1">
        <f>MIN($N135)</f>
        <v>0</v>
      </c>
      <c r="AE135" s="1">
        <f>MIN($P135)</f>
        <v>0</v>
      </c>
      <c r="AF135" s="1">
        <f>MIN($Q135)</f>
        <v>0</v>
      </c>
      <c r="AG135" s="1">
        <f>MIN($R135)</f>
        <v>0</v>
      </c>
      <c r="AH135" s="1">
        <f>MEDIAN($B135)</f>
        <v>0</v>
      </c>
      <c r="AI135" s="1">
        <f>MEDIAN($C135)</f>
        <v>0</v>
      </c>
      <c r="AJ135" s="1">
        <f>MEDIAN($D135)</f>
        <v>0</v>
      </c>
      <c r="AK135" s="1">
        <f>MEDIAN($E135)</f>
        <v>0</v>
      </c>
      <c r="AL135" s="1">
        <f>MEDIAN($F135)</f>
        <v>0</v>
      </c>
      <c r="AM135" s="1">
        <f>MEDIAN($G135)</f>
        <v>0</v>
      </c>
      <c r="AN135" s="1">
        <f>MEDIAN($H135)</f>
        <v>0</v>
      </c>
      <c r="AO135" s="1">
        <f>MEDIAN($I135)</f>
        <v>0</v>
      </c>
      <c r="AP135" s="1">
        <f>MEDIAN($J135)</f>
        <v>0</v>
      </c>
      <c r="AQ135" s="1">
        <f>MEDIAN($K135)</f>
        <v>0</v>
      </c>
      <c r="AR135" s="1">
        <f>MEDIAN($M135)</f>
        <v>0</v>
      </c>
      <c r="AS135" s="1">
        <f>MEDIAN($N135)</f>
        <v>0</v>
      </c>
      <c r="AT135" s="1">
        <f>MEDIAN($P135)</f>
        <v>0</v>
      </c>
      <c r="AU135" s="1">
        <f>MEDIAN($Q135)</f>
        <v>0</v>
      </c>
      <c r="AV135" s="1">
        <f>MEDIAN($R135)</f>
        <v>0</v>
      </c>
      <c r="AW135" s="1">
        <f>MAX($B135)</f>
        <v>0</v>
      </c>
      <c r="AX135" s="1">
        <f>MAX($C135)</f>
        <v>0</v>
      </c>
      <c r="AY135" s="1">
        <f>MAX($D135)</f>
        <v>0</v>
      </c>
      <c r="AZ135" s="1">
        <f>MAX($E135)</f>
        <v>0</v>
      </c>
      <c r="BA135" s="1">
        <f>MAX($F135)</f>
        <v>0</v>
      </c>
      <c r="BB135" s="1">
        <f>MAX($G135)</f>
        <v>0</v>
      </c>
      <c r="BC135" s="1">
        <f>MAX($H135)</f>
        <v>0</v>
      </c>
      <c r="BD135" s="1">
        <f>MAX($I135)</f>
        <v>0</v>
      </c>
      <c r="BE135" s="1">
        <f>MAX($J135)</f>
        <v>0</v>
      </c>
      <c r="BF135" s="1">
        <f>MAX($K135)</f>
        <v>0</v>
      </c>
      <c r="BG135" s="1">
        <f>MAX($M135)</f>
        <v>0</v>
      </c>
      <c r="BH135" s="1">
        <f>MAX($N135)</f>
        <v>0</v>
      </c>
      <c r="BI135" s="1">
        <f>MAX($P135)</f>
        <v>0</v>
      </c>
      <c r="BJ135" s="1">
        <f>MAX($Q135)</f>
        <v>0</v>
      </c>
      <c r="BK135" s="1">
        <f>MAX($R135)</f>
        <v>0</v>
      </c>
    </row>
    <row r="136" spans="1:63">
      <c r="A136" s="1" t="s">
        <v>133</v>
      </c>
      <c r="B136" s="1" cm="1">
        <f t="array" ref="B136">_xlfn.SWITCH($A$2,"average", AVERAGE(Instances!B136:Instances!B136),"median", MEDIAN(Instances!B136:Instances!B136),"min", MIN(Instances!B136:Instances!B136),"max", MAX(Instances!B136:Instances!B136),"diff", MAX(Instances!B136:Instances!B136)-MIN(Instances!B136:Instances!B136))</f>
        <v>0</v>
      </c>
      <c r="C136" s="1" cm="1">
        <f t="array" ref="C136">_xlfn.SWITCH($A$2,"average", AVERAGE(Instances!C136:Instances!C136),"median", MEDIAN(Instances!C136:Instances!C136),"min", MIN(Instances!C136:Instances!C136),"max", MAX(Instances!C136:Instances!C136),"diff", MAX(Instances!C136:Instances!C136)-MIN(Instances!C136:Instances!C136))</f>
        <v>0</v>
      </c>
      <c r="D136" s="1" cm="1">
        <f t="array" ref="D136">_xlfn.SWITCH($A$2,"average", AVERAGE(Instances!D136:Instances!D136),"median", MEDIAN(Instances!D136:Instances!D136),"min", MIN(Instances!D136:Instances!D136),"max", MAX(Instances!D136:Instances!D136),"diff", MAX(Instances!D136:Instances!D136)-MIN(Instances!D136:Instances!D136))</f>
        <v>0</v>
      </c>
      <c r="E136" s="1" cm="1">
        <f t="array" ref="E136">_xlfn.SWITCH($A$2,"average", AVERAGE(Instances!E136:Instances!E136),"median", MEDIAN(Instances!E136:Instances!E136),"min", MIN(Instances!E136:Instances!E136),"max", MAX(Instances!E136:Instances!E136),"diff", MAX(Instances!E136:Instances!E136)-MIN(Instances!E136:Instances!E136))</f>
        <v>0</v>
      </c>
      <c r="F136" s="1" cm="1">
        <f t="array" ref="F136">_xlfn.SWITCH($A$2,"average", AVERAGE(Instances!F136:Instances!F136),"median", MEDIAN(Instances!F136:Instances!F136),"min", MIN(Instances!F136:Instances!F136),"max", MAX(Instances!F136:Instances!F136),"diff", MAX(Instances!F136:Instances!F136)-MIN(Instances!F136:Instances!F136))</f>
        <v>0</v>
      </c>
      <c r="G136" s="1" cm="1">
        <f t="array" ref="G136">_xlfn.SWITCH($A$2,"average", AVERAGE(Instances!G136:Instances!G136),"median", MEDIAN(Instances!G136:Instances!G136),"min", MIN(Instances!G136:Instances!G136),"max", MAX(Instances!G136:Instances!G136),"diff", MAX(Instances!G136:Instances!G136)-MIN(Instances!G136:Instances!G136))</f>
        <v>0</v>
      </c>
      <c r="H136" s="1" cm="1">
        <f t="array" ref="H136">_xlfn.SWITCH($A$2,"average", AVERAGE(Instances!H136:Instances!H136),"median", MEDIAN(Instances!H136:Instances!H136),"min", MIN(Instances!H136:Instances!H136),"max", MAX(Instances!H136:Instances!H136),"diff", MAX(Instances!H136:Instances!H136)-MIN(Instances!H136:Instances!H136))</f>
        <v>0</v>
      </c>
      <c r="I136" s="1" cm="1">
        <f t="array" ref="I136">_xlfn.SWITCH($A$2,"average", AVERAGE(Instances!I136:Instances!I136),"median", MEDIAN(Instances!I136:Instances!I136),"min", MIN(Instances!I136:Instances!I136),"max", MAX(Instances!I136:Instances!I136),"diff", MAX(Instances!I136:Instances!I136)-MIN(Instances!I136:Instances!I136))</f>
        <v>0</v>
      </c>
      <c r="J136" s="1" cm="1">
        <f t="array" ref="J136">_xlfn.SWITCH($A$2,"average", AVERAGE(Instances!J136:Instances!J136),"median", MEDIAN(Instances!J136:Instances!J136),"min", MIN(Instances!J136:Instances!J136),"max", MAX(Instances!J136:Instances!J136),"diff", MAX(Instances!J136:Instances!J136)-MIN(Instances!J136:Instances!J136))</f>
        <v>0</v>
      </c>
      <c r="K136" s="1" cm="1">
        <f t="array" ref="K136">_xlfn.SWITCH($A$2,"average", AVERAGE(Instances!K136:Instances!K136),"median", MEDIAN(Instances!K136:Instances!K136),"min", MIN(Instances!K136:Instances!K136),"max", MAX(Instances!K136:Instances!K136),"diff", MAX(Instances!K136:Instances!K136)-MIN(Instances!K136:Instances!K136))</f>
        <v>0</v>
      </c>
      <c r="L136" s="1"/>
      <c r="M136" s="1" cm="1">
        <f t="array" ref="M136">_xlfn.SWITCH($A$2,"average", AVERAGE(Instances!M136:Instances!M136),"median", MEDIAN(Instances!M136:Instances!M136),"min", MIN(Instances!M136:Instances!M136),"max", MAX(Instances!M136:Instances!M136),"diff", MAX(Instances!M136:Instances!M136)-MIN(Instances!M136:Instances!M136))</f>
        <v>0</v>
      </c>
      <c r="N136" s="1" cm="1">
        <f t="array" ref="N136">_xlfn.SWITCH($A$2,"average", AVERAGE(Instances!N136:Instances!N136),"median", MEDIAN(Instances!N136:Instances!N136),"min", MIN(Instances!N136:Instances!N136),"max", MAX(Instances!N136:Instances!N136),"diff", MAX(Instances!N136:Instances!N136)-MIN(Instances!N136:Instances!N136))</f>
        <v>0</v>
      </c>
      <c r="O136" s="1"/>
      <c r="P136" s="1" cm="1">
        <f t="array" ref="P136">_xlfn.SWITCH($A$2,"average", AVERAGE(Instances!P136:Instances!P136),"median", MEDIAN(Instances!P136:Instances!P136),"min", MIN(Instances!P136:Instances!P136),"max", MAX(Instances!P136:Instances!P136),"diff", MAX(Instances!P136:Instances!P136)-MIN(Instances!P136:Instances!P136))</f>
        <v>0</v>
      </c>
      <c r="Q136" s="1" cm="1">
        <f t="array" ref="Q136">_xlfn.SWITCH($A$2,"average", AVERAGE(Instances!Q136:Instances!Q136),"median", MEDIAN(Instances!Q136:Instances!Q136),"min", MIN(Instances!Q136:Instances!Q136),"max", MAX(Instances!Q136:Instances!Q136),"diff", MAX(Instances!Q136:Instances!Q136)-MIN(Instances!Q136:Instances!Q136))</f>
        <v>0</v>
      </c>
      <c r="R136" s="1" cm="1">
        <f t="array" ref="R136">_xlfn.SWITCH($A$2,"average", AVERAGE(Instances!R136:Instances!R136),"median", MEDIAN(Instances!R136:Instances!R136),"min", MIN(Instances!R136:Instances!R136),"max", MAX(Instances!R136:Instances!R136),"diff", MAX(Instances!R136:Instances!R136)-MIN(Instances!R136:Instances!R136))</f>
        <v>0</v>
      </c>
      <c r="S136" s="1">
        <f>MIN($B136)</f>
        <v>0</v>
      </c>
      <c r="T136" s="1">
        <f>MIN($C136)</f>
        <v>0</v>
      </c>
      <c r="U136" s="1">
        <f>MIN($D136)</f>
        <v>0</v>
      </c>
      <c r="V136" s="1">
        <f>MIN($E136)</f>
        <v>0</v>
      </c>
      <c r="W136" s="1">
        <f>MIN($F136)</f>
        <v>0</v>
      </c>
      <c r="X136" s="1">
        <f>MIN($G136)</f>
        <v>0</v>
      </c>
      <c r="Y136" s="1">
        <f>MIN($H136)</f>
        <v>0</v>
      </c>
      <c r="Z136" s="1">
        <f>MIN($I136)</f>
        <v>0</v>
      </c>
      <c r="AA136" s="1">
        <f>MIN($J136)</f>
        <v>0</v>
      </c>
      <c r="AB136" s="1">
        <f>MIN($K136)</f>
        <v>0</v>
      </c>
      <c r="AC136" s="1">
        <f>MIN($M136)</f>
        <v>0</v>
      </c>
      <c r="AD136" s="1">
        <f>MIN($N136)</f>
        <v>0</v>
      </c>
      <c r="AE136" s="1">
        <f>MIN($P136)</f>
        <v>0</v>
      </c>
      <c r="AF136" s="1">
        <f>MIN($Q136)</f>
        <v>0</v>
      </c>
      <c r="AG136" s="1">
        <f>MIN($R136)</f>
        <v>0</v>
      </c>
      <c r="AH136" s="1">
        <f>MEDIAN($B136)</f>
        <v>0</v>
      </c>
      <c r="AI136" s="1">
        <f>MEDIAN($C136)</f>
        <v>0</v>
      </c>
      <c r="AJ136" s="1">
        <f>MEDIAN($D136)</f>
        <v>0</v>
      </c>
      <c r="AK136" s="1">
        <f>MEDIAN($E136)</f>
        <v>0</v>
      </c>
      <c r="AL136" s="1">
        <f>MEDIAN($F136)</f>
        <v>0</v>
      </c>
      <c r="AM136" s="1">
        <f>MEDIAN($G136)</f>
        <v>0</v>
      </c>
      <c r="AN136" s="1">
        <f>MEDIAN($H136)</f>
        <v>0</v>
      </c>
      <c r="AO136" s="1">
        <f>MEDIAN($I136)</f>
        <v>0</v>
      </c>
      <c r="AP136" s="1">
        <f>MEDIAN($J136)</f>
        <v>0</v>
      </c>
      <c r="AQ136" s="1">
        <f>MEDIAN($K136)</f>
        <v>0</v>
      </c>
      <c r="AR136" s="1">
        <f>MEDIAN($M136)</f>
        <v>0</v>
      </c>
      <c r="AS136" s="1">
        <f>MEDIAN($N136)</f>
        <v>0</v>
      </c>
      <c r="AT136" s="1">
        <f>MEDIAN($P136)</f>
        <v>0</v>
      </c>
      <c r="AU136" s="1">
        <f>MEDIAN($Q136)</f>
        <v>0</v>
      </c>
      <c r="AV136" s="1">
        <f>MEDIAN($R136)</f>
        <v>0</v>
      </c>
      <c r="AW136" s="1">
        <f>MAX($B136)</f>
        <v>0</v>
      </c>
      <c r="AX136" s="1">
        <f>MAX($C136)</f>
        <v>0</v>
      </c>
      <c r="AY136" s="1">
        <f>MAX($D136)</f>
        <v>0</v>
      </c>
      <c r="AZ136" s="1">
        <f>MAX($E136)</f>
        <v>0</v>
      </c>
      <c r="BA136" s="1">
        <f>MAX($F136)</f>
        <v>0</v>
      </c>
      <c r="BB136" s="1">
        <f>MAX($G136)</f>
        <v>0</v>
      </c>
      <c r="BC136" s="1">
        <f>MAX($H136)</f>
        <v>0</v>
      </c>
      <c r="BD136" s="1">
        <f>MAX($I136)</f>
        <v>0</v>
      </c>
      <c r="BE136" s="1">
        <f>MAX($J136)</f>
        <v>0</v>
      </c>
      <c r="BF136" s="1">
        <f>MAX($K136)</f>
        <v>0</v>
      </c>
      <c r="BG136" s="1">
        <f>MAX($M136)</f>
        <v>0</v>
      </c>
      <c r="BH136" s="1">
        <f>MAX($N136)</f>
        <v>0</v>
      </c>
      <c r="BI136" s="1">
        <f>MAX($P136)</f>
        <v>0</v>
      </c>
      <c r="BJ136" s="1">
        <f>MAX($Q136)</f>
        <v>0</v>
      </c>
      <c r="BK136" s="1">
        <f>MAX($R136)</f>
        <v>0</v>
      </c>
    </row>
    <row r="137" spans="1:63">
      <c r="A137" s="1" t="s">
        <v>134</v>
      </c>
      <c r="B137" s="1" cm="1">
        <f t="array" ref="B137">_xlfn.SWITCH($A$2,"average", AVERAGE(Instances!B137:Instances!B137),"median", MEDIAN(Instances!B137:Instances!B137),"min", MIN(Instances!B137:Instances!B137),"max", MAX(Instances!B137:Instances!B137),"diff", MAX(Instances!B137:Instances!B137)-MIN(Instances!B137:Instances!B137))</f>
        <v>0</v>
      </c>
      <c r="C137" s="1" cm="1">
        <f t="array" ref="C137">_xlfn.SWITCH($A$2,"average", AVERAGE(Instances!C137:Instances!C137),"median", MEDIAN(Instances!C137:Instances!C137),"min", MIN(Instances!C137:Instances!C137),"max", MAX(Instances!C137:Instances!C137),"diff", MAX(Instances!C137:Instances!C137)-MIN(Instances!C137:Instances!C137))</f>
        <v>0</v>
      </c>
      <c r="D137" s="1" cm="1">
        <f t="array" ref="D137">_xlfn.SWITCH($A$2,"average", AVERAGE(Instances!D137:Instances!D137),"median", MEDIAN(Instances!D137:Instances!D137),"min", MIN(Instances!D137:Instances!D137),"max", MAX(Instances!D137:Instances!D137),"diff", MAX(Instances!D137:Instances!D137)-MIN(Instances!D137:Instances!D137))</f>
        <v>0</v>
      </c>
      <c r="E137" s="1" cm="1">
        <f t="array" ref="E137">_xlfn.SWITCH($A$2,"average", AVERAGE(Instances!E137:Instances!E137),"median", MEDIAN(Instances!E137:Instances!E137),"min", MIN(Instances!E137:Instances!E137),"max", MAX(Instances!E137:Instances!E137),"diff", MAX(Instances!E137:Instances!E137)-MIN(Instances!E137:Instances!E137))</f>
        <v>0</v>
      </c>
      <c r="F137" s="1" cm="1">
        <f t="array" ref="F137">_xlfn.SWITCH($A$2,"average", AVERAGE(Instances!F137:Instances!F137),"median", MEDIAN(Instances!F137:Instances!F137),"min", MIN(Instances!F137:Instances!F137),"max", MAX(Instances!F137:Instances!F137),"diff", MAX(Instances!F137:Instances!F137)-MIN(Instances!F137:Instances!F137))</f>
        <v>0</v>
      </c>
      <c r="G137" s="1" cm="1">
        <f t="array" ref="G137">_xlfn.SWITCH($A$2,"average", AVERAGE(Instances!G137:Instances!G137),"median", MEDIAN(Instances!G137:Instances!G137),"min", MIN(Instances!G137:Instances!G137),"max", MAX(Instances!G137:Instances!G137),"diff", MAX(Instances!G137:Instances!G137)-MIN(Instances!G137:Instances!G137))</f>
        <v>0</v>
      </c>
      <c r="H137" s="1" cm="1">
        <f t="array" ref="H137">_xlfn.SWITCH($A$2,"average", AVERAGE(Instances!H137:Instances!H137),"median", MEDIAN(Instances!H137:Instances!H137),"min", MIN(Instances!H137:Instances!H137),"max", MAX(Instances!H137:Instances!H137),"diff", MAX(Instances!H137:Instances!H137)-MIN(Instances!H137:Instances!H137))</f>
        <v>0</v>
      </c>
      <c r="I137" s="1" cm="1">
        <f t="array" ref="I137">_xlfn.SWITCH($A$2,"average", AVERAGE(Instances!I137:Instances!I137),"median", MEDIAN(Instances!I137:Instances!I137),"min", MIN(Instances!I137:Instances!I137),"max", MAX(Instances!I137:Instances!I137),"diff", MAX(Instances!I137:Instances!I137)-MIN(Instances!I137:Instances!I137))</f>
        <v>0</v>
      </c>
      <c r="J137" s="1" cm="1">
        <f t="array" ref="J137">_xlfn.SWITCH($A$2,"average", AVERAGE(Instances!J137:Instances!J137),"median", MEDIAN(Instances!J137:Instances!J137),"min", MIN(Instances!J137:Instances!J137),"max", MAX(Instances!J137:Instances!J137),"diff", MAX(Instances!J137:Instances!J137)-MIN(Instances!J137:Instances!J137))</f>
        <v>0</v>
      </c>
      <c r="K137" s="1" cm="1">
        <f t="array" ref="K137">_xlfn.SWITCH($A$2,"average", AVERAGE(Instances!K137:Instances!K137),"median", MEDIAN(Instances!K137:Instances!K137),"min", MIN(Instances!K137:Instances!K137),"max", MAX(Instances!K137:Instances!K137),"diff", MAX(Instances!K137:Instances!K137)-MIN(Instances!K137:Instances!K137))</f>
        <v>0</v>
      </c>
      <c r="L137" s="1"/>
      <c r="M137" s="1" cm="1">
        <f t="array" ref="M137">_xlfn.SWITCH($A$2,"average", AVERAGE(Instances!M137:Instances!M137),"median", MEDIAN(Instances!M137:Instances!M137),"min", MIN(Instances!M137:Instances!M137),"max", MAX(Instances!M137:Instances!M137),"diff", MAX(Instances!M137:Instances!M137)-MIN(Instances!M137:Instances!M137))</f>
        <v>0</v>
      </c>
      <c r="N137" s="1" cm="1">
        <f t="array" ref="N137">_xlfn.SWITCH($A$2,"average", AVERAGE(Instances!N137:Instances!N137),"median", MEDIAN(Instances!N137:Instances!N137),"min", MIN(Instances!N137:Instances!N137),"max", MAX(Instances!N137:Instances!N137),"diff", MAX(Instances!N137:Instances!N137)-MIN(Instances!N137:Instances!N137))</f>
        <v>0</v>
      </c>
      <c r="O137" s="1"/>
      <c r="P137" s="1" cm="1">
        <f t="array" ref="P137">_xlfn.SWITCH($A$2,"average", AVERAGE(Instances!P137:Instances!P137),"median", MEDIAN(Instances!P137:Instances!P137),"min", MIN(Instances!P137:Instances!P137),"max", MAX(Instances!P137:Instances!P137),"diff", MAX(Instances!P137:Instances!P137)-MIN(Instances!P137:Instances!P137))</f>
        <v>0</v>
      </c>
      <c r="Q137" s="1" cm="1">
        <f t="array" ref="Q137">_xlfn.SWITCH($A$2,"average", AVERAGE(Instances!Q137:Instances!Q137),"median", MEDIAN(Instances!Q137:Instances!Q137),"min", MIN(Instances!Q137:Instances!Q137),"max", MAX(Instances!Q137:Instances!Q137),"diff", MAX(Instances!Q137:Instances!Q137)-MIN(Instances!Q137:Instances!Q137))</f>
        <v>0</v>
      </c>
      <c r="R137" s="1" cm="1">
        <f t="array" ref="R137">_xlfn.SWITCH($A$2,"average", AVERAGE(Instances!R137:Instances!R137),"median", MEDIAN(Instances!R137:Instances!R137),"min", MIN(Instances!R137:Instances!R137),"max", MAX(Instances!R137:Instances!R137),"diff", MAX(Instances!R137:Instances!R137)-MIN(Instances!R137:Instances!R137))</f>
        <v>0</v>
      </c>
      <c r="S137" s="1">
        <f>MIN($B137)</f>
        <v>0</v>
      </c>
      <c r="T137" s="1">
        <f>MIN($C137)</f>
        <v>0</v>
      </c>
      <c r="U137" s="1">
        <f>MIN($D137)</f>
        <v>0</v>
      </c>
      <c r="V137" s="1">
        <f>MIN($E137)</f>
        <v>0</v>
      </c>
      <c r="W137" s="1">
        <f>MIN($F137)</f>
        <v>0</v>
      </c>
      <c r="X137" s="1">
        <f>MIN($G137)</f>
        <v>0</v>
      </c>
      <c r="Y137" s="1">
        <f>MIN($H137)</f>
        <v>0</v>
      </c>
      <c r="Z137" s="1">
        <f>MIN($I137)</f>
        <v>0</v>
      </c>
      <c r="AA137" s="1">
        <f>MIN($J137)</f>
        <v>0</v>
      </c>
      <c r="AB137" s="1">
        <f>MIN($K137)</f>
        <v>0</v>
      </c>
      <c r="AC137" s="1">
        <f>MIN($M137)</f>
        <v>0</v>
      </c>
      <c r="AD137" s="1">
        <f>MIN($N137)</f>
        <v>0</v>
      </c>
      <c r="AE137" s="1">
        <f>MIN($P137)</f>
        <v>0</v>
      </c>
      <c r="AF137" s="1">
        <f>MIN($Q137)</f>
        <v>0</v>
      </c>
      <c r="AG137" s="1">
        <f>MIN($R137)</f>
        <v>0</v>
      </c>
      <c r="AH137" s="1">
        <f>MEDIAN($B137)</f>
        <v>0</v>
      </c>
      <c r="AI137" s="1">
        <f>MEDIAN($C137)</f>
        <v>0</v>
      </c>
      <c r="AJ137" s="1">
        <f>MEDIAN($D137)</f>
        <v>0</v>
      </c>
      <c r="AK137" s="1">
        <f>MEDIAN($E137)</f>
        <v>0</v>
      </c>
      <c r="AL137" s="1">
        <f>MEDIAN($F137)</f>
        <v>0</v>
      </c>
      <c r="AM137" s="1">
        <f>MEDIAN($G137)</f>
        <v>0</v>
      </c>
      <c r="AN137" s="1">
        <f>MEDIAN($H137)</f>
        <v>0</v>
      </c>
      <c r="AO137" s="1">
        <f>MEDIAN($I137)</f>
        <v>0</v>
      </c>
      <c r="AP137" s="1">
        <f>MEDIAN($J137)</f>
        <v>0</v>
      </c>
      <c r="AQ137" s="1">
        <f>MEDIAN($K137)</f>
        <v>0</v>
      </c>
      <c r="AR137" s="1">
        <f>MEDIAN($M137)</f>
        <v>0</v>
      </c>
      <c r="AS137" s="1">
        <f>MEDIAN($N137)</f>
        <v>0</v>
      </c>
      <c r="AT137" s="1">
        <f>MEDIAN($P137)</f>
        <v>0</v>
      </c>
      <c r="AU137" s="1">
        <f>MEDIAN($Q137)</f>
        <v>0</v>
      </c>
      <c r="AV137" s="1">
        <f>MEDIAN($R137)</f>
        <v>0</v>
      </c>
      <c r="AW137" s="1">
        <f>MAX($B137)</f>
        <v>0</v>
      </c>
      <c r="AX137" s="1">
        <f>MAX($C137)</f>
        <v>0</v>
      </c>
      <c r="AY137" s="1">
        <f>MAX($D137)</f>
        <v>0</v>
      </c>
      <c r="AZ137" s="1">
        <f>MAX($E137)</f>
        <v>0</v>
      </c>
      <c r="BA137" s="1">
        <f>MAX($F137)</f>
        <v>0</v>
      </c>
      <c r="BB137" s="1">
        <f>MAX($G137)</f>
        <v>0</v>
      </c>
      <c r="BC137" s="1">
        <f>MAX($H137)</f>
        <v>0</v>
      </c>
      <c r="BD137" s="1">
        <f>MAX($I137)</f>
        <v>0</v>
      </c>
      <c r="BE137" s="1">
        <f>MAX($J137)</f>
        <v>0</v>
      </c>
      <c r="BF137" s="1">
        <f>MAX($K137)</f>
        <v>0</v>
      </c>
      <c r="BG137" s="1">
        <f>MAX($M137)</f>
        <v>0</v>
      </c>
      <c r="BH137" s="1">
        <f>MAX($N137)</f>
        <v>0</v>
      </c>
      <c r="BI137" s="1">
        <f>MAX($P137)</f>
        <v>0</v>
      </c>
      <c r="BJ137" s="1">
        <f>MAX($Q137)</f>
        <v>0</v>
      </c>
      <c r="BK137" s="1">
        <f>MAX($R137)</f>
        <v>0</v>
      </c>
    </row>
    <row r="138" spans="1:63">
      <c r="A138" s="1" t="s">
        <v>135</v>
      </c>
      <c r="B138" s="1" cm="1">
        <f t="array" ref="B138">_xlfn.SWITCH($A$2,"average", AVERAGE(Instances!B138:Instances!B138),"median", MEDIAN(Instances!B138:Instances!B138),"min", MIN(Instances!B138:Instances!B138),"max", MAX(Instances!B138:Instances!B138),"diff", MAX(Instances!B138:Instances!B138)-MIN(Instances!B138:Instances!B138))</f>
        <v>0</v>
      </c>
      <c r="C138" s="1" cm="1">
        <f t="array" ref="C138">_xlfn.SWITCH($A$2,"average", AVERAGE(Instances!C138:Instances!C138),"median", MEDIAN(Instances!C138:Instances!C138),"min", MIN(Instances!C138:Instances!C138),"max", MAX(Instances!C138:Instances!C138),"diff", MAX(Instances!C138:Instances!C138)-MIN(Instances!C138:Instances!C138))</f>
        <v>0</v>
      </c>
      <c r="D138" s="1" cm="1">
        <f t="array" ref="D138">_xlfn.SWITCH($A$2,"average", AVERAGE(Instances!D138:Instances!D138),"median", MEDIAN(Instances!D138:Instances!D138),"min", MIN(Instances!D138:Instances!D138),"max", MAX(Instances!D138:Instances!D138),"diff", MAX(Instances!D138:Instances!D138)-MIN(Instances!D138:Instances!D138))</f>
        <v>0</v>
      </c>
      <c r="E138" s="1" cm="1">
        <f t="array" ref="E138">_xlfn.SWITCH($A$2,"average", AVERAGE(Instances!E138:Instances!E138),"median", MEDIAN(Instances!E138:Instances!E138),"min", MIN(Instances!E138:Instances!E138),"max", MAX(Instances!E138:Instances!E138),"diff", MAX(Instances!E138:Instances!E138)-MIN(Instances!E138:Instances!E138))</f>
        <v>0</v>
      </c>
      <c r="F138" s="1" cm="1">
        <f t="array" ref="F138">_xlfn.SWITCH($A$2,"average", AVERAGE(Instances!F138:Instances!F138),"median", MEDIAN(Instances!F138:Instances!F138),"min", MIN(Instances!F138:Instances!F138),"max", MAX(Instances!F138:Instances!F138),"diff", MAX(Instances!F138:Instances!F138)-MIN(Instances!F138:Instances!F138))</f>
        <v>0</v>
      </c>
      <c r="G138" s="1" cm="1">
        <f t="array" ref="G138">_xlfn.SWITCH($A$2,"average", AVERAGE(Instances!G138:Instances!G138),"median", MEDIAN(Instances!G138:Instances!G138),"min", MIN(Instances!G138:Instances!G138),"max", MAX(Instances!G138:Instances!G138),"diff", MAX(Instances!G138:Instances!G138)-MIN(Instances!G138:Instances!G138))</f>
        <v>0</v>
      </c>
      <c r="H138" s="1" cm="1">
        <f t="array" ref="H138">_xlfn.SWITCH($A$2,"average", AVERAGE(Instances!H138:Instances!H138),"median", MEDIAN(Instances!H138:Instances!H138),"min", MIN(Instances!H138:Instances!H138),"max", MAX(Instances!H138:Instances!H138),"diff", MAX(Instances!H138:Instances!H138)-MIN(Instances!H138:Instances!H138))</f>
        <v>0</v>
      </c>
      <c r="I138" s="1" cm="1">
        <f t="array" ref="I138">_xlfn.SWITCH($A$2,"average", AVERAGE(Instances!I138:Instances!I138),"median", MEDIAN(Instances!I138:Instances!I138),"min", MIN(Instances!I138:Instances!I138),"max", MAX(Instances!I138:Instances!I138),"diff", MAX(Instances!I138:Instances!I138)-MIN(Instances!I138:Instances!I138))</f>
        <v>0</v>
      </c>
      <c r="J138" s="1" cm="1">
        <f t="array" ref="J138">_xlfn.SWITCH($A$2,"average", AVERAGE(Instances!J138:Instances!J138),"median", MEDIAN(Instances!J138:Instances!J138),"min", MIN(Instances!J138:Instances!J138),"max", MAX(Instances!J138:Instances!J138),"diff", MAX(Instances!J138:Instances!J138)-MIN(Instances!J138:Instances!J138))</f>
        <v>0</v>
      </c>
      <c r="K138" s="1" cm="1">
        <f t="array" ref="K138">_xlfn.SWITCH($A$2,"average", AVERAGE(Instances!K138:Instances!K138),"median", MEDIAN(Instances!K138:Instances!K138),"min", MIN(Instances!K138:Instances!K138),"max", MAX(Instances!K138:Instances!K138),"diff", MAX(Instances!K138:Instances!K138)-MIN(Instances!K138:Instances!K138))</f>
        <v>0</v>
      </c>
      <c r="L138" s="1"/>
      <c r="M138" s="1" cm="1">
        <f t="array" ref="M138">_xlfn.SWITCH($A$2,"average", AVERAGE(Instances!M138:Instances!M138),"median", MEDIAN(Instances!M138:Instances!M138),"min", MIN(Instances!M138:Instances!M138),"max", MAX(Instances!M138:Instances!M138),"diff", MAX(Instances!M138:Instances!M138)-MIN(Instances!M138:Instances!M138))</f>
        <v>0</v>
      </c>
      <c r="N138" s="1" cm="1">
        <f t="array" ref="N138">_xlfn.SWITCH($A$2,"average", AVERAGE(Instances!N138:Instances!N138),"median", MEDIAN(Instances!N138:Instances!N138),"min", MIN(Instances!N138:Instances!N138),"max", MAX(Instances!N138:Instances!N138),"diff", MAX(Instances!N138:Instances!N138)-MIN(Instances!N138:Instances!N138))</f>
        <v>0</v>
      </c>
      <c r="O138" s="1"/>
      <c r="P138" s="1" cm="1">
        <f t="array" ref="P138">_xlfn.SWITCH($A$2,"average", AVERAGE(Instances!P138:Instances!P138),"median", MEDIAN(Instances!P138:Instances!P138),"min", MIN(Instances!P138:Instances!P138),"max", MAX(Instances!P138:Instances!P138),"diff", MAX(Instances!P138:Instances!P138)-MIN(Instances!P138:Instances!P138))</f>
        <v>0</v>
      </c>
      <c r="Q138" s="1" cm="1">
        <f t="array" ref="Q138">_xlfn.SWITCH($A$2,"average", AVERAGE(Instances!Q138:Instances!Q138),"median", MEDIAN(Instances!Q138:Instances!Q138),"min", MIN(Instances!Q138:Instances!Q138),"max", MAX(Instances!Q138:Instances!Q138),"diff", MAX(Instances!Q138:Instances!Q138)-MIN(Instances!Q138:Instances!Q138))</f>
        <v>0</v>
      </c>
      <c r="R138" s="1" cm="1">
        <f t="array" ref="R138">_xlfn.SWITCH($A$2,"average", AVERAGE(Instances!R138:Instances!R138),"median", MEDIAN(Instances!R138:Instances!R138),"min", MIN(Instances!R138:Instances!R138),"max", MAX(Instances!R138:Instances!R138),"diff", MAX(Instances!R138:Instances!R138)-MIN(Instances!R138:Instances!R138))</f>
        <v>0</v>
      </c>
      <c r="S138" s="1">
        <f>MIN($B138)</f>
        <v>0</v>
      </c>
      <c r="T138" s="1">
        <f>MIN($C138)</f>
        <v>0</v>
      </c>
      <c r="U138" s="1">
        <f>MIN($D138)</f>
        <v>0</v>
      </c>
      <c r="V138" s="1">
        <f>MIN($E138)</f>
        <v>0</v>
      </c>
      <c r="W138" s="1">
        <f>MIN($F138)</f>
        <v>0</v>
      </c>
      <c r="X138" s="1">
        <f>MIN($G138)</f>
        <v>0</v>
      </c>
      <c r="Y138" s="1">
        <f>MIN($H138)</f>
        <v>0</v>
      </c>
      <c r="Z138" s="1">
        <f>MIN($I138)</f>
        <v>0</v>
      </c>
      <c r="AA138" s="1">
        <f>MIN($J138)</f>
        <v>0</v>
      </c>
      <c r="AB138" s="1">
        <f>MIN($K138)</f>
        <v>0</v>
      </c>
      <c r="AC138" s="1">
        <f>MIN($M138)</f>
        <v>0</v>
      </c>
      <c r="AD138" s="1">
        <f>MIN($N138)</f>
        <v>0</v>
      </c>
      <c r="AE138" s="1">
        <f>MIN($P138)</f>
        <v>0</v>
      </c>
      <c r="AF138" s="1">
        <f>MIN($Q138)</f>
        <v>0</v>
      </c>
      <c r="AG138" s="1">
        <f>MIN($R138)</f>
        <v>0</v>
      </c>
      <c r="AH138" s="1">
        <f>MEDIAN($B138)</f>
        <v>0</v>
      </c>
      <c r="AI138" s="1">
        <f>MEDIAN($C138)</f>
        <v>0</v>
      </c>
      <c r="AJ138" s="1">
        <f>MEDIAN($D138)</f>
        <v>0</v>
      </c>
      <c r="AK138" s="1">
        <f>MEDIAN($E138)</f>
        <v>0</v>
      </c>
      <c r="AL138" s="1">
        <f>MEDIAN($F138)</f>
        <v>0</v>
      </c>
      <c r="AM138" s="1">
        <f>MEDIAN($G138)</f>
        <v>0</v>
      </c>
      <c r="AN138" s="1">
        <f>MEDIAN($H138)</f>
        <v>0</v>
      </c>
      <c r="AO138" s="1">
        <f>MEDIAN($I138)</f>
        <v>0</v>
      </c>
      <c r="AP138" s="1">
        <f>MEDIAN($J138)</f>
        <v>0</v>
      </c>
      <c r="AQ138" s="1">
        <f>MEDIAN($K138)</f>
        <v>0</v>
      </c>
      <c r="AR138" s="1">
        <f>MEDIAN($M138)</f>
        <v>0</v>
      </c>
      <c r="AS138" s="1">
        <f>MEDIAN($N138)</f>
        <v>0</v>
      </c>
      <c r="AT138" s="1">
        <f>MEDIAN($P138)</f>
        <v>0</v>
      </c>
      <c r="AU138" s="1">
        <f>MEDIAN($Q138)</f>
        <v>0</v>
      </c>
      <c r="AV138" s="1">
        <f>MEDIAN($R138)</f>
        <v>0</v>
      </c>
      <c r="AW138" s="1">
        <f>MAX($B138)</f>
        <v>0</v>
      </c>
      <c r="AX138" s="1">
        <f>MAX($C138)</f>
        <v>0</v>
      </c>
      <c r="AY138" s="1">
        <f>MAX($D138)</f>
        <v>0</v>
      </c>
      <c r="AZ138" s="1">
        <f>MAX($E138)</f>
        <v>0</v>
      </c>
      <c r="BA138" s="1">
        <f>MAX($F138)</f>
        <v>0</v>
      </c>
      <c r="BB138" s="1">
        <f>MAX($G138)</f>
        <v>0</v>
      </c>
      <c r="BC138" s="1">
        <f>MAX($H138)</f>
        <v>0</v>
      </c>
      <c r="BD138" s="1">
        <f>MAX($I138)</f>
        <v>0</v>
      </c>
      <c r="BE138" s="1">
        <f>MAX($J138)</f>
        <v>0</v>
      </c>
      <c r="BF138" s="1">
        <f>MAX($K138)</f>
        <v>0</v>
      </c>
      <c r="BG138" s="1">
        <f>MAX($M138)</f>
        <v>0</v>
      </c>
      <c r="BH138" s="1">
        <f>MAX($N138)</f>
        <v>0</v>
      </c>
      <c r="BI138" s="1">
        <f>MAX($P138)</f>
        <v>0</v>
      </c>
      <c r="BJ138" s="1">
        <f>MAX($Q138)</f>
        <v>0</v>
      </c>
      <c r="BK138" s="1">
        <f>MAX($R138)</f>
        <v>0</v>
      </c>
    </row>
    <row r="139" spans="1:63">
      <c r="A139" s="1" t="s">
        <v>136</v>
      </c>
      <c r="B139" s="1" cm="1">
        <f t="array" ref="B139">_xlfn.SWITCH($A$2,"average", AVERAGE(Instances!B139:Instances!B139),"median", MEDIAN(Instances!B139:Instances!B139),"min", MIN(Instances!B139:Instances!B139),"max", MAX(Instances!B139:Instances!B139),"diff", MAX(Instances!B139:Instances!B139)-MIN(Instances!B139:Instances!B139))</f>
        <v>0</v>
      </c>
      <c r="C139" s="1" cm="1">
        <f t="array" ref="C139">_xlfn.SWITCH($A$2,"average", AVERAGE(Instances!C139:Instances!C139),"median", MEDIAN(Instances!C139:Instances!C139),"min", MIN(Instances!C139:Instances!C139),"max", MAX(Instances!C139:Instances!C139),"diff", MAX(Instances!C139:Instances!C139)-MIN(Instances!C139:Instances!C139))</f>
        <v>0</v>
      </c>
      <c r="D139" s="1" cm="1">
        <f t="array" ref="D139">_xlfn.SWITCH($A$2,"average", AVERAGE(Instances!D139:Instances!D139),"median", MEDIAN(Instances!D139:Instances!D139),"min", MIN(Instances!D139:Instances!D139),"max", MAX(Instances!D139:Instances!D139),"diff", MAX(Instances!D139:Instances!D139)-MIN(Instances!D139:Instances!D139))</f>
        <v>0</v>
      </c>
      <c r="E139" s="1" cm="1">
        <f t="array" ref="E139">_xlfn.SWITCH($A$2,"average", AVERAGE(Instances!E139:Instances!E139),"median", MEDIAN(Instances!E139:Instances!E139),"min", MIN(Instances!E139:Instances!E139),"max", MAX(Instances!E139:Instances!E139),"diff", MAX(Instances!E139:Instances!E139)-MIN(Instances!E139:Instances!E139))</f>
        <v>0</v>
      </c>
      <c r="F139" s="1" cm="1">
        <f t="array" ref="F139">_xlfn.SWITCH($A$2,"average", AVERAGE(Instances!F139:Instances!F139),"median", MEDIAN(Instances!F139:Instances!F139),"min", MIN(Instances!F139:Instances!F139),"max", MAX(Instances!F139:Instances!F139),"diff", MAX(Instances!F139:Instances!F139)-MIN(Instances!F139:Instances!F139))</f>
        <v>0</v>
      </c>
      <c r="G139" s="1" cm="1">
        <f t="array" ref="G139">_xlfn.SWITCH($A$2,"average", AVERAGE(Instances!G139:Instances!G139),"median", MEDIAN(Instances!G139:Instances!G139),"min", MIN(Instances!G139:Instances!G139),"max", MAX(Instances!G139:Instances!G139),"diff", MAX(Instances!G139:Instances!G139)-MIN(Instances!G139:Instances!G139))</f>
        <v>0</v>
      </c>
      <c r="H139" s="1" cm="1">
        <f t="array" ref="H139">_xlfn.SWITCH($A$2,"average", AVERAGE(Instances!H139:Instances!H139),"median", MEDIAN(Instances!H139:Instances!H139),"min", MIN(Instances!H139:Instances!H139),"max", MAX(Instances!H139:Instances!H139),"diff", MAX(Instances!H139:Instances!H139)-MIN(Instances!H139:Instances!H139))</f>
        <v>0</v>
      </c>
      <c r="I139" s="1" cm="1">
        <f t="array" ref="I139">_xlfn.SWITCH($A$2,"average", AVERAGE(Instances!I139:Instances!I139),"median", MEDIAN(Instances!I139:Instances!I139),"min", MIN(Instances!I139:Instances!I139),"max", MAX(Instances!I139:Instances!I139),"diff", MAX(Instances!I139:Instances!I139)-MIN(Instances!I139:Instances!I139))</f>
        <v>0</v>
      </c>
      <c r="J139" s="1" cm="1">
        <f t="array" ref="J139">_xlfn.SWITCH($A$2,"average", AVERAGE(Instances!J139:Instances!J139),"median", MEDIAN(Instances!J139:Instances!J139),"min", MIN(Instances!J139:Instances!J139),"max", MAX(Instances!J139:Instances!J139),"diff", MAX(Instances!J139:Instances!J139)-MIN(Instances!J139:Instances!J139))</f>
        <v>0</v>
      </c>
      <c r="K139" s="1" cm="1">
        <f t="array" ref="K139">_xlfn.SWITCH($A$2,"average", AVERAGE(Instances!K139:Instances!K139),"median", MEDIAN(Instances!K139:Instances!K139),"min", MIN(Instances!K139:Instances!K139),"max", MAX(Instances!K139:Instances!K139),"diff", MAX(Instances!K139:Instances!K139)-MIN(Instances!K139:Instances!K139))</f>
        <v>0</v>
      </c>
      <c r="L139" s="1"/>
      <c r="M139" s="1" cm="1">
        <f t="array" ref="M139">_xlfn.SWITCH($A$2,"average", AVERAGE(Instances!M139:Instances!M139),"median", MEDIAN(Instances!M139:Instances!M139),"min", MIN(Instances!M139:Instances!M139),"max", MAX(Instances!M139:Instances!M139),"diff", MAX(Instances!M139:Instances!M139)-MIN(Instances!M139:Instances!M139))</f>
        <v>0</v>
      </c>
      <c r="N139" s="1" cm="1">
        <f t="array" ref="N139">_xlfn.SWITCH($A$2,"average", AVERAGE(Instances!N139:Instances!N139),"median", MEDIAN(Instances!N139:Instances!N139),"min", MIN(Instances!N139:Instances!N139),"max", MAX(Instances!N139:Instances!N139),"diff", MAX(Instances!N139:Instances!N139)-MIN(Instances!N139:Instances!N139))</f>
        <v>0</v>
      </c>
      <c r="O139" s="1"/>
      <c r="P139" s="1" cm="1">
        <f t="array" ref="P139">_xlfn.SWITCH($A$2,"average", AVERAGE(Instances!P139:Instances!P139),"median", MEDIAN(Instances!P139:Instances!P139),"min", MIN(Instances!P139:Instances!P139),"max", MAX(Instances!P139:Instances!P139),"diff", MAX(Instances!P139:Instances!P139)-MIN(Instances!P139:Instances!P139))</f>
        <v>0</v>
      </c>
      <c r="Q139" s="1" cm="1">
        <f t="array" ref="Q139">_xlfn.SWITCH($A$2,"average", AVERAGE(Instances!Q139:Instances!Q139),"median", MEDIAN(Instances!Q139:Instances!Q139),"min", MIN(Instances!Q139:Instances!Q139),"max", MAX(Instances!Q139:Instances!Q139),"diff", MAX(Instances!Q139:Instances!Q139)-MIN(Instances!Q139:Instances!Q139))</f>
        <v>0</v>
      </c>
      <c r="R139" s="1" cm="1">
        <f t="array" ref="R139">_xlfn.SWITCH($A$2,"average", AVERAGE(Instances!R139:Instances!R139),"median", MEDIAN(Instances!R139:Instances!R139),"min", MIN(Instances!R139:Instances!R139),"max", MAX(Instances!R139:Instances!R139),"diff", MAX(Instances!R139:Instances!R139)-MIN(Instances!R139:Instances!R139))</f>
        <v>0</v>
      </c>
      <c r="S139" s="1">
        <f>MIN($B139)</f>
        <v>0</v>
      </c>
      <c r="T139" s="1">
        <f>MIN($C139)</f>
        <v>0</v>
      </c>
      <c r="U139" s="1">
        <f>MIN($D139)</f>
        <v>0</v>
      </c>
      <c r="V139" s="1">
        <f>MIN($E139)</f>
        <v>0</v>
      </c>
      <c r="W139" s="1">
        <f>MIN($F139)</f>
        <v>0</v>
      </c>
      <c r="X139" s="1">
        <f>MIN($G139)</f>
        <v>0</v>
      </c>
      <c r="Y139" s="1">
        <f>MIN($H139)</f>
        <v>0</v>
      </c>
      <c r="Z139" s="1">
        <f>MIN($I139)</f>
        <v>0</v>
      </c>
      <c r="AA139" s="1">
        <f>MIN($J139)</f>
        <v>0</v>
      </c>
      <c r="AB139" s="1">
        <f>MIN($K139)</f>
        <v>0</v>
      </c>
      <c r="AC139" s="1">
        <f>MIN($M139)</f>
        <v>0</v>
      </c>
      <c r="AD139" s="1">
        <f>MIN($N139)</f>
        <v>0</v>
      </c>
      <c r="AE139" s="1">
        <f>MIN($P139)</f>
        <v>0</v>
      </c>
      <c r="AF139" s="1">
        <f>MIN($Q139)</f>
        <v>0</v>
      </c>
      <c r="AG139" s="1">
        <f>MIN($R139)</f>
        <v>0</v>
      </c>
      <c r="AH139" s="1">
        <f>MEDIAN($B139)</f>
        <v>0</v>
      </c>
      <c r="AI139" s="1">
        <f>MEDIAN($C139)</f>
        <v>0</v>
      </c>
      <c r="AJ139" s="1">
        <f>MEDIAN($D139)</f>
        <v>0</v>
      </c>
      <c r="AK139" s="1">
        <f>MEDIAN($E139)</f>
        <v>0</v>
      </c>
      <c r="AL139" s="1">
        <f>MEDIAN($F139)</f>
        <v>0</v>
      </c>
      <c r="AM139" s="1">
        <f>MEDIAN($G139)</f>
        <v>0</v>
      </c>
      <c r="AN139" s="1">
        <f>MEDIAN($H139)</f>
        <v>0</v>
      </c>
      <c r="AO139" s="1">
        <f>MEDIAN($I139)</f>
        <v>0</v>
      </c>
      <c r="AP139" s="1">
        <f>MEDIAN($J139)</f>
        <v>0</v>
      </c>
      <c r="AQ139" s="1">
        <f>MEDIAN($K139)</f>
        <v>0</v>
      </c>
      <c r="AR139" s="1">
        <f>MEDIAN($M139)</f>
        <v>0</v>
      </c>
      <c r="AS139" s="1">
        <f>MEDIAN($N139)</f>
        <v>0</v>
      </c>
      <c r="AT139" s="1">
        <f>MEDIAN($P139)</f>
        <v>0</v>
      </c>
      <c r="AU139" s="1">
        <f>MEDIAN($Q139)</f>
        <v>0</v>
      </c>
      <c r="AV139" s="1">
        <f>MEDIAN($R139)</f>
        <v>0</v>
      </c>
      <c r="AW139" s="1">
        <f>MAX($B139)</f>
        <v>0</v>
      </c>
      <c r="AX139" s="1">
        <f>MAX($C139)</f>
        <v>0</v>
      </c>
      <c r="AY139" s="1">
        <f>MAX($D139)</f>
        <v>0</v>
      </c>
      <c r="AZ139" s="1">
        <f>MAX($E139)</f>
        <v>0</v>
      </c>
      <c r="BA139" s="1">
        <f>MAX($F139)</f>
        <v>0</v>
      </c>
      <c r="BB139" s="1">
        <f>MAX($G139)</f>
        <v>0</v>
      </c>
      <c r="BC139" s="1">
        <f>MAX($H139)</f>
        <v>0</v>
      </c>
      <c r="BD139" s="1">
        <f>MAX($I139)</f>
        <v>0</v>
      </c>
      <c r="BE139" s="1">
        <f>MAX($J139)</f>
        <v>0</v>
      </c>
      <c r="BF139" s="1">
        <f>MAX($K139)</f>
        <v>0</v>
      </c>
      <c r="BG139" s="1">
        <f>MAX($M139)</f>
        <v>0</v>
      </c>
      <c r="BH139" s="1">
        <f>MAX($N139)</f>
        <v>0</v>
      </c>
      <c r="BI139" s="1">
        <f>MAX($P139)</f>
        <v>0</v>
      </c>
      <c r="BJ139" s="1">
        <f>MAX($Q139)</f>
        <v>0</v>
      </c>
      <c r="BK139" s="1">
        <f>MAX($R139)</f>
        <v>0</v>
      </c>
    </row>
    <row r="140" spans="1:63">
      <c r="A140" s="1" t="s">
        <v>137</v>
      </c>
      <c r="B140" s="1" cm="1">
        <f t="array" ref="B140">_xlfn.SWITCH($A$2,"average", AVERAGE(Instances!B140:Instances!B140),"median", MEDIAN(Instances!B140:Instances!B140),"min", MIN(Instances!B140:Instances!B140),"max", MAX(Instances!B140:Instances!B140),"diff", MAX(Instances!B140:Instances!B140)-MIN(Instances!B140:Instances!B140))</f>
        <v>0</v>
      </c>
      <c r="C140" s="1" cm="1">
        <f t="array" ref="C140">_xlfn.SWITCH($A$2,"average", AVERAGE(Instances!C140:Instances!C140),"median", MEDIAN(Instances!C140:Instances!C140),"min", MIN(Instances!C140:Instances!C140),"max", MAX(Instances!C140:Instances!C140),"diff", MAX(Instances!C140:Instances!C140)-MIN(Instances!C140:Instances!C140))</f>
        <v>0</v>
      </c>
      <c r="D140" s="1" cm="1">
        <f t="array" ref="D140">_xlfn.SWITCH($A$2,"average", AVERAGE(Instances!D140:Instances!D140),"median", MEDIAN(Instances!D140:Instances!D140),"min", MIN(Instances!D140:Instances!D140),"max", MAX(Instances!D140:Instances!D140),"diff", MAX(Instances!D140:Instances!D140)-MIN(Instances!D140:Instances!D140))</f>
        <v>0</v>
      </c>
      <c r="E140" s="1" cm="1">
        <f t="array" ref="E140">_xlfn.SWITCH($A$2,"average", AVERAGE(Instances!E140:Instances!E140),"median", MEDIAN(Instances!E140:Instances!E140),"min", MIN(Instances!E140:Instances!E140),"max", MAX(Instances!E140:Instances!E140),"diff", MAX(Instances!E140:Instances!E140)-MIN(Instances!E140:Instances!E140))</f>
        <v>0</v>
      </c>
      <c r="F140" s="1" cm="1">
        <f t="array" ref="F140">_xlfn.SWITCH($A$2,"average", AVERAGE(Instances!F140:Instances!F140),"median", MEDIAN(Instances!F140:Instances!F140),"min", MIN(Instances!F140:Instances!F140),"max", MAX(Instances!F140:Instances!F140),"diff", MAX(Instances!F140:Instances!F140)-MIN(Instances!F140:Instances!F140))</f>
        <v>0</v>
      </c>
      <c r="G140" s="1" cm="1">
        <f t="array" ref="G140">_xlfn.SWITCH($A$2,"average", AVERAGE(Instances!G140:Instances!G140),"median", MEDIAN(Instances!G140:Instances!G140),"min", MIN(Instances!G140:Instances!G140),"max", MAX(Instances!G140:Instances!G140),"diff", MAX(Instances!G140:Instances!G140)-MIN(Instances!G140:Instances!G140))</f>
        <v>0</v>
      </c>
      <c r="H140" s="1" cm="1">
        <f t="array" ref="H140">_xlfn.SWITCH($A$2,"average", AVERAGE(Instances!H140:Instances!H140),"median", MEDIAN(Instances!H140:Instances!H140),"min", MIN(Instances!H140:Instances!H140),"max", MAX(Instances!H140:Instances!H140),"diff", MAX(Instances!H140:Instances!H140)-MIN(Instances!H140:Instances!H140))</f>
        <v>0</v>
      </c>
      <c r="I140" s="1" cm="1">
        <f t="array" ref="I140">_xlfn.SWITCH($A$2,"average", AVERAGE(Instances!I140:Instances!I140),"median", MEDIAN(Instances!I140:Instances!I140),"min", MIN(Instances!I140:Instances!I140),"max", MAX(Instances!I140:Instances!I140),"diff", MAX(Instances!I140:Instances!I140)-MIN(Instances!I140:Instances!I140))</f>
        <v>0</v>
      </c>
      <c r="J140" s="1" cm="1">
        <f t="array" ref="J140">_xlfn.SWITCH($A$2,"average", AVERAGE(Instances!J140:Instances!J140),"median", MEDIAN(Instances!J140:Instances!J140),"min", MIN(Instances!J140:Instances!J140),"max", MAX(Instances!J140:Instances!J140),"diff", MAX(Instances!J140:Instances!J140)-MIN(Instances!J140:Instances!J140))</f>
        <v>0</v>
      </c>
      <c r="K140" s="1" cm="1">
        <f t="array" ref="K140">_xlfn.SWITCH($A$2,"average", AVERAGE(Instances!K140:Instances!K140),"median", MEDIAN(Instances!K140:Instances!K140),"min", MIN(Instances!K140:Instances!K140),"max", MAX(Instances!K140:Instances!K140),"diff", MAX(Instances!K140:Instances!K140)-MIN(Instances!K140:Instances!K140))</f>
        <v>0</v>
      </c>
      <c r="L140" s="1"/>
      <c r="M140" s="1" cm="1">
        <f t="array" ref="M140">_xlfn.SWITCH($A$2,"average", AVERAGE(Instances!M140:Instances!M140),"median", MEDIAN(Instances!M140:Instances!M140),"min", MIN(Instances!M140:Instances!M140),"max", MAX(Instances!M140:Instances!M140),"diff", MAX(Instances!M140:Instances!M140)-MIN(Instances!M140:Instances!M140))</f>
        <v>0</v>
      </c>
      <c r="N140" s="1" cm="1">
        <f t="array" ref="N140">_xlfn.SWITCH($A$2,"average", AVERAGE(Instances!N140:Instances!N140),"median", MEDIAN(Instances!N140:Instances!N140),"min", MIN(Instances!N140:Instances!N140),"max", MAX(Instances!N140:Instances!N140),"diff", MAX(Instances!N140:Instances!N140)-MIN(Instances!N140:Instances!N140))</f>
        <v>0</v>
      </c>
      <c r="O140" s="1"/>
      <c r="P140" s="1" cm="1">
        <f t="array" ref="P140">_xlfn.SWITCH($A$2,"average", AVERAGE(Instances!P140:Instances!P140),"median", MEDIAN(Instances!P140:Instances!P140),"min", MIN(Instances!P140:Instances!P140),"max", MAX(Instances!P140:Instances!P140),"diff", MAX(Instances!P140:Instances!P140)-MIN(Instances!P140:Instances!P140))</f>
        <v>0</v>
      </c>
      <c r="Q140" s="1" cm="1">
        <f t="array" ref="Q140">_xlfn.SWITCH($A$2,"average", AVERAGE(Instances!Q140:Instances!Q140),"median", MEDIAN(Instances!Q140:Instances!Q140),"min", MIN(Instances!Q140:Instances!Q140),"max", MAX(Instances!Q140:Instances!Q140),"diff", MAX(Instances!Q140:Instances!Q140)-MIN(Instances!Q140:Instances!Q140))</f>
        <v>0</v>
      </c>
      <c r="R140" s="1" cm="1">
        <f t="array" ref="R140">_xlfn.SWITCH($A$2,"average", AVERAGE(Instances!R140:Instances!R140),"median", MEDIAN(Instances!R140:Instances!R140),"min", MIN(Instances!R140:Instances!R140),"max", MAX(Instances!R140:Instances!R140),"diff", MAX(Instances!R140:Instances!R140)-MIN(Instances!R140:Instances!R140))</f>
        <v>0</v>
      </c>
      <c r="S140" s="1">
        <f>MIN($B140)</f>
        <v>0</v>
      </c>
      <c r="T140" s="1">
        <f>MIN($C140)</f>
        <v>0</v>
      </c>
      <c r="U140" s="1">
        <f>MIN($D140)</f>
        <v>0</v>
      </c>
      <c r="V140" s="1">
        <f>MIN($E140)</f>
        <v>0</v>
      </c>
      <c r="W140" s="1">
        <f>MIN($F140)</f>
        <v>0</v>
      </c>
      <c r="X140" s="1">
        <f>MIN($G140)</f>
        <v>0</v>
      </c>
      <c r="Y140" s="1">
        <f>MIN($H140)</f>
        <v>0</v>
      </c>
      <c r="Z140" s="1">
        <f>MIN($I140)</f>
        <v>0</v>
      </c>
      <c r="AA140" s="1">
        <f>MIN($J140)</f>
        <v>0</v>
      </c>
      <c r="AB140" s="1">
        <f>MIN($K140)</f>
        <v>0</v>
      </c>
      <c r="AC140" s="1">
        <f>MIN($M140)</f>
        <v>0</v>
      </c>
      <c r="AD140" s="1">
        <f>MIN($N140)</f>
        <v>0</v>
      </c>
      <c r="AE140" s="1">
        <f>MIN($P140)</f>
        <v>0</v>
      </c>
      <c r="AF140" s="1">
        <f>MIN($Q140)</f>
        <v>0</v>
      </c>
      <c r="AG140" s="1">
        <f>MIN($R140)</f>
        <v>0</v>
      </c>
      <c r="AH140" s="1">
        <f>MEDIAN($B140)</f>
        <v>0</v>
      </c>
      <c r="AI140" s="1">
        <f>MEDIAN($C140)</f>
        <v>0</v>
      </c>
      <c r="AJ140" s="1">
        <f>MEDIAN($D140)</f>
        <v>0</v>
      </c>
      <c r="AK140" s="1">
        <f>MEDIAN($E140)</f>
        <v>0</v>
      </c>
      <c r="AL140" s="1">
        <f>MEDIAN($F140)</f>
        <v>0</v>
      </c>
      <c r="AM140" s="1">
        <f>MEDIAN($G140)</f>
        <v>0</v>
      </c>
      <c r="AN140" s="1">
        <f>MEDIAN($H140)</f>
        <v>0</v>
      </c>
      <c r="AO140" s="1">
        <f>MEDIAN($I140)</f>
        <v>0</v>
      </c>
      <c r="AP140" s="1">
        <f>MEDIAN($J140)</f>
        <v>0</v>
      </c>
      <c r="AQ140" s="1">
        <f>MEDIAN($K140)</f>
        <v>0</v>
      </c>
      <c r="AR140" s="1">
        <f>MEDIAN($M140)</f>
        <v>0</v>
      </c>
      <c r="AS140" s="1">
        <f>MEDIAN($N140)</f>
        <v>0</v>
      </c>
      <c r="AT140" s="1">
        <f>MEDIAN($P140)</f>
        <v>0</v>
      </c>
      <c r="AU140" s="1">
        <f>MEDIAN($Q140)</f>
        <v>0</v>
      </c>
      <c r="AV140" s="1">
        <f>MEDIAN($R140)</f>
        <v>0</v>
      </c>
      <c r="AW140" s="1">
        <f>MAX($B140)</f>
        <v>0</v>
      </c>
      <c r="AX140" s="1">
        <f>MAX($C140)</f>
        <v>0</v>
      </c>
      <c r="AY140" s="1">
        <f>MAX($D140)</f>
        <v>0</v>
      </c>
      <c r="AZ140" s="1">
        <f>MAX($E140)</f>
        <v>0</v>
      </c>
      <c r="BA140" s="1">
        <f>MAX($F140)</f>
        <v>0</v>
      </c>
      <c r="BB140" s="1">
        <f>MAX($G140)</f>
        <v>0</v>
      </c>
      <c r="BC140" s="1">
        <f>MAX($H140)</f>
        <v>0</v>
      </c>
      <c r="BD140" s="1">
        <f>MAX($I140)</f>
        <v>0</v>
      </c>
      <c r="BE140" s="1">
        <f>MAX($J140)</f>
        <v>0</v>
      </c>
      <c r="BF140" s="1">
        <f>MAX($K140)</f>
        <v>0</v>
      </c>
      <c r="BG140" s="1">
        <f>MAX($M140)</f>
        <v>0</v>
      </c>
      <c r="BH140" s="1">
        <f>MAX($N140)</f>
        <v>0</v>
      </c>
      <c r="BI140" s="1">
        <f>MAX($P140)</f>
        <v>0</v>
      </c>
      <c r="BJ140" s="1">
        <f>MAX($Q140)</f>
        <v>0</v>
      </c>
      <c r="BK140" s="1">
        <f>MAX($R140)</f>
        <v>0</v>
      </c>
    </row>
    <row r="141" spans="1:63">
      <c r="A141" s="1" t="s">
        <v>138</v>
      </c>
      <c r="B141" s="1" cm="1">
        <f t="array" ref="B141">_xlfn.SWITCH($A$2,"average", AVERAGE(Instances!B141:Instances!B141),"median", MEDIAN(Instances!B141:Instances!B141),"min", MIN(Instances!B141:Instances!B141),"max", MAX(Instances!B141:Instances!B141),"diff", MAX(Instances!B141:Instances!B141)-MIN(Instances!B141:Instances!B141))</f>
        <v>0</v>
      </c>
      <c r="C141" s="1" cm="1">
        <f t="array" ref="C141">_xlfn.SWITCH($A$2,"average", AVERAGE(Instances!C141:Instances!C141),"median", MEDIAN(Instances!C141:Instances!C141),"min", MIN(Instances!C141:Instances!C141),"max", MAX(Instances!C141:Instances!C141),"diff", MAX(Instances!C141:Instances!C141)-MIN(Instances!C141:Instances!C141))</f>
        <v>0</v>
      </c>
      <c r="D141" s="1" cm="1">
        <f t="array" ref="D141">_xlfn.SWITCH($A$2,"average", AVERAGE(Instances!D141:Instances!D141),"median", MEDIAN(Instances!D141:Instances!D141),"min", MIN(Instances!D141:Instances!D141),"max", MAX(Instances!D141:Instances!D141),"diff", MAX(Instances!D141:Instances!D141)-MIN(Instances!D141:Instances!D141))</f>
        <v>0</v>
      </c>
      <c r="E141" s="1" cm="1">
        <f t="array" ref="E141">_xlfn.SWITCH($A$2,"average", AVERAGE(Instances!E141:Instances!E141),"median", MEDIAN(Instances!E141:Instances!E141),"min", MIN(Instances!E141:Instances!E141),"max", MAX(Instances!E141:Instances!E141),"diff", MAX(Instances!E141:Instances!E141)-MIN(Instances!E141:Instances!E141))</f>
        <v>0</v>
      </c>
      <c r="F141" s="1" cm="1">
        <f t="array" ref="F141">_xlfn.SWITCH($A$2,"average", AVERAGE(Instances!F141:Instances!F141),"median", MEDIAN(Instances!F141:Instances!F141),"min", MIN(Instances!F141:Instances!F141),"max", MAX(Instances!F141:Instances!F141),"diff", MAX(Instances!F141:Instances!F141)-MIN(Instances!F141:Instances!F141))</f>
        <v>0</v>
      </c>
      <c r="G141" s="1" cm="1">
        <f t="array" ref="G141">_xlfn.SWITCH($A$2,"average", AVERAGE(Instances!G141:Instances!G141),"median", MEDIAN(Instances!G141:Instances!G141),"min", MIN(Instances!G141:Instances!G141),"max", MAX(Instances!G141:Instances!G141),"diff", MAX(Instances!G141:Instances!G141)-MIN(Instances!G141:Instances!G141))</f>
        <v>0</v>
      </c>
      <c r="H141" s="1" cm="1">
        <f t="array" ref="H141">_xlfn.SWITCH($A$2,"average", AVERAGE(Instances!H141:Instances!H141),"median", MEDIAN(Instances!H141:Instances!H141),"min", MIN(Instances!H141:Instances!H141),"max", MAX(Instances!H141:Instances!H141),"diff", MAX(Instances!H141:Instances!H141)-MIN(Instances!H141:Instances!H141))</f>
        <v>0</v>
      </c>
      <c r="I141" s="1" cm="1">
        <f t="array" ref="I141">_xlfn.SWITCH($A$2,"average", AVERAGE(Instances!I141:Instances!I141),"median", MEDIAN(Instances!I141:Instances!I141),"min", MIN(Instances!I141:Instances!I141),"max", MAX(Instances!I141:Instances!I141),"diff", MAX(Instances!I141:Instances!I141)-MIN(Instances!I141:Instances!I141))</f>
        <v>0</v>
      </c>
      <c r="J141" s="1" cm="1">
        <f t="array" ref="J141">_xlfn.SWITCH($A$2,"average", AVERAGE(Instances!J141:Instances!J141),"median", MEDIAN(Instances!J141:Instances!J141),"min", MIN(Instances!J141:Instances!J141),"max", MAX(Instances!J141:Instances!J141),"diff", MAX(Instances!J141:Instances!J141)-MIN(Instances!J141:Instances!J141))</f>
        <v>0</v>
      </c>
      <c r="K141" s="1" cm="1">
        <f t="array" ref="K141">_xlfn.SWITCH($A$2,"average", AVERAGE(Instances!K141:Instances!K141),"median", MEDIAN(Instances!K141:Instances!K141),"min", MIN(Instances!K141:Instances!K141),"max", MAX(Instances!K141:Instances!K141),"diff", MAX(Instances!K141:Instances!K141)-MIN(Instances!K141:Instances!K141))</f>
        <v>0</v>
      </c>
      <c r="L141" s="1"/>
      <c r="M141" s="1" cm="1">
        <f t="array" ref="M141">_xlfn.SWITCH($A$2,"average", AVERAGE(Instances!M141:Instances!M141),"median", MEDIAN(Instances!M141:Instances!M141),"min", MIN(Instances!M141:Instances!M141),"max", MAX(Instances!M141:Instances!M141),"diff", MAX(Instances!M141:Instances!M141)-MIN(Instances!M141:Instances!M141))</f>
        <v>0</v>
      </c>
      <c r="N141" s="1" cm="1">
        <f t="array" ref="N141">_xlfn.SWITCH($A$2,"average", AVERAGE(Instances!N141:Instances!N141),"median", MEDIAN(Instances!N141:Instances!N141),"min", MIN(Instances!N141:Instances!N141),"max", MAX(Instances!N141:Instances!N141),"diff", MAX(Instances!N141:Instances!N141)-MIN(Instances!N141:Instances!N141))</f>
        <v>0</v>
      </c>
      <c r="O141" s="1"/>
      <c r="P141" s="1" cm="1">
        <f t="array" ref="P141">_xlfn.SWITCH($A$2,"average", AVERAGE(Instances!P141:Instances!P141),"median", MEDIAN(Instances!P141:Instances!P141),"min", MIN(Instances!P141:Instances!P141),"max", MAX(Instances!P141:Instances!P141),"diff", MAX(Instances!P141:Instances!P141)-MIN(Instances!P141:Instances!P141))</f>
        <v>0</v>
      </c>
      <c r="Q141" s="1" cm="1">
        <f t="array" ref="Q141">_xlfn.SWITCH($A$2,"average", AVERAGE(Instances!Q141:Instances!Q141),"median", MEDIAN(Instances!Q141:Instances!Q141),"min", MIN(Instances!Q141:Instances!Q141),"max", MAX(Instances!Q141:Instances!Q141),"diff", MAX(Instances!Q141:Instances!Q141)-MIN(Instances!Q141:Instances!Q141))</f>
        <v>0</v>
      </c>
      <c r="R141" s="1" cm="1">
        <f t="array" ref="R141">_xlfn.SWITCH($A$2,"average", AVERAGE(Instances!R141:Instances!R141),"median", MEDIAN(Instances!R141:Instances!R141),"min", MIN(Instances!R141:Instances!R141),"max", MAX(Instances!R141:Instances!R141),"diff", MAX(Instances!R141:Instances!R141)-MIN(Instances!R141:Instances!R141))</f>
        <v>0</v>
      </c>
      <c r="S141" s="1">
        <f>MIN($B141)</f>
        <v>0</v>
      </c>
      <c r="T141" s="1">
        <f>MIN($C141)</f>
        <v>0</v>
      </c>
      <c r="U141" s="1">
        <f>MIN($D141)</f>
        <v>0</v>
      </c>
      <c r="V141" s="1">
        <f>MIN($E141)</f>
        <v>0</v>
      </c>
      <c r="W141" s="1">
        <f>MIN($F141)</f>
        <v>0</v>
      </c>
      <c r="X141" s="1">
        <f>MIN($G141)</f>
        <v>0</v>
      </c>
      <c r="Y141" s="1">
        <f>MIN($H141)</f>
        <v>0</v>
      </c>
      <c r="Z141" s="1">
        <f>MIN($I141)</f>
        <v>0</v>
      </c>
      <c r="AA141" s="1">
        <f>MIN($J141)</f>
        <v>0</v>
      </c>
      <c r="AB141" s="1">
        <f>MIN($K141)</f>
        <v>0</v>
      </c>
      <c r="AC141" s="1">
        <f>MIN($M141)</f>
        <v>0</v>
      </c>
      <c r="AD141" s="1">
        <f>MIN($N141)</f>
        <v>0</v>
      </c>
      <c r="AE141" s="1">
        <f>MIN($P141)</f>
        <v>0</v>
      </c>
      <c r="AF141" s="1">
        <f>MIN($Q141)</f>
        <v>0</v>
      </c>
      <c r="AG141" s="1">
        <f>MIN($R141)</f>
        <v>0</v>
      </c>
      <c r="AH141" s="1">
        <f>MEDIAN($B141)</f>
        <v>0</v>
      </c>
      <c r="AI141" s="1">
        <f>MEDIAN($C141)</f>
        <v>0</v>
      </c>
      <c r="AJ141" s="1">
        <f>MEDIAN($D141)</f>
        <v>0</v>
      </c>
      <c r="AK141" s="1">
        <f>MEDIAN($E141)</f>
        <v>0</v>
      </c>
      <c r="AL141" s="1">
        <f>MEDIAN($F141)</f>
        <v>0</v>
      </c>
      <c r="AM141" s="1">
        <f>MEDIAN($G141)</f>
        <v>0</v>
      </c>
      <c r="AN141" s="1">
        <f>MEDIAN($H141)</f>
        <v>0</v>
      </c>
      <c r="AO141" s="1">
        <f>MEDIAN($I141)</f>
        <v>0</v>
      </c>
      <c r="AP141" s="1">
        <f>MEDIAN($J141)</f>
        <v>0</v>
      </c>
      <c r="AQ141" s="1">
        <f>MEDIAN($K141)</f>
        <v>0</v>
      </c>
      <c r="AR141" s="1">
        <f>MEDIAN($M141)</f>
        <v>0</v>
      </c>
      <c r="AS141" s="1">
        <f>MEDIAN($N141)</f>
        <v>0</v>
      </c>
      <c r="AT141" s="1">
        <f>MEDIAN($P141)</f>
        <v>0</v>
      </c>
      <c r="AU141" s="1">
        <f>MEDIAN($Q141)</f>
        <v>0</v>
      </c>
      <c r="AV141" s="1">
        <f>MEDIAN($R141)</f>
        <v>0</v>
      </c>
      <c r="AW141" s="1">
        <f>MAX($B141)</f>
        <v>0</v>
      </c>
      <c r="AX141" s="1">
        <f>MAX($C141)</f>
        <v>0</v>
      </c>
      <c r="AY141" s="1">
        <f>MAX($D141)</f>
        <v>0</v>
      </c>
      <c r="AZ141" s="1">
        <f>MAX($E141)</f>
        <v>0</v>
      </c>
      <c r="BA141" s="1">
        <f>MAX($F141)</f>
        <v>0</v>
      </c>
      <c r="BB141" s="1">
        <f>MAX($G141)</f>
        <v>0</v>
      </c>
      <c r="BC141" s="1">
        <f>MAX($H141)</f>
        <v>0</v>
      </c>
      <c r="BD141" s="1">
        <f>MAX($I141)</f>
        <v>0</v>
      </c>
      <c r="BE141" s="1">
        <f>MAX($J141)</f>
        <v>0</v>
      </c>
      <c r="BF141" s="1">
        <f>MAX($K141)</f>
        <v>0</v>
      </c>
      <c r="BG141" s="1">
        <f>MAX($M141)</f>
        <v>0</v>
      </c>
      <c r="BH141" s="1">
        <f>MAX($N141)</f>
        <v>0</v>
      </c>
      <c r="BI141" s="1">
        <f>MAX($P141)</f>
        <v>0</v>
      </c>
      <c r="BJ141" s="1">
        <f>MAX($Q141)</f>
        <v>0</v>
      </c>
      <c r="BK141" s="1">
        <f>MAX($R141)</f>
        <v>0</v>
      </c>
    </row>
    <row r="142" spans="1:63">
      <c r="A142" s="1" t="s">
        <v>139</v>
      </c>
      <c r="B142" s="1" cm="1">
        <f t="array" ref="B142">_xlfn.SWITCH($A$2,"average", AVERAGE(Instances!B142:Instances!B142),"median", MEDIAN(Instances!B142:Instances!B142),"min", MIN(Instances!B142:Instances!B142),"max", MAX(Instances!B142:Instances!B142),"diff", MAX(Instances!B142:Instances!B142)-MIN(Instances!B142:Instances!B142))</f>
        <v>0</v>
      </c>
      <c r="C142" s="1" cm="1">
        <f t="array" ref="C142">_xlfn.SWITCH($A$2,"average", AVERAGE(Instances!C142:Instances!C142),"median", MEDIAN(Instances!C142:Instances!C142),"min", MIN(Instances!C142:Instances!C142),"max", MAX(Instances!C142:Instances!C142),"diff", MAX(Instances!C142:Instances!C142)-MIN(Instances!C142:Instances!C142))</f>
        <v>0</v>
      </c>
      <c r="D142" s="1" cm="1">
        <f t="array" ref="D142">_xlfn.SWITCH($A$2,"average", AVERAGE(Instances!D142:Instances!D142),"median", MEDIAN(Instances!D142:Instances!D142),"min", MIN(Instances!D142:Instances!D142),"max", MAX(Instances!D142:Instances!D142),"diff", MAX(Instances!D142:Instances!D142)-MIN(Instances!D142:Instances!D142))</f>
        <v>0</v>
      </c>
      <c r="E142" s="1" cm="1">
        <f t="array" ref="E142">_xlfn.SWITCH($A$2,"average", AVERAGE(Instances!E142:Instances!E142),"median", MEDIAN(Instances!E142:Instances!E142),"min", MIN(Instances!E142:Instances!E142),"max", MAX(Instances!E142:Instances!E142),"diff", MAX(Instances!E142:Instances!E142)-MIN(Instances!E142:Instances!E142))</f>
        <v>0</v>
      </c>
      <c r="F142" s="1" cm="1">
        <f t="array" ref="F142">_xlfn.SWITCH($A$2,"average", AVERAGE(Instances!F142:Instances!F142),"median", MEDIAN(Instances!F142:Instances!F142),"min", MIN(Instances!F142:Instances!F142),"max", MAX(Instances!F142:Instances!F142),"diff", MAX(Instances!F142:Instances!F142)-MIN(Instances!F142:Instances!F142))</f>
        <v>0</v>
      </c>
      <c r="G142" s="1" cm="1">
        <f t="array" ref="G142">_xlfn.SWITCH($A$2,"average", AVERAGE(Instances!G142:Instances!G142),"median", MEDIAN(Instances!G142:Instances!G142),"min", MIN(Instances!G142:Instances!G142),"max", MAX(Instances!G142:Instances!G142),"diff", MAX(Instances!G142:Instances!G142)-MIN(Instances!G142:Instances!G142))</f>
        <v>0</v>
      </c>
      <c r="H142" s="1" cm="1">
        <f t="array" ref="H142">_xlfn.SWITCH($A$2,"average", AVERAGE(Instances!H142:Instances!H142),"median", MEDIAN(Instances!H142:Instances!H142),"min", MIN(Instances!H142:Instances!H142),"max", MAX(Instances!H142:Instances!H142),"diff", MAX(Instances!H142:Instances!H142)-MIN(Instances!H142:Instances!H142))</f>
        <v>0</v>
      </c>
      <c r="I142" s="1" cm="1">
        <f t="array" ref="I142">_xlfn.SWITCH($A$2,"average", AVERAGE(Instances!I142:Instances!I142),"median", MEDIAN(Instances!I142:Instances!I142),"min", MIN(Instances!I142:Instances!I142),"max", MAX(Instances!I142:Instances!I142),"diff", MAX(Instances!I142:Instances!I142)-MIN(Instances!I142:Instances!I142))</f>
        <v>0</v>
      </c>
      <c r="J142" s="1" cm="1">
        <f t="array" ref="J142">_xlfn.SWITCH($A$2,"average", AVERAGE(Instances!J142:Instances!J142),"median", MEDIAN(Instances!J142:Instances!J142),"min", MIN(Instances!J142:Instances!J142),"max", MAX(Instances!J142:Instances!J142),"diff", MAX(Instances!J142:Instances!J142)-MIN(Instances!J142:Instances!J142))</f>
        <v>0</v>
      </c>
      <c r="K142" s="1" cm="1">
        <f t="array" ref="K142">_xlfn.SWITCH($A$2,"average", AVERAGE(Instances!K142:Instances!K142),"median", MEDIAN(Instances!K142:Instances!K142),"min", MIN(Instances!K142:Instances!K142),"max", MAX(Instances!K142:Instances!K142),"diff", MAX(Instances!K142:Instances!K142)-MIN(Instances!K142:Instances!K142))</f>
        <v>0</v>
      </c>
      <c r="L142" s="1"/>
      <c r="M142" s="1" cm="1">
        <f t="array" ref="M142">_xlfn.SWITCH($A$2,"average", AVERAGE(Instances!M142:Instances!M142),"median", MEDIAN(Instances!M142:Instances!M142),"min", MIN(Instances!M142:Instances!M142),"max", MAX(Instances!M142:Instances!M142),"diff", MAX(Instances!M142:Instances!M142)-MIN(Instances!M142:Instances!M142))</f>
        <v>0</v>
      </c>
      <c r="N142" s="1" cm="1">
        <f t="array" ref="N142">_xlfn.SWITCH($A$2,"average", AVERAGE(Instances!N142:Instances!N142),"median", MEDIAN(Instances!N142:Instances!N142),"min", MIN(Instances!N142:Instances!N142),"max", MAX(Instances!N142:Instances!N142),"diff", MAX(Instances!N142:Instances!N142)-MIN(Instances!N142:Instances!N142))</f>
        <v>0</v>
      </c>
      <c r="O142" s="1"/>
      <c r="P142" s="1" cm="1">
        <f t="array" ref="P142">_xlfn.SWITCH($A$2,"average", AVERAGE(Instances!P142:Instances!P142),"median", MEDIAN(Instances!P142:Instances!P142),"min", MIN(Instances!P142:Instances!P142),"max", MAX(Instances!P142:Instances!P142),"diff", MAX(Instances!P142:Instances!P142)-MIN(Instances!P142:Instances!P142))</f>
        <v>0</v>
      </c>
      <c r="Q142" s="1" cm="1">
        <f t="array" ref="Q142">_xlfn.SWITCH($A$2,"average", AVERAGE(Instances!Q142:Instances!Q142),"median", MEDIAN(Instances!Q142:Instances!Q142),"min", MIN(Instances!Q142:Instances!Q142),"max", MAX(Instances!Q142:Instances!Q142),"diff", MAX(Instances!Q142:Instances!Q142)-MIN(Instances!Q142:Instances!Q142))</f>
        <v>0</v>
      </c>
      <c r="R142" s="1" cm="1">
        <f t="array" ref="R142">_xlfn.SWITCH($A$2,"average", AVERAGE(Instances!R142:Instances!R142),"median", MEDIAN(Instances!R142:Instances!R142),"min", MIN(Instances!R142:Instances!R142),"max", MAX(Instances!R142:Instances!R142),"diff", MAX(Instances!R142:Instances!R142)-MIN(Instances!R142:Instances!R142))</f>
        <v>0</v>
      </c>
      <c r="S142" s="1">
        <f>MIN($B142)</f>
        <v>0</v>
      </c>
      <c r="T142" s="1">
        <f>MIN($C142)</f>
        <v>0</v>
      </c>
      <c r="U142" s="1">
        <f>MIN($D142)</f>
        <v>0</v>
      </c>
      <c r="V142" s="1">
        <f>MIN($E142)</f>
        <v>0</v>
      </c>
      <c r="W142" s="1">
        <f>MIN($F142)</f>
        <v>0</v>
      </c>
      <c r="X142" s="1">
        <f>MIN($G142)</f>
        <v>0</v>
      </c>
      <c r="Y142" s="1">
        <f>MIN($H142)</f>
        <v>0</v>
      </c>
      <c r="Z142" s="1">
        <f>MIN($I142)</f>
        <v>0</v>
      </c>
      <c r="AA142" s="1">
        <f>MIN($J142)</f>
        <v>0</v>
      </c>
      <c r="AB142" s="1">
        <f>MIN($K142)</f>
        <v>0</v>
      </c>
      <c r="AC142" s="1">
        <f>MIN($M142)</f>
        <v>0</v>
      </c>
      <c r="AD142" s="1">
        <f>MIN($N142)</f>
        <v>0</v>
      </c>
      <c r="AE142" s="1">
        <f>MIN($P142)</f>
        <v>0</v>
      </c>
      <c r="AF142" s="1">
        <f>MIN($Q142)</f>
        <v>0</v>
      </c>
      <c r="AG142" s="1">
        <f>MIN($R142)</f>
        <v>0</v>
      </c>
      <c r="AH142" s="1">
        <f>MEDIAN($B142)</f>
        <v>0</v>
      </c>
      <c r="AI142" s="1">
        <f>MEDIAN($C142)</f>
        <v>0</v>
      </c>
      <c r="AJ142" s="1">
        <f>MEDIAN($D142)</f>
        <v>0</v>
      </c>
      <c r="AK142" s="1">
        <f>MEDIAN($E142)</f>
        <v>0</v>
      </c>
      <c r="AL142" s="1">
        <f>MEDIAN($F142)</f>
        <v>0</v>
      </c>
      <c r="AM142" s="1">
        <f>MEDIAN($G142)</f>
        <v>0</v>
      </c>
      <c r="AN142" s="1">
        <f>MEDIAN($H142)</f>
        <v>0</v>
      </c>
      <c r="AO142" s="1">
        <f>MEDIAN($I142)</f>
        <v>0</v>
      </c>
      <c r="AP142" s="1">
        <f>MEDIAN($J142)</f>
        <v>0</v>
      </c>
      <c r="AQ142" s="1">
        <f>MEDIAN($K142)</f>
        <v>0</v>
      </c>
      <c r="AR142" s="1">
        <f>MEDIAN($M142)</f>
        <v>0</v>
      </c>
      <c r="AS142" s="1">
        <f>MEDIAN($N142)</f>
        <v>0</v>
      </c>
      <c r="AT142" s="1">
        <f>MEDIAN($P142)</f>
        <v>0</v>
      </c>
      <c r="AU142" s="1">
        <f>MEDIAN($Q142)</f>
        <v>0</v>
      </c>
      <c r="AV142" s="1">
        <f>MEDIAN($R142)</f>
        <v>0</v>
      </c>
      <c r="AW142" s="1">
        <f>MAX($B142)</f>
        <v>0</v>
      </c>
      <c r="AX142" s="1">
        <f>MAX($C142)</f>
        <v>0</v>
      </c>
      <c r="AY142" s="1">
        <f>MAX($D142)</f>
        <v>0</v>
      </c>
      <c r="AZ142" s="1">
        <f>MAX($E142)</f>
        <v>0</v>
      </c>
      <c r="BA142" s="1">
        <f>MAX($F142)</f>
        <v>0</v>
      </c>
      <c r="BB142" s="1">
        <f>MAX($G142)</f>
        <v>0</v>
      </c>
      <c r="BC142" s="1">
        <f>MAX($H142)</f>
        <v>0</v>
      </c>
      <c r="BD142" s="1">
        <f>MAX($I142)</f>
        <v>0</v>
      </c>
      <c r="BE142" s="1">
        <f>MAX($J142)</f>
        <v>0</v>
      </c>
      <c r="BF142" s="1">
        <f>MAX($K142)</f>
        <v>0</v>
      </c>
      <c r="BG142" s="1">
        <f>MAX($M142)</f>
        <v>0</v>
      </c>
      <c r="BH142" s="1">
        <f>MAX($N142)</f>
        <v>0</v>
      </c>
      <c r="BI142" s="1">
        <f>MAX($P142)</f>
        <v>0</v>
      </c>
      <c r="BJ142" s="1">
        <f>MAX($Q142)</f>
        <v>0</v>
      </c>
      <c r="BK142" s="1">
        <f>MAX($R142)</f>
        <v>0</v>
      </c>
    </row>
    <row r="143" spans="1:63">
      <c r="A143" s="1" t="s">
        <v>140</v>
      </c>
      <c r="B143" s="1" cm="1">
        <f t="array" ref="B143">_xlfn.SWITCH($A$2,"average", AVERAGE(Instances!B143:Instances!B143),"median", MEDIAN(Instances!B143:Instances!B143),"min", MIN(Instances!B143:Instances!B143),"max", MAX(Instances!B143:Instances!B143),"diff", MAX(Instances!B143:Instances!B143)-MIN(Instances!B143:Instances!B143))</f>
        <v>0</v>
      </c>
      <c r="C143" s="1" cm="1">
        <f t="array" ref="C143">_xlfn.SWITCH($A$2,"average", AVERAGE(Instances!C143:Instances!C143),"median", MEDIAN(Instances!C143:Instances!C143),"min", MIN(Instances!C143:Instances!C143),"max", MAX(Instances!C143:Instances!C143),"diff", MAX(Instances!C143:Instances!C143)-MIN(Instances!C143:Instances!C143))</f>
        <v>0</v>
      </c>
      <c r="D143" s="1" cm="1">
        <f t="array" ref="D143">_xlfn.SWITCH($A$2,"average", AVERAGE(Instances!D143:Instances!D143),"median", MEDIAN(Instances!D143:Instances!D143),"min", MIN(Instances!D143:Instances!D143),"max", MAX(Instances!D143:Instances!D143),"diff", MAX(Instances!D143:Instances!D143)-MIN(Instances!D143:Instances!D143))</f>
        <v>0</v>
      </c>
      <c r="E143" s="1" cm="1">
        <f t="array" ref="E143">_xlfn.SWITCH($A$2,"average", AVERAGE(Instances!E143:Instances!E143),"median", MEDIAN(Instances!E143:Instances!E143),"min", MIN(Instances!E143:Instances!E143),"max", MAX(Instances!E143:Instances!E143),"diff", MAX(Instances!E143:Instances!E143)-MIN(Instances!E143:Instances!E143))</f>
        <v>0</v>
      </c>
      <c r="F143" s="1" cm="1">
        <f t="array" ref="F143">_xlfn.SWITCH($A$2,"average", AVERAGE(Instances!F143:Instances!F143),"median", MEDIAN(Instances!F143:Instances!F143),"min", MIN(Instances!F143:Instances!F143),"max", MAX(Instances!F143:Instances!F143),"diff", MAX(Instances!F143:Instances!F143)-MIN(Instances!F143:Instances!F143))</f>
        <v>0</v>
      </c>
      <c r="G143" s="1" cm="1">
        <f t="array" ref="G143">_xlfn.SWITCH($A$2,"average", AVERAGE(Instances!G143:Instances!G143),"median", MEDIAN(Instances!G143:Instances!G143),"min", MIN(Instances!G143:Instances!G143),"max", MAX(Instances!G143:Instances!G143),"diff", MAX(Instances!G143:Instances!G143)-MIN(Instances!G143:Instances!G143))</f>
        <v>0</v>
      </c>
      <c r="H143" s="1" cm="1">
        <f t="array" ref="H143">_xlfn.SWITCH($A$2,"average", AVERAGE(Instances!H143:Instances!H143),"median", MEDIAN(Instances!H143:Instances!H143),"min", MIN(Instances!H143:Instances!H143),"max", MAX(Instances!H143:Instances!H143),"diff", MAX(Instances!H143:Instances!H143)-MIN(Instances!H143:Instances!H143))</f>
        <v>0</v>
      </c>
      <c r="I143" s="1" cm="1">
        <f t="array" ref="I143">_xlfn.SWITCH($A$2,"average", AVERAGE(Instances!I143:Instances!I143),"median", MEDIAN(Instances!I143:Instances!I143),"min", MIN(Instances!I143:Instances!I143),"max", MAX(Instances!I143:Instances!I143),"diff", MAX(Instances!I143:Instances!I143)-MIN(Instances!I143:Instances!I143))</f>
        <v>0</v>
      </c>
      <c r="J143" s="1" cm="1">
        <f t="array" ref="J143">_xlfn.SWITCH($A$2,"average", AVERAGE(Instances!J143:Instances!J143),"median", MEDIAN(Instances!J143:Instances!J143),"min", MIN(Instances!J143:Instances!J143),"max", MAX(Instances!J143:Instances!J143),"diff", MAX(Instances!J143:Instances!J143)-MIN(Instances!J143:Instances!J143))</f>
        <v>0</v>
      </c>
      <c r="K143" s="1" cm="1">
        <f t="array" ref="K143">_xlfn.SWITCH($A$2,"average", AVERAGE(Instances!K143:Instances!K143),"median", MEDIAN(Instances!K143:Instances!K143),"min", MIN(Instances!K143:Instances!K143),"max", MAX(Instances!K143:Instances!K143),"diff", MAX(Instances!K143:Instances!K143)-MIN(Instances!K143:Instances!K143))</f>
        <v>0</v>
      </c>
      <c r="L143" s="1"/>
      <c r="M143" s="1" cm="1">
        <f t="array" ref="M143">_xlfn.SWITCH($A$2,"average", AVERAGE(Instances!M143:Instances!M143),"median", MEDIAN(Instances!M143:Instances!M143),"min", MIN(Instances!M143:Instances!M143),"max", MAX(Instances!M143:Instances!M143),"diff", MAX(Instances!M143:Instances!M143)-MIN(Instances!M143:Instances!M143))</f>
        <v>0</v>
      </c>
      <c r="N143" s="1" cm="1">
        <f t="array" ref="N143">_xlfn.SWITCH($A$2,"average", AVERAGE(Instances!N143:Instances!N143),"median", MEDIAN(Instances!N143:Instances!N143),"min", MIN(Instances!N143:Instances!N143),"max", MAX(Instances!N143:Instances!N143),"diff", MAX(Instances!N143:Instances!N143)-MIN(Instances!N143:Instances!N143))</f>
        <v>0</v>
      </c>
      <c r="O143" s="1"/>
      <c r="P143" s="1" cm="1">
        <f t="array" ref="P143">_xlfn.SWITCH($A$2,"average", AVERAGE(Instances!P143:Instances!P143),"median", MEDIAN(Instances!P143:Instances!P143),"min", MIN(Instances!P143:Instances!P143),"max", MAX(Instances!P143:Instances!P143),"diff", MAX(Instances!P143:Instances!P143)-MIN(Instances!P143:Instances!P143))</f>
        <v>0</v>
      </c>
      <c r="Q143" s="1" cm="1">
        <f t="array" ref="Q143">_xlfn.SWITCH($A$2,"average", AVERAGE(Instances!Q143:Instances!Q143),"median", MEDIAN(Instances!Q143:Instances!Q143),"min", MIN(Instances!Q143:Instances!Q143),"max", MAX(Instances!Q143:Instances!Q143),"diff", MAX(Instances!Q143:Instances!Q143)-MIN(Instances!Q143:Instances!Q143))</f>
        <v>0</v>
      </c>
      <c r="R143" s="1" cm="1">
        <f t="array" ref="R143">_xlfn.SWITCH($A$2,"average", AVERAGE(Instances!R143:Instances!R143),"median", MEDIAN(Instances!R143:Instances!R143),"min", MIN(Instances!R143:Instances!R143),"max", MAX(Instances!R143:Instances!R143),"diff", MAX(Instances!R143:Instances!R143)-MIN(Instances!R143:Instances!R143))</f>
        <v>0</v>
      </c>
      <c r="S143" s="1">
        <f>MIN($B143)</f>
        <v>0</v>
      </c>
      <c r="T143" s="1">
        <f>MIN($C143)</f>
        <v>0</v>
      </c>
      <c r="U143" s="1">
        <f>MIN($D143)</f>
        <v>0</v>
      </c>
      <c r="V143" s="1">
        <f>MIN($E143)</f>
        <v>0</v>
      </c>
      <c r="W143" s="1">
        <f>MIN($F143)</f>
        <v>0</v>
      </c>
      <c r="X143" s="1">
        <f>MIN($G143)</f>
        <v>0</v>
      </c>
      <c r="Y143" s="1">
        <f>MIN($H143)</f>
        <v>0</v>
      </c>
      <c r="Z143" s="1">
        <f>MIN($I143)</f>
        <v>0</v>
      </c>
      <c r="AA143" s="1">
        <f>MIN($J143)</f>
        <v>0</v>
      </c>
      <c r="AB143" s="1">
        <f>MIN($K143)</f>
        <v>0</v>
      </c>
      <c r="AC143" s="1">
        <f>MIN($M143)</f>
        <v>0</v>
      </c>
      <c r="AD143" s="1">
        <f>MIN($N143)</f>
        <v>0</v>
      </c>
      <c r="AE143" s="1">
        <f>MIN($P143)</f>
        <v>0</v>
      </c>
      <c r="AF143" s="1">
        <f>MIN($Q143)</f>
        <v>0</v>
      </c>
      <c r="AG143" s="1">
        <f>MIN($R143)</f>
        <v>0</v>
      </c>
      <c r="AH143" s="1">
        <f>MEDIAN($B143)</f>
        <v>0</v>
      </c>
      <c r="AI143" s="1">
        <f>MEDIAN($C143)</f>
        <v>0</v>
      </c>
      <c r="AJ143" s="1">
        <f>MEDIAN($D143)</f>
        <v>0</v>
      </c>
      <c r="AK143" s="1">
        <f>MEDIAN($E143)</f>
        <v>0</v>
      </c>
      <c r="AL143" s="1">
        <f>MEDIAN($F143)</f>
        <v>0</v>
      </c>
      <c r="AM143" s="1">
        <f>MEDIAN($G143)</f>
        <v>0</v>
      </c>
      <c r="AN143" s="1">
        <f>MEDIAN($H143)</f>
        <v>0</v>
      </c>
      <c r="AO143" s="1">
        <f>MEDIAN($I143)</f>
        <v>0</v>
      </c>
      <c r="AP143" s="1">
        <f>MEDIAN($J143)</f>
        <v>0</v>
      </c>
      <c r="AQ143" s="1">
        <f>MEDIAN($K143)</f>
        <v>0</v>
      </c>
      <c r="AR143" s="1">
        <f>MEDIAN($M143)</f>
        <v>0</v>
      </c>
      <c r="AS143" s="1">
        <f>MEDIAN($N143)</f>
        <v>0</v>
      </c>
      <c r="AT143" s="1">
        <f>MEDIAN($P143)</f>
        <v>0</v>
      </c>
      <c r="AU143" s="1">
        <f>MEDIAN($Q143)</f>
        <v>0</v>
      </c>
      <c r="AV143" s="1">
        <f>MEDIAN($R143)</f>
        <v>0</v>
      </c>
      <c r="AW143" s="1">
        <f>MAX($B143)</f>
        <v>0</v>
      </c>
      <c r="AX143" s="1">
        <f>MAX($C143)</f>
        <v>0</v>
      </c>
      <c r="AY143" s="1">
        <f>MAX($D143)</f>
        <v>0</v>
      </c>
      <c r="AZ143" s="1">
        <f>MAX($E143)</f>
        <v>0</v>
      </c>
      <c r="BA143" s="1">
        <f>MAX($F143)</f>
        <v>0</v>
      </c>
      <c r="BB143" s="1">
        <f>MAX($G143)</f>
        <v>0</v>
      </c>
      <c r="BC143" s="1">
        <f>MAX($H143)</f>
        <v>0</v>
      </c>
      <c r="BD143" s="1">
        <f>MAX($I143)</f>
        <v>0</v>
      </c>
      <c r="BE143" s="1">
        <f>MAX($J143)</f>
        <v>0</v>
      </c>
      <c r="BF143" s="1">
        <f>MAX($K143)</f>
        <v>0</v>
      </c>
      <c r="BG143" s="1">
        <f>MAX($M143)</f>
        <v>0</v>
      </c>
      <c r="BH143" s="1">
        <f>MAX($N143)</f>
        <v>0</v>
      </c>
      <c r="BI143" s="1">
        <f>MAX($P143)</f>
        <v>0</v>
      </c>
      <c r="BJ143" s="1">
        <f>MAX($Q143)</f>
        <v>0</v>
      </c>
      <c r="BK143" s="1">
        <f>MAX($R143)</f>
        <v>0</v>
      </c>
    </row>
    <row r="144" spans="1:63">
      <c r="A144" s="1" t="s">
        <v>141</v>
      </c>
      <c r="B144" s="1" cm="1">
        <f t="array" ref="B144">_xlfn.SWITCH($A$2,"average", AVERAGE(Instances!B144:Instances!B144),"median", MEDIAN(Instances!B144:Instances!B144),"min", MIN(Instances!B144:Instances!B144),"max", MAX(Instances!B144:Instances!B144),"diff", MAX(Instances!B144:Instances!B144)-MIN(Instances!B144:Instances!B144))</f>
        <v>0</v>
      </c>
      <c r="C144" s="1" cm="1">
        <f t="array" ref="C144">_xlfn.SWITCH($A$2,"average", AVERAGE(Instances!C144:Instances!C144),"median", MEDIAN(Instances!C144:Instances!C144),"min", MIN(Instances!C144:Instances!C144),"max", MAX(Instances!C144:Instances!C144),"diff", MAX(Instances!C144:Instances!C144)-MIN(Instances!C144:Instances!C144))</f>
        <v>0</v>
      </c>
      <c r="D144" s="1" cm="1">
        <f t="array" ref="D144">_xlfn.SWITCH($A$2,"average", AVERAGE(Instances!D144:Instances!D144),"median", MEDIAN(Instances!D144:Instances!D144),"min", MIN(Instances!D144:Instances!D144),"max", MAX(Instances!D144:Instances!D144),"diff", MAX(Instances!D144:Instances!D144)-MIN(Instances!D144:Instances!D144))</f>
        <v>0</v>
      </c>
      <c r="E144" s="1" cm="1">
        <f t="array" ref="E144">_xlfn.SWITCH($A$2,"average", AVERAGE(Instances!E144:Instances!E144),"median", MEDIAN(Instances!E144:Instances!E144),"min", MIN(Instances!E144:Instances!E144),"max", MAX(Instances!E144:Instances!E144),"diff", MAX(Instances!E144:Instances!E144)-MIN(Instances!E144:Instances!E144))</f>
        <v>0</v>
      </c>
      <c r="F144" s="1" cm="1">
        <f t="array" ref="F144">_xlfn.SWITCH($A$2,"average", AVERAGE(Instances!F144:Instances!F144),"median", MEDIAN(Instances!F144:Instances!F144),"min", MIN(Instances!F144:Instances!F144),"max", MAX(Instances!F144:Instances!F144),"diff", MAX(Instances!F144:Instances!F144)-MIN(Instances!F144:Instances!F144))</f>
        <v>0</v>
      </c>
      <c r="G144" s="1" cm="1">
        <f t="array" ref="G144">_xlfn.SWITCH($A$2,"average", AVERAGE(Instances!G144:Instances!G144),"median", MEDIAN(Instances!G144:Instances!G144),"min", MIN(Instances!G144:Instances!G144),"max", MAX(Instances!G144:Instances!G144),"diff", MAX(Instances!G144:Instances!G144)-MIN(Instances!G144:Instances!G144))</f>
        <v>0</v>
      </c>
      <c r="H144" s="1" cm="1">
        <f t="array" ref="H144">_xlfn.SWITCH($A$2,"average", AVERAGE(Instances!H144:Instances!H144),"median", MEDIAN(Instances!H144:Instances!H144),"min", MIN(Instances!H144:Instances!H144),"max", MAX(Instances!H144:Instances!H144),"diff", MAX(Instances!H144:Instances!H144)-MIN(Instances!H144:Instances!H144))</f>
        <v>0</v>
      </c>
      <c r="I144" s="1" cm="1">
        <f t="array" ref="I144">_xlfn.SWITCH($A$2,"average", AVERAGE(Instances!I144:Instances!I144),"median", MEDIAN(Instances!I144:Instances!I144),"min", MIN(Instances!I144:Instances!I144),"max", MAX(Instances!I144:Instances!I144),"diff", MAX(Instances!I144:Instances!I144)-MIN(Instances!I144:Instances!I144))</f>
        <v>0</v>
      </c>
      <c r="J144" s="1" cm="1">
        <f t="array" ref="J144">_xlfn.SWITCH($A$2,"average", AVERAGE(Instances!J144:Instances!J144),"median", MEDIAN(Instances!J144:Instances!J144),"min", MIN(Instances!J144:Instances!J144),"max", MAX(Instances!J144:Instances!J144),"diff", MAX(Instances!J144:Instances!J144)-MIN(Instances!J144:Instances!J144))</f>
        <v>0</v>
      </c>
      <c r="K144" s="1" cm="1">
        <f t="array" ref="K144">_xlfn.SWITCH($A$2,"average", AVERAGE(Instances!K144:Instances!K144),"median", MEDIAN(Instances!K144:Instances!K144),"min", MIN(Instances!K144:Instances!K144),"max", MAX(Instances!K144:Instances!K144),"diff", MAX(Instances!K144:Instances!K144)-MIN(Instances!K144:Instances!K144))</f>
        <v>0</v>
      </c>
      <c r="L144" s="1"/>
      <c r="M144" s="1" cm="1">
        <f t="array" ref="M144">_xlfn.SWITCH($A$2,"average", AVERAGE(Instances!M144:Instances!M144),"median", MEDIAN(Instances!M144:Instances!M144),"min", MIN(Instances!M144:Instances!M144),"max", MAX(Instances!M144:Instances!M144),"diff", MAX(Instances!M144:Instances!M144)-MIN(Instances!M144:Instances!M144))</f>
        <v>0</v>
      </c>
      <c r="N144" s="1" cm="1">
        <f t="array" ref="N144">_xlfn.SWITCH($A$2,"average", AVERAGE(Instances!N144:Instances!N144),"median", MEDIAN(Instances!N144:Instances!N144),"min", MIN(Instances!N144:Instances!N144),"max", MAX(Instances!N144:Instances!N144),"diff", MAX(Instances!N144:Instances!N144)-MIN(Instances!N144:Instances!N144))</f>
        <v>0</v>
      </c>
      <c r="O144" s="1"/>
      <c r="P144" s="1" cm="1">
        <f t="array" ref="P144">_xlfn.SWITCH($A$2,"average", AVERAGE(Instances!P144:Instances!P144),"median", MEDIAN(Instances!P144:Instances!P144),"min", MIN(Instances!P144:Instances!P144),"max", MAX(Instances!P144:Instances!P144),"diff", MAX(Instances!P144:Instances!P144)-MIN(Instances!P144:Instances!P144))</f>
        <v>0</v>
      </c>
      <c r="Q144" s="1" cm="1">
        <f t="array" ref="Q144">_xlfn.SWITCH($A$2,"average", AVERAGE(Instances!Q144:Instances!Q144),"median", MEDIAN(Instances!Q144:Instances!Q144),"min", MIN(Instances!Q144:Instances!Q144),"max", MAX(Instances!Q144:Instances!Q144),"diff", MAX(Instances!Q144:Instances!Q144)-MIN(Instances!Q144:Instances!Q144))</f>
        <v>0</v>
      </c>
      <c r="R144" s="1" cm="1">
        <f t="array" ref="R144">_xlfn.SWITCH($A$2,"average", AVERAGE(Instances!R144:Instances!R144),"median", MEDIAN(Instances!R144:Instances!R144),"min", MIN(Instances!R144:Instances!R144),"max", MAX(Instances!R144:Instances!R144),"diff", MAX(Instances!R144:Instances!R144)-MIN(Instances!R144:Instances!R144))</f>
        <v>0</v>
      </c>
      <c r="S144" s="1">
        <f>MIN($B144)</f>
        <v>0</v>
      </c>
      <c r="T144" s="1">
        <f>MIN($C144)</f>
        <v>0</v>
      </c>
      <c r="U144" s="1">
        <f>MIN($D144)</f>
        <v>0</v>
      </c>
      <c r="V144" s="1">
        <f>MIN($E144)</f>
        <v>0</v>
      </c>
      <c r="W144" s="1">
        <f>MIN($F144)</f>
        <v>0</v>
      </c>
      <c r="X144" s="1">
        <f>MIN($G144)</f>
        <v>0</v>
      </c>
      <c r="Y144" s="1">
        <f>MIN($H144)</f>
        <v>0</v>
      </c>
      <c r="Z144" s="1">
        <f>MIN($I144)</f>
        <v>0</v>
      </c>
      <c r="AA144" s="1">
        <f>MIN($J144)</f>
        <v>0</v>
      </c>
      <c r="AB144" s="1">
        <f>MIN($K144)</f>
        <v>0</v>
      </c>
      <c r="AC144" s="1">
        <f>MIN($M144)</f>
        <v>0</v>
      </c>
      <c r="AD144" s="1">
        <f>MIN($N144)</f>
        <v>0</v>
      </c>
      <c r="AE144" s="1">
        <f>MIN($P144)</f>
        <v>0</v>
      </c>
      <c r="AF144" s="1">
        <f>MIN($Q144)</f>
        <v>0</v>
      </c>
      <c r="AG144" s="1">
        <f>MIN($R144)</f>
        <v>0</v>
      </c>
      <c r="AH144" s="1">
        <f>MEDIAN($B144)</f>
        <v>0</v>
      </c>
      <c r="AI144" s="1">
        <f>MEDIAN($C144)</f>
        <v>0</v>
      </c>
      <c r="AJ144" s="1">
        <f>MEDIAN($D144)</f>
        <v>0</v>
      </c>
      <c r="AK144" s="1">
        <f>MEDIAN($E144)</f>
        <v>0</v>
      </c>
      <c r="AL144" s="1">
        <f>MEDIAN($F144)</f>
        <v>0</v>
      </c>
      <c r="AM144" s="1">
        <f>MEDIAN($G144)</f>
        <v>0</v>
      </c>
      <c r="AN144" s="1">
        <f>MEDIAN($H144)</f>
        <v>0</v>
      </c>
      <c r="AO144" s="1">
        <f>MEDIAN($I144)</f>
        <v>0</v>
      </c>
      <c r="AP144" s="1">
        <f>MEDIAN($J144)</f>
        <v>0</v>
      </c>
      <c r="AQ144" s="1">
        <f>MEDIAN($K144)</f>
        <v>0</v>
      </c>
      <c r="AR144" s="1">
        <f>MEDIAN($M144)</f>
        <v>0</v>
      </c>
      <c r="AS144" s="1">
        <f>MEDIAN($N144)</f>
        <v>0</v>
      </c>
      <c r="AT144" s="1">
        <f>MEDIAN($P144)</f>
        <v>0</v>
      </c>
      <c r="AU144" s="1">
        <f>MEDIAN($Q144)</f>
        <v>0</v>
      </c>
      <c r="AV144" s="1">
        <f>MEDIAN($R144)</f>
        <v>0</v>
      </c>
      <c r="AW144" s="1">
        <f>MAX($B144)</f>
        <v>0</v>
      </c>
      <c r="AX144" s="1">
        <f>MAX($C144)</f>
        <v>0</v>
      </c>
      <c r="AY144" s="1">
        <f>MAX($D144)</f>
        <v>0</v>
      </c>
      <c r="AZ144" s="1">
        <f>MAX($E144)</f>
        <v>0</v>
      </c>
      <c r="BA144" s="1">
        <f>MAX($F144)</f>
        <v>0</v>
      </c>
      <c r="BB144" s="1">
        <f>MAX($G144)</f>
        <v>0</v>
      </c>
      <c r="BC144" s="1">
        <f>MAX($H144)</f>
        <v>0</v>
      </c>
      <c r="BD144" s="1">
        <f>MAX($I144)</f>
        <v>0</v>
      </c>
      <c r="BE144" s="1">
        <f>MAX($J144)</f>
        <v>0</v>
      </c>
      <c r="BF144" s="1">
        <f>MAX($K144)</f>
        <v>0</v>
      </c>
      <c r="BG144" s="1">
        <f>MAX($M144)</f>
        <v>0</v>
      </c>
      <c r="BH144" s="1">
        <f>MAX($N144)</f>
        <v>0</v>
      </c>
      <c r="BI144" s="1">
        <f>MAX($P144)</f>
        <v>0</v>
      </c>
      <c r="BJ144" s="1">
        <f>MAX($Q144)</f>
        <v>0</v>
      </c>
      <c r="BK144" s="1">
        <f>MAX($R144)</f>
        <v>0</v>
      </c>
    </row>
    <row r="145" spans="1:63">
      <c r="A145" s="1" t="s">
        <v>142</v>
      </c>
      <c r="B145" s="1" cm="1">
        <f t="array" ref="B145">_xlfn.SWITCH($A$2,"average", AVERAGE(Instances!B145:Instances!B145),"median", MEDIAN(Instances!B145:Instances!B145),"min", MIN(Instances!B145:Instances!B145),"max", MAX(Instances!B145:Instances!B145),"diff", MAX(Instances!B145:Instances!B145)-MIN(Instances!B145:Instances!B145))</f>
        <v>0</v>
      </c>
      <c r="C145" s="1" cm="1">
        <f t="array" ref="C145">_xlfn.SWITCH($A$2,"average", AVERAGE(Instances!C145:Instances!C145),"median", MEDIAN(Instances!C145:Instances!C145),"min", MIN(Instances!C145:Instances!C145),"max", MAX(Instances!C145:Instances!C145),"diff", MAX(Instances!C145:Instances!C145)-MIN(Instances!C145:Instances!C145))</f>
        <v>0</v>
      </c>
      <c r="D145" s="1" cm="1">
        <f t="array" ref="D145">_xlfn.SWITCH($A$2,"average", AVERAGE(Instances!D145:Instances!D145),"median", MEDIAN(Instances!D145:Instances!D145),"min", MIN(Instances!D145:Instances!D145),"max", MAX(Instances!D145:Instances!D145),"diff", MAX(Instances!D145:Instances!D145)-MIN(Instances!D145:Instances!D145))</f>
        <v>0</v>
      </c>
      <c r="E145" s="1" cm="1">
        <f t="array" ref="E145">_xlfn.SWITCH($A$2,"average", AVERAGE(Instances!E145:Instances!E145),"median", MEDIAN(Instances!E145:Instances!E145),"min", MIN(Instances!E145:Instances!E145),"max", MAX(Instances!E145:Instances!E145),"diff", MAX(Instances!E145:Instances!E145)-MIN(Instances!E145:Instances!E145))</f>
        <v>0</v>
      </c>
      <c r="F145" s="1" cm="1">
        <f t="array" ref="F145">_xlfn.SWITCH($A$2,"average", AVERAGE(Instances!F145:Instances!F145),"median", MEDIAN(Instances!F145:Instances!F145),"min", MIN(Instances!F145:Instances!F145),"max", MAX(Instances!F145:Instances!F145),"diff", MAX(Instances!F145:Instances!F145)-MIN(Instances!F145:Instances!F145))</f>
        <v>0</v>
      </c>
      <c r="G145" s="1" cm="1">
        <f t="array" ref="G145">_xlfn.SWITCH($A$2,"average", AVERAGE(Instances!G145:Instances!G145),"median", MEDIAN(Instances!G145:Instances!G145),"min", MIN(Instances!G145:Instances!G145),"max", MAX(Instances!G145:Instances!G145),"diff", MAX(Instances!G145:Instances!G145)-MIN(Instances!G145:Instances!G145))</f>
        <v>0</v>
      </c>
      <c r="H145" s="1" cm="1">
        <f t="array" ref="H145">_xlfn.SWITCH($A$2,"average", AVERAGE(Instances!H145:Instances!H145),"median", MEDIAN(Instances!H145:Instances!H145),"min", MIN(Instances!H145:Instances!H145),"max", MAX(Instances!H145:Instances!H145),"diff", MAX(Instances!H145:Instances!H145)-MIN(Instances!H145:Instances!H145))</f>
        <v>0</v>
      </c>
      <c r="I145" s="1" cm="1">
        <f t="array" ref="I145">_xlfn.SWITCH($A$2,"average", AVERAGE(Instances!I145:Instances!I145),"median", MEDIAN(Instances!I145:Instances!I145),"min", MIN(Instances!I145:Instances!I145),"max", MAX(Instances!I145:Instances!I145),"diff", MAX(Instances!I145:Instances!I145)-MIN(Instances!I145:Instances!I145))</f>
        <v>0</v>
      </c>
      <c r="J145" s="1" cm="1">
        <f t="array" ref="J145">_xlfn.SWITCH($A$2,"average", AVERAGE(Instances!J145:Instances!J145),"median", MEDIAN(Instances!J145:Instances!J145),"min", MIN(Instances!J145:Instances!J145),"max", MAX(Instances!J145:Instances!J145),"diff", MAX(Instances!J145:Instances!J145)-MIN(Instances!J145:Instances!J145))</f>
        <v>0</v>
      </c>
      <c r="K145" s="1" cm="1">
        <f t="array" ref="K145">_xlfn.SWITCH($A$2,"average", AVERAGE(Instances!K145:Instances!K145),"median", MEDIAN(Instances!K145:Instances!K145),"min", MIN(Instances!K145:Instances!K145),"max", MAX(Instances!K145:Instances!K145),"diff", MAX(Instances!K145:Instances!K145)-MIN(Instances!K145:Instances!K145))</f>
        <v>0</v>
      </c>
      <c r="L145" s="1"/>
      <c r="M145" s="1" cm="1">
        <f t="array" ref="M145">_xlfn.SWITCH($A$2,"average", AVERAGE(Instances!M145:Instances!M145),"median", MEDIAN(Instances!M145:Instances!M145),"min", MIN(Instances!M145:Instances!M145),"max", MAX(Instances!M145:Instances!M145),"diff", MAX(Instances!M145:Instances!M145)-MIN(Instances!M145:Instances!M145))</f>
        <v>0</v>
      </c>
      <c r="N145" s="1" cm="1">
        <f t="array" ref="N145">_xlfn.SWITCH($A$2,"average", AVERAGE(Instances!N145:Instances!N145),"median", MEDIAN(Instances!N145:Instances!N145),"min", MIN(Instances!N145:Instances!N145),"max", MAX(Instances!N145:Instances!N145),"diff", MAX(Instances!N145:Instances!N145)-MIN(Instances!N145:Instances!N145))</f>
        <v>0</v>
      </c>
      <c r="O145" s="1"/>
      <c r="P145" s="1" cm="1">
        <f t="array" ref="P145">_xlfn.SWITCH($A$2,"average", AVERAGE(Instances!P145:Instances!P145),"median", MEDIAN(Instances!P145:Instances!P145),"min", MIN(Instances!P145:Instances!P145),"max", MAX(Instances!P145:Instances!P145),"diff", MAX(Instances!P145:Instances!P145)-MIN(Instances!P145:Instances!P145))</f>
        <v>0</v>
      </c>
      <c r="Q145" s="1" cm="1">
        <f t="array" ref="Q145">_xlfn.SWITCH($A$2,"average", AVERAGE(Instances!Q145:Instances!Q145),"median", MEDIAN(Instances!Q145:Instances!Q145),"min", MIN(Instances!Q145:Instances!Q145),"max", MAX(Instances!Q145:Instances!Q145),"diff", MAX(Instances!Q145:Instances!Q145)-MIN(Instances!Q145:Instances!Q145))</f>
        <v>0</v>
      </c>
      <c r="R145" s="1" cm="1">
        <f t="array" ref="R145">_xlfn.SWITCH($A$2,"average", AVERAGE(Instances!R145:Instances!R145),"median", MEDIAN(Instances!R145:Instances!R145),"min", MIN(Instances!R145:Instances!R145),"max", MAX(Instances!R145:Instances!R145),"diff", MAX(Instances!R145:Instances!R145)-MIN(Instances!R145:Instances!R145))</f>
        <v>0</v>
      </c>
      <c r="S145" s="1">
        <f>MIN($B145)</f>
        <v>0</v>
      </c>
      <c r="T145" s="1">
        <f>MIN($C145)</f>
        <v>0</v>
      </c>
      <c r="U145" s="1">
        <f>MIN($D145)</f>
        <v>0</v>
      </c>
      <c r="V145" s="1">
        <f>MIN($E145)</f>
        <v>0</v>
      </c>
      <c r="W145" s="1">
        <f>MIN($F145)</f>
        <v>0</v>
      </c>
      <c r="X145" s="1">
        <f>MIN($G145)</f>
        <v>0</v>
      </c>
      <c r="Y145" s="1">
        <f>MIN($H145)</f>
        <v>0</v>
      </c>
      <c r="Z145" s="1">
        <f>MIN($I145)</f>
        <v>0</v>
      </c>
      <c r="AA145" s="1">
        <f>MIN($J145)</f>
        <v>0</v>
      </c>
      <c r="AB145" s="1">
        <f>MIN($K145)</f>
        <v>0</v>
      </c>
      <c r="AC145" s="1">
        <f>MIN($M145)</f>
        <v>0</v>
      </c>
      <c r="AD145" s="1">
        <f>MIN($N145)</f>
        <v>0</v>
      </c>
      <c r="AE145" s="1">
        <f>MIN($P145)</f>
        <v>0</v>
      </c>
      <c r="AF145" s="1">
        <f>MIN($Q145)</f>
        <v>0</v>
      </c>
      <c r="AG145" s="1">
        <f>MIN($R145)</f>
        <v>0</v>
      </c>
      <c r="AH145" s="1">
        <f>MEDIAN($B145)</f>
        <v>0</v>
      </c>
      <c r="AI145" s="1">
        <f>MEDIAN($C145)</f>
        <v>0</v>
      </c>
      <c r="AJ145" s="1">
        <f>MEDIAN($D145)</f>
        <v>0</v>
      </c>
      <c r="AK145" s="1">
        <f>MEDIAN($E145)</f>
        <v>0</v>
      </c>
      <c r="AL145" s="1">
        <f>MEDIAN($F145)</f>
        <v>0</v>
      </c>
      <c r="AM145" s="1">
        <f>MEDIAN($G145)</f>
        <v>0</v>
      </c>
      <c r="AN145" s="1">
        <f>MEDIAN($H145)</f>
        <v>0</v>
      </c>
      <c r="AO145" s="1">
        <f>MEDIAN($I145)</f>
        <v>0</v>
      </c>
      <c r="AP145" s="1">
        <f>MEDIAN($J145)</f>
        <v>0</v>
      </c>
      <c r="AQ145" s="1">
        <f>MEDIAN($K145)</f>
        <v>0</v>
      </c>
      <c r="AR145" s="1">
        <f>MEDIAN($M145)</f>
        <v>0</v>
      </c>
      <c r="AS145" s="1">
        <f>MEDIAN($N145)</f>
        <v>0</v>
      </c>
      <c r="AT145" s="1">
        <f>MEDIAN($P145)</f>
        <v>0</v>
      </c>
      <c r="AU145" s="1">
        <f>MEDIAN($Q145)</f>
        <v>0</v>
      </c>
      <c r="AV145" s="1">
        <f>MEDIAN($R145)</f>
        <v>0</v>
      </c>
      <c r="AW145" s="1">
        <f>MAX($B145)</f>
        <v>0</v>
      </c>
      <c r="AX145" s="1">
        <f>MAX($C145)</f>
        <v>0</v>
      </c>
      <c r="AY145" s="1">
        <f>MAX($D145)</f>
        <v>0</v>
      </c>
      <c r="AZ145" s="1">
        <f>MAX($E145)</f>
        <v>0</v>
      </c>
      <c r="BA145" s="1">
        <f>MAX($F145)</f>
        <v>0</v>
      </c>
      <c r="BB145" s="1">
        <f>MAX($G145)</f>
        <v>0</v>
      </c>
      <c r="BC145" s="1">
        <f>MAX($H145)</f>
        <v>0</v>
      </c>
      <c r="BD145" s="1">
        <f>MAX($I145)</f>
        <v>0</v>
      </c>
      <c r="BE145" s="1">
        <f>MAX($J145)</f>
        <v>0</v>
      </c>
      <c r="BF145" s="1">
        <f>MAX($K145)</f>
        <v>0</v>
      </c>
      <c r="BG145" s="1">
        <f>MAX($M145)</f>
        <v>0</v>
      </c>
      <c r="BH145" s="1">
        <f>MAX($N145)</f>
        <v>0</v>
      </c>
      <c r="BI145" s="1">
        <f>MAX($P145)</f>
        <v>0</v>
      </c>
      <c r="BJ145" s="1">
        <f>MAX($Q145)</f>
        <v>0</v>
      </c>
      <c r="BK145" s="1">
        <f>MAX($R145)</f>
        <v>0</v>
      </c>
    </row>
    <row r="146" spans="1:63">
      <c r="A146" s="1" t="s">
        <v>143</v>
      </c>
      <c r="B146" s="1" cm="1">
        <f t="array" ref="B146">_xlfn.SWITCH($A$2,"average", AVERAGE(Instances!B146:Instances!B146),"median", MEDIAN(Instances!B146:Instances!B146),"min", MIN(Instances!B146:Instances!B146),"max", MAX(Instances!B146:Instances!B146),"diff", MAX(Instances!B146:Instances!B146)-MIN(Instances!B146:Instances!B146))</f>
        <v>0</v>
      </c>
      <c r="C146" s="1" cm="1">
        <f t="array" ref="C146">_xlfn.SWITCH($A$2,"average", AVERAGE(Instances!C146:Instances!C146),"median", MEDIAN(Instances!C146:Instances!C146),"min", MIN(Instances!C146:Instances!C146),"max", MAX(Instances!C146:Instances!C146),"diff", MAX(Instances!C146:Instances!C146)-MIN(Instances!C146:Instances!C146))</f>
        <v>0</v>
      </c>
      <c r="D146" s="1" cm="1">
        <f t="array" ref="D146">_xlfn.SWITCH($A$2,"average", AVERAGE(Instances!D146:Instances!D146),"median", MEDIAN(Instances!D146:Instances!D146),"min", MIN(Instances!D146:Instances!D146),"max", MAX(Instances!D146:Instances!D146),"diff", MAX(Instances!D146:Instances!D146)-MIN(Instances!D146:Instances!D146))</f>
        <v>0</v>
      </c>
      <c r="E146" s="1" cm="1">
        <f t="array" ref="E146">_xlfn.SWITCH($A$2,"average", AVERAGE(Instances!E146:Instances!E146),"median", MEDIAN(Instances!E146:Instances!E146),"min", MIN(Instances!E146:Instances!E146),"max", MAX(Instances!E146:Instances!E146),"diff", MAX(Instances!E146:Instances!E146)-MIN(Instances!E146:Instances!E146))</f>
        <v>0</v>
      </c>
      <c r="F146" s="1" cm="1">
        <f t="array" ref="F146">_xlfn.SWITCH($A$2,"average", AVERAGE(Instances!F146:Instances!F146),"median", MEDIAN(Instances!F146:Instances!F146),"min", MIN(Instances!F146:Instances!F146),"max", MAX(Instances!F146:Instances!F146),"diff", MAX(Instances!F146:Instances!F146)-MIN(Instances!F146:Instances!F146))</f>
        <v>0</v>
      </c>
      <c r="G146" s="1" cm="1">
        <f t="array" ref="G146">_xlfn.SWITCH($A$2,"average", AVERAGE(Instances!G146:Instances!G146),"median", MEDIAN(Instances!G146:Instances!G146),"min", MIN(Instances!G146:Instances!G146),"max", MAX(Instances!G146:Instances!G146),"diff", MAX(Instances!G146:Instances!G146)-MIN(Instances!G146:Instances!G146))</f>
        <v>0</v>
      </c>
      <c r="H146" s="1" cm="1">
        <f t="array" ref="H146">_xlfn.SWITCH($A$2,"average", AVERAGE(Instances!H146:Instances!H146),"median", MEDIAN(Instances!H146:Instances!H146),"min", MIN(Instances!H146:Instances!H146),"max", MAX(Instances!H146:Instances!H146),"diff", MAX(Instances!H146:Instances!H146)-MIN(Instances!H146:Instances!H146))</f>
        <v>0</v>
      </c>
      <c r="I146" s="1" cm="1">
        <f t="array" ref="I146">_xlfn.SWITCH($A$2,"average", AVERAGE(Instances!I146:Instances!I146),"median", MEDIAN(Instances!I146:Instances!I146),"min", MIN(Instances!I146:Instances!I146),"max", MAX(Instances!I146:Instances!I146),"diff", MAX(Instances!I146:Instances!I146)-MIN(Instances!I146:Instances!I146))</f>
        <v>0</v>
      </c>
      <c r="J146" s="1" cm="1">
        <f t="array" ref="J146">_xlfn.SWITCH($A$2,"average", AVERAGE(Instances!J146:Instances!J146),"median", MEDIAN(Instances!J146:Instances!J146),"min", MIN(Instances!J146:Instances!J146),"max", MAX(Instances!J146:Instances!J146),"diff", MAX(Instances!J146:Instances!J146)-MIN(Instances!J146:Instances!J146))</f>
        <v>0</v>
      </c>
      <c r="K146" s="1" cm="1">
        <f t="array" ref="K146">_xlfn.SWITCH($A$2,"average", AVERAGE(Instances!K146:Instances!K146),"median", MEDIAN(Instances!K146:Instances!K146),"min", MIN(Instances!K146:Instances!K146),"max", MAX(Instances!K146:Instances!K146),"diff", MAX(Instances!K146:Instances!K146)-MIN(Instances!K146:Instances!K146))</f>
        <v>0</v>
      </c>
      <c r="L146" s="1"/>
      <c r="M146" s="1" cm="1">
        <f t="array" ref="M146">_xlfn.SWITCH($A$2,"average", AVERAGE(Instances!M146:Instances!M146),"median", MEDIAN(Instances!M146:Instances!M146),"min", MIN(Instances!M146:Instances!M146),"max", MAX(Instances!M146:Instances!M146),"diff", MAX(Instances!M146:Instances!M146)-MIN(Instances!M146:Instances!M146))</f>
        <v>0</v>
      </c>
      <c r="N146" s="1" cm="1">
        <f t="array" ref="N146">_xlfn.SWITCH($A$2,"average", AVERAGE(Instances!N146:Instances!N146),"median", MEDIAN(Instances!N146:Instances!N146),"min", MIN(Instances!N146:Instances!N146),"max", MAX(Instances!N146:Instances!N146),"diff", MAX(Instances!N146:Instances!N146)-MIN(Instances!N146:Instances!N146))</f>
        <v>0</v>
      </c>
      <c r="O146" s="1"/>
      <c r="P146" s="1" cm="1">
        <f t="array" ref="P146">_xlfn.SWITCH($A$2,"average", AVERAGE(Instances!P146:Instances!P146),"median", MEDIAN(Instances!P146:Instances!P146),"min", MIN(Instances!P146:Instances!P146),"max", MAX(Instances!P146:Instances!P146),"diff", MAX(Instances!P146:Instances!P146)-MIN(Instances!P146:Instances!P146))</f>
        <v>0</v>
      </c>
      <c r="Q146" s="1" cm="1">
        <f t="array" ref="Q146">_xlfn.SWITCH($A$2,"average", AVERAGE(Instances!Q146:Instances!Q146),"median", MEDIAN(Instances!Q146:Instances!Q146),"min", MIN(Instances!Q146:Instances!Q146),"max", MAX(Instances!Q146:Instances!Q146),"diff", MAX(Instances!Q146:Instances!Q146)-MIN(Instances!Q146:Instances!Q146))</f>
        <v>0</v>
      </c>
      <c r="R146" s="1" cm="1">
        <f t="array" ref="R146">_xlfn.SWITCH($A$2,"average", AVERAGE(Instances!R146:Instances!R146),"median", MEDIAN(Instances!R146:Instances!R146),"min", MIN(Instances!R146:Instances!R146),"max", MAX(Instances!R146:Instances!R146),"diff", MAX(Instances!R146:Instances!R146)-MIN(Instances!R146:Instances!R146))</f>
        <v>0</v>
      </c>
      <c r="S146" s="1">
        <f>MIN($B146)</f>
        <v>0</v>
      </c>
      <c r="T146" s="1">
        <f>MIN($C146)</f>
        <v>0</v>
      </c>
      <c r="U146" s="1">
        <f>MIN($D146)</f>
        <v>0</v>
      </c>
      <c r="V146" s="1">
        <f>MIN($E146)</f>
        <v>0</v>
      </c>
      <c r="W146" s="1">
        <f>MIN($F146)</f>
        <v>0</v>
      </c>
      <c r="X146" s="1">
        <f>MIN($G146)</f>
        <v>0</v>
      </c>
      <c r="Y146" s="1">
        <f>MIN($H146)</f>
        <v>0</v>
      </c>
      <c r="Z146" s="1">
        <f>MIN($I146)</f>
        <v>0</v>
      </c>
      <c r="AA146" s="1">
        <f>MIN($J146)</f>
        <v>0</v>
      </c>
      <c r="AB146" s="1">
        <f>MIN($K146)</f>
        <v>0</v>
      </c>
      <c r="AC146" s="1">
        <f>MIN($M146)</f>
        <v>0</v>
      </c>
      <c r="AD146" s="1">
        <f>MIN($N146)</f>
        <v>0</v>
      </c>
      <c r="AE146" s="1">
        <f>MIN($P146)</f>
        <v>0</v>
      </c>
      <c r="AF146" s="1">
        <f>MIN($Q146)</f>
        <v>0</v>
      </c>
      <c r="AG146" s="1">
        <f>MIN($R146)</f>
        <v>0</v>
      </c>
      <c r="AH146" s="1">
        <f>MEDIAN($B146)</f>
        <v>0</v>
      </c>
      <c r="AI146" s="1">
        <f>MEDIAN($C146)</f>
        <v>0</v>
      </c>
      <c r="AJ146" s="1">
        <f>MEDIAN($D146)</f>
        <v>0</v>
      </c>
      <c r="AK146" s="1">
        <f>MEDIAN($E146)</f>
        <v>0</v>
      </c>
      <c r="AL146" s="1">
        <f>MEDIAN($F146)</f>
        <v>0</v>
      </c>
      <c r="AM146" s="1">
        <f>MEDIAN($G146)</f>
        <v>0</v>
      </c>
      <c r="AN146" s="1">
        <f>MEDIAN($H146)</f>
        <v>0</v>
      </c>
      <c r="AO146" s="1">
        <f>MEDIAN($I146)</f>
        <v>0</v>
      </c>
      <c r="AP146" s="1">
        <f>MEDIAN($J146)</f>
        <v>0</v>
      </c>
      <c r="AQ146" s="1">
        <f>MEDIAN($K146)</f>
        <v>0</v>
      </c>
      <c r="AR146" s="1">
        <f>MEDIAN($M146)</f>
        <v>0</v>
      </c>
      <c r="AS146" s="1">
        <f>MEDIAN($N146)</f>
        <v>0</v>
      </c>
      <c r="AT146" s="1">
        <f>MEDIAN($P146)</f>
        <v>0</v>
      </c>
      <c r="AU146" s="1">
        <f>MEDIAN($Q146)</f>
        <v>0</v>
      </c>
      <c r="AV146" s="1">
        <f>MEDIAN($R146)</f>
        <v>0</v>
      </c>
      <c r="AW146" s="1">
        <f>MAX($B146)</f>
        <v>0</v>
      </c>
      <c r="AX146" s="1">
        <f>MAX($C146)</f>
        <v>0</v>
      </c>
      <c r="AY146" s="1">
        <f>MAX($D146)</f>
        <v>0</v>
      </c>
      <c r="AZ146" s="1">
        <f>MAX($E146)</f>
        <v>0</v>
      </c>
      <c r="BA146" s="1">
        <f>MAX($F146)</f>
        <v>0</v>
      </c>
      <c r="BB146" s="1">
        <f>MAX($G146)</f>
        <v>0</v>
      </c>
      <c r="BC146" s="1">
        <f>MAX($H146)</f>
        <v>0</v>
      </c>
      <c r="BD146" s="1">
        <f>MAX($I146)</f>
        <v>0</v>
      </c>
      <c r="BE146" s="1">
        <f>MAX($J146)</f>
        <v>0</v>
      </c>
      <c r="BF146" s="1">
        <f>MAX($K146)</f>
        <v>0</v>
      </c>
      <c r="BG146" s="1">
        <f>MAX($M146)</f>
        <v>0</v>
      </c>
      <c r="BH146" s="1">
        <f>MAX($N146)</f>
        <v>0</v>
      </c>
      <c r="BI146" s="1">
        <f>MAX($P146)</f>
        <v>0</v>
      </c>
      <c r="BJ146" s="1">
        <f>MAX($Q146)</f>
        <v>0</v>
      </c>
      <c r="BK146" s="1">
        <f>MAX($R146)</f>
        <v>0</v>
      </c>
    </row>
    <row r="147" spans="1:63">
      <c r="A147" s="1" t="s">
        <v>144</v>
      </c>
      <c r="B147" s="1" cm="1">
        <f t="array" ref="B147">_xlfn.SWITCH($A$2,"average", AVERAGE(Instances!B147:Instances!B147),"median", MEDIAN(Instances!B147:Instances!B147),"min", MIN(Instances!B147:Instances!B147),"max", MAX(Instances!B147:Instances!B147),"diff", MAX(Instances!B147:Instances!B147)-MIN(Instances!B147:Instances!B147))</f>
        <v>0</v>
      </c>
      <c r="C147" s="1" cm="1">
        <f t="array" ref="C147">_xlfn.SWITCH($A$2,"average", AVERAGE(Instances!C147:Instances!C147),"median", MEDIAN(Instances!C147:Instances!C147),"min", MIN(Instances!C147:Instances!C147),"max", MAX(Instances!C147:Instances!C147),"diff", MAX(Instances!C147:Instances!C147)-MIN(Instances!C147:Instances!C147))</f>
        <v>0</v>
      </c>
      <c r="D147" s="1" cm="1">
        <f t="array" ref="D147">_xlfn.SWITCH($A$2,"average", AVERAGE(Instances!D147:Instances!D147),"median", MEDIAN(Instances!D147:Instances!D147),"min", MIN(Instances!D147:Instances!D147),"max", MAX(Instances!D147:Instances!D147),"diff", MAX(Instances!D147:Instances!D147)-MIN(Instances!D147:Instances!D147))</f>
        <v>0</v>
      </c>
      <c r="E147" s="1" cm="1">
        <f t="array" ref="E147">_xlfn.SWITCH($A$2,"average", AVERAGE(Instances!E147:Instances!E147),"median", MEDIAN(Instances!E147:Instances!E147),"min", MIN(Instances!E147:Instances!E147),"max", MAX(Instances!E147:Instances!E147),"diff", MAX(Instances!E147:Instances!E147)-MIN(Instances!E147:Instances!E147))</f>
        <v>0</v>
      </c>
      <c r="F147" s="1" cm="1">
        <f t="array" ref="F147">_xlfn.SWITCH($A$2,"average", AVERAGE(Instances!F147:Instances!F147),"median", MEDIAN(Instances!F147:Instances!F147),"min", MIN(Instances!F147:Instances!F147),"max", MAX(Instances!F147:Instances!F147),"diff", MAX(Instances!F147:Instances!F147)-MIN(Instances!F147:Instances!F147))</f>
        <v>0</v>
      </c>
      <c r="G147" s="1" cm="1">
        <f t="array" ref="G147">_xlfn.SWITCH($A$2,"average", AVERAGE(Instances!G147:Instances!G147),"median", MEDIAN(Instances!G147:Instances!G147),"min", MIN(Instances!G147:Instances!G147),"max", MAX(Instances!G147:Instances!G147),"diff", MAX(Instances!G147:Instances!G147)-MIN(Instances!G147:Instances!G147))</f>
        <v>0</v>
      </c>
      <c r="H147" s="1" cm="1">
        <f t="array" ref="H147">_xlfn.SWITCH($A$2,"average", AVERAGE(Instances!H147:Instances!H147),"median", MEDIAN(Instances!H147:Instances!H147),"min", MIN(Instances!H147:Instances!H147),"max", MAX(Instances!H147:Instances!H147),"diff", MAX(Instances!H147:Instances!H147)-MIN(Instances!H147:Instances!H147))</f>
        <v>0</v>
      </c>
      <c r="I147" s="1" cm="1">
        <f t="array" ref="I147">_xlfn.SWITCH($A$2,"average", AVERAGE(Instances!I147:Instances!I147),"median", MEDIAN(Instances!I147:Instances!I147),"min", MIN(Instances!I147:Instances!I147),"max", MAX(Instances!I147:Instances!I147),"diff", MAX(Instances!I147:Instances!I147)-MIN(Instances!I147:Instances!I147))</f>
        <v>0</v>
      </c>
      <c r="J147" s="1" cm="1">
        <f t="array" ref="J147">_xlfn.SWITCH($A$2,"average", AVERAGE(Instances!J147:Instances!J147),"median", MEDIAN(Instances!J147:Instances!J147),"min", MIN(Instances!J147:Instances!J147),"max", MAX(Instances!J147:Instances!J147),"diff", MAX(Instances!J147:Instances!J147)-MIN(Instances!J147:Instances!J147))</f>
        <v>0</v>
      </c>
      <c r="K147" s="1" cm="1">
        <f t="array" ref="K147">_xlfn.SWITCH($A$2,"average", AVERAGE(Instances!K147:Instances!K147),"median", MEDIAN(Instances!K147:Instances!K147),"min", MIN(Instances!K147:Instances!K147),"max", MAX(Instances!K147:Instances!K147),"diff", MAX(Instances!K147:Instances!K147)-MIN(Instances!K147:Instances!K147))</f>
        <v>0</v>
      </c>
      <c r="L147" s="1"/>
      <c r="M147" s="1" cm="1">
        <f t="array" ref="M147">_xlfn.SWITCH($A$2,"average", AVERAGE(Instances!M147:Instances!M147),"median", MEDIAN(Instances!M147:Instances!M147),"min", MIN(Instances!M147:Instances!M147),"max", MAX(Instances!M147:Instances!M147),"diff", MAX(Instances!M147:Instances!M147)-MIN(Instances!M147:Instances!M147))</f>
        <v>0</v>
      </c>
      <c r="N147" s="1" cm="1">
        <f t="array" ref="N147">_xlfn.SWITCH($A$2,"average", AVERAGE(Instances!N147:Instances!N147),"median", MEDIAN(Instances!N147:Instances!N147),"min", MIN(Instances!N147:Instances!N147),"max", MAX(Instances!N147:Instances!N147),"diff", MAX(Instances!N147:Instances!N147)-MIN(Instances!N147:Instances!N147))</f>
        <v>0</v>
      </c>
      <c r="O147" s="1"/>
      <c r="P147" s="1" cm="1">
        <f t="array" ref="P147">_xlfn.SWITCH($A$2,"average", AVERAGE(Instances!P147:Instances!P147),"median", MEDIAN(Instances!P147:Instances!P147),"min", MIN(Instances!P147:Instances!P147),"max", MAX(Instances!P147:Instances!P147),"diff", MAX(Instances!P147:Instances!P147)-MIN(Instances!P147:Instances!P147))</f>
        <v>0</v>
      </c>
      <c r="Q147" s="1" cm="1">
        <f t="array" ref="Q147">_xlfn.SWITCH($A$2,"average", AVERAGE(Instances!Q147:Instances!Q147),"median", MEDIAN(Instances!Q147:Instances!Q147),"min", MIN(Instances!Q147:Instances!Q147),"max", MAX(Instances!Q147:Instances!Q147),"diff", MAX(Instances!Q147:Instances!Q147)-MIN(Instances!Q147:Instances!Q147))</f>
        <v>0</v>
      </c>
      <c r="R147" s="1" cm="1">
        <f t="array" ref="R147">_xlfn.SWITCH($A$2,"average", AVERAGE(Instances!R147:Instances!R147),"median", MEDIAN(Instances!R147:Instances!R147),"min", MIN(Instances!R147:Instances!R147),"max", MAX(Instances!R147:Instances!R147),"diff", MAX(Instances!R147:Instances!R147)-MIN(Instances!R147:Instances!R147))</f>
        <v>0</v>
      </c>
      <c r="S147" s="1">
        <f>MIN($B147)</f>
        <v>0</v>
      </c>
      <c r="T147" s="1">
        <f>MIN($C147)</f>
        <v>0</v>
      </c>
      <c r="U147" s="1">
        <f>MIN($D147)</f>
        <v>0</v>
      </c>
      <c r="V147" s="1">
        <f>MIN($E147)</f>
        <v>0</v>
      </c>
      <c r="W147" s="1">
        <f>MIN($F147)</f>
        <v>0</v>
      </c>
      <c r="X147" s="1">
        <f>MIN($G147)</f>
        <v>0</v>
      </c>
      <c r="Y147" s="1">
        <f>MIN($H147)</f>
        <v>0</v>
      </c>
      <c r="Z147" s="1">
        <f>MIN($I147)</f>
        <v>0</v>
      </c>
      <c r="AA147" s="1">
        <f>MIN($J147)</f>
        <v>0</v>
      </c>
      <c r="AB147" s="1">
        <f>MIN($K147)</f>
        <v>0</v>
      </c>
      <c r="AC147" s="1">
        <f>MIN($M147)</f>
        <v>0</v>
      </c>
      <c r="AD147" s="1">
        <f>MIN($N147)</f>
        <v>0</v>
      </c>
      <c r="AE147" s="1">
        <f>MIN($P147)</f>
        <v>0</v>
      </c>
      <c r="AF147" s="1">
        <f>MIN($Q147)</f>
        <v>0</v>
      </c>
      <c r="AG147" s="1">
        <f>MIN($R147)</f>
        <v>0</v>
      </c>
      <c r="AH147" s="1">
        <f>MEDIAN($B147)</f>
        <v>0</v>
      </c>
      <c r="AI147" s="1">
        <f>MEDIAN($C147)</f>
        <v>0</v>
      </c>
      <c r="AJ147" s="1">
        <f>MEDIAN($D147)</f>
        <v>0</v>
      </c>
      <c r="AK147" s="1">
        <f>MEDIAN($E147)</f>
        <v>0</v>
      </c>
      <c r="AL147" s="1">
        <f>MEDIAN($F147)</f>
        <v>0</v>
      </c>
      <c r="AM147" s="1">
        <f>MEDIAN($G147)</f>
        <v>0</v>
      </c>
      <c r="AN147" s="1">
        <f>MEDIAN($H147)</f>
        <v>0</v>
      </c>
      <c r="AO147" s="1">
        <f>MEDIAN($I147)</f>
        <v>0</v>
      </c>
      <c r="AP147" s="1">
        <f>MEDIAN($J147)</f>
        <v>0</v>
      </c>
      <c r="AQ147" s="1">
        <f>MEDIAN($K147)</f>
        <v>0</v>
      </c>
      <c r="AR147" s="1">
        <f>MEDIAN($M147)</f>
        <v>0</v>
      </c>
      <c r="AS147" s="1">
        <f>MEDIAN($N147)</f>
        <v>0</v>
      </c>
      <c r="AT147" s="1">
        <f>MEDIAN($P147)</f>
        <v>0</v>
      </c>
      <c r="AU147" s="1">
        <f>MEDIAN($Q147)</f>
        <v>0</v>
      </c>
      <c r="AV147" s="1">
        <f>MEDIAN($R147)</f>
        <v>0</v>
      </c>
      <c r="AW147" s="1">
        <f>MAX($B147)</f>
        <v>0</v>
      </c>
      <c r="AX147" s="1">
        <f>MAX($C147)</f>
        <v>0</v>
      </c>
      <c r="AY147" s="1">
        <f>MAX($D147)</f>
        <v>0</v>
      </c>
      <c r="AZ147" s="1">
        <f>MAX($E147)</f>
        <v>0</v>
      </c>
      <c r="BA147" s="1">
        <f>MAX($F147)</f>
        <v>0</v>
      </c>
      <c r="BB147" s="1">
        <f>MAX($G147)</f>
        <v>0</v>
      </c>
      <c r="BC147" s="1">
        <f>MAX($H147)</f>
        <v>0</v>
      </c>
      <c r="BD147" s="1">
        <f>MAX($I147)</f>
        <v>0</v>
      </c>
      <c r="BE147" s="1">
        <f>MAX($J147)</f>
        <v>0</v>
      </c>
      <c r="BF147" s="1">
        <f>MAX($K147)</f>
        <v>0</v>
      </c>
      <c r="BG147" s="1">
        <f>MAX($M147)</f>
        <v>0</v>
      </c>
      <c r="BH147" s="1">
        <f>MAX($N147)</f>
        <v>0</v>
      </c>
      <c r="BI147" s="1">
        <f>MAX($P147)</f>
        <v>0</v>
      </c>
      <c r="BJ147" s="1">
        <f>MAX($Q147)</f>
        <v>0</v>
      </c>
      <c r="BK147" s="1">
        <f>MAX($R147)</f>
        <v>0</v>
      </c>
    </row>
    <row r="148" spans="1:63">
      <c r="A148" s="1" t="s">
        <v>145</v>
      </c>
      <c r="B148" s="1" cm="1">
        <f t="array" ref="B148">_xlfn.SWITCH($A$2,"average", AVERAGE(Instances!B148:Instances!B148),"median", MEDIAN(Instances!B148:Instances!B148),"min", MIN(Instances!B148:Instances!B148),"max", MAX(Instances!B148:Instances!B148),"diff", MAX(Instances!B148:Instances!B148)-MIN(Instances!B148:Instances!B148))</f>
        <v>0</v>
      </c>
      <c r="C148" s="1" cm="1">
        <f t="array" ref="C148">_xlfn.SWITCH($A$2,"average", AVERAGE(Instances!C148:Instances!C148),"median", MEDIAN(Instances!C148:Instances!C148),"min", MIN(Instances!C148:Instances!C148),"max", MAX(Instances!C148:Instances!C148),"diff", MAX(Instances!C148:Instances!C148)-MIN(Instances!C148:Instances!C148))</f>
        <v>0</v>
      </c>
      <c r="D148" s="1" cm="1">
        <f t="array" ref="D148">_xlfn.SWITCH($A$2,"average", AVERAGE(Instances!D148:Instances!D148),"median", MEDIAN(Instances!D148:Instances!D148),"min", MIN(Instances!D148:Instances!D148),"max", MAX(Instances!D148:Instances!D148),"diff", MAX(Instances!D148:Instances!D148)-MIN(Instances!D148:Instances!D148))</f>
        <v>0</v>
      </c>
      <c r="E148" s="1" cm="1">
        <f t="array" ref="E148">_xlfn.SWITCH($A$2,"average", AVERAGE(Instances!E148:Instances!E148),"median", MEDIAN(Instances!E148:Instances!E148),"min", MIN(Instances!E148:Instances!E148),"max", MAX(Instances!E148:Instances!E148),"diff", MAX(Instances!E148:Instances!E148)-MIN(Instances!E148:Instances!E148))</f>
        <v>0</v>
      </c>
      <c r="F148" s="1" cm="1">
        <f t="array" ref="F148">_xlfn.SWITCH($A$2,"average", AVERAGE(Instances!F148:Instances!F148),"median", MEDIAN(Instances!F148:Instances!F148),"min", MIN(Instances!F148:Instances!F148),"max", MAX(Instances!F148:Instances!F148),"diff", MAX(Instances!F148:Instances!F148)-MIN(Instances!F148:Instances!F148))</f>
        <v>0</v>
      </c>
      <c r="G148" s="1" cm="1">
        <f t="array" ref="G148">_xlfn.SWITCH($A$2,"average", AVERAGE(Instances!G148:Instances!G148),"median", MEDIAN(Instances!G148:Instances!G148),"min", MIN(Instances!G148:Instances!G148),"max", MAX(Instances!G148:Instances!G148),"diff", MAX(Instances!G148:Instances!G148)-MIN(Instances!G148:Instances!G148))</f>
        <v>0</v>
      </c>
      <c r="H148" s="1" cm="1">
        <f t="array" ref="H148">_xlfn.SWITCH($A$2,"average", AVERAGE(Instances!H148:Instances!H148),"median", MEDIAN(Instances!H148:Instances!H148),"min", MIN(Instances!H148:Instances!H148),"max", MAX(Instances!H148:Instances!H148),"diff", MAX(Instances!H148:Instances!H148)-MIN(Instances!H148:Instances!H148))</f>
        <v>0</v>
      </c>
      <c r="I148" s="1" cm="1">
        <f t="array" ref="I148">_xlfn.SWITCH($A$2,"average", AVERAGE(Instances!I148:Instances!I148),"median", MEDIAN(Instances!I148:Instances!I148),"min", MIN(Instances!I148:Instances!I148),"max", MAX(Instances!I148:Instances!I148),"diff", MAX(Instances!I148:Instances!I148)-MIN(Instances!I148:Instances!I148))</f>
        <v>0</v>
      </c>
      <c r="J148" s="1" cm="1">
        <f t="array" ref="J148">_xlfn.SWITCH($A$2,"average", AVERAGE(Instances!J148:Instances!J148),"median", MEDIAN(Instances!J148:Instances!J148),"min", MIN(Instances!J148:Instances!J148),"max", MAX(Instances!J148:Instances!J148),"diff", MAX(Instances!J148:Instances!J148)-MIN(Instances!J148:Instances!J148))</f>
        <v>0</v>
      </c>
      <c r="K148" s="1" cm="1">
        <f t="array" ref="K148">_xlfn.SWITCH($A$2,"average", AVERAGE(Instances!K148:Instances!K148),"median", MEDIAN(Instances!K148:Instances!K148),"min", MIN(Instances!K148:Instances!K148),"max", MAX(Instances!K148:Instances!K148),"diff", MAX(Instances!K148:Instances!K148)-MIN(Instances!K148:Instances!K148))</f>
        <v>0</v>
      </c>
      <c r="L148" s="1"/>
      <c r="M148" s="1" cm="1">
        <f t="array" ref="M148">_xlfn.SWITCH($A$2,"average", AVERAGE(Instances!M148:Instances!M148),"median", MEDIAN(Instances!M148:Instances!M148),"min", MIN(Instances!M148:Instances!M148),"max", MAX(Instances!M148:Instances!M148),"diff", MAX(Instances!M148:Instances!M148)-MIN(Instances!M148:Instances!M148))</f>
        <v>0</v>
      </c>
      <c r="N148" s="1" cm="1">
        <f t="array" ref="N148">_xlfn.SWITCH($A$2,"average", AVERAGE(Instances!N148:Instances!N148),"median", MEDIAN(Instances!N148:Instances!N148),"min", MIN(Instances!N148:Instances!N148),"max", MAX(Instances!N148:Instances!N148),"diff", MAX(Instances!N148:Instances!N148)-MIN(Instances!N148:Instances!N148))</f>
        <v>0</v>
      </c>
      <c r="O148" s="1"/>
      <c r="P148" s="1" cm="1">
        <f t="array" ref="P148">_xlfn.SWITCH($A$2,"average", AVERAGE(Instances!P148:Instances!P148),"median", MEDIAN(Instances!P148:Instances!P148),"min", MIN(Instances!P148:Instances!P148),"max", MAX(Instances!P148:Instances!P148),"diff", MAX(Instances!P148:Instances!P148)-MIN(Instances!P148:Instances!P148))</f>
        <v>0</v>
      </c>
      <c r="Q148" s="1" cm="1">
        <f t="array" ref="Q148">_xlfn.SWITCH($A$2,"average", AVERAGE(Instances!Q148:Instances!Q148),"median", MEDIAN(Instances!Q148:Instances!Q148),"min", MIN(Instances!Q148:Instances!Q148),"max", MAX(Instances!Q148:Instances!Q148),"diff", MAX(Instances!Q148:Instances!Q148)-MIN(Instances!Q148:Instances!Q148))</f>
        <v>0</v>
      </c>
      <c r="R148" s="1" cm="1">
        <f t="array" ref="R148">_xlfn.SWITCH($A$2,"average", AVERAGE(Instances!R148:Instances!R148),"median", MEDIAN(Instances!R148:Instances!R148),"min", MIN(Instances!R148:Instances!R148),"max", MAX(Instances!R148:Instances!R148),"diff", MAX(Instances!R148:Instances!R148)-MIN(Instances!R148:Instances!R148))</f>
        <v>0</v>
      </c>
      <c r="S148" s="1">
        <f>MIN($B148)</f>
        <v>0</v>
      </c>
      <c r="T148" s="1">
        <f>MIN($C148)</f>
        <v>0</v>
      </c>
      <c r="U148" s="1">
        <f>MIN($D148)</f>
        <v>0</v>
      </c>
      <c r="V148" s="1">
        <f>MIN($E148)</f>
        <v>0</v>
      </c>
      <c r="W148" s="1">
        <f>MIN($F148)</f>
        <v>0</v>
      </c>
      <c r="X148" s="1">
        <f>MIN($G148)</f>
        <v>0</v>
      </c>
      <c r="Y148" s="1">
        <f>MIN($H148)</f>
        <v>0</v>
      </c>
      <c r="Z148" s="1">
        <f>MIN($I148)</f>
        <v>0</v>
      </c>
      <c r="AA148" s="1">
        <f>MIN($J148)</f>
        <v>0</v>
      </c>
      <c r="AB148" s="1">
        <f>MIN($K148)</f>
        <v>0</v>
      </c>
      <c r="AC148" s="1">
        <f>MIN($M148)</f>
        <v>0</v>
      </c>
      <c r="AD148" s="1">
        <f>MIN($N148)</f>
        <v>0</v>
      </c>
      <c r="AE148" s="1">
        <f>MIN($P148)</f>
        <v>0</v>
      </c>
      <c r="AF148" s="1">
        <f>MIN($Q148)</f>
        <v>0</v>
      </c>
      <c r="AG148" s="1">
        <f>MIN($R148)</f>
        <v>0</v>
      </c>
      <c r="AH148" s="1">
        <f>MEDIAN($B148)</f>
        <v>0</v>
      </c>
      <c r="AI148" s="1">
        <f>MEDIAN($C148)</f>
        <v>0</v>
      </c>
      <c r="AJ148" s="1">
        <f>MEDIAN($D148)</f>
        <v>0</v>
      </c>
      <c r="AK148" s="1">
        <f>MEDIAN($E148)</f>
        <v>0</v>
      </c>
      <c r="AL148" s="1">
        <f>MEDIAN($F148)</f>
        <v>0</v>
      </c>
      <c r="AM148" s="1">
        <f>MEDIAN($G148)</f>
        <v>0</v>
      </c>
      <c r="AN148" s="1">
        <f>MEDIAN($H148)</f>
        <v>0</v>
      </c>
      <c r="AO148" s="1">
        <f>MEDIAN($I148)</f>
        <v>0</v>
      </c>
      <c r="AP148" s="1">
        <f>MEDIAN($J148)</f>
        <v>0</v>
      </c>
      <c r="AQ148" s="1">
        <f>MEDIAN($K148)</f>
        <v>0</v>
      </c>
      <c r="AR148" s="1">
        <f>MEDIAN($M148)</f>
        <v>0</v>
      </c>
      <c r="AS148" s="1">
        <f>MEDIAN($N148)</f>
        <v>0</v>
      </c>
      <c r="AT148" s="1">
        <f>MEDIAN($P148)</f>
        <v>0</v>
      </c>
      <c r="AU148" s="1">
        <f>MEDIAN($Q148)</f>
        <v>0</v>
      </c>
      <c r="AV148" s="1">
        <f>MEDIAN($R148)</f>
        <v>0</v>
      </c>
      <c r="AW148" s="1">
        <f>MAX($B148)</f>
        <v>0</v>
      </c>
      <c r="AX148" s="1">
        <f>MAX($C148)</f>
        <v>0</v>
      </c>
      <c r="AY148" s="1">
        <f>MAX($D148)</f>
        <v>0</v>
      </c>
      <c r="AZ148" s="1">
        <f>MAX($E148)</f>
        <v>0</v>
      </c>
      <c r="BA148" s="1">
        <f>MAX($F148)</f>
        <v>0</v>
      </c>
      <c r="BB148" s="1">
        <f>MAX($G148)</f>
        <v>0</v>
      </c>
      <c r="BC148" s="1">
        <f>MAX($H148)</f>
        <v>0</v>
      </c>
      <c r="BD148" s="1">
        <f>MAX($I148)</f>
        <v>0</v>
      </c>
      <c r="BE148" s="1">
        <f>MAX($J148)</f>
        <v>0</v>
      </c>
      <c r="BF148" s="1">
        <f>MAX($K148)</f>
        <v>0</v>
      </c>
      <c r="BG148" s="1">
        <f>MAX($M148)</f>
        <v>0</v>
      </c>
      <c r="BH148" s="1">
        <f>MAX($N148)</f>
        <v>0</v>
      </c>
      <c r="BI148" s="1">
        <f>MAX($P148)</f>
        <v>0</v>
      </c>
      <c r="BJ148" s="1">
        <f>MAX($Q148)</f>
        <v>0</v>
      </c>
      <c r="BK148" s="1">
        <f>MAX($R148)</f>
        <v>0</v>
      </c>
    </row>
    <row r="149" spans="1:63">
      <c r="A149" s="1" t="s">
        <v>146</v>
      </c>
      <c r="B149" s="1" cm="1">
        <f t="array" ref="B149">_xlfn.SWITCH($A$2,"average", AVERAGE(Instances!B149:Instances!B149),"median", MEDIAN(Instances!B149:Instances!B149),"min", MIN(Instances!B149:Instances!B149),"max", MAX(Instances!B149:Instances!B149),"diff", MAX(Instances!B149:Instances!B149)-MIN(Instances!B149:Instances!B149))</f>
        <v>0</v>
      </c>
      <c r="C149" s="1" cm="1">
        <f t="array" ref="C149">_xlfn.SWITCH($A$2,"average", AVERAGE(Instances!C149:Instances!C149),"median", MEDIAN(Instances!C149:Instances!C149),"min", MIN(Instances!C149:Instances!C149),"max", MAX(Instances!C149:Instances!C149),"diff", MAX(Instances!C149:Instances!C149)-MIN(Instances!C149:Instances!C149))</f>
        <v>0</v>
      </c>
      <c r="D149" s="1" cm="1">
        <f t="array" ref="D149">_xlfn.SWITCH($A$2,"average", AVERAGE(Instances!D149:Instances!D149),"median", MEDIAN(Instances!D149:Instances!D149),"min", MIN(Instances!D149:Instances!D149),"max", MAX(Instances!D149:Instances!D149),"diff", MAX(Instances!D149:Instances!D149)-MIN(Instances!D149:Instances!D149))</f>
        <v>0</v>
      </c>
      <c r="E149" s="1" cm="1">
        <f t="array" ref="E149">_xlfn.SWITCH($A$2,"average", AVERAGE(Instances!E149:Instances!E149),"median", MEDIAN(Instances!E149:Instances!E149),"min", MIN(Instances!E149:Instances!E149),"max", MAX(Instances!E149:Instances!E149),"diff", MAX(Instances!E149:Instances!E149)-MIN(Instances!E149:Instances!E149))</f>
        <v>0</v>
      </c>
      <c r="F149" s="1" cm="1">
        <f t="array" ref="F149">_xlfn.SWITCH($A$2,"average", AVERAGE(Instances!F149:Instances!F149),"median", MEDIAN(Instances!F149:Instances!F149),"min", MIN(Instances!F149:Instances!F149),"max", MAX(Instances!F149:Instances!F149),"diff", MAX(Instances!F149:Instances!F149)-MIN(Instances!F149:Instances!F149))</f>
        <v>0</v>
      </c>
      <c r="G149" s="1" cm="1">
        <f t="array" ref="G149">_xlfn.SWITCH($A$2,"average", AVERAGE(Instances!G149:Instances!G149),"median", MEDIAN(Instances!G149:Instances!G149),"min", MIN(Instances!G149:Instances!G149),"max", MAX(Instances!G149:Instances!G149),"diff", MAX(Instances!G149:Instances!G149)-MIN(Instances!G149:Instances!G149))</f>
        <v>0</v>
      </c>
      <c r="H149" s="1" cm="1">
        <f t="array" ref="H149">_xlfn.SWITCH($A$2,"average", AVERAGE(Instances!H149:Instances!H149),"median", MEDIAN(Instances!H149:Instances!H149),"min", MIN(Instances!H149:Instances!H149),"max", MAX(Instances!H149:Instances!H149),"diff", MAX(Instances!H149:Instances!H149)-MIN(Instances!H149:Instances!H149))</f>
        <v>0</v>
      </c>
      <c r="I149" s="1" cm="1">
        <f t="array" ref="I149">_xlfn.SWITCH($A$2,"average", AVERAGE(Instances!I149:Instances!I149),"median", MEDIAN(Instances!I149:Instances!I149),"min", MIN(Instances!I149:Instances!I149),"max", MAX(Instances!I149:Instances!I149),"diff", MAX(Instances!I149:Instances!I149)-MIN(Instances!I149:Instances!I149))</f>
        <v>0</v>
      </c>
      <c r="J149" s="1" cm="1">
        <f t="array" ref="J149">_xlfn.SWITCH($A$2,"average", AVERAGE(Instances!J149:Instances!J149),"median", MEDIAN(Instances!J149:Instances!J149),"min", MIN(Instances!J149:Instances!J149),"max", MAX(Instances!J149:Instances!J149),"diff", MAX(Instances!J149:Instances!J149)-MIN(Instances!J149:Instances!J149))</f>
        <v>0</v>
      </c>
      <c r="K149" s="1" cm="1">
        <f t="array" ref="K149">_xlfn.SWITCH($A$2,"average", AVERAGE(Instances!K149:Instances!K149),"median", MEDIAN(Instances!K149:Instances!K149),"min", MIN(Instances!K149:Instances!K149),"max", MAX(Instances!K149:Instances!K149),"diff", MAX(Instances!K149:Instances!K149)-MIN(Instances!K149:Instances!K149))</f>
        <v>0</v>
      </c>
      <c r="L149" s="1"/>
      <c r="M149" s="1" cm="1">
        <f t="array" ref="M149">_xlfn.SWITCH($A$2,"average", AVERAGE(Instances!M149:Instances!M149),"median", MEDIAN(Instances!M149:Instances!M149),"min", MIN(Instances!M149:Instances!M149),"max", MAX(Instances!M149:Instances!M149),"diff", MAX(Instances!M149:Instances!M149)-MIN(Instances!M149:Instances!M149))</f>
        <v>0</v>
      </c>
      <c r="N149" s="1" cm="1">
        <f t="array" ref="N149">_xlfn.SWITCH($A$2,"average", AVERAGE(Instances!N149:Instances!N149),"median", MEDIAN(Instances!N149:Instances!N149),"min", MIN(Instances!N149:Instances!N149),"max", MAX(Instances!N149:Instances!N149),"diff", MAX(Instances!N149:Instances!N149)-MIN(Instances!N149:Instances!N149))</f>
        <v>0</v>
      </c>
      <c r="O149" s="1"/>
      <c r="P149" s="1" cm="1">
        <f t="array" ref="P149">_xlfn.SWITCH($A$2,"average", AVERAGE(Instances!P149:Instances!P149),"median", MEDIAN(Instances!P149:Instances!P149),"min", MIN(Instances!P149:Instances!P149),"max", MAX(Instances!P149:Instances!P149),"diff", MAX(Instances!P149:Instances!P149)-MIN(Instances!P149:Instances!P149))</f>
        <v>0</v>
      </c>
      <c r="Q149" s="1" cm="1">
        <f t="array" ref="Q149">_xlfn.SWITCH($A$2,"average", AVERAGE(Instances!Q149:Instances!Q149),"median", MEDIAN(Instances!Q149:Instances!Q149),"min", MIN(Instances!Q149:Instances!Q149),"max", MAX(Instances!Q149:Instances!Q149),"diff", MAX(Instances!Q149:Instances!Q149)-MIN(Instances!Q149:Instances!Q149))</f>
        <v>0</v>
      </c>
      <c r="R149" s="1" cm="1">
        <f t="array" ref="R149">_xlfn.SWITCH($A$2,"average", AVERAGE(Instances!R149:Instances!R149),"median", MEDIAN(Instances!R149:Instances!R149),"min", MIN(Instances!R149:Instances!R149),"max", MAX(Instances!R149:Instances!R149),"diff", MAX(Instances!R149:Instances!R149)-MIN(Instances!R149:Instances!R149))</f>
        <v>0</v>
      </c>
      <c r="S149" s="1">
        <f>MIN($B149)</f>
        <v>0</v>
      </c>
      <c r="T149" s="1">
        <f>MIN($C149)</f>
        <v>0</v>
      </c>
      <c r="U149" s="1">
        <f>MIN($D149)</f>
        <v>0</v>
      </c>
      <c r="V149" s="1">
        <f>MIN($E149)</f>
        <v>0</v>
      </c>
      <c r="W149" s="1">
        <f>MIN($F149)</f>
        <v>0</v>
      </c>
      <c r="X149" s="1">
        <f>MIN($G149)</f>
        <v>0</v>
      </c>
      <c r="Y149" s="1">
        <f>MIN($H149)</f>
        <v>0</v>
      </c>
      <c r="Z149" s="1">
        <f>MIN($I149)</f>
        <v>0</v>
      </c>
      <c r="AA149" s="1">
        <f>MIN($J149)</f>
        <v>0</v>
      </c>
      <c r="AB149" s="1">
        <f>MIN($K149)</f>
        <v>0</v>
      </c>
      <c r="AC149" s="1">
        <f>MIN($M149)</f>
        <v>0</v>
      </c>
      <c r="AD149" s="1">
        <f>MIN($N149)</f>
        <v>0</v>
      </c>
      <c r="AE149" s="1">
        <f>MIN($P149)</f>
        <v>0</v>
      </c>
      <c r="AF149" s="1">
        <f>MIN($Q149)</f>
        <v>0</v>
      </c>
      <c r="AG149" s="1">
        <f>MIN($R149)</f>
        <v>0</v>
      </c>
      <c r="AH149" s="1">
        <f>MEDIAN($B149)</f>
        <v>0</v>
      </c>
      <c r="AI149" s="1">
        <f>MEDIAN($C149)</f>
        <v>0</v>
      </c>
      <c r="AJ149" s="1">
        <f>MEDIAN($D149)</f>
        <v>0</v>
      </c>
      <c r="AK149" s="1">
        <f>MEDIAN($E149)</f>
        <v>0</v>
      </c>
      <c r="AL149" s="1">
        <f>MEDIAN($F149)</f>
        <v>0</v>
      </c>
      <c r="AM149" s="1">
        <f>MEDIAN($G149)</f>
        <v>0</v>
      </c>
      <c r="AN149" s="1">
        <f>MEDIAN($H149)</f>
        <v>0</v>
      </c>
      <c r="AO149" s="1">
        <f>MEDIAN($I149)</f>
        <v>0</v>
      </c>
      <c r="AP149" s="1">
        <f>MEDIAN($J149)</f>
        <v>0</v>
      </c>
      <c r="AQ149" s="1">
        <f>MEDIAN($K149)</f>
        <v>0</v>
      </c>
      <c r="AR149" s="1">
        <f>MEDIAN($M149)</f>
        <v>0</v>
      </c>
      <c r="AS149" s="1">
        <f>MEDIAN($N149)</f>
        <v>0</v>
      </c>
      <c r="AT149" s="1">
        <f>MEDIAN($P149)</f>
        <v>0</v>
      </c>
      <c r="AU149" s="1">
        <f>MEDIAN($Q149)</f>
        <v>0</v>
      </c>
      <c r="AV149" s="1">
        <f>MEDIAN($R149)</f>
        <v>0</v>
      </c>
      <c r="AW149" s="1">
        <f>MAX($B149)</f>
        <v>0</v>
      </c>
      <c r="AX149" s="1">
        <f>MAX($C149)</f>
        <v>0</v>
      </c>
      <c r="AY149" s="1">
        <f>MAX($D149)</f>
        <v>0</v>
      </c>
      <c r="AZ149" s="1">
        <f>MAX($E149)</f>
        <v>0</v>
      </c>
      <c r="BA149" s="1">
        <f>MAX($F149)</f>
        <v>0</v>
      </c>
      <c r="BB149" s="1">
        <f>MAX($G149)</f>
        <v>0</v>
      </c>
      <c r="BC149" s="1">
        <f>MAX($H149)</f>
        <v>0</v>
      </c>
      <c r="BD149" s="1">
        <f>MAX($I149)</f>
        <v>0</v>
      </c>
      <c r="BE149" s="1">
        <f>MAX($J149)</f>
        <v>0</v>
      </c>
      <c r="BF149" s="1">
        <f>MAX($K149)</f>
        <v>0</v>
      </c>
      <c r="BG149" s="1">
        <f>MAX($M149)</f>
        <v>0</v>
      </c>
      <c r="BH149" s="1">
        <f>MAX($N149)</f>
        <v>0</v>
      </c>
      <c r="BI149" s="1">
        <f>MAX($P149)</f>
        <v>0</v>
      </c>
      <c r="BJ149" s="1">
        <f>MAX($Q149)</f>
        <v>0</v>
      </c>
      <c r="BK149" s="1">
        <f>MAX($R149)</f>
        <v>0</v>
      </c>
    </row>
    <row r="150" spans="1:63">
      <c r="A150" s="1" t="s">
        <v>147</v>
      </c>
      <c r="B150" s="1" cm="1">
        <f t="array" ref="B150">_xlfn.SWITCH($A$2,"average", AVERAGE(Instances!B150:Instances!B150),"median", MEDIAN(Instances!B150:Instances!B150),"min", MIN(Instances!B150:Instances!B150),"max", MAX(Instances!B150:Instances!B150),"diff", MAX(Instances!B150:Instances!B150)-MIN(Instances!B150:Instances!B150))</f>
        <v>0</v>
      </c>
      <c r="C150" s="1" cm="1">
        <f t="array" ref="C150">_xlfn.SWITCH($A$2,"average", AVERAGE(Instances!C150:Instances!C150),"median", MEDIAN(Instances!C150:Instances!C150),"min", MIN(Instances!C150:Instances!C150),"max", MAX(Instances!C150:Instances!C150),"diff", MAX(Instances!C150:Instances!C150)-MIN(Instances!C150:Instances!C150))</f>
        <v>0</v>
      </c>
      <c r="D150" s="1" cm="1">
        <f t="array" ref="D150">_xlfn.SWITCH($A$2,"average", AVERAGE(Instances!D150:Instances!D150),"median", MEDIAN(Instances!D150:Instances!D150),"min", MIN(Instances!D150:Instances!D150),"max", MAX(Instances!D150:Instances!D150),"diff", MAX(Instances!D150:Instances!D150)-MIN(Instances!D150:Instances!D150))</f>
        <v>0</v>
      </c>
      <c r="E150" s="1" cm="1">
        <f t="array" ref="E150">_xlfn.SWITCH($A$2,"average", AVERAGE(Instances!E150:Instances!E150),"median", MEDIAN(Instances!E150:Instances!E150),"min", MIN(Instances!E150:Instances!E150),"max", MAX(Instances!E150:Instances!E150),"diff", MAX(Instances!E150:Instances!E150)-MIN(Instances!E150:Instances!E150))</f>
        <v>0</v>
      </c>
      <c r="F150" s="1" cm="1">
        <f t="array" ref="F150">_xlfn.SWITCH($A$2,"average", AVERAGE(Instances!F150:Instances!F150),"median", MEDIAN(Instances!F150:Instances!F150),"min", MIN(Instances!F150:Instances!F150),"max", MAX(Instances!F150:Instances!F150),"diff", MAX(Instances!F150:Instances!F150)-MIN(Instances!F150:Instances!F150))</f>
        <v>0</v>
      </c>
      <c r="G150" s="1" cm="1">
        <f t="array" ref="G150">_xlfn.SWITCH($A$2,"average", AVERAGE(Instances!G150:Instances!G150),"median", MEDIAN(Instances!G150:Instances!G150),"min", MIN(Instances!G150:Instances!G150),"max", MAX(Instances!G150:Instances!G150),"diff", MAX(Instances!G150:Instances!G150)-MIN(Instances!G150:Instances!G150))</f>
        <v>0</v>
      </c>
      <c r="H150" s="1" cm="1">
        <f t="array" ref="H150">_xlfn.SWITCH($A$2,"average", AVERAGE(Instances!H150:Instances!H150),"median", MEDIAN(Instances!H150:Instances!H150),"min", MIN(Instances!H150:Instances!H150),"max", MAX(Instances!H150:Instances!H150),"diff", MAX(Instances!H150:Instances!H150)-MIN(Instances!H150:Instances!H150))</f>
        <v>0</v>
      </c>
      <c r="I150" s="1" cm="1">
        <f t="array" ref="I150">_xlfn.SWITCH($A$2,"average", AVERAGE(Instances!I150:Instances!I150),"median", MEDIAN(Instances!I150:Instances!I150),"min", MIN(Instances!I150:Instances!I150),"max", MAX(Instances!I150:Instances!I150),"diff", MAX(Instances!I150:Instances!I150)-MIN(Instances!I150:Instances!I150))</f>
        <v>0</v>
      </c>
      <c r="J150" s="1" cm="1">
        <f t="array" ref="J150">_xlfn.SWITCH($A$2,"average", AVERAGE(Instances!J150:Instances!J150),"median", MEDIAN(Instances!J150:Instances!J150),"min", MIN(Instances!J150:Instances!J150),"max", MAX(Instances!J150:Instances!J150),"diff", MAX(Instances!J150:Instances!J150)-MIN(Instances!J150:Instances!J150))</f>
        <v>0</v>
      </c>
      <c r="K150" s="1" cm="1">
        <f t="array" ref="K150">_xlfn.SWITCH($A$2,"average", AVERAGE(Instances!K150:Instances!K150),"median", MEDIAN(Instances!K150:Instances!K150),"min", MIN(Instances!K150:Instances!K150),"max", MAX(Instances!K150:Instances!K150),"diff", MAX(Instances!K150:Instances!K150)-MIN(Instances!K150:Instances!K150))</f>
        <v>0</v>
      </c>
      <c r="L150" s="1"/>
      <c r="M150" s="1" cm="1">
        <f t="array" ref="M150">_xlfn.SWITCH($A$2,"average", AVERAGE(Instances!M150:Instances!M150),"median", MEDIAN(Instances!M150:Instances!M150),"min", MIN(Instances!M150:Instances!M150),"max", MAX(Instances!M150:Instances!M150),"diff", MAX(Instances!M150:Instances!M150)-MIN(Instances!M150:Instances!M150))</f>
        <v>0</v>
      </c>
      <c r="N150" s="1" cm="1">
        <f t="array" ref="N150">_xlfn.SWITCH($A$2,"average", AVERAGE(Instances!N150:Instances!N150),"median", MEDIAN(Instances!N150:Instances!N150),"min", MIN(Instances!N150:Instances!N150),"max", MAX(Instances!N150:Instances!N150),"diff", MAX(Instances!N150:Instances!N150)-MIN(Instances!N150:Instances!N150))</f>
        <v>0</v>
      </c>
      <c r="O150" s="1"/>
      <c r="P150" s="1" cm="1">
        <f t="array" ref="P150">_xlfn.SWITCH($A$2,"average", AVERAGE(Instances!P150:Instances!P150),"median", MEDIAN(Instances!P150:Instances!P150),"min", MIN(Instances!P150:Instances!P150),"max", MAX(Instances!P150:Instances!P150),"diff", MAX(Instances!P150:Instances!P150)-MIN(Instances!P150:Instances!P150))</f>
        <v>0</v>
      </c>
      <c r="Q150" s="1" cm="1">
        <f t="array" ref="Q150">_xlfn.SWITCH($A$2,"average", AVERAGE(Instances!Q150:Instances!Q150),"median", MEDIAN(Instances!Q150:Instances!Q150),"min", MIN(Instances!Q150:Instances!Q150),"max", MAX(Instances!Q150:Instances!Q150),"diff", MAX(Instances!Q150:Instances!Q150)-MIN(Instances!Q150:Instances!Q150))</f>
        <v>0</v>
      </c>
      <c r="R150" s="1" cm="1">
        <f t="array" ref="R150">_xlfn.SWITCH($A$2,"average", AVERAGE(Instances!R150:Instances!R150),"median", MEDIAN(Instances!R150:Instances!R150),"min", MIN(Instances!R150:Instances!R150),"max", MAX(Instances!R150:Instances!R150),"diff", MAX(Instances!R150:Instances!R150)-MIN(Instances!R150:Instances!R150))</f>
        <v>0</v>
      </c>
      <c r="S150" s="1">
        <f>MIN($B150)</f>
        <v>0</v>
      </c>
      <c r="T150" s="1">
        <f>MIN($C150)</f>
        <v>0</v>
      </c>
      <c r="U150" s="1">
        <f>MIN($D150)</f>
        <v>0</v>
      </c>
      <c r="V150" s="1">
        <f>MIN($E150)</f>
        <v>0</v>
      </c>
      <c r="W150" s="1">
        <f>MIN($F150)</f>
        <v>0</v>
      </c>
      <c r="X150" s="1">
        <f>MIN($G150)</f>
        <v>0</v>
      </c>
      <c r="Y150" s="1">
        <f>MIN($H150)</f>
        <v>0</v>
      </c>
      <c r="Z150" s="1">
        <f>MIN($I150)</f>
        <v>0</v>
      </c>
      <c r="AA150" s="1">
        <f>MIN($J150)</f>
        <v>0</v>
      </c>
      <c r="AB150" s="1">
        <f>MIN($K150)</f>
        <v>0</v>
      </c>
      <c r="AC150" s="1">
        <f>MIN($M150)</f>
        <v>0</v>
      </c>
      <c r="AD150" s="1">
        <f>MIN($N150)</f>
        <v>0</v>
      </c>
      <c r="AE150" s="1">
        <f>MIN($P150)</f>
        <v>0</v>
      </c>
      <c r="AF150" s="1">
        <f>MIN($Q150)</f>
        <v>0</v>
      </c>
      <c r="AG150" s="1">
        <f>MIN($R150)</f>
        <v>0</v>
      </c>
      <c r="AH150" s="1">
        <f>MEDIAN($B150)</f>
        <v>0</v>
      </c>
      <c r="AI150" s="1">
        <f>MEDIAN($C150)</f>
        <v>0</v>
      </c>
      <c r="AJ150" s="1">
        <f>MEDIAN($D150)</f>
        <v>0</v>
      </c>
      <c r="AK150" s="1">
        <f>MEDIAN($E150)</f>
        <v>0</v>
      </c>
      <c r="AL150" s="1">
        <f>MEDIAN($F150)</f>
        <v>0</v>
      </c>
      <c r="AM150" s="1">
        <f>MEDIAN($G150)</f>
        <v>0</v>
      </c>
      <c r="AN150" s="1">
        <f>MEDIAN($H150)</f>
        <v>0</v>
      </c>
      <c r="AO150" s="1">
        <f>MEDIAN($I150)</f>
        <v>0</v>
      </c>
      <c r="AP150" s="1">
        <f>MEDIAN($J150)</f>
        <v>0</v>
      </c>
      <c r="AQ150" s="1">
        <f>MEDIAN($K150)</f>
        <v>0</v>
      </c>
      <c r="AR150" s="1">
        <f>MEDIAN($M150)</f>
        <v>0</v>
      </c>
      <c r="AS150" s="1">
        <f>MEDIAN($N150)</f>
        <v>0</v>
      </c>
      <c r="AT150" s="1">
        <f>MEDIAN($P150)</f>
        <v>0</v>
      </c>
      <c r="AU150" s="1">
        <f>MEDIAN($Q150)</f>
        <v>0</v>
      </c>
      <c r="AV150" s="1">
        <f>MEDIAN($R150)</f>
        <v>0</v>
      </c>
      <c r="AW150" s="1">
        <f>MAX($B150)</f>
        <v>0</v>
      </c>
      <c r="AX150" s="1">
        <f>MAX($C150)</f>
        <v>0</v>
      </c>
      <c r="AY150" s="1">
        <f>MAX($D150)</f>
        <v>0</v>
      </c>
      <c r="AZ150" s="1">
        <f>MAX($E150)</f>
        <v>0</v>
      </c>
      <c r="BA150" s="1">
        <f>MAX($F150)</f>
        <v>0</v>
      </c>
      <c r="BB150" s="1">
        <f>MAX($G150)</f>
        <v>0</v>
      </c>
      <c r="BC150" s="1">
        <f>MAX($H150)</f>
        <v>0</v>
      </c>
      <c r="BD150" s="1">
        <f>MAX($I150)</f>
        <v>0</v>
      </c>
      <c r="BE150" s="1">
        <f>MAX($J150)</f>
        <v>0</v>
      </c>
      <c r="BF150" s="1">
        <f>MAX($K150)</f>
        <v>0</v>
      </c>
      <c r="BG150" s="1">
        <f>MAX($M150)</f>
        <v>0</v>
      </c>
      <c r="BH150" s="1">
        <f>MAX($N150)</f>
        <v>0</v>
      </c>
      <c r="BI150" s="1">
        <f>MAX($P150)</f>
        <v>0</v>
      </c>
      <c r="BJ150" s="1">
        <f>MAX($Q150)</f>
        <v>0</v>
      </c>
      <c r="BK150" s="1">
        <f>MAX($R150)</f>
        <v>0</v>
      </c>
    </row>
    <row r="151" spans="1:63">
      <c r="A151" s="1" t="s">
        <v>148</v>
      </c>
      <c r="B151" s="1"/>
      <c r="C151" s="1"/>
      <c r="D151" s="1"/>
      <c r="E151" s="1" cm="1">
        <f t="array" ref="E151">_xlfn.SWITCH($A$2,"average", AVERAGE(Instances!E151:Instances!E151),"median", MEDIAN(Instances!E151:Instances!E151),"min", MIN(Instances!E151:Instances!E151),"max", MAX(Instances!E151:Instances!E151),"diff", MAX(Instances!E151:Instances!E151)-MIN(Instances!E151:Instances!E151))</f>
        <v>0</v>
      </c>
      <c r="F151" s="1" cm="1">
        <f t="array" ref="F151">_xlfn.SWITCH($A$2,"average", AVERAGE(Instances!F151:Instances!F151),"median", MEDIAN(Instances!F151:Instances!F151),"min", MIN(Instances!F151:Instances!F151),"max", MAX(Instances!F151:Instances!F151),"diff", MAX(Instances!F151:Instances!F151)-MIN(Instances!F151:Instances!F151))</f>
        <v>0</v>
      </c>
      <c r="G151" s="1" cm="1">
        <f t="array" ref="G151">_xlfn.SWITCH($A$2,"average", AVERAGE(Instances!G151:Instances!G151),"median", MEDIAN(Instances!G151:Instances!G151),"min", MIN(Instances!G151:Instances!G151),"max", MAX(Instances!G151:Instances!G151),"diff", MAX(Instances!G151:Instances!G151)-MIN(Instances!G151:Instances!G151))</f>
        <v>0</v>
      </c>
      <c r="H151" s="1"/>
      <c r="I151" s="1"/>
      <c r="J151" s="1" cm="1">
        <f t="array" ref="J151">_xlfn.SWITCH($A$2,"average", AVERAGE(Instances!J151:Instances!J151),"median", MEDIAN(Instances!J151:Instances!J151),"min", MIN(Instances!J151:Instances!J151),"max", MAX(Instances!J151:Instances!J151),"diff", MAX(Instances!J151:Instances!J151)-MIN(Instances!J151:Instances!J151))</f>
        <v>0</v>
      </c>
      <c r="K151" s="1"/>
      <c r="L151" s="1"/>
      <c r="M151" s="1"/>
      <c r="N151" s="1"/>
      <c r="O151" s="1"/>
      <c r="P151" s="1" cm="1">
        <f t="array" ref="P151">_xlfn.SWITCH($A$2,"average", AVERAGE(Instances!P151:Instances!P151),"median", MEDIAN(Instances!P151:Instances!P151),"min", MIN(Instances!P151:Instances!P151),"max", MAX(Instances!P151:Instances!P151),"diff", MAX(Instances!P151:Instances!P151)-MIN(Instances!P151:Instances!P151))</f>
        <v>0</v>
      </c>
      <c r="Q151" s="1" cm="1">
        <f t="array" ref="Q151">_xlfn.SWITCH($A$2,"average", AVERAGE(Instances!Q151:Instances!Q151),"median", MEDIAN(Instances!Q151:Instances!Q151),"min", MIN(Instances!Q151:Instances!Q151),"max", MAX(Instances!Q151:Instances!Q151),"diff", MAX(Instances!Q151:Instances!Q151)-MIN(Instances!Q151:Instances!Q151))</f>
        <v>0</v>
      </c>
      <c r="R151" s="1"/>
      <c r="S151" s="1"/>
      <c r="T151" s="1"/>
      <c r="U151" s="1"/>
      <c r="V151" s="1">
        <f>MIN($E151)</f>
        <v>0</v>
      </c>
      <c r="W151" s="1">
        <f>MIN($F151)</f>
        <v>0</v>
      </c>
      <c r="X151" s="1">
        <f>MIN($G151)</f>
        <v>0</v>
      </c>
      <c r="Y151" s="1"/>
      <c r="Z151" s="1"/>
      <c r="AA151" s="1">
        <f>MIN($J151)</f>
        <v>0</v>
      </c>
      <c r="AB151" s="1"/>
      <c r="AC151" s="1"/>
      <c r="AD151" s="1"/>
      <c r="AE151" s="1">
        <f>MIN($P151)</f>
        <v>0</v>
      </c>
      <c r="AF151" s="1">
        <f>MIN($Q151)</f>
        <v>0</v>
      </c>
      <c r="AG151" s="1"/>
      <c r="AH151" s="1"/>
      <c r="AI151" s="1"/>
      <c r="AJ151" s="1"/>
      <c r="AK151" s="1">
        <f>MEDIAN($E151)</f>
        <v>0</v>
      </c>
      <c r="AL151" s="1">
        <f>MEDIAN($F151)</f>
        <v>0</v>
      </c>
      <c r="AM151" s="1">
        <f>MEDIAN($G151)</f>
        <v>0</v>
      </c>
      <c r="AN151" s="1"/>
      <c r="AO151" s="1"/>
      <c r="AP151" s="1">
        <f>MEDIAN($J151)</f>
        <v>0</v>
      </c>
      <c r="AQ151" s="1"/>
      <c r="AR151" s="1"/>
      <c r="AS151" s="1"/>
      <c r="AT151" s="1">
        <f>MEDIAN($P151)</f>
        <v>0</v>
      </c>
      <c r="AU151" s="1">
        <f>MEDIAN($Q151)</f>
        <v>0</v>
      </c>
      <c r="AV151" s="1"/>
      <c r="AW151" s="1"/>
      <c r="AX151" s="1"/>
      <c r="AY151" s="1"/>
      <c r="AZ151" s="1">
        <f>MAX($E151)</f>
        <v>0</v>
      </c>
      <c r="BA151" s="1">
        <f>MAX($F151)</f>
        <v>0</v>
      </c>
      <c r="BB151" s="1">
        <f>MAX($G151)</f>
        <v>0</v>
      </c>
      <c r="BC151" s="1"/>
      <c r="BD151" s="1"/>
      <c r="BE151" s="1">
        <f>MAX($J151)</f>
        <v>0</v>
      </c>
      <c r="BF151" s="1"/>
      <c r="BG151" s="1"/>
      <c r="BH151" s="1"/>
      <c r="BI151" s="1">
        <f>MAX($P151)</f>
        <v>0</v>
      </c>
      <c r="BJ151" s="1">
        <f>MAX($Q151)</f>
        <v>0</v>
      </c>
      <c r="BK151" s="1"/>
    </row>
    <row r="152" spans="1:63">
      <c r="A152" s="1" t="s">
        <v>149</v>
      </c>
      <c r="B152" s="1" cm="1">
        <f t="array" ref="B152">_xlfn.SWITCH($A$2,"average", AVERAGE(Instances!B152:Instances!B152),"median", MEDIAN(Instances!B152:Instances!B152),"min", MIN(Instances!B152:Instances!B152),"max", MAX(Instances!B152:Instances!B152),"diff", MAX(Instances!B152:Instances!B152)-MIN(Instances!B152:Instances!B152))</f>
        <v>0</v>
      </c>
      <c r="C152" s="1" cm="1">
        <f t="array" ref="C152">_xlfn.SWITCH($A$2,"average", AVERAGE(Instances!C152:Instances!C152),"median", MEDIAN(Instances!C152:Instances!C152),"min", MIN(Instances!C152:Instances!C152),"max", MAX(Instances!C152:Instances!C152),"diff", MAX(Instances!C152:Instances!C152)-MIN(Instances!C152:Instances!C152))</f>
        <v>0</v>
      </c>
      <c r="D152" s="1" cm="1">
        <f t="array" ref="D152">_xlfn.SWITCH($A$2,"average", AVERAGE(Instances!D152:Instances!D152),"median", MEDIAN(Instances!D152:Instances!D152),"min", MIN(Instances!D152:Instances!D152),"max", MAX(Instances!D152:Instances!D152),"diff", MAX(Instances!D152:Instances!D152)-MIN(Instances!D152:Instances!D152))</f>
        <v>0</v>
      </c>
      <c r="E152" s="1" cm="1">
        <f t="array" ref="E152">_xlfn.SWITCH($A$2,"average", AVERAGE(Instances!E152:Instances!E152),"median", MEDIAN(Instances!E152:Instances!E152),"min", MIN(Instances!E152:Instances!E152),"max", MAX(Instances!E152:Instances!E152),"diff", MAX(Instances!E152:Instances!E152)-MIN(Instances!E152:Instances!E152))</f>
        <v>0</v>
      </c>
      <c r="F152" s="1" cm="1">
        <f t="array" ref="F152">_xlfn.SWITCH($A$2,"average", AVERAGE(Instances!F152:Instances!F152),"median", MEDIAN(Instances!F152:Instances!F152),"min", MIN(Instances!F152:Instances!F152),"max", MAX(Instances!F152:Instances!F152),"diff", MAX(Instances!F152:Instances!F152)-MIN(Instances!F152:Instances!F152))</f>
        <v>0</v>
      </c>
      <c r="G152" s="1" cm="1">
        <f t="array" ref="G152">_xlfn.SWITCH($A$2,"average", AVERAGE(Instances!G152:Instances!G152),"median", MEDIAN(Instances!G152:Instances!G152),"min", MIN(Instances!G152:Instances!G152),"max", MAX(Instances!G152:Instances!G152),"diff", MAX(Instances!G152:Instances!G152)-MIN(Instances!G152:Instances!G152))</f>
        <v>0</v>
      </c>
      <c r="H152" s="1" cm="1">
        <f t="array" ref="H152">_xlfn.SWITCH($A$2,"average", AVERAGE(Instances!H152:Instances!H152),"median", MEDIAN(Instances!H152:Instances!H152),"min", MIN(Instances!H152:Instances!H152),"max", MAX(Instances!H152:Instances!H152),"diff", MAX(Instances!H152:Instances!H152)-MIN(Instances!H152:Instances!H152))</f>
        <v>0</v>
      </c>
      <c r="I152" s="1" cm="1">
        <f t="array" ref="I152">_xlfn.SWITCH($A$2,"average", AVERAGE(Instances!I152:Instances!I152),"median", MEDIAN(Instances!I152:Instances!I152),"min", MIN(Instances!I152:Instances!I152),"max", MAX(Instances!I152:Instances!I152),"diff", MAX(Instances!I152:Instances!I152)-MIN(Instances!I152:Instances!I152))</f>
        <v>0</v>
      </c>
      <c r="J152" s="1" cm="1">
        <f t="array" ref="J152">_xlfn.SWITCH($A$2,"average", AVERAGE(Instances!J152:Instances!J152),"median", MEDIAN(Instances!J152:Instances!J152),"min", MIN(Instances!J152:Instances!J152),"max", MAX(Instances!J152:Instances!J152),"diff", MAX(Instances!J152:Instances!J152)-MIN(Instances!J152:Instances!J152))</f>
        <v>0</v>
      </c>
      <c r="K152" s="1" cm="1">
        <f t="array" ref="K152">_xlfn.SWITCH($A$2,"average", AVERAGE(Instances!K152:Instances!K152),"median", MEDIAN(Instances!K152:Instances!K152),"min", MIN(Instances!K152:Instances!K152),"max", MAX(Instances!K152:Instances!K152),"diff", MAX(Instances!K152:Instances!K152)-MIN(Instances!K152:Instances!K152))</f>
        <v>0</v>
      </c>
      <c r="L152" s="1"/>
      <c r="M152" s="1" cm="1">
        <f t="array" ref="M152">_xlfn.SWITCH($A$2,"average", AVERAGE(Instances!M152:Instances!M152),"median", MEDIAN(Instances!M152:Instances!M152),"min", MIN(Instances!M152:Instances!M152),"max", MAX(Instances!M152:Instances!M152),"diff", MAX(Instances!M152:Instances!M152)-MIN(Instances!M152:Instances!M152))</f>
        <v>0</v>
      </c>
      <c r="N152" s="1" cm="1">
        <f t="array" ref="N152">_xlfn.SWITCH($A$2,"average", AVERAGE(Instances!N152:Instances!N152),"median", MEDIAN(Instances!N152:Instances!N152),"min", MIN(Instances!N152:Instances!N152),"max", MAX(Instances!N152:Instances!N152),"diff", MAX(Instances!N152:Instances!N152)-MIN(Instances!N152:Instances!N152))</f>
        <v>0</v>
      </c>
      <c r="O152" s="1"/>
      <c r="P152" s="1" cm="1">
        <f t="array" ref="P152">_xlfn.SWITCH($A$2,"average", AVERAGE(Instances!P152:Instances!P152),"median", MEDIAN(Instances!P152:Instances!P152),"min", MIN(Instances!P152:Instances!P152),"max", MAX(Instances!P152:Instances!P152),"diff", MAX(Instances!P152:Instances!P152)-MIN(Instances!P152:Instances!P152))</f>
        <v>0</v>
      </c>
      <c r="Q152" s="1" cm="1">
        <f t="array" ref="Q152">_xlfn.SWITCH($A$2,"average", AVERAGE(Instances!Q152:Instances!Q152),"median", MEDIAN(Instances!Q152:Instances!Q152),"min", MIN(Instances!Q152:Instances!Q152),"max", MAX(Instances!Q152:Instances!Q152),"diff", MAX(Instances!Q152:Instances!Q152)-MIN(Instances!Q152:Instances!Q152))</f>
        <v>0</v>
      </c>
      <c r="R152" s="1" cm="1">
        <f t="array" ref="R152">_xlfn.SWITCH($A$2,"average", AVERAGE(Instances!R152:Instances!R152),"median", MEDIAN(Instances!R152:Instances!R152),"min", MIN(Instances!R152:Instances!R152),"max", MAX(Instances!R152:Instances!R152),"diff", MAX(Instances!R152:Instances!R152)-MIN(Instances!R152:Instances!R152))</f>
        <v>0</v>
      </c>
      <c r="S152" s="1">
        <f>MIN($B152)</f>
        <v>0</v>
      </c>
      <c r="T152" s="1">
        <f>MIN($C152)</f>
        <v>0</v>
      </c>
      <c r="U152" s="1">
        <f>MIN($D152)</f>
        <v>0</v>
      </c>
      <c r="V152" s="1">
        <f>MIN($E152)</f>
        <v>0</v>
      </c>
      <c r="W152" s="1">
        <f>MIN($F152)</f>
        <v>0</v>
      </c>
      <c r="X152" s="1">
        <f>MIN($G152)</f>
        <v>0</v>
      </c>
      <c r="Y152" s="1">
        <f>MIN($H152)</f>
        <v>0</v>
      </c>
      <c r="Z152" s="1">
        <f>MIN($I152)</f>
        <v>0</v>
      </c>
      <c r="AA152" s="1">
        <f>MIN($J152)</f>
        <v>0</v>
      </c>
      <c r="AB152" s="1">
        <f>MIN($K152)</f>
        <v>0</v>
      </c>
      <c r="AC152" s="1">
        <f>MIN($M152)</f>
        <v>0</v>
      </c>
      <c r="AD152" s="1">
        <f>MIN($N152)</f>
        <v>0</v>
      </c>
      <c r="AE152" s="1">
        <f>MIN($P152)</f>
        <v>0</v>
      </c>
      <c r="AF152" s="1">
        <f>MIN($Q152)</f>
        <v>0</v>
      </c>
      <c r="AG152" s="1">
        <f>MIN($R152)</f>
        <v>0</v>
      </c>
      <c r="AH152" s="1">
        <f>MEDIAN($B152)</f>
        <v>0</v>
      </c>
      <c r="AI152" s="1">
        <f>MEDIAN($C152)</f>
        <v>0</v>
      </c>
      <c r="AJ152" s="1">
        <f>MEDIAN($D152)</f>
        <v>0</v>
      </c>
      <c r="AK152" s="1">
        <f>MEDIAN($E152)</f>
        <v>0</v>
      </c>
      <c r="AL152" s="1">
        <f>MEDIAN($F152)</f>
        <v>0</v>
      </c>
      <c r="AM152" s="1">
        <f>MEDIAN($G152)</f>
        <v>0</v>
      </c>
      <c r="AN152" s="1">
        <f>MEDIAN($H152)</f>
        <v>0</v>
      </c>
      <c r="AO152" s="1">
        <f>MEDIAN($I152)</f>
        <v>0</v>
      </c>
      <c r="AP152" s="1">
        <f>MEDIAN($J152)</f>
        <v>0</v>
      </c>
      <c r="AQ152" s="1">
        <f>MEDIAN($K152)</f>
        <v>0</v>
      </c>
      <c r="AR152" s="1">
        <f>MEDIAN($M152)</f>
        <v>0</v>
      </c>
      <c r="AS152" s="1">
        <f>MEDIAN($N152)</f>
        <v>0</v>
      </c>
      <c r="AT152" s="1">
        <f>MEDIAN($P152)</f>
        <v>0</v>
      </c>
      <c r="AU152" s="1">
        <f>MEDIAN($Q152)</f>
        <v>0</v>
      </c>
      <c r="AV152" s="1">
        <f>MEDIAN($R152)</f>
        <v>0</v>
      </c>
      <c r="AW152" s="1">
        <f>MAX($B152)</f>
        <v>0</v>
      </c>
      <c r="AX152" s="1">
        <f>MAX($C152)</f>
        <v>0</v>
      </c>
      <c r="AY152" s="1">
        <f>MAX($D152)</f>
        <v>0</v>
      </c>
      <c r="AZ152" s="1">
        <f>MAX($E152)</f>
        <v>0</v>
      </c>
      <c r="BA152" s="1">
        <f>MAX($F152)</f>
        <v>0</v>
      </c>
      <c r="BB152" s="1">
        <f>MAX($G152)</f>
        <v>0</v>
      </c>
      <c r="BC152" s="1">
        <f>MAX($H152)</f>
        <v>0</v>
      </c>
      <c r="BD152" s="1">
        <f>MAX($I152)</f>
        <v>0</v>
      </c>
      <c r="BE152" s="1">
        <f>MAX($J152)</f>
        <v>0</v>
      </c>
      <c r="BF152" s="1">
        <f>MAX($K152)</f>
        <v>0</v>
      </c>
      <c r="BG152" s="1">
        <f>MAX($M152)</f>
        <v>0</v>
      </c>
      <c r="BH152" s="1">
        <f>MAX($N152)</f>
        <v>0</v>
      </c>
      <c r="BI152" s="1">
        <f>MAX($P152)</f>
        <v>0</v>
      </c>
      <c r="BJ152" s="1">
        <f>MAX($Q152)</f>
        <v>0</v>
      </c>
      <c r="BK152" s="1">
        <f>MAX($R152)</f>
        <v>0</v>
      </c>
    </row>
    <row r="153" spans="1:63">
      <c r="A153" s="1" t="s">
        <v>150</v>
      </c>
      <c r="B153" s="1" cm="1">
        <f t="array" ref="B153">_xlfn.SWITCH($A$2,"average", AVERAGE(Instances!B153:Instances!B153),"median", MEDIAN(Instances!B153:Instances!B153),"min", MIN(Instances!B153:Instances!B153),"max", MAX(Instances!B153:Instances!B153),"diff", MAX(Instances!B153:Instances!B153)-MIN(Instances!B153:Instances!B153))</f>
        <v>0</v>
      </c>
      <c r="C153" s="1" cm="1">
        <f t="array" ref="C153">_xlfn.SWITCH($A$2,"average", AVERAGE(Instances!C153:Instances!C153),"median", MEDIAN(Instances!C153:Instances!C153),"min", MIN(Instances!C153:Instances!C153),"max", MAX(Instances!C153:Instances!C153),"diff", MAX(Instances!C153:Instances!C153)-MIN(Instances!C153:Instances!C153))</f>
        <v>0</v>
      </c>
      <c r="D153" s="1" cm="1">
        <f t="array" ref="D153">_xlfn.SWITCH($A$2,"average", AVERAGE(Instances!D153:Instances!D153),"median", MEDIAN(Instances!D153:Instances!D153),"min", MIN(Instances!D153:Instances!D153),"max", MAX(Instances!D153:Instances!D153),"diff", MAX(Instances!D153:Instances!D153)-MIN(Instances!D153:Instances!D153))</f>
        <v>0</v>
      </c>
      <c r="E153" s="1" cm="1">
        <f t="array" ref="E153">_xlfn.SWITCH($A$2,"average", AVERAGE(Instances!E153:Instances!E153),"median", MEDIAN(Instances!E153:Instances!E153),"min", MIN(Instances!E153:Instances!E153),"max", MAX(Instances!E153:Instances!E153),"diff", MAX(Instances!E153:Instances!E153)-MIN(Instances!E153:Instances!E153))</f>
        <v>0</v>
      </c>
      <c r="F153" s="1" cm="1">
        <f t="array" ref="F153">_xlfn.SWITCH($A$2,"average", AVERAGE(Instances!F153:Instances!F153),"median", MEDIAN(Instances!F153:Instances!F153),"min", MIN(Instances!F153:Instances!F153),"max", MAX(Instances!F153:Instances!F153),"diff", MAX(Instances!F153:Instances!F153)-MIN(Instances!F153:Instances!F153))</f>
        <v>0</v>
      </c>
      <c r="G153" s="1" cm="1">
        <f t="array" ref="G153">_xlfn.SWITCH($A$2,"average", AVERAGE(Instances!G153:Instances!G153),"median", MEDIAN(Instances!G153:Instances!G153),"min", MIN(Instances!G153:Instances!G153),"max", MAX(Instances!G153:Instances!G153),"diff", MAX(Instances!G153:Instances!G153)-MIN(Instances!G153:Instances!G153))</f>
        <v>0</v>
      </c>
      <c r="H153" s="1" cm="1">
        <f t="array" ref="H153">_xlfn.SWITCH($A$2,"average", AVERAGE(Instances!H153:Instances!H153),"median", MEDIAN(Instances!H153:Instances!H153),"min", MIN(Instances!H153:Instances!H153),"max", MAX(Instances!H153:Instances!H153),"diff", MAX(Instances!H153:Instances!H153)-MIN(Instances!H153:Instances!H153))</f>
        <v>0</v>
      </c>
      <c r="I153" s="1" cm="1">
        <f t="array" ref="I153">_xlfn.SWITCH($A$2,"average", AVERAGE(Instances!I153:Instances!I153),"median", MEDIAN(Instances!I153:Instances!I153),"min", MIN(Instances!I153:Instances!I153),"max", MAX(Instances!I153:Instances!I153),"diff", MAX(Instances!I153:Instances!I153)-MIN(Instances!I153:Instances!I153))</f>
        <v>0</v>
      </c>
      <c r="J153" s="1" cm="1">
        <f t="array" ref="J153">_xlfn.SWITCH($A$2,"average", AVERAGE(Instances!J153:Instances!J153),"median", MEDIAN(Instances!J153:Instances!J153),"min", MIN(Instances!J153:Instances!J153),"max", MAX(Instances!J153:Instances!J153),"diff", MAX(Instances!J153:Instances!J153)-MIN(Instances!J153:Instances!J153))</f>
        <v>0</v>
      </c>
      <c r="K153" s="1" cm="1">
        <f t="array" ref="K153">_xlfn.SWITCH($A$2,"average", AVERAGE(Instances!K153:Instances!K153),"median", MEDIAN(Instances!K153:Instances!K153),"min", MIN(Instances!K153:Instances!K153),"max", MAX(Instances!K153:Instances!K153),"diff", MAX(Instances!K153:Instances!K153)-MIN(Instances!K153:Instances!K153))</f>
        <v>0</v>
      </c>
      <c r="L153" s="1"/>
      <c r="M153" s="1" cm="1">
        <f t="array" ref="M153">_xlfn.SWITCH($A$2,"average", AVERAGE(Instances!M153:Instances!M153),"median", MEDIAN(Instances!M153:Instances!M153),"min", MIN(Instances!M153:Instances!M153),"max", MAX(Instances!M153:Instances!M153),"diff", MAX(Instances!M153:Instances!M153)-MIN(Instances!M153:Instances!M153))</f>
        <v>0</v>
      </c>
      <c r="N153" s="1" cm="1">
        <f t="array" ref="N153">_xlfn.SWITCH($A$2,"average", AVERAGE(Instances!N153:Instances!N153),"median", MEDIAN(Instances!N153:Instances!N153),"min", MIN(Instances!N153:Instances!N153),"max", MAX(Instances!N153:Instances!N153),"diff", MAX(Instances!N153:Instances!N153)-MIN(Instances!N153:Instances!N153))</f>
        <v>0</v>
      </c>
      <c r="O153" s="1"/>
      <c r="P153" s="1" cm="1">
        <f t="array" ref="P153">_xlfn.SWITCH($A$2,"average", AVERAGE(Instances!P153:Instances!P153),"median", MEDIAN(Instances!P153:Instances!P153),"min", MIN(Instances!P153:Instances!P153),"max", MAX(Instances!P153:Instances!P153),"diff", MAX(Instances!P153:Instances!P153)-MIN(Instances!P153:Instances!P153))</f>
        <v>0</v>
      </c>
      <c r="Q153" s="1" cm="1">
        <f t="array" ref="Q153">_xlfn.SWITCH($A$2,"average", AVERAGE(Instances!Q153:Instances!Q153),"median", MEDIAN(Instances!Q153:Instances!Q153),"min", MIN(Instances!Q153:Instances!Q153),"max", MAX(Instances!Q153:Instances!Q153),"diff", MAX(Instances!Q153:Instances!Q153)-MIN(Instances!Q153:Instances!Q153))</f>
        <v>0</v>
      </c>
      <c r="R153" s="1" cm="1">
        <f t="array" ref="R153">_xlfn.SWITCH($A$2,"average", AVERAGE(Instances!R153:Instances!R153),"median", MEDIAN(Instances!R153:Instances!R153),"min", MIN(Instances!R153:Instances!R153),"max", MAX(Instances!R153:Instances!R153),"diff", MAX(Instances!R153:Instances!R153)-MIN(Instances!R153:Instances!R153))</f>
        <v>0</v>
      </c>
      <c r="S153" s="1">
        <f>MIN($B153)</f>
        <v>0</v>
      </c>
      <c r="T153" s="1">
        <f>MIN($C153)</f>
        <v>0</v>
      </c>
      <c r="U153" s="1">
        <f>MIN($D153)</f>
        <v>0</v>
      </c>
      <c r="V153" s="1">
        <f>MIN($E153)</f>
        <v>0</v>
      </c>
      <c r="W153" s="1">
        <f>MIN($F153)</f>
        <v>0</v>
      </c>
      <c r="X153" s="1">
        <f>MIN($G153)</f>
        <v>0</v>
      </c>
      <c r="Y153" s="1">
        <f>MIN($H153)</f>
        <v>0</v>
      </c>
      <c r="Z153" s="1">
        <f>MIN($I153)</f>
        <v>0</v>
      </c>
      <c r="AA153" s="1">
        <f>MIN($J153)</f>
        <v>0</v>
      </c>
      <c r="AB153" s="1">
        <f>MIN($K153)</f>
        <v>0</v>
      </c>
      <c r="AC153" s="1">
        <f>MIN($M153)</f>
        <v>0</v>
      </c>
      <c r="AD153" s="1">
        <f>MIN($N153)</f>
        <v>0</v>
      </c>
      <c r="AE153" s="1">
        <f>MIN($P153)</f>
        <v>0</v>
      </c>
      <c r="AF153" s="1">
        <f>MIN($Q153)</f>
        <v>0</v>
      </c>
      <c r="AG153" s="1">
        <f>MIN($R153)</f>
        <v>0</v>
      </c>
      <c r="AH153" s="1">
        <f>MEDIAN($B153)</f>
        <v>0</v>
      </c>
      <c r="AI153" s="1">
        <f>MEDIAN($C153)</f>
        <v>0</v>
      </c>
      <c r="AJ153" s="1">
        <f>MEDIAN($D153)</f>
        <v>0</v>
      </c>
      <c r="AK153" s="1">
        <f>MEDIAN($E153)</f>
        <v>0</v>
      </c>
      <c r="AL153" s="1">
        <f>MEDIAN($F153)</f>
        <v>0</v>
      </c>
      <c r="AM153" s="1">
        <f>MEDIAN($G153)</f>
        <v>0</v>
      </c>
      <c r="AN153" s="1">
        <f>MEDIAN($H153)</f>
        <v>0</v>
      </c>
      <c r="AO153" s="1">
        <f>MEDIAN($I153)</f>
        <v>0</v>
      </c>
      <c r="AP153" s="1">
        <f>MEDIAN($J153)</f>
        <v>0</v>
      </c>
      <c r="AQ153" s="1">
        <f>MEDIAN($K153)</f>
        <v>0</v>
      </c>
      <c r="AR153" s="1">
        <f>MEDIAN($M153)</f>
        <v>0</v>
      </c>
      <c r="AS153" s="1">
        <f>MEDIAN($N153)</f>
        <v>0</v>
      </c>
      <c r="AT153" s="1">
        <f>MEDIAN($P153)</f>
        <v>0</v>
      </c>
      <c r="AU153" s="1">
        <f>MEDIAN($Q153)</f>
        <v>0</v>
      </c>
      <c r="AV153" s="1">
        <f>MEDIAN($R153)</f>
        <v>0</v>
      </c>
      <c r="AW153" s="1">
        <f>MAX($B153)</f>
        <v>0</v>
      </c>
      <c r="AX153" s="1">
        <f>MAX($C153)</f>
        <v>0</v>
      </c>
      <c r="AY153" s="1">
        <f>MAX($D153)</f>
        <v>0</v>
      </c>
      <c r="AZ153" s="1">
        <f>MAX($E153)</f>
        <v>0</v>
      </c>
      <c r="BA153" s="1">
        <f>MAX($F153)</f>
        <v>0</v>
      </c>
      <c r="BB153" s="1">
        <f>MAX($G153)</f>
        <v>0</v>
      </c>
      <c r="BC153" s="1">
        <f>MAX($H153)</f>
        <v>0</v>
      </c>
      <c r="BD153" s="1">
        <f>MAX($I153)</f>
        <v>0</v>
      </c>
      <c r="BE153" s="1">
        <f>MAX($J153)</f>
        <v>0</v>
      </c>
      <c r="BF153" s="1">
        <f>MAX($K153)</f>
        <v>0</v>
      </c>
      <c r="BG153" s="1">
        <f>MAX($M153)</f>
        <v>0</v>
      </c>
      <c r="BH153" s="1">
        <f>MAX($N153)</f>
        <v>0</v>
      </c>
      <c r="BI153" s="1">
        <f>MAX($P153)</f>
        <v>0</v>
      </c>
      <c r="BJ153" s="1">
        <f>MAX($Q153)</f>
        <v>0</v>
      </c>
      <c r="BK153" s="1">
        <f>MAX($R153)</f>
        <v>0</v>
      </c>
    </row>
    <row r="154" spans="1:63">
      <c r="A154" s="1" t="s">
        <v>151</v>
      </c>
      <c r="B154" s="1" cm="1">
        <f t="array" ref="B154">_xlfn.SWITCH($A$2,"average", AVERAGE(Instances!B154:Instances!B154),"median", MEDIAN(Instances!B154:Instances!B154),"min", MIN(Instances!B154:Instances!B154),"max", MAX(Instances!B154:Instances!B154),"diff", MAX(Instances!B154:Instances!B154)-MIN(Instances!B154:Instances!B154))</f>
        <v>0</v>
      </c>
      <c r="C154" s="1" cm="1">
        <f t="array" ref="C154">_xlfn.SWITCH($A$2,"average", AVERAGE(Instances!C154:Instances!C154),"median", MEDIAN(Instances!C154:Instances!C154),"min", MIN(Instances!C154:Instances!C154),"max", MAX(Instances!C154:Instances!C154),"diff", MAX(Instances!C154:Instances!C154)-MIN(Instances!C154:Instances!C154))</f>
        <v>0</v>
      </c>
      <c r="D154" s="1" cm="1">
        <f t="array" ref="D154">_xlfn.SWITCH($A$2,"average", AVERAGE(Instances!D154:Instances!D154),"median", MEDIAN(Instances!D154:Instances!D154),"min", MIN(Instances!D154:Instances!D154),"max", MAX(Instances!D154:Instances!D154),"diff", MAX(Instances!D154:Instances!D154)-MIN(Instances!D154:Instances!D154))</f>
        <v>0</v>
      </c>
      <c r="E154" s="1" cm="1">
        <f t="array" ref="E154">_xlfn.SWITCH($A$2,"average", AVERAGE(Instances!E154:Instances!E154),"median", MEDIAN(Instances!E154:Instances!E154),"min", MIN(Instances!E154:Instances!E154),"max", MAX(Instances!E154:Instances!E154),"diff", MAX(Instances!E154:Instances!E154)-MIN(Instances!E154:Instances!E154))</f>
        <v>0</v>
      </c>
      <c r="F154" s="1" cm="1">
        <f t="array" ref="F154">_xlfn.SWITCH($A$2,"average", AVERAGE(Instances!F154:Instances!F154),"median", MEDIAN(Instances!F154:Instances!F154),"min", MIN(Instances!F154:Instances!F154),"max", MAX(Instances!F154:Instances!F154),"diff", MAX(Instances!F154:Instances!F154)-MIN(Instances!F154:Instances!F154))</f>
        <v>0</v>
      </c>
      <c r="G154" s="1" cm="1">
        <f t="array" ref="G154">_xlfn.SWITCH($A$2,"average", AVERAGE(Instances!G154:Instances!G154),"median", MEDIAN(Instances!G154:Instances!G154),"min", MIN(Instances!G154:Instances!G154),"max", MAX(Instances!G154:Instances!G154),"diff", MAX(Instances!G154:Instances!G154)-MIN(Instances!G154:Instances!G154))</f>
        <v>0</v>
      </c>
      <c r="H154" s="1" cm="1">
        <f t="array" ref="H154">_xlfn.SWITCH($A$2,"average", AVERAGE(Instances!H154:Instances!H154),"median", MEDIAN(Instances!H154:Instances!H154),"min", MIN(Instances!H154:Instances!H154),"max", MAX(Instances!H154:Instances!H154),"diff", MAX(Instances!H154:Instances!H154)-MIN(Instances!H154:Instances!H154))</f>
        <v>0</v>
      </c>
      <c r="I154" s="1" cm="1">
        <f t="array" ref="I154">_xlfn.SWITCH($A$2,"average", AVERAGE(Instances!I154:Instances!I154),"median", MEDIAN(Instances!I154:Instances!I154),"min", MIN(Instances!I154:Instances!I154),"max", MAX(Instances!I154:Instances!I154),"diff", MAX(Instances!I154:Instances!I154)-MIN(Instances!I154:Instances!I154))</f>
        <v>0</v>
      </c>
      <c r="J154" s="1" cm="1">
        <f t="array" ref="J154">_xlfn.SWITCH($A$2,"average", AVERAGE(Instances!J154:Instances!J154),"median", MEDIAN(Instances!J154:Instances!J154),"min", MIN(Instances!J154:Instances!J154),"max", MAX(Instances!J154:Instances!J154),"diff", MAX(Instances!J154:Instances!J154)-MIN(Instances!J154:Instances!J154))</f>
        <v>0</v>
      </c>
      <c r="K154" s="1" cm="1">
        <f t="array" ref="K154">_xlfn.SWITCH($A$2,"average", AVERAGE(Instances!K154:Instances!K154),"median", MEDIAN(Instances!K154:Instances!K154),"min", MIN(Instances!K154:Instances!K154),"max", MAX(Instances!K154:Instances!K154),"diff", MAX(Instances!K154:Instances!K154)-MIN(Instances!K154:Instances!K154))</f>
        <v>0</v>
      </c>
      <c r="L154" s="1"/>
      <c r="M154" s="1" cm="1">
        <f t="array" ref="M154">_xlfn.SWITCH($A$2,"average", AVERAGE(Instances!M154:Instances!M154),"median", MEDIAN(Instances!M154:Instances!M154),"min", MIN(Instances!M154:Instances!M154),"max", MAX(Instances!M154:Instances!M154),"diff", MAX(Instances!M154:Instances!M154)-MIN(Instances!M154:Instances!M154))</f>
        <v>0</v>
      </c>
      <c r="N154" s="1" cm="1">
        <f t="array" ref="N154">_xlfn.SWITCH($A$2,"average", AVERAGE(Instances!N154:Instances!N154),"median", MEDIAN(Instances!N154:Instances!N154),"min", MIN(Instances!N154:Instances!N154),"max", MAX(Instances!N154:Instances!N154),"diff", MAX(Instances!N154:Instances!N154)-MIN(Instances!N154:Instances!N154))</f>
        <v>0</v>
      </c>
      <c r="O154" s="1"/>
      <c r="P154" s="1" cm="1">
        <f t="array" ref="P154">_xlfn.SWITCH($A$2,"average", AVERAGE(Instances!P154:Instances!P154),"median", MEDIAN(Instances!P154:Instances!P154),"min", MIN(Instances!P154:Instances!P154),"max", MAX(Instances!P154:Instances!P154),"diff", MAX(Instances!P154:Instances!P154)-MIN(Instances!P154:Instances!P154))</f>
        <v>0</v>
      </c>
      <c r="Q154" s="1" cm="1">
        <f t="array" ref="Q154">_xlfn.SWITCH($A$2,"average", AVERAGE(Instances!Q154:Instances!Q154),"median", MEDIAN(Instances!Q154:Instances!Q154),"min", MIN(Instances!Q154:Instances!Q154),"max", MAX(Instances!Q154:Instances!Q154),"diff", MAX(Instances!Q154:Instances!Q154)-MIN(Instances!Q154:Instances!Q154))</f>
        <v>0</v>
      </c>
      <c r="R154" s="1" cm="1">
        <f t="array" ref="R154">_xlfn.SWITCH($A$2,"average", AVERAGE(Instances!R154:Instances!R154),"median", MEDIAN(Instances!R154:Instances!R154),"min", MIN(Instances!R154:Instances!R154),"max", MAX(Instances!R154:Instances!R154),"diff", MAX(Instances!R154:Instances!R154)-MIN(Instances!R154:Instances!R154))</f>
        <v>0</v>
      </c>
      <c r="S154" s="1">
        <f>MIN($B154)</f>
        <v>0</v>
      </c>
      <c r="T154" s="1">
        <f>MIN($C154)</f>
        <v>0</v>
      </c>
      <c r="U154" s="1">
        <f>MIN($D154)</f>
        <v>0</v>
      </c>
      <c r="V154" s="1">
        <f>MIN($E154)</f>
        <v>0</v>
      </c>
      <c r="W154" s="1">
        <f>MIN($F154)</f>
        <v>0</v>
      </c>
      <c r="X154" s="1">
        <f>MIN($G154)</f>
        <v>0</v>
      </c>
      <c r="Y154" s="1">
        <f>MIN($H154)</f>
        <v>0</v>
      </c>
      <c r="Z154" s="1">
        <f>MIN($I154)</f>
        <v>0</v>
      </c>
      <c r="AA154" s="1">
        <f>MIN($J154)</f>
        <v>0</v>
      </c>
      <c r="AB154" s="1">
        <f>MIN($K154)</f>
        <v>0</v>
      </c>
      <c r="AC154" s="1">
        <f>MIN($M154)</f>
        <v>0</v>
      </c>
      <c r="AD154" s="1">
        <f>MIN($N154)</f>
        <v>0</v>
      </c>
      <c r="AE154" s="1">
        <f>MIN($P154)</f>
        <v>0</v>
      </c>
      <c r="AF154" s="1">
        <f>MIN($Q154)</f>
        <v>0</v>
      </c>
      <c r="AG154" s="1">
        <f>MIN($R154)</f>
        <v>0</v>
      </c>
      <c r="AH154" s="1">
        <f>MEDIAN($B154)</f>
        <v>0</v>
      </c>
      <c r="AI154" s="1">
        <f>MEDIAN($C154)</f>
        <v>0</v>
      </c>
      <c r="AJ154" s="1">
        <f>MEDIAN($D154)</f>
        <v>0</v>
      </c>
      <c r="AK154" s="1">
        <f>MEDIAN($E154)</f>
        <v>0</v>
      </c>
      <c r="AL154" s="1">
        <f>MEDIAN($F154)</f>
        <v>0</v>
      </c>
      <c r="AM154" s="1">
        <f>MEDIAN($G154)</f>
        <v>0</v>
      </c>
      <c r="AN154" s="1">
        <f>MEDIAN($H154)</f>
        <v>0</v>
      </c>
      <c r="AO154" s="1">
        <f>MEDIAN($I154)</f>
        <v>0</v>
      </c>
      <c r="AP154" s="1">
        <f>MEDIAN($J154)</f>
        <v>0</v>
      </c>
      <c r="AQ154" s="1">
        <f>MEDIAN($K154)</f>
        <v>0</v>
      </c>
      <c r="AR154" s="1">
        <f>MEDIAN($M154)</f>
        <v>0</v>
      </c>
      <c r="AS154" s="1">
        <f>MEDIAN($N154)</f>
        <v>0</v>
      </c>
      <c r="AT154" s="1">
        <f>MEDIAN($P154)</f>
        <v>0</v>
      </c>
      <c r="AU154" s="1">
        <f>MEDIAN($Q154)</f>
        <v>0</v>
      </c>
      <c r="AV154" s="1">
        <f>MEDIAN($R154)</f>
        <v>0</v>
      </c>
      <c r="AW154" s="1">
        <f>MAX($B154)</f>
        <v>0</v>
      </c>
      <c r="AX154" s="1">
        <f>MAX($C154)</f>
        <v>0</v>
      </c>
      <c r="AY154" s="1">
        <f>MAX($D154)</f>
        <v>0</v>
      </c>
      <c r="AZ154" s="1">
        <f>MAX($E154)</f>
        <v>0</v>
      </c>
      <c r="BA154" s="1">
        <f>MAX($F154)</f>
        <v>0</v>
      </c>
      <c r="BB154" s="1">
        <f>MAX($G154)</f>
        <v>0</v>
      </c>
      <c r="BC154" s="1">
        <f>MAX($H154)</f>
        <v>0</v>
      </c>
      <c r="BD154" s="1">
        <f>MAX($I154)</f>
        <v>0</v>
      </c>
      <c r="BE154" s="1">
        <f>MAX($J154)</f>
        <v>0</v>
      </c>
      <c r="BF154" s="1">
        <f>MAX($K154)</f>
        <v>0</v>
      </c>
      <c r="BG154" s="1">
        <f>MAX($M154)</f>
        <v>0</v>
      </c>
      <c r="BH154" s="1">
        <f>MAX($N154)</f>
        <v>0</v>
      </c>
      <c r="BI154" s="1">
        <f>MAX($P154)</f>
        <v>0</v>
      </c>
      <c r="BJ154" s="1">
        <f>MAX($Q154)</f>
        <v>0</v>
      </c>
      <c r="BK154" s="1">
        <f>MAX($R154)</f>
        <v>0</v>
      </c>
    </row>
    <row r="155" spans="1:63">
      <c r="A155" s="1" t="s">
        <v>152</v>
      </c>
      <c r="B155" s="1"/>
      <c r="C155" s="1"/>
      <c r="D155" s="1"/>
      <c r="E155" s="1" cm="1">
        <f t="array" ref="E155">_xlfn.SWITCH($A$2,"average", AVERAGE(Instances!E155:Instances!E155),"median", MEDIAN(Instances!E155:Instances!E155),"min", MIN(Instances!E155:Instances!E155),"max", MAX(Instances!E155:Instances!E155),"diff", MAX(Instances!E155:Instances!E155)-MIN(Instances!E155:Instances!E155))</f>
        <v>0</v>
      </c>
      <c r="F155" s="1" cm="1">
        <f t="array" ref="F155">_xlfn.SWITCH($A$2,"average", AVERAGE(Instances!F155:Instances!F155),"median", MEDIAN(Instances!F155:Instances!F155),"min", MIN(Instances!F155:Instances!F155),"max", MAX(Instances!F155:Instances!F155),"diff", MAX(Instances!F155:Instances!F155)-MIN(Instances!F155:Instances!F155))</f>
        <v>0</v>
      </c>
      <c r="G155" s="1" cm="1">
        <f t="array" ref="G155">_xlfn.SWITCH($A$2,"average", AVERAGE(Instances!G155:Instances!G155),"median", MEDIAN(Instances!G155:Instances!G155),"min", MIN(Instances!G155:Instances!G155),"max", MAX(Instances!G155:Instances!G155),"diff", MAX(Instances!G155:Instances!G155)-MIN(Instances!G155:Instances!G155))</f>
        <v>0</v>
      </c>
      <c r="H155" s="1"/>
      <c r="I155" s="1"/>
      <c r="J155" s="1" cm="1">
        <f t="array" ref="J155">_xlfn.SWITCH($A$2,"average", AVERAGE(Instances!J155:Instances!J155),"median", MEDIAN(Instances!J155:Instances!J155),"min", MIN(Instances!J155:Instances!J155),"max", MAX(Instances!J155:Instances!J155),"diff", MAX(Instances!J155:Instances!J155)-MIN(Instances!J155:Instances!J155))</f>
        <v>0</v>
      </c>
      <c r="K155" s="1"/>
      <c r="L155" s="1"/>
      <c r="M155" s="1"/>
      <c r="N155" s="1"/>
      <c r="O155" s="1"/>
      <c r="P155" s="1" cm="1">
        <f t="array" ref="P155">_xlfn.SWITCH($A$2,"average", AVERAGE(Instances!P155:Instances!P155),"median", MEDIAN(Instances!P155:Instances!P155),"min", MIN(Instances!P155:Instances!P155),"max", MAX(Instances!P155:Instances!P155),"diff", MAX(Instances!P155:Instances!P155)-MIN(Instances!P155:Instances!P155))</f>
        <v>0</v>
      </c>
      <c r="Q155" s="1" cm="1">
        <f t="array" ref="Q155">_xlfn.SWITCH($A$2,"average", AVERAGE(Instances!Q155:Instances!Q155),"median", MEDIAN(Instances!Q155:Instances!Q155),"min", MIN(Instances!Q155:Instances!Q155),"max", MAX(Instances!Q155:Instances!Q155),"diff", MAX(Instances!Q155:Instances!Q155)-MIN(Instances!Q155:Instances!Q155))</f>
        <v>0</v>
      </c>
      <c r="R155" s="1"/>
      <c r="S155" s="1"/>
      <c r="T155" s="1"/>
      <c r="U155" s="1"/>
      <c r="V155" s="1">
        <f>MIN($E155)</f>
        <v>0</v>
      </c>
      <c r="W155" s="1">
        <f>MIN($F155)</f>
        <v>0</v>
      </c>
      <c r="X155" s="1">
        <f>MIN($G155)</f>
        <v>0</v>
      </c>
      <c r="Y155" s="1"/>
      <c r="Z155" s="1"/>
      <c r="AA155" s="1">
        <f>MIN($J155)</f>
        <v>0</v>
      </c>
      <c r="AB155" s="1"/>
      <c r="AC155" s="1"/>
      <c r="AD155" s="1"/>
      <c r="AE155" s="1">
        <f>MIN($P155)</f>
        <v>0</v>
      </c>
      <c r="AF155" s="1">
        <f>MIN($Q155)</f>
        <v>0</v>
      </c>
      <c r="AG155" s="1"/>
      <c r="AH155" s="1"/>
      <c r="AI155" s="1"/>
      <c r="AJ155" s="1"/>
      <c r="AK155" s="1">
        <f>MEDIAN($E155)</f>
        <v>0</v>
      </c>
      <c r="AL155" s="1">
        <f>MEDIAN($F155)</f>
        <v>0</v>
      </c>
      <c r="AM155" s="1">
        <f>MEDIAN($G155)</f>
        <v>0</v>
      </c>
      <c r="AN155" s="1"/>
      <c r="AO155" s="1"/>
      <c r="AP155" s="1">
        <f>MEDIAN($J155)</f>
        <v>0</v>
      </c>
      <c r="AQ155" s="1"/>
      <c r="AR155" s="1"/>
      <c r="AS155" s="1"/>
      <c r="AT155" s="1">
        <f>MEDIAN($P155)</f>
        <v>0</v>
      </c>
      <c r="AU155" s="1">
        <f>MEDIAN($Q155)</f>
        <v>0</v>
      </c>
      <c r="AV155" s="1"/>
      <c r="AW155" s="1"/>
      <c r="AX155" s="1"/>
      <c r="AY155" s="1"/>
      <c r="AZ155" s="1">
        <f>MAX($E155)</f>
        <v>0</v>
      </c>
      <c r="BA155" s="1">
        <f>MAX($F155)</f>
        <v>0</v>
      </c>
      <c r="BB155" s="1">
        <f>MAX($G155)</f>
        <v>0</v>
      </c>
      <c r="BC155" s="1"/>
      <c r="BD155" s="1"/>
      <c r="BE155" s="1">
        <f>MAX($J155)</f>
        <v>0</v>
      </c>
      <c r="BF155" s="1"/>
      <c r="BG155" s="1"/>
      <c r="BH155" s="1"/>
      <c r="BI155" s="1">
        <f>MAX($P155)</f>
        <v>0</v>
      </c>
      <c r="BJ155" s="1">
        <f>MAX($Q155)</f>
        <v>0</v>
      </c>
      <c r="BK155" s="1"/>
    </row>
    <row r="156" spans="1:63">
      <c r="A156" s="1" t="s">
        <v>153</v>
      </c>
      <c r="B156" s="1"/>
      <c r="C156" s="1"/>
      <c r="D156" s="1"/>
      <c r="E156" s="1" cm="1">
        <f t="array" ref="E156">_xlfn.SWITCH($A$2,"average", AVERAGE(Instances!E156:Instances!E156),"median", MEDIAN(Instances!E156:Instances!E156),"min", MIN(Instances!E156:Instances!E156),"max", MAX(Instances!E156:Instances!E156),"diff", MAX(Instances!E156:Instances!E156)-MIN(Instances!E156:Instances!E156))</f>
        <v>0</v>
      </c>
      <c r="F156" s="1" cm="1">
        <f t="array" ref="F156">_xlfn.SWITCH($A$2,"average", AVERAGE(Instances!F156:Instances!F156),"median", MEDIAN(Instances!F156:Instances!F156),"min", MIN(Instances!F156:Instances!F156),"max", MAX(Instances!F156:Instances!F156),"diff", MAX(Instances!F156:Instances!F156)-MIN(Instances!F156:Instances!F156))</f>
        <v>0</v>
      </c>
      <c r="G156" s="1" cm="1">
        <f t="array" ref="G156">_xlfn.SWITCH($A$2,"average", AVERAGE(Instances!G156:Instances!G156),"median", MEDIAN(Instances!G156:Instances!G156),"min", MIN(Instances!G156:Instances!G156),"max", MAX(Instances!G156:Instances!G156),"diff", MAX(Instances!G156:Instances!G156)-MIN(Instances!G156:Instances!G156))</f>
        <v>0</v>
      </c>
      <c r="H156" s="1"/>
      <c r="I156" s="1"/>
      <c r="J156" s="1" cm="1">
        <f t="array" ref="J156">_xlfn.SWITCH($A$2,"average", AVERAGE(Instances!J156:Instances!J156),"median", MEDIAN(Instances!J156:Instances!J156),"min", MIN(Instances!J156:Instances!J156),"max", MAX(Instances!J156:Instances!J156),"diff", MAX(Instances!J156:Instances!J156)-MIN(Instances!J156:Instances!J156))</f>
        <v>0</v>
      </c>
      <c r="K156" s="1"/>
      <c r="L156" s="1"/>
      <c r="M156" s="1"/>
      <c r="N156" s="1"/>
      <c r="O156" s="1"/>
      <c r="P156" s="1" cm="1">
        <f t="array" ref="P156">_xlfn.SWITCH($A$2,"average", AVERAGE(Instances!P156:Instances!P156),"median", MEDIAN(Instances!P156:Instances!P156),"min", MIN(Instances!P156:Instances!P156),"max", MAX(Instances!P156:Instances!P156),"diff", MAX(Instances!P156:Instances!P156)-MIN(Instances!P156:Instances!P156))</f>
        <v>0</v>
      </c>
      <c r="Q156" s="1" cm="1">
        <f t="array" ref="Q156">_xlfn.SWITCH($A$2,"average", AVERAGE(Instances!Q156:Instances!Q156),"median", MEDIAN(Instances!Q156:Instances!Q156),"min", MIN(Instances!Q156:Instances!Q156),"max", MAX(Instances!Q156:Instances!Q156),"diff", MAX(Instances!Q156:Instances!Q156)-MIN(Instances!Q156:Instances!Q156))</f>
        <v>0</v>
      </c>
      <c r="R156" s="1"/>
      <c r="S156" s="1"/>
      <c r="T156" s="1"/>
      <c r="U156" s="1"/>
      <c r="V156" s="1">
        <f>MIN($E156)</f>
        <v>0</v>
      </c>
      <c r="W156" s="1">
        <f>MIN($F156)</f>
        <v>0</v>
      </c>
      <c r="X156" s="1">
        <f>MIN($G156)</f>
        <v>0</v>
      </c>
      <c r="Y156" s="1"/>
      <c r="Z156" s="1"/>
      <c r="AA156" s="1">
        <f>MIN($J156)</f>
        <v>0</v>
      </c>
      <c r="AB156" s="1"/>
      <c r="AC156" s="1"/>
      <c r="AD156" s="1"/>
      <c r="AE156" s="1">
        <f>MIN($P156)</f>
        <v>0</v>
      </c>
      <c r="AF156" s="1">
        <f>MIN($Q156)</f>
        <v>0</v>
      </c>
      <c r="AG156" s="1"/>
      <c r="AH156" s="1"/>
      <c r="AI156" s="1"/>
      <c r="AJ156" s="1"/>
      <c r="AK156" s="1">
        <f>MEDIAN($E156)</f>
        <v>0</v>
      </c>
      <c r="AL156" s="1">
        <f>MEDIAN($F156)</f>
        <v>0</v>
      </c>
      <c r="AM156" s="1">
        <f>MEDIAN($G156)</f>
        <v>0</v>
      </c>
      <c r="AN156" s="1"/>
      <c r="AO156" s="1"/>
      <c r="AP156" s="1">
        <f>MEDIAN($J156)</f>
        <v>0</v>
      </c>
      <c r="AQ156" s="1"/>
      <c r="AR156" s="1"/>
      <c r="AS156" s="1"/>
      <c r="AT156" s="1">
        <f>MEDIAN($P156)</f>
        <v>0</v>
      </c>
      <c r="AU156" s="1">
        <f>MEDIAN($Q156)</f>
        <v>0</v>
      </c>
      <c r="AV156" s="1"/>
      <c r="AW156" s="1"/>
      <c r="AX156" s="1"/>
      <c r="AY156" s="1"/>
      <c r="AZ156" s="1">
        <f>MAX($E156)</f>
        <v>0</v>
      </c>
      <c r="BA156" s="1">
        <f>MAX($F156)</f>
        <v>0</v>
      </c>
      <c r="BB156" s="1">
        <f>MAX($G156)</f>
        <v>0</v>
      </c>
      <c r="BC156" s="1"/>
      <c r="BD156" s="1"/>
      <c r="BE156" s="1">
        <f>MAX($J156)</f>
        <v>0</v>
      </c>
      <c r="BF156" s="1"/>
      <c r="BG156" s="1"/>
      <c r="BH156" s="1"/>
      <c r="BI156" s="1">
        <f>MAX($P156)</f>
        <v>0</v>
      </c>
      <c r="BJ156" s="1">
        <f>MAX($Q156)</f>
        <v>0</v>
      </c>
      <c r="BK156" s="1"/>
    </row>
    <row r="157" spans="1:63">
      <c r="A157" s="1" t="s">
        <v>154</v>
      </c>
      <c r="B157" s="1" cm="1">
        <f t="array" ref="B157">_xlfn.SWITCH($A$2,"average", AVERAGE(Instances!B157:Instances!B157),"median", MEDIAN(Instances!B157:Instances!B157),"min", MIN(Instances!B157:Instances!B157),"max", MAX(Instances!B157:Instances!B157),"diff", MAX(Instances!B157:Instances!B157)-MIN(Instances!B157:Instances!B157))</f>
        <v>0</v>
      </c>
      <c r="C157" s="1" cm="1">
        <f t="array" ref="C157">_xlfn.SWITCH($A$2,"average", AVERAGE(Instances!C157:Instances!C157),"median", MEDIAN(Instances!C157:Instances!C157),"min", MIN(Instances!C157:Instances!C157),"max", MAX(Instances!C157:Instances!C157),"diff", MAX(Instances!C157:Instances!C157)-MIN(Instances!C157:Instances!C157))</f>
        <v>0</v>
      </c>
      <c r="D157" s="1" cm="1">
        <f t="array" ref="D157">_xlfn.SWITCH($A$2,"average", AVERAGE(Instances!D157:Instances!D157),"median", MEDIAN(Instances!D157:Instances!D157),"min", MIN(Instances!D157:Instances!D157),"max", MAX(Instances!D157:Instances!D157),"diff", MAX(Instances!D157:Instances!D157)-MIN(Instances!D157:Instances!D157))</f>
        <v>0</v>
      </c>
      <c r="E157" s="1" cm="1">
        <f t="array" ref="E157">_xlfn.SWITCH($A$2,"average", AVERAGE(Instances!E157:Instances!E157),"median", MEDIAN(Instances!E157:Instances!E157),"min", MIN(Instances!E157:Instances!E157),"max", MAX(Instances!E157:Instances!E157),"diff", MAX(Instances!E157:Instances!E157)-MIN(Instances!E157:Instances!E157))</f>
        <v>0</v>
      </c>
      <c r="F157" s="1" cm="1">
        <f t="array" ref="F157">_xlfn.SWITCH($A$2,"average", AVERAGE(Instances!F157:Instances!F157),"median", MEDIAN(Instances!F157:Instances!F157),"min", MIN(Instances!F157:Instances!F157),"max", MAX(Instances!F157:Instances!F157),"diff", MAX(Instances!F157:Instances!F157)-MIN(Instances!F157:Instances!F157))</f>
        <v>0</v>
      </c>
      <c r="G157" s="1" cm="1">
        <f t="array" ref="G157">_xlfn.SWITCH($A$2,"average", AVERAGE(Instances!G157:Instances!G157),"median", MEDIAN(Instances!G157:Instances!G157),"min", MIN(Instances!G157:Instances!G157),"max", MAX(Instances!G157:Instances!G157),"diff", MAX(Instances!G157:Instances!G157)-MIN(Instances!G157:Instances!G157))</f>
        <v>0</v>
      </c>
      <c r="H157" s="1" cm="1">
        <f t="array" ref="H157">_xlfn.SWITCH($A$2,"average", AVERAGE(Instances!H157:Instances!H157),"median", MEDIAN(Instances!H157:Instances!H157),"min", MIN(Instances!H157:Instances!H157),"max", MAX(Instances!H157:Instances!H157),"diff", MAX(Instances!H157:Instances!H157)-MIN(Instances!H157:Instances!H157))</f>
        <v>0</v>
      </c>
      <c r="I157" s="1" cm="1">
        <f t="array" ref="I157">_xlfn.SWITCH($A$2,"average", AVERAGE(Instances!I157:Instances!I157),"median", MEDIAN(Instances!I157:Instances!I157),"min", MIN(Instances!I157:Instances!I157),"max", MAX(Instances!I157:Instances!I157),"diff", MAX(Instances!I157:Instances!I157)-MIN(Instances!I157:Instances!I157))</f>
        <v>0</v>
      </c>
      <c r="J157" s="1" cm="1">
        <f t="array" ref="J157">_xlfn.SWITCH($A$2,"average", AVERAGE(Instances!J157:Instances!J157),"median", MEDIAN(Instances!J157:Instances!J157),"min", MIN(Instances!J157:Instances!J157),"max", MAX(Instances!J157:Instances!J157),"diff", MAX(Instances!J157:Instances!J157)-MIN(Instances!J157:Instances!J157))</f>
        <v>0</v>
      </c>
      <c r="K157" s="1" cm="1">
        <f t="array" ref="K157">_xlfn.SWITCH($A$2,"average", AVERAGE(Instances!K157:Instances!K157),"median", MEDIAN(Instances!K157:Instances!K157),"min", MIN(Instances!K157:Instances!K157),"max", MAX(Instances!K157:Instances!K157),"diff", MAX(Instances!K157:Instances!K157)-MIN(Instances!K157:Instances!K157))</f>
        <v>0</v>
      </c>
      <c r="L157" s="1"/>
      <c r="M157" s="1" cm="1">
        <f t="array" ref="M157">_xlfn.SWITCH($A$2,"average", AVERAGE(Instances!M157:Instances!M157),"median", MEDIAN(Instances!M157:Instances!M157),"min", MIN(Instances!M157:Instances!M157),"max", MAX(Instances!M157:Instances!M157),"diff", MAX(Instances!M157:Instances!M157)-MIN(Instances!M157:Instances!M157))</f>
        <v>0</v>
      </c>
      <c r="N157" s="1" cm="1">
        <f t="array" ref="N157">_xlfn.SWITCH($A$2,"average", AVERAGE(Instances!N157:Instances!N157),"median", MEDIAN(Instances!N157:Instances!N157),"min", MIN(Instances!N157:Instances!N157),"max", MAX(Instances!N157:Instances!N157),"diff", MAX(Instances!N157:Instances!N157)-MIN(Instances!N157:Instances!N157))</f>
        <v>0</v>
      </c>
      <c r="O157" s="1"/>
      <c r="P157" s="1" cm="1">
        <f t="array" ref="P157">_xlfn.SWITCH($A$2,"average", AVERAGE(Instances!P157:Instances!P157),"median", MEDIAN(Instances!P157:Instances!P157),"min", MIN(Instances!P157:Instances!P157),"max", MAX(Instances!P157:Instances!P157),"diff", MAX(Instances!P157:Instances!P157)-MIN(Instances!P157:Instances!P157))</f>
        <v>0</v>
      </c>
      <c r="Q157" s="1" cm="1">
        <f t="array" ref="Q157">_xlfn.SWITCH($A$2,"average", AVERAGE(Instances!Q157:Instances!Q157),"median", MEDIAN(Instances!Q157:Instances!Q157),"min", MIN(Instances!Q157:Instances!Q157),"max", MAX(Instances!Q157:Instances!Q157),"diff", MAX(Instances!Q157:Instances!Q157)-MIN(Instances!Q157:Instances!Q157))</f>
        <v>0</v>
      </c>
      <c r="R157" s="1" cm="1">
        <f t="array" ref="R157">_xlfn.SWITCH($A$2,"average", AVERAGE(Instances!R157:Instances!R157),"median", MEDIAN(Instances!R157:Instances!R157),"min", MIN(Instances!R157:Instances!R157),"max", MAX(Instances!R157:Instances!R157),"diff", MAX(Instances!R157:Instances!R157)-MIN(Instances!R157:Instances!R157))</f>
        <v>0</v>
      </c>
      <c r="S157" s="1">
        <f>MIN($B157)</f>
        <v>0</v>
      </c>
      <c r="T157" s="1">
        <f>MIN($C157)</f>
        <v>0</v>
      </c>
      <c r="U157" s="1">
        <f>MIN($D157)</f>
        <v>0</v>
      </c>
      <c r="V157" s="1">
        <f>MIN($E157)</f>
        <v>0</v>
      </c>
      <c r="W157" s="1">
        <f>MIN($F157)</f>
        <v>0</v>
      </c>
      <c r="X157" s="1">
        <f>MIN($G157)</f>
        <v>0</v>
      </c>
      <c r="Y157" s="1">
        <f>MIN($H157)</f>
        <v>0</v>
      </c>
      <c r="Z157" s="1">
        <f>MIN($I157)</f>
        <v>0</v>
      </c>
      <c r="AA157" s="1">
        <f>MIN($J157)</f>
        <v>0</v>
      </c>
      <c r="AB157" s="1">
        <f>MIN($K157)</f>
        <v>0</v>
      </c>
      <c r="AC157" s="1">
        <f>MIN($M157)</f>
        <v>0</v>
      </c>
      <c r="AD157" s="1">
        <f>MIN($N157)</f>
        <v>0</v>
      </c>
      <c r="AE157" s="1">
        <f>MIN($P157)</f>
        <v>0</v>
      </c>
      <c r="AF157" s="1">
        <f>MIN($Q157)</f>
        <v>0</v>
      </c>
      <c r="AG157" s="1">
        <f>MIN($R157)</f>
        <v>0</v>
      </c>
      <c r="AH157" s="1">
        <f>MEDIAN($B157)</f>
        <v>0</v>
      </c>
      <c r="AI157" s="1">
        <f>MEDIAN($C157)</f>
        <v>0</v>
      </c>
      <c r="AJ157" s="1">
        <f>MEDIAN($D157)</f>
        <v>0</v>
      </c>
      <c r="AK157" s="1">
        <f>MEDIAN($E157)</f>
        <v>0</v>
      </c>
      <c r="AL157" s="1">
        <f>MEDIAN($F157)</f>
        <v>0</v>
      </c>
      <c r="AM157" s="1">
        <f>MEDIAN($G157)</f>
        <v>0</v>
      </c>
      <c r="AN157" s="1">
        <f>MEDIAN($H157)</f>
        <v>0</v>
      </c>
      <c r="AO157" s="1">
        <f>MEDIAN($I157)</f>
        <v>0</v>
      </c>
      <c r="AP157" s="1">
        <f>MEDIAN($J157)</f>
        <v>0</v>
      </c>
      <c r="AQ157" s="1">
        <f>MEDIAN($K157)</f>
        <v>0</v>
      </c>
      <c r="AR157" s="1">
        <f>MEDIAN($M157)</f>
        <v>0</v>
      </c>
      <c r="AS157" s="1">
        <f>MEDIAN($N157)</f>
        <v>0</v>
      </c>
      <c r="AT157" s="1">
        <f>MEDIAN($P157)</f>
        <v>0</v>
      </c>
      <c r="AU157" s="1">
        <f>MEDIAN($Q157)</f>
        <v>0</v>
      </c>
      <c r="AV157" s="1">
        <f>MEDIAN($R157)</f>
        <v>0</v>
      </c>
      <c r="AW157" s="1">
        <f>MAX($B157)</f>
        <v>0</v>
      </c>
      <c r="AX157" s="1">
        <f>MAX($C157)</f>
        <v>0</v>
      </c>
      <c r="AY157" s="1">
        <f>MAX($D157)</f>
        <v>0</v>
      </c>
      <c r="AZ157" s="1">
        <f>MAX($E157)</f>
        <v>0</v>
      </c>
      <c r="BA157" s="1">
        <f>MAX($F157)</f>
        <v>0</v>
      </c>
      <c r="BB157" s="1">
        <f>MAX($G157)</f>
        <v>0</v>
      </c>
      <c r="BC157" s="1">
        <f>MAX($H157)</f>
        <v>0</v>
      </c>
      <c r="BD157" s="1">
        <f>MAX($I157)</f>
        <v>0</v>
      </c>
      <c r="BE157" s="1">
        <f>MAX($J157)</f>
        <v>0</v>
      </c>
      <c r="BF157" s="1">
        <f>MAX($K157)</f>
        <v>0</v>
      </c>
      <c r="BG157" s="1">
        <f>MAX($M157)</f>
        <v>0</v>
      </c>
      <c r="BH157" s="1">
        <f>MAX($N157)</f>
        <v>0</v>
      </c>
      <c r="BI157" s="1">
        <f>MAX($P157)</f>
        <v>0</v>
      </c>
      <c r="BJ157" s="1">
        <f>MAX($Q157)</f>
        <v>0</v>
      </c>
      <c r="BK157" s="1">
        <f>MAX($R157)</f>
        <v>0</v>
      </c>
    </row>
    <row r="158" spans="1:63">
      <c r="A158" s="1" t="s">
        <v>155</v>
      </c>
      <c r="B158" s="1" cm="1">
        <f t="array" ref="B158">_xlfn.SWITCH($A$2,"average", AVERAGE(Instances!B158:Instances!B158),"median", MEDIAN(Instances!B158:Instances!B158),"min", MIN(Instances!B158:Instances!B158),"max", MAX(Instances!B158:Instances!B158),"diff", MAX(Instances!B158:Instances!B158)-MIN(Instances!B158:Instances!B158))</f>
        <v>0</v>
      </c>
      <c r="C158" s="1" cm="1">
        <f t="array" ref="C158">_xlfn.SWITCH($A$2,"average", AVERAGE(Instances!C158:Instances!C158),"median", MEDIAN(Instances!C158:Instances!C158),"min", MIN(Instances!C158:Instances!C158),"max", MAX(Instances!C158:Instances!C158),"diff", MAX(Instances!C158:Instances!C158)-MIN(Instances!C158:Instances!C158))</f>
        <v>0</v>
      </c>
      <c r="D158" s="1" cm="1">
        <f t="array" ref="D158">_xlfn.SWITCH($A$2,"average", AVERAGE(Instances!D158:Instances!D158),"median", MEDIAN(Instances!D158:Instances!D158),"min", MIN(Instances!D158:Instances!D158),"max", MAX(Instances!D158:Instances!D158),"diff", MAX(Instances!D158:Instances!D158)-MIN(Instances!D158:Instances!D158))</f>
        <v>0</v>
      </c>
      <c r="E158" s="1" cm="1">
        <f t="array" ref="E158">_xlfn.SWITCH($A$2,"average", AVERAGE(Instances!E158:Instances!E158),"median", MEDIAN(Instances!E158:Instances!E158),"min", MIN(Instances!E158:Instances!E158),"max", MAX(Instances!E158:Instances!E158),"diff", MAX(Instances!E158:Instances!E158)-MIN(Instances!E158:Instances!E158))</f>
        <v>0</v>
      </c>
      <c r="F158" s="1" cm="1">
        <f t="array" ref="F158">_xlfn.SWITCH($A$2,"average", AVERAGE(Instances!F158:Instances!F158),"median", MEDIAN(Instances!F158:Instances!F158),"min", MIN(Instances!F158:Instances!F158),"max", MAX(Instances!F158:Instances!F158),"diff", MAX(Instances!F158:Instances!F158)-MIN(Instances!F158:Instances!F158))</f>
        <v>0</v>
      </c>
      <c r="G158" s="1" cm="1">
        <f t="array" ref="G158">_xlfn.SWITCH($A$2,"average", AVERAGE(Instances!G158:Instances!G158),"median", MEDIAN(Instances!G158:Instances!G158),"min", MIN(Instances!G158:Instances!G158),"max", MAX(Instances!G158:Instances!G158),"diff", MAX(Instances!G158:Instances!G158)-MIN(Instances!G158:Instances!G158))</f>
        <v>0</v>
      </c>
      <c r="H158" s="1" cm="1">
        <f t="array" ref="H158">_xlfn.SWITCH($A$2,"average", AVERAGE(Instances!H158:Instances!H158),"median", MEDIAN(Instances!H158:Instances!H158),"min", MIN(Instances!H158:Instances!H158),"max", MAX(Instances!H158:Instances!H158),"diff", MAX(Instances!H158:Instances!H158)-MIN(Instances!H158:Instances!H158))</f>
        <v>0</v>
      </c>
      <c r="I158" s="1" cm="1">
        <f t="array" ref="I158">_xlfn.SWITCH($A$2,"average", AVERAGE(Instances!I158:Instances!I158),"median", MEDIAN(Instances!I158:Instances!I158),"min", MIN(Instances!I158:Instances!I158),"max", MAX(Instances!I158:Instances!I158),"diff", MAX(Instances!I158:Instances!I158)-MIN(Instances!I158:Instances!I158))</f>
        <v>0</v>
      </c>
      <c r="J158" s="1" cm="1">
        <f t="array" ref="J158">_xlfn.SWITCH($A$2,"average", AVERAGE(Instances!J158:Instances!J158),"median", MEDIAN(Instances!J158:Instances!J158),"min", MIN(Instances!J158:Instances!J158),"max", MAX(Instances!J158:Instances!J158),"diff", MAX(Instances!J158:Instances!J158)-MIN(Instances!J158:Instances!J158))</f>
        <v>0</v>
      </c>
      <c r="K158" s="1" cm="1">
        <f t="array" ref="K158">_xlfn.SWITCH($A$2,"average", AVERAGE(Instances!K158:Instances!K158),"median", MEDIAN(Instances!K158:Instances!K158),"min", MIN(Instances!K158:Instances!K158),"max", MAX(Instances!K158:Instances!K158),"diff", MAX(Instances!K158:Instances!K158)-MIN(Instances!K158:Instances!K158))</f>
        <v>0</v>
      </c>
      <c r="L158" s="1"/>
      <c r="M158" s="1" cm="1">
        <f t="array" ref="M158">_xlfn.SWITCH($A$2,"average", AVERAGE(Instances!M158:Instances!M158),"median", MEDIAN(Instances!M158:Instances!M158),"min", MIN(Instances!M158:Instances!M158),"max", MAX(Instances!M158:Instances!M158),"diff", MAX(Instances!M158:Instances!M158)-MIN(Instances!M158:Instances!M158))</f>
        <v>0</v>
      </c>
      <c r="N158" s="1" cm="1">
        <f t="array" ref="N158">_xlfn.SWITCH($A$2,"average", AVERAGE(Instances!N158:Instances!N158),"median", MEDIAN(Instances!N158:Instances!N158),"min", MIN(Instances!N158:Instances!N158),"max", MAX(Instances!N158:Instances!N158),"diff", MAX(Instances!N158:Instances!N158)-MIN(Instances!N158:Instances!N158))</f>
        <v>0</v>
      </c>
      <c r="O158" s="1"/>
      <c r="P158" s="1" cm="1">
        <f t="array" ref="P158">_xlfn.SWITCH($A$2,"average", AVERAGE(Instances!P158:Instances!P158),"median", MEDIAN(Instances!P158:Instances!P158),"min", MIN(Instances!P158:Instances!P158),"max", MAX(Instances!P158:Instances!P158),"diff", MAX(Instances!P158:Instances!P158)-MIN(Instances!P158:Instances!P158))</f>
        <v>0</v>
      </c>
      <c r="Q158" s="1" cm="1">
        <f t="array" ref="Q158">_xlfn.SWITCH($A$2,"average", AVERAGE(Instances!Q158:Instances!Q158),"median", MEDIAN(Instances!Q158:Instances!Q158),"min", MIN(Instances!Q158:Instances!Q158),"max", MAX(Instances!Q158:Instances!Q158),"diff", MAX(Instances!Q158:Instances!Q158)-MIN(Instances!Q158:Instances!Q158))</f>
        <v>0</v>
      </c>
      <c r="R158" s="1" cm="1">
        <f t="array" ref="R158">_xlfn.SWITCH($A$2,"average", AVERAGE(Instances!R158:Instances!R158),"median", MEDIAN(Instances!R158:Instances!R158),"min", MIN(Instances!R158:Instances!R158),"max", MAX(Instances!R158:Instances!R158),"diff", MAX(Instances!R158:Instances!R158)-MIN(Instances!R158:Instances!R158))</f>
        <v>0</v>
      </c>
      <c r="S158" s="1">
        <f>MIN($B158)</f>
        <v>0</v>
      </c>
      <c r="T158" s="1">
        <f>MIN($C158)</f>
        <v>0</v>
      </c>
      <c r="U158" s="1">
        <f>MIN($D158)</f>
        <v>0</v>
      </c>
      <c r="V158" s="1">
        <f>MIN($E158)</f>
        <v>0</v>
      </c>
      <c r="W158" s="1">
        <f>MIN($F158)</f>
        <v>0</v>
      </c>
      <c r="X158" s="1">
        <f>MIN($G158)</f>
        <v>0</v>
      </c>
      <c r="Y158" s="1">
        <f>MIN($H158)</f>
        <v>0</v>
      </c>
      <c r="Z158" s="1">
        <f>MIN($I158)</f>
        <v>0</v>
      </c>
      <c r="AA158" s="1">
        <f>MIN($J158)</f>
        <v>0</v>
      </c>
      <c r="AB158" s="1">
        <f>MIN($K158)</f>
        <v>0</v>
      </c>
      <c r="AC158" s="1">
        <f>MIN($M158)</f>
        <v>0</v>
      </c>
      <c r="AD158" s="1">
        <f>MIN($N158)</f>
        <v>0</v>
      </c>
      <c r="AE158" s="1">
        <f>MIN($P158)</f>
        <v>0</v>
      </c>
      <c r="AF158" s="1">
        <f>MIN($Q158)</f>
        <v>0</v>
      </c>
      <c r="AG158" s="1">
        <f>MIN($R158)</f>
        <v>0</v>
      </c>
      <c r="AH158" s="1">
        <f>MEDIAN($B158)</f>
        <v>0</v>
      </c>
      <c r="AI158" s="1">
        <f>MEDIAN($C158)</f>
        <v>0</v>
      </c>
      <c r="AJ158" s="1">
        <f>MEDIAN($D158)</f>
        <v>0</v>
      </c>
      <c r="AK158" s="1">
        <f>MEDIAN($E158)</f>
        <v>0</v>
      </c>
      <c r="AL158" s="1">
        <f>MEDIAN($F158)</f>
        <v>0</v>
      </c>
      <c r="AM158" s="1">
        <f>MEDIAN($G158)</f>
        <v>0</v>
      </c>
      <c r="AN158" s="1">
        <f>MEDIAN($H158)</f>
        <v>0</v>
      </c>
      <c r="AO158" s="1">
        <f>MEDIAN($I158)</f>
        <v>0</v>
      </c>
      <c r="AP158" s="1">
        <f>MEDIAN($J158)</f>
        <v>0</v>
      </c>
      <c r="AQ158" s="1">
        <f>MEDIAN($K158)</f>
        <v>0</v>
      </c>
      <c r="AR158" s="1">
        <f>MEDIAN($M158)</f>
        <v>0</v>
      </c>
      <c r="AS158" s="1">
        <f>MEDIAN($N158)</f>
        <v>0</v>
      </c>
      <c r="AT158" s="1">
        <f>MEDIAN($P158)</f>
        <v>0</v>
      </c>
      <c r="AU158" s="1">
        <f>MEDIAN($Q158)</f>
        <v>0</v>
      </c>
      <c r="AV158" s="1">
        <f>MEDIAN($R158)</f>
        <v>0</v>
      </c>
      <c r="AW158" s="1">
        <f>MAX($B158)</f>
        <v>0</v>
      </c>
      <c r="AX158" s="1">
        <f>MAX($C158)</f>
        <v>0</v>
      </c>
      <c r="AY158" s="1">
        <f>MAX($D158)</f>
        <v>0</v>
      </c>
      <c r="AZ158" s="1">
        <f>MAX($E158)</f>
        <v>0</v>
      </c>
      <c r="BA158" s="1">
        <f>MAX($F158)</f>
        <v>0</v>
      </c>
      <c r="BB158" s="1">
        <f>MAX($G158)</f>
        <v>0</v>
      </c>
      <c r="BC158" s="1">
        <f>MAX($H158)</f>
        <v>0</v>
      </c>
      <c r="BD158" s="1">
        <f>MAX($I158)</f>
        <v>0</v>
      </c>
      <c r="BE158" s="1">
        <f>MAX($J158)</f>
        <v>0</v>
      </c>
      <c r="BF158" s="1">
        <f>MAX($K158)</f>
        <v>0</v>
      </c>
      <c r="BG158" s="1">
        <f>MAX($M158)</f>
        <v>0</v>
      </c>
      <c r="BH158" s="1">
        <f>MAX($N158)</f>
        <v>0</v>
      </c>
      <c r="BI158" s="1">
        <f>MAX($P158)</f>
        <v>0</v>
      </c>
      <c r="BJ158" s="1">
        <f>MAX($Q158)</f>
        <v>0</v>
      </c>
      <c r="BK158" s="1">
        <f>MAX($R158)</f>
        <v>0</v>
      </c>
    </row>
    <row r="159" spans="1:63">
      <c r="A159" s="1" t="s">
        <v>156</v>
      </c>
      <c r="B159" s="1"/>
      <c r="C159" s="1"/>
      <c r="D159" s="1"/>
      <c r="E159" s="1" cm="1">
        <f t="array" ref="E159">_xlfn.SWITCH($A$2,"average", AVERAGE(Instances!E159:Instances!E159),"median", MEDIAN(Instances!E159:Instances!E159),"min", MIN(Instances!E159:Instances!E159),"max", MAX(Instances!E159:Instances!E159),"diff", MAX(Instances!E159:Instances!E159)-MIN(Instances!E159:Instances!E159))</f>
        <v>0</v>
      </c>
      <c r="F159" s="1" cm="1">
        <f t="array" ref="F159">_xlfn.SWITCH($A$2,"average", AVERAGE(Instances!F159:Instances!F159),"median", MEDIAN(Instances!F159:Instances!F159),"min", MIN(Instances!F159:Instances!F159),"max", MAX(Instances!F159:Instances!F159),"diff", MAX(Instances!F159:Instances!F159)-MIN(Instances!F159:Instances!F159))</f>
        <v>0</v>
      </c>
      <c r="G159" s="1" cm="1">
        <f t="array" ref="G159">_xlfn.SWITCH($A$2,"average", AVERAGE(Instances!G159:Instances!G159),"median", MEDIAN(Instances!G159:Instances!G159),"min", MIN(Instances!G159:Instances!G159),"max", MAX(Instances!G159:Instances!G159),"diff", MAX(Instances!G159:Instances!G159)-MIN(Instances!G159:Instances!G159))</f>
        <v>0</v>
      </c>
      <c r="H159" s="1"/>
      <c r="I159" s="1"/>
      <c r="J159" s="1" cm="1">
        <f t="array" ref="J159">_xlfn.SWITCH($A$2,"average", AVERAGE(Instances!J159:Instances!J159),"median", MEDIAN(Instances!J159:Instances!J159),"min", MIN(Instances!J159:Instances!J159),"max", MAX(Instances!J159:Instances!J159),"diff", MAX(Instances!J159:Instances!J159)-MIN(Instances!J159:Instances!J159))</f>
        <v>0</v>
      </c>
      <c r="K159" s="1"/>
      <c r="L159" s="1"/>
      <c r="M159" s="1"/>
      <c r="N159" s="1"/>
      <c r="O159" s="1"/>
      <c r="P159" s="1" cm="1">
        <f t="array" ref="P159">_xlfn.SWITCH($A$2,"average", AVERAGE(Instances!P159:Instances!P159),"median", MEDIAN(Instances!P159:Instances!P159),"min", MIN(Instances!P159:Instances!P159),"max", MAX(Instances!P159:Instances!P159),"diff", MAX(Instances!P159:Instances!P159)-MIN(Instances!P159:Instances!P159))</f>
        <v>0</v>
      </c>
      <c r="Q159" s="1" cm="1">
        <f t="array" ref="Q159">_xlfn.SWITCH($A$2,"average", AVERAGE(Instances!Q159:Instances!Q159),"median", MEDIAN(Instances!Q159:Instances!Q159),"min", MIN(Instances!Q159:Instances!Q159),"max", MAX(Instances!Q159:Instances!Q159),"diff", MAX(Instances!Q159:Instances!Q159)-MIN(Instances!Q159:Instances!Q159))</f>
        <v>0</v>
      </c>
      <c r="R159" s="1"/>
      <c r="S159" s="1"/>
      <c r="T159" s="1"/>
      <c r="U159" s="1"/>
      <c r="V159" s="1">
        <f>MIN($E159)</f>
        <v>0</v>
      </c>
      <c r="W159" s="1">
        <f>MIN($F159)</f>
        <v>0</v>
      </c>
      <c r="X159" s="1">
        <f>MIN($G159)</f>
        <v>0</v>
      </c>
      <c r="Y159" s="1"/>
      <c r="Z159" s="1"/>
      <c r="AA159" s="1">
        <f>MIN($J159)</f>
        <v>0</v>
      </c>
      <c r="AB159" s="1"/>
      <c r="AC159" s="1"/>
      <c r="AD159" s="1"/>
      <c r="AE159" s="1">
        <f>MIN($P159)</f>
        <v>0</v>
      </c>
      <c r="AF159" s="1">
        <f>MIN($Q159)</f>
        <v>0</v>
      </c>
      <c r="AG159" s="1"/>
      <c r="AH159" s="1"/>
      <c r="AI159" s="1"/>
      <c r="AJ159" s="1"/>
      <c r="AK159" s="1">
        <f>MEDIAN($E159)</f>
        <v>0</v>
      </c>
      <c r="AL159" s="1">
        <f>MEDIAN($F159)</f>
        <v>0</v>
      </c>
      <c r="AM159" s="1">
        <f>MEDIAN($G159)</f>
        <v>0</v>
      </c>
      <c r="AN159" s="1"/>
      <c r="AO159" s="1"/>
      <c r="AP159" s="1">
        <f>MEDIAN($J159)</f>
        <v>0</v>
      </c>
      <c r="AQ159" s="1"/>
      <c r="AR159" s="1"/>
      <c r="AS159" s="1"/>
      <c r="AT159" s="1">
        <f>MEDIAN($P159)</f>
        <v>0</v>
      </c>
      <c r="AU159" s="1">
        <f>MEDIAN($Q159)</f>
        <v>0</v>
      </c>
      <c r="AV159" s="1"/>
      <c r="AW159" s="1"/>
      <c r="AX159" s="1"/>
      <c r="AY159" s="1"/>
      <c r="AZ159" s="1">
        <f>MAX($E159)</f>
        <v>0</v>
      </c>
      <c r="BA159" s="1">
        <f>MAX($F159)</f>
        <v>0</v>
      </c>
      <c r="BB159" s="1">
        <f>MAX($G159)</f>
        <v>0</v>
      </c>
      <c r="BC159" s="1"/>
      <c r="BD159" s="1"/>
      <c r="BE159" s="1">
        <f>MAX($J159)</f>
        <v>0</v>
      </c>
      <c r="BF159" s="1"/>
      <c r="BG159" s="1"/>
      <c r="BH159" s="1"/>
      <c r="BI159" s="1">
        <f>MAX($P159)</f>
        <v>0</v>
      </c>
      <c r="BJ159" s="1">
        <f>MAX($Q159)</f>
        <v>0</v>
      </c>
      <c r="BK159" s="1"/>
    </row>
    <row r="160" spans="1:63">
      <c r="A160" s="1" t="s">
        <v>157</v>
      </c>
      <c r="B160" s="1"/>
      <c r="C160" s="1"/>
      <c r="D160" s="1"/>
      <c r="E160" s="1" cm="1">
        <f t="array" ref="E160">_xlfn.SWITCH($A$2,"average", AVERAGE(Instances!E160:Instances!E160),"median", MEDIAN(Instances!E160:Instances!E160),"min", MIN(Instances!E160:Instances!E160),"max", MAX(Instances!E160:Instances!E160),"diff", MAX(Instances!E160:Instances!E160)-MIN(Instances!E160:Instances!E160))</f>
        <v>0</v>
      </c>
      <c r="F160" s="1" cm="1">
        <f t="array" ref="F160">_xlfn.SWITCH($A$2,"average", AVERAGE(Instances!F160:Instances!F160),"median", MEDIAN(Instances!F160:Instances!F160),"min", MIN(Instances!F160:Instances!F160),"max", MAX(Instances!F160:Instances!F160),"diff", MAX(Instances!F160:Instances!F160)-MIN(Instances!F160:Instances!F160))</f>
        <v>0</v>
      </c>
      <c r="G160" s="1" cm="1">
        <f t="array" ref="G160">_xlfn.SWITCH($A$2,"average", AVERAGE(Instances!G160:Instances!G160),"median", MEDIAN(Instances!G160:Instances!G160),"min", MIN(Instances!G160:Instances!G160),"max", MAX(Instances!G160:Instances!G160),"diff", MAX(Instances!G160:Instances!G160)-MIN(Instances!G160:Instances!G160))</f>
        <v>0</v>
      </c>
      <c r="H160" s="1"/>
      <c r="I160" s="1"/>
      <c r="J160" s="1" cm="1">
        <f t="array" ref="J160">_xlfn.SWITCH($A$2,"average", AVERAGE(Instances!J160:Instances!J160),"median", MEDIAN(Instances!J160:Instances!J160),"min", MIN(Instances!J160:Instances!J160),"max", MAX(Instances!J160:Instances!J160),"diff", MAX(Instances!J160:Instances!J160)-MIN(Instances!J160:Instances!J160))</f>
        <v>0</v>
      </c>
      <c r="K160" s="1"/>
      <c r="L160" s="1"/>
      <c r="M160" s="1"/>
      <c r="N160" s="1"/>
      <c r="O160" s="1"/>
      <c r="P160" s="1" cm="1">
        <f t="array" ref="P160">_xlfn.SWITCH($A$2,"average", AVERAGE(Instances!P160:Instances!P160),"median", MEDIAN(Instances!P160:Instances!P160),"min", MIN(Instances!P160:Instances!P160),"max", MAX(Instances!P160:Instances!P160),"diff", MAX(Instances!P160:Instances!P160)-MIN(Instances!P160:Instances!P160))</f>
        <v>0</v>
      </c>
      <c r="Q160" s="1" cm="1">
        <f t="array" ref="Q160">_xlfn.SWITCH($A$2,"average", AVERAGE(Instances!Q160:Instances!Q160),"median", MEDIAN(Instances!Q160:Instances!Q160),"min", MIN(Instances!Q160:Instances!Q160),"max", MAX(Instances!Q160:Instances!Q160),"diff", MAX(Instances!Q160:Instances!Q160)-MIN(Instances!Q160:Instances!Q160))</f>
        <v>0</v>
      </c>
      <c r="R160" s="1"/>
      <c r="S160" s="1"/>
      <c r="T160" s="1"/>
      <c r="U160" s="1"/>
      <c r="V160" s="1">
        <f>MIN($E160)</f>
        <v>0</v>
      </c>
      <c r="W160" s="1">
        <f>MIN($F160)</f>
        <v>0</v>
      </c>
      <c r="X160" s="1">
        <f>MIN($G160)</f>
        <v>0</v>
      </c>
      <c r="Y160" s="1"/>
      <c r="Z160" s="1"/>
      <c r="AA160" s="1">
        <f>MIN($J160)</f>
        <v>0</v>
      </c>
      <c r="AB160" s="1"/>
      <c r="AC160" s="1"/>
      <c r="AD160" s="1"/>
      <c r="AE160" s="1">
        <f>MIN($P160)</f>
        <v>0</v>
      </c>
      <c r="AF160" s="1">
        <f>MIN($Q160)</f>
        <v>0</v>
      </c>
      <c r="AG160" s="1"/>
      <c r="AH160" s="1"/>
      <c r="AI160" s="1"/>
      <c r="AJ160" s="1"/>
      <c r="AK160" s="1">
        <f>MEDIAN($E160)</f>
        <v>0</v>
      </c>
      <c r="AL160" s="1">
        <f>MEDIAN($F160)</f>
        <v>0</v>
      </c>
      <c r="AM160" s="1">
        <f>MEDIAN($G160)</f>
        <v>0</v>
      </c>
      <c r="AN160" s="1"/>
      <c r="AO160" s="1"/>
      <c r="AP160" s="1">
        <f>MEDIAN($J160)</f>
        <v>0</v>
      </c>
      <c r="AQ160" s="1"/>
      <c r="AR160" s="1"/>
      <c r="AS160" s="1"/>
      <c r="AT160" s="1">
        <f>MEDIAN($P160)</f>
        <v>0</v>
      </c>
      <c r="AU160" s="1">
        <f>MEDIAN($Q160)</f>
        <v>0</v>
      </c>
      <c r="AV160" s="1"/>
      <c r="AW160" s="1"/>
      <c r="AX160" s="1"/>
      <c r="AY160" s="1"/>
      <c r="AZ160" s="1">
        <f>MAX($E160)</f>
        <v>0</v>
      </c>
      <c r="BA160" s="1">
        <f>MAX($F160)</f>
        <v>0</v>
      </c>
      <c r="BB160" s="1">
        <f>MAX($G160)</f>
        <v>0</v>
      </c>
      <c r="BC160" s="1"/>
      <c r="BD160" s="1"/>
      <c r="BE160" s="1">
        <f>MAX($J160)</f>
        <v>0</v>
      </c>
      <c r="BF160" s="1"/>
      <c r="BG160" s="1"/>
      <c r="BH160" s="1"/>
      <c r="BI160" s="1">
        <f>MAX($P160)</f>
        <v>0</v>
      </c>
      <c r="BJ160" s="1">
        <f>MAX($Q160)</f>
        <v>0</v>
      </c>
      <c r="BK160" s="1"/>
    </row>
    <row r="161" spans="1:63">
      <c r="A161" s="1" t="s">
        <v>158</v>
      </c>
      <c r="B161" s="1" cm="1">
        <f t="array" ref="B161">_xlfn.SWITCH($A$2,"average", AVERAGE(Instances!B161:Instances!B161),"median", MEDIAN(Instances!B161:Instances!B161),"min", MIN(Instances!B161:Instances!B161),"max", MAX(Instances!B161:Instances!B161),"diff", MAX(Instances!B161:Instances!B161)-MIN(Instances!B161:Instances!B161))</f>
        <v>0</v>
      </c>
      <c r="C161" s="1" cm="1">
        <f t="array" ref="C161">_xlfn.SWITCH($A$2,"average", AVERAGE(Instances!C161:Instances!C161),"median", MEDIAN(Instances!C161:Instances!C161),"min", MIN(Instances!C161:Instances!C161),"max", MAX(Instances!C161:Instances!C161),"diff", MAX(Instances!C161:Instances!C161)-MIN(Instances!C161:Instances!C161))</f>
        <v>0</v>
      </c>
      <c r="D161" s="1" cm="1">
        <f t="array" ref="D161">_xlfn.SWITCH($A$2,"average", AVERAGE(Instances!D161:Instances!D161),"median", MEDIAN(Instances!D161:Instances!D161),"min", MIN(Instances!D161:Instances!D161),"max", MAX(Instances!D161:Instances!D161),"diff", MAX(Instances!D161:Instances!D161)-MIN(Instances!D161:Instances!D161))</f>
        <v>0</v>
      </c>
      <c r="E161" s="1" cm="1">
        <f t="array" ref="E161">_xlfn.SWITCH($A$2,"average", AVERAGE(Instances!E161:Instances!E161),"median", MEDIAN(Instances!E161:Instances!E161),"min", MIN(Instances!E161:Instances!E161),"max", MAX(Instances!E161:Instances!E161),"diff", MAX(Instances!E161:Instances!E161)-MIN(Instances!E161:Instances!E161))</f>
        <v>0</v>
      </c>
      <c r="F161" s="1" cm="1">
        <f t="array" ref="F161">_xlfn.SWITCH($A$2,"average", AVERAGE(Instances!F161:Instances!F161),"median", MEDIAN(Instances!F161:Instances!F161),"min", MIN(Instances!F161:Instances!F161),"max", MAX(Instances!F161:Instances!F161),"diff", MAX(Instances!F161:Instances!F161)-MIN(Instances!F161:Instances!F161))</f>
        <v>0</v>
      </c>
      <c r="G161" s="1" cm="1">
        <f t="array" ref="G161">_xlfn.SWITCH($A$2,"average", AVERAGE(Instances!G161:Instances!G161),"median", MEDIAN(Instances!G161:Instances!G161),"min", MIN(Instances!G161:Instances!G161),"max", MAX(Instances!G161:Instances!G161),"diff", MAX(Instances!G161:Instances!G161)-MIN(Instances!G161:Instances!G161))</f>
        <v>0</v>
      </c>
      <c r="H161" s="1" cm="1">
        <f t="array" ref="H161">_xlfn.SWITCH($A$2,"average", AVERAGE(Instances!H161:Instances!H161),"median", MEDIAN(Instances!H161:Instances!H161),"min", MIN(Instances!H161:Instances!H161),"max", MAX(Instances!H161:Instances!H161),"diff", MAX(Instances!H161:Instances!H161)-MIN(Instances!H161:Instances!H161))</f>
        <v>0</v>
      </c>
      <c r="I161" s="1" cm="1">
        <f t="array" ref="I161">_xlfn.SWITCH($A$2,"average", AVERAGE(Instances!I161:Instances!I161),"median", MEDIAN(Instances!I161:Instances!I161),"min", MIN(Instances!I161:Instances!I161),"max", MAX(Instances!I161:Instances!I161),"diff", MAX(Instances!I161:Instances!I161)-MIN(Instances!I161:Instances!I161))</f>
        <v>0</v>
      </c>
      <c r="J161" s="1" cm="1">
        <f t="array" ref="J161">_xlfn.SWITCH($A$2,"average", AVERAGE(Instances!J161:Instances!J161),"median", MEDIAN(Instances!J161:Instances!J161),"min", MIN(Instances!J161:Instances!J161),"max", MAX(Instances!J161:Instances!J161),"diff", MAX(Instances!J161:Instances!J161)-MIN(Instances!J161:Instances!J161))</f>
        <v>0</v>
      </c>
      <c r="K161" s="1" cm="1">
        <f t="array" ref="K161">_xlfn.SWITCH($A$2,"average", AVERAGE(Instances!K161:Instances!K161),"median", MEDIAN(Instances!K161:Instances!K161),"min", MIN(Instances!K161:Instances!K161),"max", MAX(Instances!K161:Instances!K161),"diff", MAX(Instances!K161:Instances!K161)-MIN(Instances!K161:Instances!K161))</f>
        <v>0</v>
      </c>
      <c r="L161" s="1"/>
      <c r="M161" s="1" cm="1">
        <f t="array" ref="M161">_xlfn.SWITCH($A$2,"average", AVERAGE(Instances!M161:Instances!M161),"median", MEDIAN(Instances!M161:Instances!M161),"min", MIN(Instances!M161:Instances!M161),"max", MAX(Instances!M161:Instances!M161),"diff", MAX(Instances!M161:Instances!M161)-MIN(Instances!M161:Instances!M161))</f>
        <v>0</v>
      </c>
      <c r="N161" s="1" cm="1">
        <f t="array" ref="N161">_xlfn.SWITCH($A$2,"average", AVERAGE(Instances!N161:Instances!N161),"median", MEDIAN(Instances!N161:Instances!N161),"min", MIN(Instances!N161:Instances!N161),"max", MAX(Instances!N161:Instances!N161),"diff", MAX(Instances!N161:Instances!N161)-MIN(Instances!N161:Instances!N161))</f>
        <v>0</v>
      </c>
      <c r="O161" s="1"/>
      <c r="P161" s="1" cm="1">
        <f t="array" ref="P161">_xlfn.SWITCH($A$2,"average", AVERAGE(Instances!P161:Instances!P161),"median", MEDIAN(Instances!P161:Instances!P161),"min", MIN(Instances!P161:Instances!P161),"max", MAX(Instances!P161:Instances!P161),"diff", MAX(Instances!P161:Instances!P161)-MIN(Instances!P161:Instances!P161))</f>
        <v>0</v>
      </c>
      <c r="Q161" s="1" cm="1">
        <f t="array" ref="Q161">_xlfn.SWITCH($A$2,"average", AVERAGE(Instances!Q161:Instances!Q161),"median", MEDIAN(Instances!Q161:Instances!Q161),"min", MIN(Instances!Q161:Instances!Q161),"max", MAX(Instances!Q161:Instances!Q161),"diff", MAX(Instances!Q161:Instances!Q161)-MIN(Instances!Q161:Instances!Q161))</f>
        <v>0</v>
      </c>
      <c r="R161" s="1" cm="1">
        <f t="array" ref="R161">_xlfn.SWITCH($A$2,"average", AVERAGE(Instances!R161:Instances!R161),"median", MEDIAN(Instances!R161:Instances!R161),"min", MIN(Instances!R161:Instances!R161),"max", MAX(Instances!R161:Instances!R161),"diff", MAX(Instances!R161:Instances!R161)-MIN(Instances!R161:Instances!R161))</f>
        <v>0</v>
      </c>
      <c r="S161" s="1">
        <f>MIN($B161)</f>
        <v>0</v>
      </c>
      <c r="T161" s="1">
        <f>MIN($C161)</f>
        <v>0</v>
      </c>
      <c r="U161" s="1">
        <f>MIN($D161)</f>
        <v>0</v>
      </c>
      <c r="V161" s="1">
        <f>MIN($E161)</f>
        <v>0</v>
      </c>
      <c r="W161" s="1">
        <f>MIN($F161)</f>
        <v>0</v>
      </c>
      <c r="X161" s="1">
        <f>MIN($G161)</f>
        <v>0</v>
      </c>
      <c r="Y161" s="1">
        <f>MIN($H161)</f>
        <v>0</v>
      </c>
      <c r="Z161" s="1">
        <f>MIN($I161)</f>
        <v>0</v>
      </c>
      <c r="AA161" s="1">
        <f>MIN($J161)</f>
        <v>0</v>
      </c>
      <c r="AB161" s="1">
        <f>MIN($K161)</f>
        <v>0</v>
      </c>
      <c r="AC161" s="1">
        <f>MIN($M161)</f>
        <v>0</v>
      </c>
      <c r="AD161" s="1">
        <f>MIN($N161)</f>
        <v>0</v>
      </c>
      <c r="AE161" s="1">
        <f>MIN($P161)</f>
        <v>0</v>
      </c>
      <c r="AF161" s="1">
        <f>MIN($Q161)</f>
        <v>0</v>
      </c>
      <c r="AG161" s="1">
        <f>MIN($R161)</f>
        <v>0</v>
      </c>
      <c r="AH161" s="1">
        <f>MEDIAN($B161)</f>
        <v>0</v>
      </c>
      <c r="AI161" s="1">
        <f>MEDIAN($C161)</f>
        <v>0</v>
      </c>
      <c r="AJ161" s="1">
        <f>MEDIAN($D161)</f>
        <v>0</v>
      </c>
      <c r="AK161" s="1">
        <f>MEDIAN($E161)</f>
        <v>0</v>
      </c>
      <c r="AL161" s="1">
        <f>MEDIAN($F161)</f>
        <v>0</v>
      </c>
      <c r="AM161" s="1">
        <f>MEDIAN($G161)</f>
        <v>0</v>
      </c>
      <c r="AN161" s="1">
        <f>MEDIAN($H161)</f>
        <v>0</v>
      </c>
      <c r="AO161" s="1">
        <f>MEDIAN($I161)</f>
        <v>0</v>
      </c>
      <c r="AP161" s="1">
        <f>MEDIAN($J161)</f>
        <v>0</v>
      </c>
      <c r="AQ161" s="1">
        <f>MEDIAN($K161)</f>
        <v>0</v>
      </c>
      <c r="AR161" s="1">
        <f>MEDIAN($M161)</f>
        <v>0</v>
      </c>
      <c r="AS161" s="1">
        <f>MEDIAN($N161)</f>
        <v>0</v>
      </c>
      <c r="AT161" s="1">
        <f>MEDIAN($P161)</f>
        <v>0</v>
      </c>
      <c r="AU161" s="1">
        <f>MEDIAN($Q161)</f>
        <v>0</v>
      </c>
      <c r="AV161" s="1">
        <f>MEDIAN($R161)</f>
        <v>0</v>
      </c>
      <c r="AW161" s="1">
        <f>MAX($B161)</f>
        <v>0</v>
      </c>
      <c r="AX161" s="1">
        <f>MAX($C161)</f>
        <v>0</v>
      </c>
      <c r="AY161" s="1">
        <f>MAX($D161)</f>
        <v>0</v>
      </c>
      <c r="AZ161" s="1">
        <f>MAX($E161)</f>
        <v>0</v>
      </c>
      <c r="BA161" s="1">
        <f>MAX($F161)</f>
        <v>0</v>
      </c>
      <c r="BB161" s="1">
        <f>MAX($G161)</f>
        <v>0</v>
      </c>
      <c r="BC161" s="1">
        <f>MAX($H161)</f>
        <v>0</v>
      </c>
      <c r="BD161" s="1">
        <f>MAX($I161)</f>
        <v>0</v>
      </c>
      <c r="BE161" s="1">
        <f>MAX($J161)</f>
        <v>0</v>
      </c>
      <c r="BF161" s="1">
        <f>MAX($K161)</f>
        <v>0</v>
      </c>
      <c r="BG161" s="1">
        <f>MAX($M161)</f>
        <v>0</v>
      </c>
      <c r="BH161" s="1">
        <f>MAX($N161)</f>
        <v>0</v>
      </c>
      <c r="BI161" s="1">
        <f>MAX($P161)</f>
        <v>0</v>
      </c>
      <c r="BJ161" s="1">
        <f>MAX($Q161)</f>
        <v>0</v>
      </c>
      <c r="BK161" s="1">
        <f>MAX($R161)</f>
        <v>0</v>
      </c>
    </row>
    <row r="162" spans="1:63">
      <c r="A162" s="1" t="s">
        <v>159</v>
      </c>
      <c r="B162" s="1"/>
      <c r="C162" s="1"/>
      <c r="D162" s="1"/>
      <c r="E162" s="1" cm="1">
        <f t="array" ref="E162">_xlfn.SWITCH($A$2,"average", AVERAGE(Instances!E162:Instances!E162),"median", MEDIAN(Instances!E162:Instances!E162),"min", MIN(Instances!E162:Instances!E162),"max", MAX(Instances!E162:Instances!E162),"diff", MAX(Instances!E162:Instances!E162)-MIN(Instances!E162:Instances!E162))</f>
        <v>0</v>
      </c>
      <c r="F162" s="1" cm="1">
        <f t="array" ref="F162">_xlfn.SWITCH($A$2,"average", AVERAGE(Instances!F162:Instances!F162),"median", MEDIAN(Instances!F162:Instances!F162),"min", MIN(Instances!F162:Instances!F162),"max", MAX(Instances!F162:Instances!F162),"diff", MAX(Instances!F162:Instances!F162)-MIN(Instances!F162:Instances!F162))</f>
        <v>0</v>
      </c>
      <c r="G162" s="1" cm="1">
        <f t="array" ref="G162">_xlfn.SWITCH($A$2,"average", AVERAGE(Instances!G162:Instances!G162),"median", MEDIAN(Instances!G162:Instances!G162),"min", MIN(Instances!G162:Instances!G162),"max", MAX(Instances!G162:Instances!G162),"diff", MAX(Instances!G162:Instances!G162)-MIN(Instances!G162:Instances!G162))</f>
        <v>0</v>
      </c>
      <c r="H162" s="1"/>
      <c r="I162" s="1"/>
      <c r="J162" s="1" cm="1">
        <f t="array" ref="J162">_xlfn.SWITCH($A$2,"average", AVERAGE(Instances!J162:Instances!J162),"median", MEDIAN(Instances!J162:Instances!J162),"min", MIN(Instances!J162:Instances!J162),"max", MAX(Instances!J162:Instances!J162),"diff", MAX(Instances!J162:Instances!J162)-MIN(Instances!J162:Instances!J162))</f>
        <v>0</v>
      </c>
      <c r="K162" s="1"/>
      <c r="L162" s="1"/>
      <c r="M162" s="1"/>
      <c r="N162" s="1"/>
      <c r="O162" s="1"/>
      <c r="P162" s="1" cm="1">
        <f t="array" ref="P162">_xlfn.SWITCH($A$2,"average", AVERAGE(Instances!P162:Instances!P162),"median", MEDIAN(Instances!P162:Instances!P162),"min", MIN(Instances!P162:Instances!P162),"max", MAX(Instances!P162:Instances!P162),"diff", MAX(Instances!P162:Instances!P162)-MIN(Instances!P162:Instances!P162))</f>
        <v>0</v>
      </c>
      <c r="Q162" s="1" cm="1">
        <f t="array" ref="Q162">_xlfn.SWITCH($A$2,"average", AVERAGE(Instances!Q162:Instances!Q162),"median", MEDIAN(Instances!Q162:Instances!Q162),"min", MIN(Instances!Q162:Instances!Q162),"max", MAX(Instances!Q162:Instances!Q162),"diff", MAX(Instances!Q162:Instances!Q162)-MIN(Instances!Q162:Instances!Q162))</f>
        <v>0</v>
      </c>
      <c r="R162" s="1"/>
      <c r="S162" s="1"/>
      <c r="T162" s="1"/>
      <c r="U162" s="1"/>
      <c r="V162" s="1">
        <f>MIN($E162)</f>
        <v>0</v>
      </c>
      <c r="W162" s="1">
        <f>MIN($F162)</f>
        <v>0</v>
      </c>
      <c r="X162" s="1">
        <f>MIN($G162)</f>
        <v>0</v>
      </c>
      <c r="Y162" s="1"/>
      <c r="Z162" s="1"/>
      <c r="AA162" s="1">
        <f>MIN($J162)</f>
        <v>0</v>
      </c>
      <c r="AB162" s="1"/>
      <c r="AC162" s="1"/>
      <c r="AD162" s="1"/>
      <c r="AE162" s="1">
        <f>MIN($P162)</f>
        <v>0</v>
      </c>
      <c r="AF162" s="1">
        <f>MIN($Q162)</f>
        <v>0</v>
      </c>
      <c r="AG162" s="1"/>
      <c r="AH162" s="1"/>
      <c r="AI162" s="1"/>
      <c r="AJ162" s="1"/>
      <c r="AK162" s="1">
        <f>MEDIAN($E162)</f>
        <v>0</v>
      </c>
      <c r="AL162" s="1">
        <f>MEDIAN($F162)</f>
        <v>0</v>
      </c>
      <c r="AM162" s="1">
        <f>MEDIAN($G162)</f>
        <v>0</v>
      </c>
      <c r="AN162" s="1"/>
      <c r="AO162" s="1"/>
      <c r="AP162" s="1">
        <f>MEDIAN($J162)</f>
        <v>0</v>
      </c>
      <c r="AQ162" s="1"/>
      <c r="AR162" s="1"/>
      <c r="AS162" s="1"/>
      <c r="AT162" s="1">
        <f>MEDIAN($P162)</f>
        <v>0</v>
      </c>
      <c r="AU162" s="1">
        <f>MEDIAN($Q162)</f>
        <v>0</v>
      </c>
      <c r="AV162" s="1"/>
      <c r="AW162" s="1"/>
      <c r="AX162" s="1"/>
      <c r="AY162" s="1"/>
      <c r="AZ162" s="1">
        <f>MAX($E162)</f>
        <v>0</v>
      </c>
      <c r="BA162" s="1">
        <f>MAX($F162)</f>
        <v>0</v>
      </c>
      <c r="BB162" s="1">
        <f>MAX($G162)</f>
        <v>0</v>
      </c>
      <c r="BC162" s="1"/>
      <c r="BD162" s="1"/>
      <c r="BE162" s="1">
        <f>MAX($J162)</f>
        <v>0</v>
      </c>
      <c r="BF162" s="1"/>
      <c r="BG162" s="1"/>
      <c r="BH162" s="1"/>
      <c r="BI162" s="1">
        <f>MAX($P162)</f>
        <v>0</v>
      </c>
      <c r="BJ162" s="1">
        <f>MAX($Q162)</f>
        <v>0</v>
      </c>
      <c r="BK162" s="1"/>
    </row>
    <row r="163" spans="1:63">
      <c r="A163" s="1" t="s">
        <v>160</v>
      </c>
      <c r="B163" s="1" cm="1">
        <f t="array" ref="B163">_xlfn.SWITCH($A$2,"average", AVERAGE(Instances!B163:Instances!B163),"median", MEDIAN(Instances!B163:Instances!B163),"min", MIN(Instances!B163:Instances!B163),"max", MAX(Instances!B163:Instances!B163),"diff", MAX(Instances!B163:Instances!B163)-MIN(Instances!B163:Instances!B163))</f>
        <v>0</v>
      </c>
      <c r="C163" s="1" cm="1">
        <f t="array" ref="C163">_xlfn.SWITCH($A$2,"average", AVERAGE(Instances!C163:Instances!C163),"median", MEDIAN(Instances!C163:Instances!C163),"min", MIN(Instances!C163:Instances!C163),"max", MAX(Instances!C163:Instances!C163),"diff", MAX(Instances!C163:Instances!C163)-MIN(Instances!C163:Instances!C163))</f>
        <v>0</v>
      </c>
      <c r="D163" s="1" cm="1">
        <f t="array" ref="D163">_xlfn.SWITCH($A$2,"average", AVERAGE(Instances!D163:Instances!D163),"median", MEDIAN(Instances!D163:Instances!D163),"min", MIN(Instances!D163:Instances!D163),"max", MAX(Instances!D163:Instances!D163),"diff", MAX(Instances!D163:Instances!D163)-MIN(Instances!D163:Instances!D163))</f>
        <v>0</v>
      </c>
      <c r="E163" s="1" cm="1">
        <f t="array" ref="E163">_xlfn.SWITCH($A$2,"average", AVERAGE(Instances!E163:Instances!E163),"median", MEDIAN(Instances!E163:Instances!E163),"min", MIN(Instances!E163:Instances!E163),"max", MAX(Instances!E163:Instances!E163),"diff", MAX(Instances!E163:Instances!E163)-MIN(Instances!E163:Instances!E163))</f>
        <v>0</v>
      </c>
      <c r="F163" s="1" cm="1">
        <f t="array" ref="F163">_xlfn.SWITCH($A$2,"average", AVERAGE(Instances!F163:Instances!F163),"median", MEDIAN(Instances!F163:Instances!F163),"min", MIN(Instances!F163:Instances!F163),"max", MAX(Instances!F163:Instances!F163),"diff", MAX(Instances!F163:Instances!F163)-MIN(Instances!F163:Instances!F163))</f>
        <v>0</v>
      </c>
      <c r="G163" s="1" cm="1">
        <f t="array" ref="G163">_xlfn.SWITCH($A$2,"average", AVERAGE(Instances!G163:Instances!G163),"median", MEDIAN(Instances!G163:Instances!G163),"min", MIN(Instances!G163:Instances!G163),"max", MAX(Instances!G163:Instances!G163),"diff", MAX(Instances!G163:Instances!G163)-MIN(Instances!G163:Instances!G163))</f>
        <v>0</v>
      </c>
      <c r="H163" s="1" cm="1">
        <f t="array" ref="H163">_xlfn.SWITCH($A$2,"average", AVERAGE(Instances!H163:Instances!H163),"median", MEDIAN(Instances!H163:Instances!H163),"min", MIN(Instances!H163:Instances!H163),"max", MAX(Instances!H163:Instances!H163),"diff", MAX(Instances!H163:Instances!H163)-MIN(Instances!H163:Instances!H163))</f>
        <v>0</v>
      </c>
      <c r="I163" s="1" cm="1">
        <f t="array" ref="I163">_xlfn.SWITCH($A$2,"average", AVERAGE(Instances!I163:Instances!I163),"median", MEDIAN(Instances!I163:Instances!I163),"min", MIN(Instances!I163:Instances!I163),"max", MAX(Instances!I163:Instances!I163),"diff", MAX(Instances!I163:Instances!I163)-MIN(Instances!I163:Instances!I163))</f>
        <v>0</v>
      </c>
      <c r="J163" s="1" cm="1">
        <f t="array" ref="J163">_xlfn.SWITCH($A$2,"average", AVERAGE(Instances!J163:Instances!J163),"median", MEDIAN(Instances!J163:Instances!J163),"min", MIN(Instances!J163:Instances!J163),"max", MAX(Instances!J163:Instances!J163),"diff", MAX(Instances!J163:Instances!J163)-MIN(Instances!J163:Instances!J163))</f>
        <v>0</v>
      </c>
      <c r="K163" s="1" cm="1">
        <f t="array" ref="K163">_xlfn.SWITCH($A$2,"average", AVERAGE(Instances!K163:Instances!K163),"median", MEDIAN(Instances!K163:Instances!K163),"min", MIN(Instances!K163:Instances!K163),"max", MAX(Instances!K163:Instances!K163),"diff", MAX(Instances!K163:Instances!K163)-MIN(Instances!K163:Instances!K163))</f>
        <v>0</v>
      </c>
      <c r="L163" s="1"/>
      <c r="M163" s="1" cm="1">
        <f t="array" ref="M163">_xlfn.SWITCH($A$2,"average", AVERAGE(Instances!M163:Instances!M163),"median", MEDIAN(Instances!M163:Instances!M163),"min", MIN(Instances!M163:Instances!M163),"max", MAX(Instances!M163:Instances!M163),"diff", MAX(Instances!M163:Instances!M163)-MIN(Instances!M163:Instances!M163))</f>
        <v>0</v>
      </c>
      <c r="N163" s="1" cm="1">
        <f t="array" ref="N163">_xlfn.SWITCH($A$2,"average", AVERAGE(Instances!N163:Instances!N163),"median", MEDIAN(Instances!N163:Instances!N163),"min", MIN(Instances!N163:Instances!N163),"max", MAX(Instances!N163:Instances!N163),"diff", MAX(Instances!N163:Instances!N163)-MIN(Instances!N163:Instances!N163))</f>
        <v>0</v>
      </c>
      <c r="O163" s="1"/>
      <c r="P163" s="1" cm="1">
        <f t="array" ref="P163">_xlfn.SWITCH($A$2,"average", AVERAGE(Instances!P163:Instances!P163),"median", MEDIAN(Instances!P163:Instances!P163),"min", MIN(Instances!P163:Instances!P163),"max", MAX(Instances!P163:Instances!P163),"diff", MAX(Instances!P163:Instances!P163)-MIN(Instances!P163:Instances!P163))</f>
        <v>0</v>
      </c>
      <c r="Q163" s="1" cm="1">
        <f t="array" ref="Q163">_xlfn.SWITCH($A$2,"average", AVERAGE(Instances!Q163:Instances!Q163),"median", MEDIAN(Instances!Q163:Instances!Q163),"min", MIN(Instances!Q163:Instances!Q163),"max", MAX(Instances!Q163:Instances!Q163),"diff", MAX(Instances!Q163:Instances!Q163)-MIN(Instances!Q163:Instances!Q163))</f>
        <v>0</v>
      </c>
      <c r="R163" s="1" cm="1">
        <f t="array" ref="R163">_xlfn.SWITCH($A$2,"average", AVERAGE(Instances!R163:Instances!R163),"median", MEDIAN(Instances!R163:Instances!R163),"min", MIN(Instances!R163:Instances!R163),"max", MAX(Instances!R163:Instances!R163),"diff", MAX(Instances!R163:Instances!R163)-MIN(Instances!R163:Instances!R163))</f>
        <v>0</v>
      </c>
      <c r="S163" s="1">
        <f>MIN($B163)</f>
        <v>0</v>
      </c>
      <c r="T163" s="1">
        <f>MIN($C163)</f>
        <v>0</v>
      </c>
      <c r="U163" s="1">
        <f>MIN($D163)</f>
        <v>0</v>
      </c>
      <c r="V163" s="1">
        <f>MIN($E163)</f>
        <v>0</v>
      </c>
      <c r="W163" s="1">
        <f>MIN($F163)</f>
        <v>0</v>
      </c>
      <c r="X163" s="1">
        <f>MIN($G163)</f>
        <v>0</v>
      </c>
      <c r="Y163" s="1">
        <f>MIN($H163)</f>
        <v>0</v>
      </c>
      <c r="Z163" s="1">
        <f>MIN($I163)</f>
        <v>0</v>
      </c>
      <c r="AA163" s="1">
        <f>MIN($J163)</f>
        <v>0</v>
      </c>
      <c r="AB163" s="1">
        <f>MIN($K163)</f>
        <v>0</v>
      </c>
      <c r="AC163" s="1">
        <f>MIN($M163)</f>
        <v>0</v>
      </c>
      <c r="AD163" s="1">
        <f>MIN($N163)</f>
        <v>0</v>
      </c>
      <c r="AE163" s="1">
        <f>MIN($P163)</f>
        <v>0</v>
      </c>
      <c r="AF163" s="1">
        <f>MIN($Q163)</f>
        <v>0</v>
      </c>
      <c r="AG163" s="1">
        <f>MIN($R163)</f>
        <v>0</v>
      </c>
      <c r="AH163" s="1">
        <f>MEDIAN($B163)</f>
        <v>0</v>
      </c>
      <c r="AI163" s="1">
        <f>MEDIAN($C163)</f>
        <v>0</v>
      </c>
      <c r="AJ163" s="1">
        <f>MEDIAN($D163)</f>
        <v>0</v>
      </c>
      <c r="AK163" s="1">
        <f>MEDIAN($E163)</f>
        <v>0</v>
      </c>
      <c r="AL163" s="1">
        <f>MEDIAN($F163)</f>
        <v>0</v>
      </c>
      <c r="AM163" s="1">
        <f>MEDIAN($G163)</f>
        <v>0</v>
      </c>
      <c r="AN163" s="1">
        <f>MEDIAN($H163)</f>
        <v>0</v>
      </c>
      <c r="AO163" s="1">
        <f>MEDIAN($I163)</f>
        <v>0</v>
      </c>
      <c r="AP163" s="1">
        <f>MEDIAN($J163)</f>
        <v>0</v>
      </c>
      <c r="AQ163" s="1">
        <f>MEDIAN($K163)</f>
        <v>0</v>
      </c>
      <c r="AR163" s="1">
        <f>MEDIAN($M163)</f>
        <v>0</v>
      </c>
      <c r="AS163" s="1">
        <f>MEDIAN($N163)</f>
        <v>0</v>
      </c>
      <c r="AT163" s="1">
        <f>MEDIAN($P163)</f>
        <v>0</v>
      </c>
      <c r="AU163" s="1">
        <f>MEDIAN($Q163)</f>
        <v>0</v>
      </c>
      <c r="AV163" s="1">
        <f>MEDIAN($R163)</f>
        <v>0</v>
      </c>
      <c r="AW163" s="1">
        <f>MAX($B163)</f>
        <v>0</v>
      </c>
      <c r="AX163" s="1">
        <f>MAX($C163)</f>
        <v>0</v>
      </c>
      <c r="AY163" s="1">
        <f>MAX($D163)</f>
        <v>0</v>
      </c>
      <c r="AZ163" s="1">
        <f>MAX($E163)</f>
        <v>0</v>
      </c>
      <c r="BA163" s="1">
        <f>MAX($F163)</f>
        <v>0</v>
      </c>
      <c r="BB163" s="1">
        <f>MAX($G163)</f>
        <v>0</v>
      </c>
      <c r="BC163" s="1">
        <f>MAX($H163)</f>
        <v>0</v>
      </c>
      <c r="BD163" s="1">
        <f>MAX($I163)</f>
        <v>0</v>
      </c>
      <c r="BE163" s="1">
        <f>MAX($J163)</f>
        <v>0</v>
      </c>
      <c r="BF163" s="1">
        <f>MAX($K163)</f>
        <v>0</v>
      </c>
      <c r="BG163" s="1">
        <f>MAX($M163)</f>
        <v>0</v>
      </c>
      <c r="BH163" s="1">
        <f>MAX($N163)</f>
        <v>0</v>
      </c>
      <c r="BI163" s="1">
        <f>MAX($P163)</f>
        <v>0</v>
      </c>
      <c r="BJ163" s="1">
        <f>MAX($Q163)</f>
        <v>0</v>
      </c>
      <c r="BK163" s="1">
        <f>MAX($R163)</f>
        <v>0</v>
      </c>
    </row>
    <row r="164" spans="1:63">
      <c r="A164" s="1" t="s">
        <v>161</v>
      </c>
      <c r="B164" s="1" cm="1">
        <f t="array" ref="B164">_xlfn.SWITCH($A$2,"average", AVERAGE(Instances!B164:Instances!B164),"median", MEDIAN(Instances!B164:Instances!B164),"min", MIN(Instances!B164:Instances!B164),"max", MAX(Instances!B164:Instances!B164),"diff", MAX(Instances!B164:Instances!B164)-MIN(Instances!B164:Instances!B164))</f>
        <v>0</v>
      </c>
      <c r="C164" s="1" cm="1">
        <f t="array" ref="C164">_xlfn.SWITCH($A$2,"average", AVERAGE(Instances!C164:Instances!C164),"median", MEDIAN(Instances!C164:Instances!C164),"min", MIN(Instances!C164:Instances!C164),"max", MAX(Instances!C164:Instances!C164),"diff", MAX(Instances!C164:Instances!C164)-MIN(Instances!C164:Instances!C164))</f>
        <v>0</v>
      </c>
      <c r="D164" s="1" cm="1">
        <f t="array" ref="D164">_xlfn.SWITCH($A$2,"average", AVERAGE(Instances!D164:Instances!D164),"median", MEDIAN(Instances!D164:Instances!D164),"min", MIN(Instances!D164:Instances!D164),"max", MAX(Instances!D164:Instances!D164),"diff", MAX(Instances!D164:Instances!D164)-MIN(Instances!D164:Instances!D164))</f>
        <v>0</v>
      </c>
      <c r="E164" s="1" cm="1">
        <f t="array" ref="E164">_xlfn.SWITCH($A$2,"average", AVERAGE(Instances!E164:Instances!E164),"median", MEDIAN(Instances!E164:Instances!E164),"min", MIN(Instances!E164:Instances!E164),"max", MAX(Instances!E164:Instances!E164),"diff", MAX(Instances!E164:Instances!E164)-MIN(Instances!E164:Instances!E164))</f>
        <v>0</v>
      </c>
      <c r="F164" s="1" cm="1">
        <f t="array" ref="F164">_xlfn.SWITCH($A$2,"average", AVERAGE(Instances!F164:Instances!F164),"median", MEDIAN(Instances!F164:Instances!F164),"min", MIN(Instances!F164:Instances!F164),"max", MAX(Instances!F164:Instances!F164),"diff", MAX(Instances!F164:Instances!F164)-MIN(Instances!F164:Instances!F164))</f>
        <v>0</v>
      </c>
      <c r="G164" s="1" cm="1">
        <f t="array" ref="G164">_xlfn.SWITCH($A$2,"average", AVERAGE(Instances!G164:Instances!G164),"median", MEDIAN(Instances!G164:Instances!G164),"min", MIN(Instances!G164:Instances!G164),"max", MAX(Instances!G164:Instances!G164),"diff", MAX(Instances!G164:Instances!G164)-MIN(Instances!G164:Instances!G164))</f>
        <v>0</v>
      </c>
      <c r="H164" s="1" cm="1">
        <f t="array" ref="H164">_xlfn.SWITCH($A$2,"average", AVERAGE(Instances!H164:Instances!H164),"median", MEDIAN(Instances!H164:Instances!H164),"min", MIN(Instances!H164:Instances!H164),"max", MAX(Instances!H164:Instances!H164),"diff", MAX(Instances!H164:Instances!H164)-MIN(Instances!H164:Instances!H164))</f>
        <v>0</v>
      </c>
      <c r="I164" s="1" cm="1">
        <f t="array" ref="I164">_xlfn.SWITCH($A$2,"average", AVERAGE(Instances!I164:Instances!I164),"median", MEDIAN(Instances!I164:Instances!I164),"min", MIN(Instances!I164:Instances!I164),"max", MAX(Instances!I164:Instances!I164),"diff", MAX(Instances!I164:Instances!I164)-MIN(Instances!I164:Instances!I164))</f>
        <v>0</v>
      </c>
      <c r="J164" s="1" cm="1">
        <f t="array" ref="J164">_xlfn.SWITCH($A$2,"average", AVERAGE(Instances!J164:Instances!J164),"median", MEDIAN(Instances!J164:Instances!J164),"min", MIN(Instances!J164:Instances!J164),"max", MAX(Instances!J164:Instances!J164),"diff", MAX(Instances!J164:Instances!J164)-MIN(Instances!J164:Instances!J164))</f>
        <v>0</v>
      </c>
      <c r="K164" s="1" cm="1">
        <f t="array" ref="K164">_xlfn.SWITCH($A$2,"average", AVERAGE(Instances!K164:Instances!K164),"median", MEDIAN(Instances!K164:Instances!K164),"min", MIN(Instances!K164:Instances!K164),"max", MAX(Instances!K164:Instances!K164),"diff", MAX(Instances!K164:Instances!K164)-MIN(Instances!K164:Instances!K164))</f>
        <v>0</v>
      </c>
      <c r="L164" s="1"/>
      <c r="M164" s="1" cm="1">
        <f t="array" ref="M164">_xlfn.SWITCH($A$2,"average", AVERAGE(Instances!M164:Instances!M164),"median", MEDIAN(Instances!M164:Instances!M164),"min", MIN(Instances!M164:Instances!M164),"max", MAX(Instances!M164:Instances!M164),"diff", MAX(Instances!M164:Instances!M164)-MIN(Instances!M164:Instances!M164))</f>
        <v>0</v>
      </c>
      <c r="N164" s="1" cm="1">
        <f t="array" ref="N164">_xlfn.SWITCH($A$2,"average", AVERAGE(Instances!N164:Instances!N164),"median", MEDIAN(Instances!N164:Instances!N164),"min", MIN(Instances!N164:Instances!N164),"max", MAX(Instances!N164:Instances!N164),"diff", MAX(Instances!N164:Instances!N164)-MIN(Instances!N164:Instances!N164))</f>
        <v>0</v>
      </c>
      <c r="O164" s="1"/>
      <c r="P164" s="1" cm="1">
        <f t="array" ref="P164">_xlfn.SWITCH($A$2,"average", AVERAGE(Instances!P164:Instances!P164),"median", MEDIAN(Instances!P164:Instances!P164),"min", MIN(Instances!P164:Instances!P164),"max", MAX(Instances!P164:Instances!P164),"diff", MAX(Instances!P164:Instances!P164)-MIN(Instances!P164:Instances!P164))</f>
        <v>0</v>
      </c>
      <c r="Q164" s="1" cm="1">
        <f t="array" ref="Q164">_xlfn.SWITCH($A$2,"average", AVERAGE(Instances!Q164:Instances!Q164),"median", MEDIAN(Instances!Q164:Instances!Q164),"min", MIN(Instances!Q164:Instances!Q164),"max", MAX(Instances!Q164:Instances!Q164),"diff", MAX(Instances!Q164:Instances!Q164)-MIN(Instances!Q164:Instances!Q164))</f>
        <v>0</v>
      </c>
      <c r="R164" s="1" cm="1">
        <f t="array" ref="R164">_xlfn.SWITCH($A$2,"average", AVERAGE(Instances!R164:Instances!R164),"median", MEDIAN(Instances!R164:Instances!R164),"min", MIN(Instances!R164:Instances!R164),"max", MAX(Instances!R164:Instances!R164),"diff", MAX(Instances!R164:Instances!R164)-MIN(Instances!R164:Instances!R164))</f>
        <v>0</v>
      </c>
      <c r="S164" s="1">
        <f>MIN($B164)</f>
        <v>0</v>
      </c>
      <c r="T164" s="1">
        <f>MIN($C164)</f>
        <v>0</v>
      </c>
      <c r="U164" s="1">
        <f>MIN($D164)</f>
        <v>0</v>
      </c>
      <c r="V164" s="1">
        <f>MIN($E164)</f>
        <v>0</v>
      </c>
      <c r="W164" s="1">
        <f>MIN($F164)</f>
        <v>0</v>
      </c>
      <c r="X164" s="1">
        <f>MIN($G164)</f>
        <v>0</v>
      </c>
      <c r="Y164" s="1">
        <f>MIN($H164)</f>
        <v>0</v>
      </c>
      <c r="Z164" s="1">
        <f>MIN($I164)</f>
        <v>0</v>
      </c>
      <c r="AA164" s="1">
        <f>MIN($J164)</f>
        <v>0</v>
      </c>
      <c r="AB164" s="1">
        <f>MIN($K164)</f>
        <v>0</v>
      </c>
      <c r="AC164" s="1">
        <f>MIN($M164)</f>
        <v>0</v>
      </c>
      <c r="AD164" s="1">
        <f>MIN($N164)</f>
        <v>0</v>
      </c>
      <c r="AE164" s="1">
        <f>MIN($P164)</f>
        <v>0</v>
      </c>
      <c r="AF164" s="1">
        <f>MIN($Q164)</f>
        <v>0</v>
      </c>
      <c r="AG164" s="1">
        <f>MIN($R164)</f>
        <v>0</v>
      </c>
      <c r="AH164" s="1">
        <f>MEDIAN($B164)</f>
        <v>0</v>
      </c>
      <c r="AI164" s="1">
        <f>MEDIAN($C164)</f>
        <v>0</v>
      </c>
      <c r="AJ164" s="1">
        <f>MEDIAN($D164)</f>
        <v>0</v>
      </c>
      <c r="AK164" s="1">
        <f>MEDIAN($E164)</f>
        <v>0</v>
      </c>
      <c r="AL164" s="1">
        <f>MEDIAN($F164)</f>
        <v>0</v>
      </c>
      <c r="AM164" s="1">
        <f>MEDIAN($G164)</f>
        <v>0</v>
      </c>
      <c r="AN164" s="1">
        <f>MEDIAN($H164)</f>
        <v>0</v>
      </c>
      <c r="AO164" s="1">
        <f>MEDIAN($I164)</f>
        <v>0</v>
      </c>
      <c r="AP164" s="1">
        <f>MEDIAN($J164)</f>
        <v>0</v>
      </c>
      <c r="AQ164" s="1">
        <f>MEDIAN($K164)</f>
        <v>0</v>
      </c>
      <c r="AR164" s="1">
        <f>MEDIAN($M164)</f>
        <v>0</v>
      </c>
      <c r="AS164" s="1">
        <f>MEDIAN($N164)</f>
        <v>0</v>
      </c>
      <c r="AT164" s="1">
        <f>MEDIAN($P164)</f>
        <v>0</v>
      </c>
      <c r="AU164" s="1">
        <f>MEDIAN($Q164)</f>
        <v>0</v>
      </c>
      <c r="AV164" s="1">
        <f>MEDIAN($R164)</f>
        <v>0</v>
      </c>
      <c r="AW164" s="1">
        <f>MAX($B164)</f>
        <v>0</v>
      </c>
      <c r="AX164" s="1">
        <f>MAX($C164)</f>
        <v>0</v>
      </c>
      <c r="AY164" s="1">
        <f>MAX($D164)</f>
        <v>0</v>
      </c>
      <c r="AZ164" s="1">
        <f>MAX($E164)</f>
        <v>0</v>
      </c>
      <c r="BA164" s="1">
        <f>MAX($F164)</f>
        <v>0</v>
      </c>
      <c r="BB164" s="1">
        <f>MAX($G164)</f>
        <v>0</v>
      </c>
      <c r="BC164" s="1">
        <f>MAX($H164)</f>
        <v>0</v>
      </c>
      <c r="BD164" s="1">
        <f>MAX($I164)</f>
        <v>0</v>
      </c>
      <c r="BE164" s="1">
        <f>MAX($J164)</f>
        <v>0</v>
      </c>
      <c r="BF164" s="1">
        <f>MAX($K164)</f>
        <v>0</v>
      </c>
      <c r="BG164" s="1">
        <f>MAX($M164)</f>
        <v>0</v>
      </c>
      <c r="BH164" s="1">
        <f>MAX($N164)</f>
        <v>0</v>
      </c>
      <c r="BI164" s="1">
        <f>MAX($P164)</f>
        <v>0</v>
      </c>
      <c r="BJ164" s="1">
        <f>MAX($Q164)</f>
        <v>0</v>
      </c>
      <c r="BK164" s="1">
        <f>MAX($R164)</f>
        <v>0</v>
      </c>
    </row>
    <row r="165" spans="1:63">
      <c r="A165" s="1" t="s">
        <v>162</v>
      </c>
      <c r="B165" s="1"/>
      <c r="C165" s="1"/>
      <c r="D165" s="1"/>
      <c r="E165" s="1" cm="1">
        <f t="array" ref="E165">_xlfn.SWITCH($A$2,"average", AVERAGE(Instances!E165:Instances!E165),"median", MEDIAN(Instances!E165:Instances!E165),"min", MIN(Instances!E165:Instances!E165),"max", MAX(Instances!E165:Instances!E165),"diff", MAX(Instances!E165:Instances!E165)-MIN(Instances!E165:Instances!E165))</f>
        <v>0</v>
      </c>
      <c r="F165" s="1" cm="1">
        <f t="array" ref="F165">_xlfn.SWITCH($A$2,"average", AVERAGE(Instances!F165:Instances!F165),"median", MEDIAN(Instances!F165:Instances!F165),"min", MIN(Instances!F165:Instances!F165),"max", MAX(Instances!F165:Instances!F165),"diff", MAX(Instances!F165:Instances!F165)-MIN(Instances!F165:Instances!F165))</f>
        <v>0</v>
      </c>
      <c r="G165" s="1" cm="1">
        <f t="array" ref="G165">_xlfn.SWITCH($A$2,"average", AVERAGE(Instances!G165:Instances!G165),"median", MEDIAN(Instances!G165:Instances!G165),"min", MIN(Instances!G165:Instances!G165),"max", MAX(Instances!G165:Instances!G165),"diff", MAX(Instances!G165:Instances!G165)-MIN(Instances!G165:Instances!G165))</f>
        <v>0</v>
      </c>
      <c r="H165" s="1"/>
      <c r="I165" s="1"/>
      <c r="J165" s="1" cm="1">
        <f t="array" ref="J165">_xlfn.SWITCH($A$2,"average", AVERAGE(Instances!J165:Instances!J165),"median", MEDIAN(Instances!J165:Instances!J165),"min", MIN(Instances!J165:Instances!J165),"max", MAX(Instances!J165:Instances!J165),"diff", MAX(Instances!J165:Instances!J165)-MIN(Instances!J165:Instances!J165))</f>
        <v>0</v>
      </c>
      <c r="K165" s="1"/>
      <c r="L165" s="1"/>
      <c r="M165" s="1"/>
      <c r="N165" s="1"/>
      <c r="O165" s="1"/>
      <c r="P165" s="1" cm="1">
        <f t="array" ref="P165">_xlfn.SWITCH($A$2,"average", AVERAGE(Instances!P165:Instances!P165),"median", MEDIAN(Instances!P165:Instances!P165),"min", MIN(Instances!P165:Instances!P165),"max", MAX(Instances!P165:Instances!P165),"diff", MAX(Instances!P165:Instances!P165)-MIN(Instances!P165:Instances!P165))</f>
        <v>0</v>
      </c>
      <c r="Q165" s="1" cm="1">
        <f t="array" ref="Q165">_xlfn.SWITCH($A$2,"average", AVERAGE(Instances!Q165:Instances!Q165),"median", MEDIAN(Instances!Q165:Instances!Q165),"min", MIN(Instances!Q165:Instances!Q165),"max", MAX(Instances!Q165:Instances!Q165),"diff", MAX(Instances!Q165:Instances!Q165)-MIN(Instances!Q165:Instances!Q165))</f>
        <v>0</v>
      </c>
      <c r="R165" s="1"/>
      <c r="S165" s="1"/>
      <c r="T165" s="1"/>
      <c r="U165" s="1"/>
      <c r="V165" s="1">
        <f>MIN($E165)</f>
        <v>0</v>
      </c>
      <c r="W165" s="1">
        <f>MIN($F165)</f>
        <v>0</v>
      </c>
      <c r="X165" s="1">
        <f>MIN($G165)</f>
        <v>0</v>
      </c>
      <c r="Y165" s="1"/>
      <c r="Z165" s="1"/>
      <c r="AA165" s="1">
        <f>MIN($J165)</f>
        <v>0</v>
      </c>
      <c r="AB165" s="1"/>
      <c r="AC165" s="1"/>
      <c r="AD165" s="1"/>
      <c r="AE165" s="1">
        <f>MIN($P165)</f>
        <v>0</v>
      </c>
      <c r="AF165" s="1">
        <f>MIN($Q165)</f>
        <v>0</v>
      </c>
      <c r="AG165" s="1"/>
      <c r="AH165" s="1"/>
      <c r="AI165" s="1"/>
      <c r="AJ165" s="1"/>
      <c r="AK165" s="1">
        <f>MEDIAN($E165)</f>
        <v>0</v>
      </c>
      <c r="AL165" s="1">
        <f>MEDIAN($F165)</f>
        <v>0</v>
      </c>
      <c r="AM165" s="1">
        <f>MEDIAN($G165)</f>
        <v>0</v>
      </c>
      <c r="AN165" s="1"/>
      <c r="AO165" s="1"/>
      <c r="AP165" s="1">
        <f>MEDIAN($J165)</f>
        <v>0</v>
      </c>
      <c r="AQ165" s="1"/>
      <c r="AR165" s="1"/>
      <c r="AS165" s="1"/>
      <c r="AT165" s="1">
        <f>MEDIAN($P165)</f>
        <v>0</v>
      </c>
      <c r="AU165" s="1">
        <f>MEDIAN($Q165)</f>
        <v>0</v>
      </c>
      <c r="AV165" s="1"/>
      <c r="AW165" s="1"/>
      <c r="AX165" s="1"/>
      <c r="AY165" s="1"/>
      <c r="AZ165" s="1">
        <f>MAX($E165)</f>
        <v>0</v>
      </c>
      <c r="BA165" s="1">
        <f>MAX($F165)</f>
        <v>0</v>
      </c>
      <c r="BB165" s="1">
        <f>MAX($G165)</f>
        <v>0</v>
      </c>
      <c r="BC165" s="1"/>
      <c r="BD165" s="1"/>
      <c r="BE165" s="1">
        <f>MAX($J165)</f>
        <v>0</v>
      </c>
      <c r="BF165" s="1"/>
      <c r="BG165" s="1"/>
      <c r="BH165" s="1"/>
      <c r="BI165" s="1">
        <f>MAX($P165)</f>
        <v>0</v>
      </c>
      <c r="BJ165" s="1">
        <f>MAX($Q165)</f>
        <v>0</v>
      </c>
      <c r="BK165" s="1"/>
    </row>
    <row r="166" spans="1:63">
      <c r="A166" s="1" t="s">
        <v>163</v>
      </c>
      <c r="B166" s="1"/>
      <c r="C166" s="1"/>
      <c r="D166" s="1"/>
      <c r="E166" s="1" cm="1">
        <f t="array" ref="E166">_xlfn.SWITCH($A$2,"average", AVERAGE(Instances!E166:Instances!E166),"median", MEDIAN(Instances!E166:Instances!E166),"min", MIN(Instances!E166:Instances!E166),"max", MAX(Instances!E166:Instances!E166),"diff", MAX(Instances!E166:Instances!E166)-MIN(Instances!E166:Instances!E166))</f>
        <v>0</v>
      </c>
      <c r="F166" s="1" cm="1">
        <f t="array" ref="F166">_xlfn.SWITCH($A$2,"average", AVERAGE(Instances!F166:Instances!F166),"median", MEDIAN(Instances!F166:Instances!F166),"min", MIN(Instances!F166:Instances!F166),"max", MAX(Instances!F166:Instances!F166),"diff", MAX(Instances!F166:Instances!F166)-MIN(Instances!F166:Instances!F166))</f>
        <v>0</v>
      </c>
      <c r="G166" s="1" cm="1">
        <f t="array" ref="G166">_xlfn.SWITCH($A$2,"average", AVERAGE(Instances!G166:Instances!G166),"median", MEDIAN(Instances!G166:Instances!G166),"min", MIN(Instances!G166:Instances!G166),"max", MAX(Instances!G166:Instances!G166),"diff", MAX(Instances!G166:Instances!G166)-MIN(Instances!G166:Instances!G166))</f>
        <v>0</v>
      </c>
      <c r="H166" s="1"/>
      <c r="I166" s="1"/>
      <c r="J166" s="1" cm="1">
        <f t="array" ref="J166">_xlfn.SWITCH($A$2,"average", AVERAGE(Instances!J166:Instances!J166),"median", MEDIAN(Instances!J166:Instances!J166),"min", MIN(Instances!J166:Instances!J166),"max", MAX(Instances!J166:Instances!J166),"diff", MAX(Instances!J166:Instances!J166)-MIN(Instances!J166:Instances!J166))</f>
        <v>0</v>
      </c>
      <c r="K166" s="1"/>
      <c r="L166" s="1"/>
      <c r="M166" s="1"/>
      <c r="N166" s="1"/>
      <c r="O166" s="1"/>
      <c r="P166" s="1" cm="1">
        <f t="array" ref="P166">_xlfn.SWITCH($A$2,"average", AVERAGE(Instances!P166:Instances!P166),"median", MEDIAN(Instances!P166:Instances!P166),"min", MIN(Instances!P166:Instances!P166),"max", MAX(Instances!P166:Instances!P166),"diff", MAX(Instances!P166:Instances!P166)-MIN(Instances!P166:Instances!P166))</f>
        <v>0</v>
      </c>
      <c r="Q166" s="1" cm="1">
        <f t="array" ref="Q166">_xlfn.SWITCH($A$2,"average", AVERAGE(Instances!Q166:Instances!Q166),"median", MEDIAN(Instances!Q166:Instances!Q166),"min", MIN(Instances!Q166:Instances!Q166),"max", MAX(Instances!Q166:Instances!Q166),"diff", MAX(Instances!Q166:Instances!Q166)-MIN(Instances!Q166:Instances!Q166))</f>
        <v>0</v>
      </c>
      <c r="R166" s="1"/>
      <c r="S166" s="1"/>
      <c r="T166" s="1"/>
      <c r="U166" s="1"/>
      <c r="V166" s="1">
        <f>MIN($E166)</f>
        <v>0</v>
      </c>
      <c r="W166" s="1">
        <f>MIN($F166)</f>
        <v>0</v>
      </c>
      <c r="X166" s="1">
        <f>MIN($G166)</f>
        <v>0</v>
      </c>
      <c r="Y166" s="1"/>
      <c r="Z166" s="1"/>
      <c r="AA166" s="1">
        <f>MIN($J166)</f>
        <v>0</v>
      </c>
      <c r="AB166" s="1"/>
      <c r="AC166" s="1"/>
      <c r="AD166" s="1"/>
      <c r="AE166" s="1">
        <f>MIN($P166)</f>
        <v>0</v>
      </c>
      <c r="AF166" s="1">
        <f>MIN($Q166)</f>
        <v>0</v>
      </c>
      <c r="AG166" s="1"/>
      <c r="AH166" s="1"/>
      <c r="AI166" s="1"/>
      <c r="AJ166" s="1"/>
      <c r="AK166" s="1">
        <f>MEDIAN($E166)</f>
        <v>0</v>
      </c>
      <c r="AL166" s="1">
        <f>MEDIAN($F166)</f>
        <v>0</v>
      </c>
      <c r="AM166" s="1">
        <f>MEDIAN($G166)</f>
        <v>0</v>
      </c>
      <c r="AN166" s="1"/>
      <c r="AO166" s="1"/>
      <c r="AP166" s="1">
        <f>MEDIAN($J166)</f>
        <v>0</v>
      </c>
      <c r="AQ166" s="1"/>
      <c r="AR166" s="1"/>
      <c r="AS166" s="1"/>
      <c r="AT166" s="1">
        <f>MEDIAN($P166)</f>
        <v>0</v>
      </c>
      <c r="AU166" s="1">
        <f>MEDIAN($Q166)</f>
        <v>0</v>
      </c>
      <c r="AV166" s="1"/>
      <c r="AW166" s="1"/>
      <c r="AX166" s="1"/>
      <c r="AY166" s="1"/>
      <c r="AZ166" s="1">
        <f>MAX($E166)</f>
        <v>0</v>
      </c>
      <c r="BA166" s="1">
        <f>MAX($F166)</f>
        <v>0</v>
      </c>
      <c r="BB166" s="1">
        <f>MAX($G166)</f>
        <v>0</v>
      </c>
      <c r="BC166" s="1"/>
      <c r="BD166" s="1"/>
      <c r="BE166" s="1">
        <f>MAX($J166)</f>
        <v>0</v>
      </c>
      <c r="BF166" s="1"/>
      <c r="BG166" s="1"/>
      <c r="BH166" s="1"/>
      <c r="BI166" s="1">
        <f>MAX($P166)</f>
        <v>0</v>
      </c>
      <c r="BJ166" s="1">
        <f>MAX($Q166)</f>
        <v>0</v>
      </c>
      <c r="BK166" s="1"/>
    </row>
    <row r="167" spans="1:63">
      <c r="A167" s="1" t="s">
        <v>164</v>
      </c>
      <c r="B167" s="1"/>
      <c r="C167" s="1"/>
      <c r="D167" s="1"/>
      <c r="E167" s="1" cm="1">
        <f t="array" ref="E167">_xlfn.SWITCH($A$2,"average", AVERAGE(Instances!E167:Instances!E167),"median", MEDIAN(Instances!E167:Instances!E167),"min", MIN(Instances!E167:Instances!E167),"max", MAX(Instances!E167:Instances!E167),"diff", MAX(Instances!E167:Instances!E167)-MIN(Instances!E167:Instances!E167))</f>
        <v>0</v>
      </c>
      <c r="F167" s="1" cm="1">
        <f t="array" ref="F167">_xlfn.SWITCH($A$2,"average", AVERAGE(Instances!F167:Instances!F167),"median", MEDIAN(Instances!F167:Instances!F167),"min", MIN(Instances!F167:Instances!F167),"max", MAX(Instances!F167:Instances!F167),"diff", MAX(Instances!F167:Instances!F167)-MIN(Instances!F167:Instances!F167))</f>
        <v>0</v>
      </c>
      <c r="G167" s="1" cm="1">
        <f t="array" ref="G167">_xlfn.SWITCH($A$2,"average", AVERAGE(Instances!G167:Instances!G167),"median", MEDIAN(Instances!G167:Instances!G167),"min", MIN(Instances!G167:Instances!G167),"max", MAX(Instances!G167:Instances!G167),"diff", MAX(Instances!G167:Instances!G167)-MIN(Instances!G167:Instances!G167))</f>
        <v>0</v>
      </c>
      <c r="H167" s="1"/>
      <c r="I167" s="1"/>
      <c r="J167" s="1" cm="1">
        <f t="array" ref="J167">_xlfn.SWITCH($A$2,"average", AVERAGE(Instances!J167:Instances!J167),"median", MEDIAN(Instances!J167:Instances!J167),"min", MIN(Instances!J167:Instances!J167),"max", MAX(Instances!J167:Instances!J167),"diff", MAX(Instances!J167:Instances!J167)-MIN(Instances!J167:Instances!J167))</f>
        <v>0</v>
      </c>
      <c r="K167" s="1"/>
      <c r="L167" s="1"/>
      <c r="M167" s="1"/>
      <c r="N167" s="1"/>
      <c r="O167" s="1"/>
      <c r="P167" s="1" cm="1">
        <f t="array" ref="P167">_xlfn.SWITCH($A$2,"average", AVERAGE(Instances!P167:Instances!P167),"median", MEDIAN(Instances!P167:Instances!P167),"min", MIN(Instances!P167:Instances!P167),"max", MAX(Instances!P167:Instances!P167),"diff", MAX(Instances!P167:Instances!P167)-MIN(Instances!P167:Instances!P167))</f>
        <v>0</v>
      </c>
      <c r="Q167" s="1" cm="1">
        <f t="array" ref="Q167">_xlfn.SWITCH($A$2,"average", AVERAGE(Instances!Q167:Instances!Q167),"median", MEDIAN(Instances!Q167:Instances!Q167),"min", MIN(Instances!Q167:Instances!Q167),"max", MAX(Instances!Q167:Instances!Q167),"diff", MAX(Instances!Q167:Instances!Q167)-MIN(Instances!Q167:Instances!Q167))</f>
        <v>0</v>
      </c>
      <c r="R167" s="1"/>
      <c r="S167" s="1"/>
      <c r="T167" s="1"/>
      <c r="U167" s="1"/>
      <c r="V167" s="1">
        <f>MIN($E167)</f>
        <v>0</v>
      </c>
      <c r="W167" s="1">
        <f>MIN($F167)</f>
        <v>0</v>
      </c>
      <c r="X167" s="1">
        <f>MIN($G167)</f>
        <v>0</v>
      </c>
      <c r="Y167" s="1"/>
      <c r="Z167" s="1"/>
      <c r="AA167" s="1">
        <f>MIN($J167)</f>
        <v>0</v>
      </c>
      <c r="AB167" s="1"/>
      <c r="AC167" s="1"/>
      <c r="AD167" s="1"/>
      <c r="AE167" s="1">
        <f>MIN($P167)</f>
        <v>0</v>
      </c>
      <c r="AF167" s="1">
        <f>MIN($Q167)</f>
        <v>0</v>
      </c>
      <c r="AG167" s="1"/>
      <c r="AH167" s="1"/>
      <c r="AI167" s="1"/>
      <c r="AJ167" s="1"/>
      <c r="AK167" s="1">
        <f>MEDIAN($E167)</f>
        <v>0</v>
      </c>
      <c r="AL167" s="1">
        <f>MEDIAN($F167)</f>
        <v>0</v>
      </c>
      <c r="AM167" s="1">
        <f>MEDIAN($G167)</f>
        <v>0</v>
      </c>
      <c r="AN167" s="1"/>
      <c r="AO167" s="1"/>
      <c r="AP167" s="1">
        <f>MEDIAN($J167)</f>
        <v>0</v>
      </c>
      <c r="AQ167" s="1"/>
      <c r="AR167" s="1"/>
      <c r="AS167" s="1"/>
      <c r="AT167" s="1">
        <f>MEDIAN($P167)</f>
        <v>0</v>
      </c>
      <c r="AU167" s="1">
        <f>MEDIAN($Q167)</f>
        <v>0</v>
      </c>
      <c r="AV167" s="1"/>
      <c r="AW167" s="1"/>
      <c r="AX167" s="1"/>
      <c r="AY167" s="1"/>
      <c r="AZ167" s="1">
        <f>MAX($E167)</f>
        <v>0</v>
      </c>
      <c r="BA167" s="1">
        <f>MAX($F167)</f>
        <v>0</v>
      </c>
      <c r="BB167" s="1">
        <f>MAX($G167)</f>
        <v>0</v>
      </c>
      <c r="BC167" s="1"/>
      <c r="BD167" s="1"/>
      <c r="BE167" s="1">
        <f>MAX($J167)</f>
        <v>0</v>
      </c>
      <c r="BF167" s="1"/>
      <c r="BG167" s="1"/>
      <c r="BH167" s="1"/>
      <c r="BI167" s="1">
        <f>MAX($P167)</f>
        <v>0</v>
      </c>
      <c r="BJ167" s="1">
        <f>MAX($Q167)</f>
        <v>0</v>
      </c>
      <c r="BK167" s="1"/>
    </row>
    <row r="168" spans="1:63">
      <c r="A168" s="1" t="s">
        <v>165</v>
      </c>
      <c r="B168" s="1"/>
      <c r="C168" s="1"/>
      <c r="D168" s="1"/>
      <c r="E168" s="1" cm="1">
        <f t="array" ref="E168">_xlfn.SWITCH($A$2,"average", AVERAGE(Instances!E168:Instances!E168),"median", MEDIAN(Instances!E168:Instances!E168),"min", MIN(Instances!E168:Instances!E168),"max", MAX(Instances!E168:Instances!E168),"diff", MAX(Instances!E168:Instances!E168)-MIN(Instances!E168:Instances!E168))</f>
        <v>0</v>
      </c>
      <c r="F168" s="1" cm="1">
        <f t="array" ref="F168">_xlfn.SWITCH($A$2,"average", AVERAGE(Instances!F168:Instances!F168),"median", MEDIAN(Instances!F168:Instances!F168),"min", MIN(Instances!F168:Instances!F168),"max", MAX(Instances!F168:Instances!F168),"diff", MAX(Instances!F168:Instances!F168)-MIN(Instances!F168:Instances!F168))</f>
        <v>0</v>
      </c>
      <c r="G168" s="1" cm="1">
        <f t="array" ref="G168">_xlfn.SWITCH($A$2,"average", AVERAGE(Instances!G168:Instances!G168),"median", MEDIAN(Instances!G168:Instances!G168),"min", MIN(Instances!G168:Instances!G168),"max", MAX(Instances!G168:Instances!G168),"diff", MAX(Instances!G168:Instances!G168)-MIN(Instances!G168:Instances!G168))</f>
        <v>0</v>
      </c>
      <c r="H168" s="1"/>
      <c r="I168" s="1"/>
      <c r="J168" s="1" cm="1">
        <f t="array" ref="J168">_xlfn.SWITCH($A$2,"average", AVERAGE(Instances!J168:Instances!J168),"median", MEDIAN(Instances!J168:Instances!J168),"min", MIN(Instances!J168:Instances!J168),"max", MAX(Instances!J168:Instances!J168),"diff", MAX(Instances!J168:Instances!J168)-MIN(Instances!J168:Instances!J168))</f>
        <v>0</v>
      </c>
      <c r="K168" s="1"/>
      <c r="L168" s="1"/>
      <c r="M168" s="1"/>
      <c r="N168" s="1"/>
      <c r="O168" s="1"/>
      <c r="P168" s="1" cm="1">
        <f t="array" ref="P168">_xlfn.SWITCH($A$2,"average", AVERAGE(Instances!P168:Instances!P168),"median", MEDIAN(Instances!P168:Instances!P168),"min", MIN(Instances!P168:Instances!P168),"max", MAX(Instances!P168:Instances!P168),"diff", MAX(Instances!P168:Instances!P168)-MIN(Instances!P168:Instances!P168))</f>
        <v>0</v>
      </c>
      <c r="Q168" s="1" cm="1">
        <f t="array" ref="Q168">_xlfn.SWITCH($A$2,"average", AVERAGE(Instances!Q168:Instances!Q168),"median", MEDIAN(Instances!Q168:Instances!Q168),"min", MIN(Instances!Q168:Instances!Q168),"max", MAX(Instances!Q168:Instances!Q168),"diff", MAX(Instances!Q168:Instances!Q168)-MIN(Instances!Q168:Instances!Q168))</f>
        <v>0</v>
      </c>
      <c r="R168" s="1"/>
      <c r="S168" s="1"/>
      <c r="T168" s="1"/>
      <c r="U168" s="1"/>
      <c r="V168" s="1">
        <f>MIN($E168)</f>
        <v>0</v>
      </c>
      <c r="W168" s="1">
        <f>MIN($F168)</f>
        <v>0</v>
      </c>
      <c r="X168" s="1">
        <f>MIN($G168)</f>
        <v>0</v>
      </c>
      <c r="Y168" s="1"/>
      <c r="Z168" s="1"/>
      <c r="AA168" s="1">
        <f>MIN($J168)</f>
        <v>0</v>
      </c>
      <c r="AB168" s="1"/>
      <c r="AC168" s="1"/>
      <c r="AD168" s="1"/>
      <c r="AE168" s="1">
        <f>MIN($P168)</f>
        <v>0</v>
      </c>
      <c r="AF168" s="1">
        <f>MIN($Q168)</f>
        <v>0</v>
      </c>
      <c r="AG168" s="1"/>
      <c r="AH168" s="1"/>
      <c r="AI168" s="1"/>
      <c r="AJ168" s="1"/>
      <c r="AK168" s="1">
        <f>MEDIAN($E168)</f>
        <v>0</v>
      </c>
      <c r="AL168" s="1">
        <f>MEDIAN($F168)</f>
        <v>0</v>
      </c>
      <c r="AM168" s="1">
        <f>MEDIAN($G168)</f>
        <v>0</v>
      </c>
      <c r="AN168" s="1"/>
      <c r="AO168" s="1"/>
      <c r="AP168" s="1">
        <f>MEDIAN($J168)</f>
        <v>0</v>
      </c>
      <c r="AQ168" s="1"/>
      <c r="AR168" s="1"/>
      <c r="AS168" s="1"/>
      <c r="AT168" s="1">
        <f>MEDIAN($P168)</f>
        <v>0</v>
      </c>
      <c r="AU168" s="1">
        <f>MEDIAN($Q168)</f>
        <v>0</v>
      </c>
      <c r="AV168" s="1"/>
      <c r="AW168" s="1"/>
      <c r="AX168" s="1"/>
      <c r="AY168" s="1"/>
      <c r="AZ168" s="1">
        <f>MAX($E168)</f>
        <v>0</v>
      </c>
      <c r="BA168" s="1">
        <f>MAX($F168)</f>
        <v>0</v>
      </c>
      <c r="BB168" s="1">
        <f>MAX($G168)</f>
        <v>0</v>
      </c>
      <c r="BC168" s="1"/>
      <c r="BD168" s="1"/>
      <c r="BE168" s="1">
        <f>MAX($J168)</f>
        <v>0</v>
      </c>
      <c r="BF168" s="1"/>
      <c r="BG168" s="1"/>
      <c r="BH168" s="1"/>
      <c r="BI168" s="1">
        <f>MAX($P168)</f>
        <v>0</v>
      </c>
      <c r="BJ168" s="1">
        <f>MAX($Q168)</f>
        <v>0</v>
      </c>
      <c r="BK168" s="1"/>
    </row>
    <row r="169" spans="1:63">
      <c r="A169" s="1" t="s">
        <v>166</v>
      </c>
      <c r="B169" s="1" cm="1">
        <f t="array" ref="B169">_xlfn.SWITCH($A$2,"average", AVERAGE(Instances!B169:Instances!B169),"median", MEDIAN(Instances!B169:Instances!B169),"min", MIN(Instances!B169:Instances!B169),"max", MAX(Instances!B169:Instances!B169),"diff", MAX(Instances!B169:Instances!B169)-MIN(Instances!B169:Instances!B169))</f>
        <v>0</v>
      </c>
      <c r="C169" s="1" cm="1">
        <f t="array" ref="C169">_xlfn.SWITCH($A$2,"average", AVERAGE(Instances!C169:Instances!C169),"median", MEDIAN(Instances!C169:Instances!C169),"min", MIN(Instances!C169:Instances!C169),"max", MAX(Instances!C169:Instances!C169),"diff", MAX(Instances!C169:Instances!C169)-MIN(Instances!C169:Instances!C169))</f>
        <v>0</v>
      </c>
      <c r="D169" s="1" cm="1">
        <f t="array" ref="D169">_xlfn.SWITCH($A$2,"average", AVERAGE(Instances!D169:Instances!D169),"median", MEDIAN(Instances!D169:Instances!D169),"min", MIN(Instances!D169:Instances!D169),"max", MAX(Instances!D169:Instances!D169),"diff", MAX(Instances!D169:Instances!D169)-MIN(Instances!D169:Instances!D169))</f>
        <v>0</v>
      </c>
      <c r="E169" s="1" cm="1">
        <f t="array" ref="E169">_xlfn.SWITCH($A$2,"average", AVERAGE(Instances!E169:Instances!E169),"median", MEDIAN(Instances!E169:Instances!E169),"min", MIN(Instances!E169:Instances!E169),"max", MAX(Instances!E169:Instances!E169),"diff", MAX(Instances!E169:Instances!E169)-MIN(Instances!E169:Instances!E169))</f>
        <v>0</v>
      </c>
      <c r="F169" s="1" cm="1">
        <f t="array" ref="F169">_xlfn.SWITCH($A$2,"average", AVERAGE(Instances!F169:Instances!F169),"median", MEDIAN(Instances!F169:Instances!F169),"min", MIN(Instances!F169:Instances!F169),"max", MAX(Instances!F169:Instances!F169),"diff", MAX(Instances!F169:Instances!F169)-MIN(Instances!F169:Instances!F169))</f>
        <v>0</v>
      </c>
      <c r="G169" s="1" cm="1">
        <f t="array" ref="G169">_xlfn.SWITCH($A$2,"average", AVERAGE(Instances!G169:Instances!G169),"median", MEDIAN(Instances!G169:Instances!G169),"min", MIN(Instances!G169:Instances!G169),"max", MAX(Instances!G169:Instances!G169),"diff", MAX(Instances!G169:Instances!G169)-MIN(Instances!G169:Instances!G169))</f>
        <v>0</v>
      </c>
      <c r="H169" s="1" cm="1">
        <f t="array" ref="H169">_xlfn.SWITCH($A$2,"average", AVERAGE(Instances!H169:Instances!H169),"median", MEDIAN(Instances!H169:Instances!H169),"min", MIN(Instances!H169:Instances!H169),"max", MAX(Instances!H169:Instances!H169),"diff", MAX(Instances!H169:Instances!H169)-MIN(Instances!H169:Instances!H169))</f>
        <v>0</v>
      </c>
      <c r="I169" s="1" cm="1">
        <f t="array" ref="I169">_xlfn.SWITCH($A$2,"average", AVERAGE(Instances!I169:Instances!I169),"median", MEDIAN(Instances!I169:Instances!I169),"min", MIN(Instances!I169:Instances!I169),"max", MAX(Instances!I169:Instances!I169),"diff", MAX(Instances!I169:Instances!I169)-MIN(Instances!I169:Instances!I169))</f>
        <v>0</v>
      </c>
      <c r="J169" s="1" cm="1">
        <f t="array" ref="J169">_xlfn.SWITCH($A$2,"average", AVERAGE(Instances!J169:Instances!J169),"median", MEDIAN(Instances!J169:Instances!J169),"min", MIN(Instances!J169:Instances!J169),"max", MAX(Instances!J169:Instances!J169),"diff", MAX(Instances!J169:Instances!J169)-MIN(Instances!J169:Instances!J169))</f>
        <v>0</v>
      </c>
      <c r="K169" s="1" cm="1">
        <f t="array" ref="K169">_xlfn.SWITCH($A$2,"average", AVERAGE(Instances!K169:Instances!K169),"median", MEDIAN(Instances!K169:Instances!K169),"min", MIN(Instances!K169:Instances!K169),"max", MAX(Instances!K169:Instances!K169),"diff", MAX(Instances!K169:Instances!K169)-MIN(Instances!K169:Instances!K169))</f>
        <v>0</v>
      </c>
      <c r="L169" s="1"/>
      <c r="M169" s="1" cm="1">
        <f t="array" ref="M169">_xlfn.SWITCH($A$2,"average", AVERAGE(Instances!M169:Instances!M169),"median", MEDIAN(Instances!M169:Instances!M169),"min", MIN(Instances!M169:Instances!M169),"max", MAX(Instances!M169:Instances!M169),"diff", MAX(Instances!M169:Instances!M169)-MIN(Instances!M169:Instances!M169))</f>
        <v>0</v>
      </c>
      <c r="N169" s="1" cm="1">
        <f t="array" ref="N169">_xlfn.SWITCH($A$2,"average", AVERAGE(Instances!N169:Instances!N169),"median", MEDIAN(Instances!N169:Instances!N169),"min", MIN(Instances!N169:Instances!N169),"max", MAX(Instances!N169:Instances!N169),"diff", MAX(Instances!N169:Instances!N169)-MIN(Instances!N169:Instances!N169))</f>
        <v>0</v>
      </c>
      <c r="O169" s="1"/>
      <c r="P169" s="1" cm="1">
        <f t="array" ref="P169">_xlfn.SWITCH($A$2,"average", AVERAGE(Instances!P169:Instances!P169),"median", MEDIAN(Instances!P169:Instances!P169),"min", MIN(Instances!P169:Instances!P169),"max", MAX(Instances!P169:Instances!P169),"diff", MAX(Instances!P169:Instances!P169)-MIN(Instances!P169:Instances!P169))</f>
        <v>0</v>
      </c>
      <c r="Q169" s="1" cm="1">
        <f t="array" ref="Q169">_xlfn.SWITCH($A$2,"average", AVERAGE(Instances!Q169:Instances!Q169),"median", MEDIAN(Instances!Q169:Instances!Q169),"min", MIN(Instances!Q169:Instances!Q169),"max", MAX(Instances!Q169:Instances!Q169),"diff", MAX(Instances!Q169:Instances!Q169)-MIN(Instances!Q169:Instances!Q169))</f>
        <v>0</v>
      </c>
      <c r="R169" s="1" cm="1">
        <f t="array" ref="R169">_xlfn.SWITCH($A$2,"average", AVERAGE(Instances!R169:Instances!R169),"median", MEDIAN(Instances!R169:Instances!R169),"min", MIN(Instances!R169:Instances!R169),"max", MAX(Instances!R169:Instances!R169),"diff", MAX(Instances!R169:Instances!R169)-MIN(Instances!R169:Instances!R169))</f>
        <v>0</v>
      </c>
      <c r="S169" s="1">
        <f>MIN($B169)</f>
        <v>0</v>
      </c>
      <c r="T169" s="1">
        <f>MIN($C169)</f>
        <v>0</v>
      </c>
      <c r="U169" s="1">
        <f>MIN($D169)</f>
        <v>0</v>
      </c>
      <c r="V169" s="1">
        <f>MIN($E169)</f>
        <v>0</v>
      </c>
      <c r="W169" s="1">
        <f>MIN($F169)</f>
        <v>0</v>
      </c>
      <c r="X169" s="1">
        <f>MIN($G169)</f>
        <v>0</v>
      </c>
      <c r="Y169" s="1">
        <f>MIN($H169)</f>
        <v>0</v>
      </c>
      <c r="Z169" s="1">
        <f>MIN($I169)</f>
        <v>0</v>
      </c>
      <c r="AA169" s="1">
        <f>MIN($J169)</f>
        <v>0</v>
      </c>
      <c r="AB169" s="1">
        <f>MIN($K169)</f>
        <v>0</v>
      </c>
      <c r="AC169" s="1">
        <f>MIN($M169)</f>
        <v>0</v>
      </c>
      <c r="AD169" s="1">
        <f>MIN($N169)</f>
        <v>0</v>
      </c>
      <c r="AE169" s="1">
        <f>MIN($P169)</f>
        <v>0</v>
      </c>
      <c r="AF169" s="1">
        <f>MIN($Q169)</f>
        <v>0</v>
      </c>
      <c r="AG169" s="1">
        <f>MIN($R169)</f>
        <v>0</v>
      </c>
      <c r="AH169" s="1">
        <f>MEDIAN($B169)</f>
        <v>0</v>
      </c>
      <c r="AI169" s="1">
        <f>MEDIAN($C169)</f>
        <v>0</v>
      </c>
      <c r="AJ169" s="1">
        <f>MEDIAN($D169)</f>
        <v>0</v>
      </c>
      <c r="AK169" s="1">
        <f>MEDIAN($E169)</f>
        <v>0</v>
      </c>
      <c r="AL169" s="1">
        <f>MEDIAN($F169)</f>
        <v>0</v>
      </c>
      <c r="AM169" s="1">
        <f>MEDIAN($G169)</f>
        <v>0</v>
      </c>
      <c r="AN169" s="1">
        <f>MEDIAN($H169)</f>
        <v>0</v>
      </c>
      <c r="AO169" s="1">
        <f>MEDIAN($I169)</f>
        <v>0</v>
      </c>
      <c r="AP169" s="1">
        <f>MEDIAN($J169)</f>
        <v>0</v>
      </c>
      <c r="AQ169" s="1">
        <f>MEDIAN($K169)</f>
        <v>0</v>
      </c>
      <c r="AR169" s="1">
        <f>MEDIAN($M169)</f>
        <v>0</v>
      </c>
      <c r="AS169" s="1">
        <f>MEDIAN($N169)</f>
        <v>0</v>
      </c>
      <c r="AT169" s="1">
        <f>MEDIAN($P169)</f>
        <v>0</v>
      </c>
      <c r="AU169" s="1">
        <f>MEDIAN($Q169)</f>
        <v>0</v>
      </c>
      <c r="AV169" s="1">
        <f>MEDIAN($R169)</f>
        <v>0</v>
      </c>
      <c r="AW169" s="1">
        <f>MAX($B169)</f>
        <v>0</v>
      </c>
      <c r="AX169" s="1">
        <f>MAX($C169)</f>
        <v>0</v>
      </c>
      <c r="AY169" s="1">
        <f>MAX($D169)</f>
        <v>0</v>
      </c>
      <c r="AZ169" s="1">
        <f>MAX($E169)</f>
        <v>0</v>
      </c>
      <c r="BA169" s="1">
        <f>MAX($F169)</f>
        <v>0</v>
      </c>
      <c r="BB169" s="1">
        <f>MAX($G169)</f>
        <v>0</v>
      </c>
      <c r="BC169" s="1">
        <f>MAX($H169)</f>
        <v>0</v>
      </c>
      <c r="BD169" s="1">
        <f>MAX($I169)</f>
        <v>0</v>
      </c>
      <c r="BE169" s="1">
        <f>MAX($J169)</f>
        <v>0</v>
      </c>
      <c r="BF169" s="1">
        <f>MAX($K169)</f>
        <v>0</v>
      </c>
      <c r="BG169" s="1">
        <f>MAX($M169)</f>
        <v>0</v>
      </c>
      <c r="BH169" s="1">
        <f>MAX($N169)</f>
        <v>0</v>
      </c>
      <c r="BI169" s="1">
        <f>MAX($P169)</f>
        <v>0</v>
      </c>
      <c r="BJ169" s="1">
        <f>MAX($Q169)</f>
        <v>0</v>
      </c>
      <c r="BK169" s="1">
        <f>MAX($R169)</f>
        <v>0</v>
      </c>
    </row>
    <row r="170" spans="1:63">
      <c r="A170" s="1" t="s">
        <v>167</v>
      </c>
      <c r="B170" s="1"/>
      <c r="C170" s="1"/>
      <c r="D170" s="1"/>
      <c r="E170" s="1" cm="1">
        <f t="array" ref="E170">_xlfn.SWITCH($A$2,"average", AVERAGE(Instances!E170:Instances!E170),"median", MEDIAN(Instances!E170:Instances!E170),"min", MIN(Instances!E170:Instances!E170),"max", MAX(Instances!E170:Instances!E170),"diff", MAX(Instances!E170:Instances!E170)-MIN(Instances!E170:Instances!E170))</f>
        <v>0</v>
      </c>
      <c r="F170" s="1" cm="1">
        <f t="array" ref="F170">_xlfn.SWITCH($A$2,"average", AVERAGE(Instances!F170:Instances!F170),"median", MEDIAN(Instances!F170:Instances!F170),"min", MIN(Instances!F170:Instances!F170),"max", MAX(Instances!F170:Instances!F170),"diff", MAX(Instances!F170:Instances!F170)-MIN(Instances!F170:Instances!F170))</f>
        <v>0</v>
      </c>
      <c r="G170" s="1" cm="1">
        <f t="array" ref="G170">_xlfn.SWITCH($A$2,"average", AVERAGE(Instances!G170:Instances!G170),"median", MEDIAN(Instances!G170:Instances!G170),"min", MIN(Instances!G170:Instances!G170),"max", MAX(Instances!G170:Instances!G170),"diff", MAX(Instances!G170:Instances!G170)-MIN(Instances!G170:Instances!G170))</f>
        <v>0</v>
      </c>
      <c r="H170" s="1"/>
      <c r="I170" s="1"/>
      <c r="J170" s="1" cm="1">
        <f t="array" ref="J170">_xlfn.SWITCH($A$2,"average", AVERAGE(Instances!J170:Instances!J170),"median", MEDIAN(Instances!J170:Instances!J170),"min", MIN(Instances!J170:Instances!J170),"max", MAX(Instances!J170:Instances!J170),"diff", MAX(Instances!J170:Instances!J170)-MIN(Instances!J170:Instances!J170))</f>
        <v>0</v>
      </c>
      <c r="K170" s="1"/>
      <c r="L170" s="1"/>
      <c r="M170" s="1"/>
      <c r="N170" s="1"/>
      <c r="O170" s="1"/>
      <c r="P170" s="1" cm="1">
        <f t="array" ref="P170">_xlfn.SWITCH($A$2,"average", AVERAGE(Instances!P170:Instances!P170),"median", MEDIAN(Instances!P170:Instances!P170),"min", MIN(Instances!P170:Instances!P170),"max", MAX(Instances!P170:Instances!P170),"diff", MAX(Instances!P170:Instances!P170)-MIN(Instances!P170:Instances!P170))</f>
        <v>0</v>
      </c>
      <c r="Q170" s="1" cm="1">
        <f t="array" ref="Q170">_xlfn.SWITCH($A$2,"average", AVERAGE(Instances!Q170:Instances!Q170),"median", MEDIAN(Instances!Q170:Instances!Q170),"min", MIN(Instances!Q170:Instances!Q170),"max", MAX(Instances!Q170:Instances!Q170),"diff", MAX(Instances!Q170:Instances!Q170)-MIN(Instances!Q170:Instances!Q170))</f>
        <v>0</v>
      </c>
      <c r="R170" s="1"/>
      <c r="S170" s="1"/>
      <c r="T170" s="1"/>
      <c r="U170" s="1"/>
      <c r="V170" s="1">
        <f>MIN($E170)</f>
        <v>0</v>
      </c>
      <c r="W170" s="1">
        <f>MIN($F170)</f>
        <v>0</v>
      </c>
      <c r="X170" s="1">
        <f>MIN($G170)</f>
        <v>0</v>
      </c>
      <c r="Y170" s="1"/>
      <c r="Z170" s="1"/>
      <c r="AA170" s="1">
        <f>MIN($J170)</f>
        <v>0</v>
      </c>
      <c r="AB170" s="1"/>
      <c r="AC170" s="1"/>
      <c r="AD170" s="1"/>
      <c r="AE170" s="1">
        <f>MIN($P170)</f>
        <v>0</v>
      </c>
      <c r="AF170" s="1">
        <f>MIN($Q170)</f>
        <v>0</v>
      </c>
      <c r="AG170" s="1"/>
      <c r="AH170" s="1"/>
      <c r="AI170" s="1"/>
      <c r="AJ170" s="1"/>
      <c r="AK170" s="1">
        <f>MEDIAN($E170)</f>
        <v>0</v>
      </c>
      <c r="AL170" s="1">
        <f>MEDIAN($F170)</f>
        <v>0</v>
      </c>
      <c r="AM170" s="1">
        <f>MEDIAN($G170)</f>
        <v>0</v>
      </c>
      <c r="AN170" s="1"/>
      <c r="AO170" s="1"/>
      <c r="AP170" s="1">
        <f>MEDIAN($J170)</f>
        <v>0</v>
      </c>
      <c r="AQ170" s="1"/>
      <c r="AR170" s="1"/>
      <c r="AS170" s="1"/>
      <c r="AT170" s="1">
        <f>MEDIAN($P170)</f>
        <v>0</v>
      </c>
      <c r="AU170" s="1">
        <f>MEDIAN($Q170)</f>
        <v>0</v>
      </c>
      <c r="AV170" s="1"/>
      <c r="AW170" s="1"/>
      <c r="AX170" s="1"/>
      <c r="AY170" s="1"/>
      <c r="AZ170" s="1">
        <f>MAX($E170)</f>
        <v>0</v>
      </c>
      <c r="BA170" s="1">
        <f>MAX($F170)</f>
        <v>0</v>
      </c>
      <c r="BB170" s="1">
        <f>MAX($G170)</f>
        <v>0</v>
      </c>
      <c r="BC170" s="1"/>
      <c r="BD170" s="1"/>
      <c r="BE170" s="1">
        <f>MAX($J170)</f>
        <v>0</v>
      </c>
      <c r="BF170" s="1"/>
      <c r="BG170" s="1"/>
      <c r="BH170" s="1"/>
      <c r="BI170" s="1">
        <f>MAX($P170)</f>
        <v>0</v>
      </c>
      <c r="BJ170" s="1">
        <f>MAX($Q170)</f>
        <v>0</v>
      </c>
      <c r="BK170" s="1"/>
    </row>
    <row r="171" spans="1:63">
      <c r="A171" s="1" t="s">
        <v>168</v>
      </c>
      <c r="B171" s="1"/>
      <c r="C171" s="1"/>
      <c r="D171" s="1"/>
      <c r="E171" s="1" cm="1">
        <f t="array" ref="E171">_xlfn.SWITCH($A$2,"average", AVERAGE(Instances!E171:Instances!E171),"median", MEDIAN(Instances!E171:Instances!E171),"min", MIN(Instances!E171:Instances!E171),"max", MAX(Instances!E171:Instances!E171),"diff", MAX(Instances!E171:Instances!E171)-MIN(Instances!E171:Instances!E171))</f>
        <v>0</v>
      </c>
      <c r="F171" s="1" cm="1">
        <f t="array" ref="F171">_xlfn.SWITCH($A$2,"average", AVERAGE(Instances!F171:Instances!F171),"median", MEDIAN(Instances!F171:Instances!F171),"min", MIN(Instances!F171:Instances!F171),"max", MAX(Instances!F171:Instances!F171),"diff", MAX(Instances!F171:Instances!F171)-MIN(Instances!F171:Instances!F171))</f>
        <v>0</v>
      </c>
      <c r="G171" s="1" cm="1">
        <f t="array" ref="G171">_xlfn.SWITCH($A$2,"average", AVERAGE(Instances!G171:Instances!G171),"median", MEDIAN(Instances!G171:Instances!G171),"min", MIN(Instances!G171:Instances!G171),"max", MAX(Instances!G171:Instances!G171),"diff", MAX(Instances!G171:Instances!G171)-MIN(Instances!G171:Instances!G171))</f>
        <v>0</v>
      </c>
      <c r="H171" s="1"/>
      <c r="I171" s="1"/>
      <c r="J171" s="1" cm="1">
        <f t="array" ref="J171">_xlfn.SWITCH($A$2,"average", AVERAGE(Instances!J171:Instances!J171),"median", MEDIAN(Instances!J171:Instances!J171),"min", MIN(Instances!J171:Instances!J171),"max", MAX(Instances!J171:Instances!J171),"diff", MAX(Instances!J171:Instances!J171)-MIN(Instances!J171:Instances!J171))</f>
        <v>0</v>
      </c>
      <c r="K171" s="1"/>
      <c r="L171" s="1"/>
      <c r="M171" s="1"/>
      <c r="N171" s="1"/>
      <c r="O171" s="1"/>
      <c r="P171" s="1" cm="1">
        <f t="array" ref="P171">_xlfn.SWITCH($A$2,"average", AVERAGE(Instances!P171:Instances!P171),"median", MEDIAN(Instances!P171:Instances!P171),"min", MIN(Instances!P171:Instances!P171),"max", MAX(Instances!P171:Instances!P171),"diff", MAX(Instances!P171:Instances!P171)-MIN(Instances!P171:Instances!P171))</f>
        <v>0</v>
      </c>
      <c r="Q171" s="1" cm="1">
        <f t="array" ref="Q171">_xlfn.SWITCH($A$2,"average", AVERAGE(Instances!Q171:Instances!Q171),"median", MEDIAN(Instances!Q171:Instances!Q171),"min", MIN(Instances!Q171:Instances!Q171),"max", MAX(Instances!Q171:Instances!Q171),"diff", MAX(Instances!Q171:Instances!Q171)-MIN(Instances!Q171:Instances!Q171))</f>
        <v>0</v>
      </c>
      <c r="R171" s="1"/>
      <c r="S171" s="1"/>
      <c r="T171" s="1"/>
      <c r="U171" s="1"/>
      <c r="V171" s="1">
        <f>MIN($E171)</f>
        <v>0</v>
      </c>
      <c r="W171" s="1">
        <f>MIN($F171)</f>
        <v>0</v>
      </c>
      <c r="X171" s="1">
        <f>MIN($G171)</f>
        <v>0</v>
      </c>
      <c r="Y171" s="1"/>
      <c r="Z171" s="1"/>
      <c r="AA171" s="1">
        <f>MIN($J171)</f>
        <v>0</v>
      </c>
      <c r="AB171" s="1"/>
      <c r="AC171" s="1"/>
      <c r="AD171" s="1"/>
      <c r="AE171" s="1">
        <f>MIN($P171)</f>
        <v>0</v>
      </c>
      <c r="AF171" s="1">
        <f>MIN($Q171)</f>
        <v>0</v>
      </c>
      <c r="AG171" s="1"/>
      <c r="AH171" s="1"/>
      <c r="AI171" s="1"/>
      <c r="AJ171" s="1"/>
      <c r="AK171" s="1">
        <f>MEDIAN($E171)</f>
        <v>0</v>
      </c>
      <c r="AL171" s="1">
        <f>MEDIAN($F171)</f>
        <v>0</v>
      </c>
      <c r="AM171" s="1">
        <f>MEDIAN($G171)</f>
        <v>0</v>
      </c>
      <c r="AN171" s="1"/>
      <c r="AO171" s="1"/>
      <c r="AP171" s="1">
        <f>MEDIAN($J171)</f>
        <v>0</v>
      </c>
      <c r="AQ171" s="1"/>
      <c r="AR171" s="1"/>
      <c r="AS171" s="1"/>
      <c r="AT171" s="1">
        <f>MEDIAN($P171)</f>
        <v>0</v>
      </c>
      <c r="AU171" s="1">
        <f>MEDIAN($Q171)</f>
        <v>0</v>
      </c>
      <c r="AV171" s="1"/>
      <c r="AW171" s="1"/>
      <c r="AX171" s="1"/>
      <c r="AY171" s="1"/>
      <c r="AZ171" s="1">
        <f>MAX($E171)</f>
        <v>0</v>
      </c>
      <c r="BA171" s="1">
        <f>MAX($F171)</f>
        <v>0</v>
      </c>
      <c r="BB171" s="1">
        <f>MAX($G171)</f>
        <v>0</v>
      </c>
      <c r="BC171" s="1"/>
      <c r="BD171" s="1"/>
      <c r="BE171" s="1">
        <f>MAX($J171)</f>
        <v>0</v>
      </c>
      <c r="BF171" s="1"/>
      <c r="BG171" s="1"/>
      <c r="BH171" s="1"/>
      <c r="BI171" s="1">
        <f>MAX($P171)</f>
        <v>0</v>
      </c>
      <c r="BJ171" s="1">
        <f>MAX($Q171)</f>
        <v>0</v>
      </c>
      <c r="BK171" s="1"/>
    </row>
    <row r="172" spans="1:63">
      <c r="A172" s="1" t="s">
        <v>169</v>
      </c>
      <c r="B172" s="1"/>
      <c r="C172" s="1"/>
      <c r="D172" s="1"/>
      <c r="E172" s="1" cm="1">
        <f t="array" ref="E172">_xlfn.SWITCH($A$2,"average", AVERAGE(Instances!E172:Instances!E172),"median", MEDIAN(Instances!E172:Instances!E172),"min", MIN(Instances!E172:Instances!E172),"max", MAX(Instances!E172:Instances!E172),"diff", MAX(Instances!E172:Instances!E172)-MIN(Instances!E172:Instances!E172))</f>
        <v>0</v>
      </c>
      <c r="F172" s="1" cm="1">
        <f t="array" ref="F172">_xlfn.SWITCH($A$2,"average", AVERAGE(Instances!F172:Instances!F172),"median", MEDIAN(Instances!F172:Instances!F172),"min", MIN(Instances!F172:Instances!F172),"max", MAX(Instances!F172:Instances!F172),"diff", MAX(Instances!F172:Instances!F172)-MIN(Instances!F172:Instances!F172))</f>
        <v>0</v>
      </c>
      <c r="G172" s="1" cm="1">
        <f t="array" ref="G172">_xlfn.SWITCH($A$2,"average", AVERAGE(Instances!G172:Instances!G172),"median", MEDIAN(Instances!G172:Instances!G172),"min", MIN(Instances!G172:Instances!G172),"max", MAX(Instances!G172:Instances!G172),"diff", MAX(Instances!G172:Instances!G172)-MIN(Instances!G172:Instances!G172))</f>
        <v>0</v>
      </c>
      <c r="H172" s="1"/>
      <c r="I172" s="1"/>
      <c r="J172" s="1" cm="1">
        <f t="array" ref="J172">_xlfn.SWITCH($A$2,"average", AVERAGE(Instances!J172:Instances!J172),"median", MEDIAN(Instances!J172:Instances!J172),"min", MIN(Instances!J172:Instances!J172),"max", MAX(Instances!J172:Instances!J172),"diff", MAX(Instances!J172:Instances!J172)-MIN(Instances!J172:Instances!J172))</f>
        <v>0</v>
      </c>
      <c r="K172" s="1"/>
      <c r="L172" s="1"/>
      <c r="M172" s="1"/>
      <c r="N172" s="1"/>
      <c r="O172" s="1"/>
      <c r="P172" s="1" cm="1">
        <f t="array" ref="P172">_xlfn.SWITCH($A$2,"average", AVERAGE(Instances!P172:Instances!P172),"median", MEDIAN(Instances!P172:Instances!P172),"min", MIN(Instances!P172:Instances!P172),"max", MAX(Instances!P172:Instances!P172),"diff", MAX(Instances!P172:Instances!P172)-MIN(Instances!P172:Instances!P172))</f>
        <v>0</v>
      </c>
      <c r="Q172" s="1" cm="1">
        <f t="array" ref="Q172">_xlfn.SWITCH($A$2,"average", AVERAGE(Instances!Q172:Instances!Q172),"median", MEDIAN(Instances!Q172:Instances!Q172),"min", MIN(Instances!Q172:Instances!Q172),"max", MAX(Instances!Q172:Instances!Q172),"diff", MAX(Instances!Q172:Instances!Q172)-MIN(Instances!Q172:Instances!Q172))</f>
        <v>0</v>
      </c>
      <c r="R172" s="1"/>
      <c r="S172" s="1"/>
      <c r="T172" s="1"/>
      <c r="U172" s="1"/>
      <c r="V172" s="1">
        <f>MIN($E172)</f>
        <v>0</v>
      </c>
      <c r="W172" s="1">
        <f>MIN($F172)</f>
        <v>0</v>
      </c>
      <c r="X172" s="1">
        <f>MIN($G172)</f>
        <v>0</v>
      </c>
      <c r="Y172" s="1"/>
      <c r="Z172" s="1"/>
      <c r="AA172" s="1">
        <f>MIN($J172)</f>
        <v>0</v>
      </c>
      <c r="AB172" s="1"/>
      <c r="AC172" s="1"/>
      <c r="AD172" s="1"/>
      <c r="AE172" s="1">
        <f>MIN($P172)</f>
        <v>0</v>
      </c>
      <c r="AF172" s="1">
        <f>MIN($Q172)</f>
        <v>0</v>
      </c>
      <c r="AG172" s="1"/>
      <c r="AH172" s="1"/>
      <c r="AI172" s="1"/>
      <c r="AJ172" s="1"/>
      <c r="AK172" s="1">
        <f>MEDIAN($E172)</f>
        <v>0</v>
      </c>
      <c r="AL172" s="1">
        <f>MEDIAN($F172)</f>
        <v>0</v>
      </c>
      <c r="AM172" s="1">
        <f>MEDIAN($G172)</f>
        <v>0</v>
      </c>
      <c r="AN172" s="1"/>
      <c r="AO172" s="1"/>
      <c r="AP172" s="1">
        <f>MEDIAN($J172)</f>
        <v>0</v>
      </c>
      <c r="AQ172" s="1"/>
      <c r="AR172" s="1"/>
      <c r="AS172" s="1"/>
      <c r="AT172" s="1">
        <f>MEDIAN($P172)</f>
        <v>0</v>
      </c>
      <c r="AU172" s="1">
        <f>MEDIAN($Q172)</f>
        <v>0</v>
      </c>
      <c r="AV172" s="1"/>
      <c r="AW172" s="1"/>
      <c r="AX172" s="1"/>
      <c r="AY172" s="1"/>
      <c r="AZ172" s="1">
        <f>MAX($E172)</f>
        <v>0</v>
      </c>
      <c r="BA172" s="1">
        <f>MAX($F172)</f>
        <v>0</v>
      </c>
      <c r="BB172" s="1">
        <f>MAX($G172)</f>
        <v>0</v>
      </c>
      <c r="BC172" s="1"/>
      <c r="BD172" s="1"/>
      <c r="BE172" s="1">
        <f>MAX($J172)</f>
        <v>0</v>
      </c>
      <c r="BF172" s="1"/>
      <c r="BG172" s="1"/>
      <c r="BH172" s="1"/>
      <c r="BI172" s="1">
        <f>MAX($P172)</f>
        <v>0</v>
      </c>
      <c r="BJ172" s="1">
        <f>MAX($Q172)</f>
        <v>0</v>
      </c>
      <c r="BK172" s="1"/>
    </row>
    <row r="173" spans="1:63">
      <c r="A173" s="1" t="s">
        <v>170</v>
      </c>
      <c r="B173" s="1" cm="1">
        <f t="array" ref="B173">_xlfn.SWITCH($A$2,"average", AVERAGE(Instances!B173:Instances!B173),"median", MEDIAN(Instances!B173:Instances!B173),"min", MIN(Instances!B173:Instances!B173),"max", MAX(Instances!B173:Instances!B173),"diff", MAX(Instances!B173:Instances!B173)-MIN(Instances!B173:Instances!B173))</f>
        <v>0</v>
      </c>
      <c r="C173" s="1" cm="1">
        <f t="array" ref="C173">_xlfn.SWITCH($A$2,"average", AVERAGE(Instances!C173:Instances!C173),"median", MEDIAN(Instances!C173:Instances!C173),"min", MIN(Instances!C173:Instances!C173),"max", MAX(Instances!C173:Instances!C173),"diff", MAX(Instances!C173:Instances!C173)-MIN(Instances!C173:Instances!C173))</f>
        <v>0</v>
      </c>
      <c r="D173" s="1" cm="1">
        <f t="array" ref="D173">_xlfn.SWITCH($A$2,"average", AVERAGE(Instances!D173:Instances!D173),"median", MEDIAN(Instances!D173:Instances!D173),"min", MIN(Instances!D173:Instances!D173),"max", MAX(Instances!D173:Instances!D173),"diff", MAX(Instances!D173:Instances!D173)-MIN(Instances!D173:Instances!D173))</f>
        <v>0</v>
      </c>
      <c r="E173" s="1" cm="1">
        <f t="array" ref="E173">_xlfn.SWITCH($A$2,"average", AVERAGE(Instances!E173:Instances!E173),"median", MEDIAN(Instances!E173:Instances!E173),"min", MIN(Instances!E173:Instances!E173),"max", MAX(Instances!E173:Instances!E173),"diff", MAX(Instances!E173:Instances!E173)-MIN(Instances!E173:Instances!E173))</f>
        <v>0</v>
      </c>
      <c r="F173" s="1" cm="1">
        <f t="array" ref="F173">_xlfn.SWITCH($A$2,"average", AVERAGE(Instances!F173:Instances!F173),"median", MEDIAN(Instances!F173:Instances!F173),"min", MIN(Instances!F173:Instances!F173),"max", MAX(Instances!F173:Instances!F173),"diff", MAX(Instances!F173:Instances!F173)-MIN(Instances!F173:Instances!F173))</f>
        <v>0</v>
      </c>
      <c r="G173" s="1" cm="1">
        <f t="array" ref="G173">_xlfn.SWITCH($A$2,"average", AVERAGE(Instances!G173:Instances!G173),"median", MEDIAN(Instances!G173:Instances!G173),"min", MIN(Instances!G173:Instances!G173),"max", MAX(Instances!G173:Instances!G173),"diff", MAX(Instances!G173:Instances!G173)-MIN(Instances!G173:Instances!G173))</f>
        <v>0</v>
      </c>
      <c r="H173" s="1" cm="1">
        <f t="array" ref="H173">_xlfn.SWITCH($A$2,"average", AVERAGE(Instances!H173:Instances!H173),"median", MEDIAN(Instances!H173:Instances!H173),"min", MIN(Instances!H173:Instances!H173),"max", MAX(Instances!H173:Instances!H173),"diff", MAX(Instances!H173:Instances!H173)-MIN(Instances!H173:Instances!H173))</f>
        <v>0</v>
      </c>
      <c r="I173" s="1" cm="1">
        <f t="array" ref="I173">_xlfn.SWITCH($A$2,"average", AVERAGE(Instances!I173:Instances!I173),"median", MEDIAN(Instances!I173:Instances!I173),"min", MIN(Instances!I173:Instances!I173),"max", MAX(Instances!I173:Instances!I173),"diff", MAX(Instances!I173:Instances!I173)-MIN(Instances!I173:Instances!I173))</f>
        <v>0</v>
      </c>
      <c r="J173" s="1" cm="1">
        <f t="array" ref="J173">_xlfn.SWITCH($A$2,"average", AVERAGE(Instances!J173:Instances!J173),"median", MEDIAN(Instances!J173:Instances!J173),"min", MIN(Instances!J173:Instances!J173),"max", MAX(Instances!J173:Instances!J173),"diff", MAX(Instances!J173:Instances!J173)-MIN(Instances!J173:Instances!J173))</f>
        <v>0</v>
      </c>
      <c r="K173" s="1" cm="1">
        <f t="array" ref="K173">_xlfn.SWITCH($A$2,"average", AVERAGE(Instances!K173:Instances!K173),"median", MEDIAN(Instances!K173:Instances!K173),"min", MIN(Instances!K173:Instances!K173),"max", MAX(Instances!K173:Instances!K173),"diff", MAX(Instances!K173:Instances!K173)-MIN(Instances!K173:Instances!K173))</f>
        <v>0</v>
      </c>
      <c r="L173" s="1"/>
      <c r="M173" s="1" cm="1">
        <f t="array" ref="M173">_xlfn.SWITCH($A$2,"average", AVERAGE(Instances!M173:Instances!M173),"median", MEDIAN(Instances!M173:Instances!M173),"min", MIN(Instances!M173:Instances!M173),"max", MAX(Instances!M173:Instances!M173),"diff", MAX(Instances!M173:Instances!M173)-MIN(Instances!M173:Instances!M173))</f>
        <v>0</v>
      </c>
      <c r="N173" s="1" cm="1">
        <f t="array" ref="N173">_xlfn.SWITCH($A$2,"average", AVERAGE(Instances!N173:Instances!N173),"median", MEDIAN(Instances!N173:Instances!N173),"min", MIN(Instances!N173:Instances!N173),"max", MAX(Instances!N173:Instances!N173),"diff", MAX(Instances!N173:Instances!N173)-MIN(Instances!N173:Instances!N173))</f>
        <v>0</v>
      </c>
      <c r="O173" s="1"/>
      <c r="P173" s="1" cm="1">
        <f t="array" ref="P173">_xlfn.SWITCH($A$2,"average", AVERAGE(Instances!P173:Instances!P173),"median", MEDIAN(Instances!P173:Instances!P173),"min", MIN(Instances!P173:Instances!P173),"max", MAX(Instances!P173:Instances!P173),"diff", MAX(Instances!P173:Instances!P173)-MIN(Instances!P173:Instances!P173))</f>
        <v>0</v>
      </c>
      <c r="Q173" s="1" cm="1">
        <f t="array" ref="Q173">_xlfn.SWITCH($A$2,"average", AVERAGE(Instances!Q173:Instances!Q173),"median", MEDIAN(Instances!Q173:Instances!Q173),"min", MIN(Instances!Q173:Instances!Q173),"max", MAX(Instances!Q173:Instances!Q173),"diff", MAX(Instances!Q173:Instances!Q173)-MIN(Instances!Q173:Instances!Q173))</f>
        <v>0</v>
      </c>
      <c r="R173" s="1" cm="1">
        <f t="array" ref="R173">_xlfn.SWITCH($A$2,"average", AVERAGE(Instances!R173:Instances!R173),"median", MEDIAN(Instances!R173:Instances!R173),"min", MIN(Instances!R173:Instances!R173),"max", MAX(Instances!R173:Instances!R173),"diff", MAX(Instances!R173:Instances!R173)-MIN(Instances!R173:Instances!R173))</f>
        <v>0</v>
      </c>
      <c r="S173" s="1">
        <f>MIN($B173)</f>
        <v>0</v>
      </c>
      <c r="T173" s="1">
        <f>MIN($C173)</f>
        <v>0</v>
      </c>
      <c r="U173" s="1">
        <f>MIN($D173)</f>
        <v>0</v>
      </c>
      <c r="V173" s="1">
        <f>MIN($E173)</f>
        <v>0</v>
      </c>
      <c r="W173" s="1">
        <f>MIN($F173)</f>
        <v>0</v>
      </c>
      <c r="X173" s="1">
        <f>MIN($G173)</f>
        <v>0</v>
      </c>
      <c r="Y173" s="1">
        <f>MIN($H173)</f>
        <v>0</v>
      </c>
      <c r="Z173" s="1">
        <f>MIN($I173)</f>
        <v>0</v>
      </c>
      <c r="AA173" s="1">
        <f>MIN($J173)</f>
        <v>0</v>
      </c>
      <c r="AB173" s="1">
        <f>MIN($K173)</f>
        <v>0</v>
      </c>
      <c r="AC173" s="1">
        <f>MIN($M173)</f>
        <v>0</v>
      </c>
      <c r="AD173" s="1">
        <f>MIN($N173)</f>
        <v>0</v>
      </c>
      <c r="AE173" s="1">
        <f>MIN($P173)</f>
        <v>0</v>
      </c>
      <c r="AF173" s="1">
        <f>MIN($Q173)</f>
        <v>0</v>
      </c>
      <c r="AG173" s="1">
        <f>MIN($R173)</f>
        <v>0</v>
      </c>
      <c r="AH173" s="1">
        <f>MEDIAN($B173)</f>
        <v>0</v>
      </c>
      <c r="AI173" s="1">
        <f>MEDIAN($C173)</f>
        <v>0</v>
      </c>
      <c r="AJ173" s="1">
        <f>MEDIAN($D173)</f>
        <v>0</v>
      </c>
      <c r="AK173" s="1">
        <f>MEDIAN($E173)</f>
        <v>0</v>
      </c>
      <c r="AL173" s="1">
        <f>MEDIAN($F173)</f>
        <v>0</v>
      </c>
      <c r="AM173" s="1">
        <f>MEDIAN($G173)</f>
        <v>0</v>
      </c>
      <c r="AN173" s="1">
        <f>MEDIAN($H173)</f>
        <v>0</v>
      </c>
      <c r="AO173" s="1">
        <f>MEDIAN($I173)</f>
        <v>0</v>
      </c>
      <c r="AP173" s="1">
        <f>MEDIAN($J173)</f>
        <v>0</v>
      </c>
      <c r="AQ173" s="1">
        <f>MEDIAN($K173)</f>
        <v>0</v>
      </c>
      <c r="AR173" s="1">
        <f>MEDIAN($M173)</f>
        <v>0</v>
      </c>
      <c r="AS173" s="1">
        <f>MEDIAN($N173)</f>
        <v>0</v>
      </c>
      <c r="AT173" s="1">
        <f>MEDIAN($P173)</f>
        <v>0</v>
      </c>
      <c r="AU173" s="1">
        <f>MEDIAN($Q173)</f>
        <v>0</v>
      </c>
      <c r="AV173" s="1">
        <f>MEDIAN($R173)</f>
        <v>0</v>
      </c>
      <c r="AW173" s="1">
        <f>MAX($B173)</f>
        <v>0</v>
      </c>
      <c r="AX173" s="1">
        <f>MAX($C173)</f>
        <v>0</v>
      </c>
      <c r="AY173" s="1">
        <f>MAX($D173)</f>
        <v>0</v>
      </c>
      <c r="AZ173" s="1">
        <f>MAX($E173)</f>
        <v>0</v>
      </c>
      <c r="BA173" s="1">
        <f>MAX($F173)</f>
        <v>0</v>
      </c>
      <c r="BB173" s="1">
        <f>MAX($G173)</f>
        <v>0</v>
      </c>
      <c r="BC173" s="1">
        <f>MAX($H173)</f>
        <v>0</v>
      </c>
      <c r="BD173" s="1">
        <f>MAX($I173)</f>
        <v>0</v>
      </c>
      <c r="BE173" s="1">
        <f>MAX($J173)</f>
        <v>0</v>
      </c>
      <c r="BF173" s="1">
        <f>MAX($K173)</f>
        <v>0</v>
      </c>
      <c r="BG173" s="1">
        <f>MAX($M173)</f>
        <v>0</v>
      </c>
      <c r="BH173" s="1">
        <f>MAX($N173)</f>
        <v>0</v>
      </c>
      <c r="BI173" s="1">
        <f>MAX($P173)</f>
        <v>0</v>
      </c>
      <c r="BJ173" s="1">
        <f>MAX($Q173)</f>
        <v>0</v>
      </c>
      <c r="BK173" s="1">
        <f>MAX($R173)</f>
        <v>0</v>
      </c>
    </row>
    <row r="174" spans="1:63">
      <c r="A174" s="1" t="s">
        <v>171</v>
      </c>
      <c r="B174" s="1"/>
      <c r="C174" s="1"/>
      <c r="D174" s="1"/>
      <c r="E174" s="1" cm="1">
        <f t="array" ref="E174">_xlfn.SWITCH($A$2,"average", AVERAGE(Instances!E174:Instances!E174),"median", MEDIAN(Instances!E174:Instances!E174),"min", MIN(Instances!E174:Instances!E174),"max", MAX(Instances!E174:Instances!E174),"diff", MAX(Instances!E174:Instances!E174)-MIN(Instances!E174:Instances!E174))</f>
        <v>0</v>
      </c>
      <c r="F174" s="1" cm="1">
        <f t="array" ref="F174">_xlfn.SWITCH($A$2,"average", AVERAGE(Instances!F174:Instances!F174),"median", MEDIAN(Instances!F174:Instances!F174),"min", MIN(Instances!F174:Instances!F174),"max", MAX(Instances!F174:Instances!F174),"diff", MAX(Instances!F174:Instances!F174)-MIN(Instances!F174:Instances!F174))</f>
        <v>0</v>
      </c>
      <c r="G174" s="1" cm="1">
        <f t="array" ref="G174">_xlfn.SWITCH($A$2,"average", AVERAGE(Instances!G174:Instances!G174),"median", MEDIAN(Instances!G174:Instances!G174),"min", MIN(Instances!G174:Instances!G174),"max", MAX(Instances!G174:Instances!G174),"diff", MAX(Instances!G174:Instances!G174)-MIN(Instances!G174:Instances!G174))</f>
        <v>0</v>
      </c>
      <c r="H174" s="1"/>
      <c r="I174" s="1"/>
      <c r="J174" s="1" cm="1">
        <f t="array" ref="J174">_xlfn.SWITCH($A$2,"average", AVERAGE(Instances!J174:Instances!J174),"median", MEDIAN(Instances!J174:Instances!J174),"min", MIN(Instances!J174:Instances!J174),"max", MAX(Instances!J174:Instances!J174),"diff", MAX(Instances!J174:Instances!J174)-MIN(Instances!J174:Instances!J174))</f>
        <v>0</v>
      </c>
      <c r="K174" s="1"/>
      <c r="L174" s="1"/>
      <c r="M174" s="1"/>
      <c r="N174" s="1"/>
      <c r="O174" s="1"/>
      <c r="P174" s="1" cm="1">
        <f t="array" ref="P174">_xlfn.SWITCH($A$2,"average", AVERAGE(Instances!P174:Instances!P174),"median", MEDIAN(Instances!P174:Instances!P174),"min", MIN(Instances!P174:Instances!P174),"max", MAX(Instances!P174:Instances!P174),"diff", MAX(Instances!P174:Instances!P174)-MIN(Instances!P174:Instances!P174))</f>
        <v>0</v>
      </c>
      <c r="Q174" s="1" cm="1">
        <f t="array" ref="Q174">_xlfn.SWITCH($A$2,"average", AVERAGE(Instances!Q174:Instances!Q174),"median", MEDIAN(Instances!Q174:Instances!Q174),"min", MIN(Instances!Q174:Instances!Q174),"max", MAX(Instances!Q174:Instances!Q174),"diff", MAX(Instances!Q174:Instances!Q174)-MIN(Instances!Q174:Instances!Q174))</f>
        <v>0</v>
      </c>
      <c r="R174" s="1"/>
      <c r="S174" s="1"/>
      <c r="T174" s="1"/>
      <c r="U174" s="1"/>
      <c r="V174" s="1">
        <f>MIN($E174)</f>
        <v>0</v>
      </c>
      <c r="W174" s="1">
        <f>MIN($F174)</f>
        <v>0</v>
      </c>
      <c r="X174" s="1">
        <f>MIN($G174)</f>
        <v>0</v>
      </c>
      <c r="Y174" s="1"/>
      <c r="Z174" s="1"/>
      <c r="AA174" s="1">
        <f>MIN($J174)</f>
        <v>0</v>
      </c>
      <c r="AB174" s="1"/>
      <c r="AC174" s="1"/>
      <c r="AD174" s="1"/>
      <c r="AE174" s="1">
        <f>MIN($P174)</f>
        <v>0</v>
      </c>
      <c r="AF174" s="1">
        <f>MIN($Q174)</f>
        <v>0</v>
      </c>
      <c r="AG174" s="1"/>
      <c r="AH174" s="1"/>
      <c r="AI174" s="1"/>
      <c r="AJ174" s="1"/>
      <c r="AK174" s="1">
        <f>MEDIAN($E174)</f>
        <v>0</v>
      </c>
      <c r="AL174" s="1">
        <f>MEDIAN($F174)</f>
        <v>0</v>
      </c>
      <c r="AM174" s="1">
        <f>MEDIAN($G174)</f>
        <v>0</v>
      </c>
      <c r="AN174" s="1"/>
      <c r="AO174" s="1"/>
      <c r="AP174" s="1">
        <f>MEDIAN($J174)</f>
        <v>0</v>
      </c>
      <c r="AQ174" s="1"/>
      <c r="AR174" s="1"/>
      <c r="AS174" s="1"/>
      <c r="AT174" s="1">
        <f>MEDIAN($P174)</f>
        <v>0</v>
      </c>
      <c r="AU174" s="1">
        <f>MEDIAN($Q174)</f>
        <v>0</v>
      </c>
      <c r="AV174" s="1"/>
      <c r="AW174" s="1"/>
      <c r="AX174" s="1"/>
      <c r="AY174" s="1"/>
      <c r="AZ174" s="1">
        <f>MAX($E174)</f>
        <v>0</v>
      </c>
      <c r="BA174" s="1">
        <f>MAX($F174)</f>
        <v>0</v>
      </c>
      <c r="BB174" s="1">
        <f>MAX($G174)</f>
        <v>0</v>
      </c>
      <c r="BC174" s="1"/>
      <c r="BD174" s="1"/>
      <c r="BE174" s="1">
        <f>MAX($J174)</f>
        <v>0</v>
      </c>
      <c r="BF174" s="1"/>
      <c r="BG174" s="1"/>
      <c r="BH174" s="1"/>
      <c r="BI174" s="1">
        <f>MAX($P174)</f>
        <v>0</v>
      </c>
      <c r="BJ174" s="1">
        <f>MAX($Q174)</f>
        <v>0</v>
      </c>
      <c r="BK174" s="1"/>
    </row>
    <row r="175" spans="1:63">
      <c r="A175" s="1" t="s">
        <v>172</v>
      </c>
      <c r="B175" s="1"/>
      <c r="C175" s="1"/>
      <c r="D175" s="1"/>
      <c r="E175" s="1" cm="1">
        <f t="array" ref="E175">_xlfn.SWITCH($A$2,"average", AVERAGE(Instances!E175:Instances!E175),"median", MEDIAN(Instances!E175:Instances!E175),"min", MIN(Instances!E175:Instances!E175),"max", MAX(Instances!E175:Instances!E175),"diff", MAX(Instances!E175:Instances!E175)-MIN(Instances!E175:Instances!E175))</f>
        <v>0</v>
      </c>
      <c r="F175" s="1"/>
      <c r="G175" s="1" cm="1">
        <f t="array" ref="G175">_xlfn.SWITCH($A$2,"average", AVERAGE(Instances!G175:Instances!G175),"median", MEDIAN(Instances!G175:Instances!G175),"min", MIN(Instances!G175:Instances!G175),"max", MAX(Instances!G175:Instances!G175),"diff", MAX(Instances!G175:Instances!G175)-MIN(Instances!G175:Instances!G175))</f>
        <v>0</v>
      </c>
      <c r="H175" s="1"/>
      <c r="I175" s="1"/>
      <c r="J175" s="1" cm="1">
        <f t="array" ref="J175">_xlfn.SWITCH($A$2,"average", AVERAGE(Instances!J175:Instances!J175),"median", MEDIAN(Instances!J175:Instances!J175),"min", MIN(Instances!J175:Instances!J175),"max", MAX(Instances!J175:Instances!J175),"diff", MAX(Instances!J175:Instances!J175)-MIN(Instances!J175:Instances!J175))</f>
        <v>0</v>
      </c>
      <c r="K175" s="1"/>
      <c r="L175" s="1"/>
      <c r="M175" s="1"/>
      <c r="N175" s="1"/>
      <c r="O175" s="1"/>
      <c r="P175" s="1" cm="1">
        <f t="array" ref="P175">_xlfn.SWITCH($A$2,"average", AVERAGE(Instances!P175:Instances!P175),"median", MEDIAN(Instances!P175:Instances!P175),"min", MIN(Instances!P175:Instances!P175),"max", MAX(Instances!P175:Instances!P175),"diff", MAX(Instances!P175:Instances!P175)-MIN(Instances!P175:Instances!P175))</f>
        <v>0</v>
      </c>
      <c r="Q175" s="1" cm="1">
        <f t="array" ref="Q175">_xlfn.SWITCH($A$2,"average", AVERAGE(Instances!Q175:Instances!Q175),"median", MEDIAN(Instances!Q175:Instances!Q175),"min", MIN(Instances!Q175:Instances!Q175),"max", MAX(Instances!Q175:Instances!Q175),"diff", MAX(Instances!Q175:Instances!Q175)-MIN(Instances!Q175:Instances!Q175))</f>
        <v>0</v>
      </c>
      <c r="R175" s="1"/>
      <c r="S175" s="1"/>
      <c r="T175" s="1"/>
      <c r="U175" s="1"/>
      <c r="V175" s="1">
        <f>MIN($E175)</f>
        <v>0</v>
      </c>
      <c r="W175" s="1"/>
      <c r="X175" s="1">
        <f>MIN($G175)</f>
        <v>0</v>
      </c>
      <c r="Y175" s="1"/>
      <c r="Z175" s="1"/>
      <c r="AA175" s="1">
        <f>MIN($J175)</f>
        <v>0</v>
      </c>
      <c r="AB175" s="1"/>
      <c r="AC175" s="1"/>
      <c r="AD175" s="1"/>
      <c r="AE175" s="1">
        <f>MIN($P175)</f>
        <v>0</v>
      </c>
      <c r="AF175" s="1">
        <f>MIN($Q175)</f>
        <v>0</v>
      </c>
      <c r="AG175" s="1"/>
      <c r="AH175" s="1"/>
      <c r="AI175" s="1"/>
      <c r="AJ175" s="1"/>
      <c r="AK175" s="1">
        <f>MEDIAN($E175)</f>
        <v>0</v>
      </c>
      <c r="AL175" s="1"/>
      <c r="AM175" s="1">
        <f>MEDIAN($G175)</f>
        <v>0</v>
      </c>
      <c r="AN175" s="1"/>
      <c r="AO175" s="1"/>
      <c r="AP175" s="1">
        <f>MEDIAN($J175)</f>
        <v>0</v>
      </c>
      <c r="AQ175" s="1"/>
      <c r="AR175" s="1"/>
      <c r="AS175" s="1"/>
      <c r="AT175" s="1">
        <f>MEDIAN($P175)</f>
        <v>0</v>
      </c>
      <c r="AU175" s="1">
        <f>MEDIAN($Q175)</f>
        <v>0</v>
      </c>
      <c r="AV175" s="1"/>
      <c r="AW175" s="1"/>
      <c r="AX175" s="1"/>
      <c r="AY175" s="1"/>
      <c r="AZ175" s="1">
        <f>MAX($E175)</f>
        <v>0</v>
      </c>
      <c r="BA175" s="1"/>
      <c r="BB175" s="1">
        <f>MAX($G175)</f>
        <v>0</v>
      </c>
      <c r="BC175" s="1"/>
      <c r="BD175" s="1"/>
      <c r="BE175" s="1">
        <f>MAX($J175)</f>
        <v>0</v>
      </c>
      <c r="BF175" s="1"/>
      <c r="BG175" s="1"/>
      <c r="BH175" s="1"/>
      <c r="BI175" s="1">
        <f>MAX($P175)</f>
        <v>0</v>
      </c>
      <c r="BJ175" s="1">
        <f>MAX($Q175)</f>
        <v>0</v>
      </c>
      <c r="BK175" s="1"/>
    </row>
    <row r="176" spans="1:63">
      <c r="A176" s="1" t="s">
        <v>173</v>
      </c>
      <c r="B176" s="1"/>
      <c r="C176" s="1"/>
      <c r="D176" s="1"/>
      <c r="E176" s="1" cm="1">
        <f t="array" ref="E176">_xlfn.SWITCH($A$2,"average", AVERAGE(Instances!E176:Instances!E176),"median", MEDIAN(Instances!E176:Instances!E176),"min", MIN(Instances!E176:Instances!E176),"max", MAX(Instances!E176:Instances!E176),"diff", MAX(Instances!E176:Instances!E176)-MIN(Instances!E176:Instances!E176))</f>
        <v>0</v>
      </c>
      <c r="F176" s="1" cm="1">
        <f t="array" ref="F176">_xlfn.SWITCH($A$2,"average", AVERAGE(Instances!F176:Instances!F176),"median", MEDIAN(Instances!F176:Instances!F176),"min", MIN(Instances!F176:Instances!F176),"max", MAX(Instances!F176:Instances!F176),"diff", MAX(Instances!F176:Instances!F176)-MIN(Instances!F176:Instances!F176))</f>
        <v>0</v>
      </c>
      <c r="G176" s="1" cm="1">
        <f t="array" ref="G176">_xlfn.SWITCH($A$2,"average", AVERAGE(Instances!G176:Instances!G176),"median", MEDIAN(Instances!G176:Instances!G176),"min", MIN(Instances!G176:Instances!G176),"max", MAX(Instances!G176:Instances!G176),"diff", MAX(Instances!G176:Instances!G176)-MIN(Instances!G176:Instances!G176))</f>
        <v>0</v>
      </c>
      <c r="H176" s="1"/>
      <c r="I176" s="1"/>
      <c r="J176" s="1" cm="1">
        <f t="array" ref="J176">_xlfn.SWITCH($A$2,"average", AVERAGE(Instances!J176:Instances!J176),"median", MEDIAN(Instances!J176:Instances!J176),"min", MIN(Instances!J176:Instances!J176),"max", MAX(Instances!J176:Instances!J176),"diff", MAX(Instances!J176:Instances!J176)-MIN(Instances!J176:Instances!J176))</f>
        <v>0</v>
      </c>
      <c r="K176" s="1"/>
      <c r="L176" s="1"/>
      <c r="M176" s="1"/>
      <c r="N176" s="1"/>
      <c r="O176" s="1"/>
      <c r="P176" s="1" cm="1">
        <f t="array" ref="P176">_xlfn.SWITCH($A$2,"average", AVERAGE(Instances!P176:Instances!P176),"median", MEDIAN(Instances!P176:Instances!P176),"min", MIN(Instances!P176:Instances!P176),"max", MAX(Instances!P176:Instances!P176),"diff", MAX(Instances!P176:Instances!P176)-MIN(Instances!P176:Instances!P176))</f>
        <v>0</v>
      </c>
      <c r="Q176" s="1" cm="1">
        <f t="array" ref="Q176">_xlfn.SWITCH($A$2,"average", AVERAGE(Instances!Q176:Instances!Q176),"median", MEDIAN(Instances!Q176:Instances!Q176),"min", MIN(Instances!Q176:Instances!Q176),"max", MAX(Instances!Q176:Instances!Q176),"diff", MAX(Instances!Q176:Instances!Q176)-MIN(Instances!Q176:Instances!Q176))</f>
        <v>0</v>
      </c>
      <c r="R176" s="1"/>
      <c r="S176" s="1"/>
      <c r="T176" s="1"/>
      <c r="U176" s="1"/>
      <c r="V176" s="1">
        <f>MIN($E176)</f>
        <v>0</v>
      </c>
      <c r="W176" s="1">
        <f>MIN($F176)</f>
        <v>0</v>
      </c>
      <c r="X176" s="1">
        <f>MIN($G176)</f>
        <v>0</v>
      </c>
      <c r="Y176" s="1"/>
      <c r="Z176" s="1"/>
      <c r="AA176" s="1">
        <f>MIN($J176)</f>
        <v>0</v>
      </c>
      <c r="AB176" s="1"/>
      <c r="AC176" s="1"/>
      <c r="AD176" s="1"/>
      <c r="AE176" s="1">
        <f>MIN($P176)</f>
        <v>0</v>
      </c>
      <c r="AF176" s="1">
        <f>MIN($Q176)</f>
        <v>0</v>
      </c>
      <c r="AG176" s="1"/>
      <c r="AH176" s="1"/>
      <c r="AI176" s="1"/>
      <c r="AJ176" s="1"/>
      <c r="AK176" s="1">
        <f>MEDIAN($E176)</f>
        <v>0</v>
      </c>
      <c r="AL176" s="1">
        <f>MEDIAN($F176)</f>
        <v>0</v>
      </c>
      <c r="AM176" s="1">
        <f>MEDIAN($G176)</f>
        <v>0</v>
      </c>
      <c r="AN176" s="1"/>
      <c r="AO176" s="1"/>
      <c r="AP176" s="1">
        <f>MEDIAN($J176)</f>
        <v>0</v>
      </c>
      <c r="AQ176" s="1"/>
      <c r="AR176" s="1"/>
      <c r="AS176" s="1"/>
      <c r="AT176" s="1">
        <f>MEDIAN($P176)</f>
        <v>0</v>
      </c>
      <c r="AU176" s="1">
        <f>MEDIAN($Q176)</f>
        <v>0</v>
      </c>
      <c r="AV176" s="1"/>
      <c r="AW176" s="1"/>
      <c r="AX176" s="1"/>
      <c r="AY176" s="1"/>
      <c r="AZ176" s="1">
        <f>MAX($E176)</f>
        <v>0</v>
      </c>
      <c r="BA176" s="1">
        <f>MAX($F176)</f>
        <v>0</v>
      </c>
      <c r="BB176" s="1">
        <f>MAX($G176)</f>
        <v>0</v>
      </c>
      <c r="BC176" s="1"/>
      <c r="BD176" s="1"/>
      <c r="BE176" s="1">
        <f>MAX($J176)</f>
        <v>0</v>
      </c>
      <c r="BF176" s="1"/>
      <c r="BG176" s="1"/>
      <c r="BH176" s="1"/>
      <c r="BI176" s="1">
        <f>MAX($P176)</f>
        <v>0</v>
      </c>
      <c r="BJ176" s="1">
        <f>MAX($Q176)</f>
        <v>0</v>
      </c>
      <c r="BK176" s="1"/>
    </row>
    <row r="177" spans="1:63">
      <c r="A177" s="1" t="s">
        <v>174</v>
      </c>
      <c r="B177" s="1"/>
      <c r="C177" s="1"/>
      <c r="D177" s="1"/>
      <c r="E177" s="1" cm="1">
        <f t="array" ref="E177">_xlfn.SWITCH($A$2,"average", AVERAGE(Instances!E177:Instances!E177),"median", MEDIAN(Instances!E177:Instances!E177),"min", MIN(Instances!E177:Instances!E177),"max", MAX(Instances!E177:Instances!E177),"diff", MAX(Instances!E177:Instances!E177)-MIN(Instances!E177:Instances!E177))</f>
        <v>0</v>
      </c>
      <c r="F177" s="1" cm="1">
        <f t="array" ref="F177">_xlfn.SWITCH($A$2,"average", AVERAGE(Instances!F177:Instances!F177),"median", MEDIAN(Instances!F177:Instances!F177),"min", MIN(Instances!F177:Instances!F177),"max", MAX(Instances!F177:Instances!F177),"diff", MAX(Instances!F177:Instances!F177)-MIN(Instances!F177:Instances!F177))</f>
        <v>0</v>
      </c>
      <c r="G177" s="1" cm="1">
        <f t="array" ref="G177">_xlfn.SWITCH($A$2,"average", AVERAGE(Instances!G177:Instances!G177),"median", MEDIAN(Instances!G177:Instances!G177),"min", MIN(Instances!G177:Instances!G177),"max", MAX(Instances!G177:Instances!G177),"diff", MAX(Instances!G177:Instances!G177)-MIN(Instances!G177:Instances!G177))</f>
        <v>0</v>
      </c>
      <c r="H177" s="1"/>
      <c r="I177" s="1"/>
      <c r="J177" s="1" cm="1">
        <f t="array" ref="J177">_xlfn.SWITCH($A$2,"average", AVERAGE(Instances!J177:Instances!J177),"median", MEDIAN(Instances!J177:Instances!J177),"min", MIN(Instances!J177:Instances!J177),"max", MAX(Instances!J177:Instances!J177),"diff", MAX(Instances!J177:Instances!J177)-MIN(Instances!J177:Instances!J177))</f>
        <v>0</v>
      </c>
      <c r="K177" s="1"/>
      <c r="L177" s="1"/>
      <c r="M177" s="1"/>
      <c r="N177" s="1"/>
      <c r="O177" s="1"/>
      <c r="P177" s="1" cm="1">
        <f t="array" ref="P177">_xlfn.SWITCH($A$2,"average", AVERAGE(Instances!P177:Instances!P177),"median", MEDIAN(Instances!P177:Instances!P177),"min", MIN(Instances!P177:Instances!P177),"max", MAX(Instances!P177:Instances!P177),"diff", MAX(Instances!P177:Instances!P177)-MIN(Instances!P177:Instances!P177))</f>
        <v>0</v>
      </c>
      <c r="Q177" s="1" cm="1">
        <f t="array" ref="Q177">_xlfn.SWITCH($A$2,"average", AVERAGE(Instances!Q177:Instances!Q177),"median", MEDIAN(Instances!Q177:Instances!Q177),"min", MIN(Instances!Q177:Instances!Q177),"max", MAX(Instances!Q177:Instances!Q177),"diff", MAX(Instances!Q177:Instances!Q177)-MIN(Instances!Q177:Instances!Q177))</f>
        <v>0</v>
      </c>
      <c r="R177" s="1"/>
      <c r="S177" s="1"/>
      <c r="T177" s="1"/>
      <c r="U177" s="1"/>
      <c r="V177" s="1">
        <f>MIN($E177)</f>
        <v>0</v>
      </c>
      <c r="W177" s="1">
        <f>MIN($F177)</f>
        <v>0</v>
      </c>
      <c r="X177" s="1">
        <f>MIN($G177)</f>
        <v>0</v>
      </c>
      <c r="Y177" s="1"/>
      <c r="Z177" s="1"/>
      <c r="AA177" s="1">
        <f>MIN($J177)</f>
        <v>0</v>
      </c>
      <c r="AB177" s="1"/>
      <c r="AC177" s="1"/>
      <c r="AD177" s="1"/>
      <c r="AE177" s="1">
        <f>MIN($P177)</f>
        <v>0</v>
      </c>
      <c r="AF177" s="1">
        <f>MIN($Q177)</f>
        <v>0</v>
      </c>
      <c r="AG177" s="1"/>
      <c r="AH177" s="1"/>
      <c r="AI177" s="1"/>
      <c r="AJ177" s="1"/>
      <c r="AK177" s="1">
        <f>MEDIAN($E177)</f>
        <v>0</v>
      </c>
      <c r="AL177" s="1">
        <f>MEDIAN($F177)</f>
        <v>0</v>
      </c>
      <c r="AM177" s="1">
        <f>MEDIAN($G177)</f>
        <v>0</v>
      </c>
      <c r="AN177" s="1"/>
      <c r="AO177" s="1"/>
      <c r="AP177" s="1">
        <f>MEDIAN($J177)</f>
        <v>0</v>
      </c>
      <c r="AQ177" s="1"/>
      <c r="AR177" s="1"/>
      <c r="AS177" s="1"/>
      <c r="AT177" s="1">
        <f>MEDIAN($P177)</f>
        <v>0</v>
      </c>
      <c r="AU177" s="1">
        <f>MEDIAN($Q177)</f>
        <v>0</v>
      </c>
      <c r="AV177" s="1"/>
      <c r="AW177" s="1"/>
      <c r="AX177" s="1"/>
      <c r="AY177" s="1"/>
      <c r="AZ177" s="1">
        <f>MAX($E177)</f>
        <v>0</v>
      </c>
      <c r="BA177" s="1">
        <f>MAX($F177)</f>
        <v>0</v>
      </c>
      <c r="BB177" s="1">
        <f>MAX($G177)</f>
        <v>0</v>
      </c>
      <c r="BC177" s="1"/>
      <c r="BD177" s="1"/>
      <c r="BE177" s="1">
        <f>MAX($J177)</f>
        <v>0</v>
      </c>
      <c r="BF177" s="1"/>
      <c r="BG177" s="1"/>
      <c r="BH177" s="1"/>
      <c r="BI177" s="1">
        <f>MAX($P177)</f>
        <v>0</v>
      </c>
      <c r="BJ177" s="1">
        <f>MAX($Q177)</f>
        <v>0</v>
      </c>
      <c r="BK177" s="1"/>
    </row>
    <row r="178" spans="1:63">
      <c r="A178" s="1" t="s">
        <v>175</v>
      </c>
      <c r="B178" s="1"/>
      <c r="C178" s="1"/>
      <c r="D178" s="1"/>
      <c r="E178" s="1" cm="1">
        <f t="array" ref="E178">_xlfn.SWITCH($A$2,"average", AVERAGE(Instances!E178:Instances!E178),"median", MEDIAN(Instances!E178:Instances!E178),"min", MIN(Instances!E178:Instances!E178),"max", MAX(Instances!E178:Instances!E178),"diff", MAX(Instances!E178:Instances!E178)-MIN(Instances!E178:Instances!E178))</f>
        <v>0</v>
      </c>
      <c r="F178" s="1" cm="1">
        <f t="array" ref="F178">_xlfn.SWITCH($A$2,"average", AVERAGE(Instances!F178:Instances!F178),"median", MEDIAN(Instances!F178:Instances!F178),"min", MIN(Instances!F178:Instances!F178),"max", MAX(Instances!F178:Instances!F178),"diff", MAX(Instances!F178:Instances!F178)-MIN(Instances!F178:Instances!F178))</f>
        <v>0</v>
      </c>
      <c r="G178" s="1" cm="1">
        <f t="array" ref="G178">_xlfn.SWITCH($A$2,"average", AVERAGE(Instances!G178:Instances!G178),"median", MEDIAN(Instances!G178:Instances!G178),"min", MIN(Instances!G178:Instances!G178),"max", MAX(Instances!G178:Instances!G178),"diff", MAX(Instances!G178:Instances!G178)-MIN(Instances!G178:Instances!G178))</f>
        <v>0</v>
      </c>
      <c r="H178" s="1"/>
      <c r="I178" s="1"/>
      <c r="J178" s="1" cm="1">
        <f t="array" ref="J178">_xlfn.SWITCH($A$2,"average", AVERAGE(Instances!J178:Instances!J178),"median", MEDIAN(Instances!J178:Instances!J178),"min", MIN(Instances!J178:Instances!J178),"max", MAX(Instances!J178:Instances!J178),"diff", MAX(Instances!J178:Instances!J178)-MIN(Instances!J178:Instances!J178))</f>
        <v>0</v>
      </c>
      <c r="K178" s="1"/>
      <c r="L178" s="1"/>
      <c r="M178" s="1"/>
      <c r="N178" s="1"/>
      <c r="O178" s="1"/>
      <c r="P178" s="1" cm="1">
        <f t="array" ref="P178">_xlfn.SWITCH($A$2,"average", AVERAGE(Instances!P178:Instances!P178),"median", MEDIAN(Instances!P178:Instances!P178),"min", MIN(Instances!P178:Instances!P178),"max", MAX(Instances!P178:Instances!P178),"diff", MAX(Instances!P178:Instances!P178)-MIN(Instances!P178:Instances!P178))</f>
        <v>0</v>
      </c>
      <c r="Q178" s="1" cm="1">
        <f t="array" ref="Q178">_xlfn.SWITCH($A$2,"average", AVERAGE(Instances!Q178:Instances!Q178),"median", MEDIAN(Instances!Q178:Instances!Q178),"min", MIN(Instances!Q178:Instances!Q178),"max", MAX(Instances!Q178:Instances!Q178),"diff", MAX(Instances!Q178:Instances!Q178)-MIN(Instances!Q178:Instances!Q178))</f>
        <v>0</v>
      </c>
      <c r="R178" s="1"/>
      <c r="S178" s="1"/>
      <c r="T178" s="1"/>
      <c r="U178" s="1"/>
      <c r="V178" s="1">
        <f>MIN($E178)</f>
        <v>0</v>
      </c>
      <c r="W178" s="1">
        <f>MIN($F178)</f>
        <v>0</v>
      </c>
      <c r="X178" s="1">
        <f>MIN($G178)</f>
        <v>0</v>
      </c>
      <c r="Y178" s="1"/>
      <c r="Z178" s="1"/>
      <c r="AA178" s="1">
        <f>MIN($J178)</f>
        <v>0</v>
      </c>
      <c r="AB178" s="1"/>
      <c r="AC178" s="1"/>
      <c r="AD178" s="1"/>
      <c r="AE178" s="1">
        <f>MIN($P178)</f>
        <v>0</v>
      </c>
      <c r="AF178" s="1">
        <f>MIN($Q178)</f>
        <v>0</v>
      </c>
      <c r="AG178" s="1"/>
      <c r="AH178" s="1"/>
      <c r="AI178" s="1"/>
      <c r="AJ178" s="1"/>
      <c r="AK178" s="1">
        <f>MEDIAN($E178)</f>
        <v>0</v>
      </c>
      <c r="AL178" s="1">
        <f>MEDIAN($F178)</f>
        <v>0</v>
      </c>
      <c r="AM178" s="1">
        <f>MEDIAN($G178)</f>
        <v>0</v>
      </c>
      <c r="AN178" s="1"/>
      <c r="AO178" s="1"/>
      <c r="AP178" s="1">
        <f>MEDIAN($J178)</f>
        <v>0</v>
      </c>
      <c r="AQ178" s="1"/>
      <c r="AR178" s="1"/>
      <c r="AS178" s="1"/>
      <c r="AT178" s="1">
        <f>MEDIAN($P178)</f>
        <v>0</v>
      </c>
      <c r="AU178" s="1">
        <f>MEDIAN($Q178)</f>
        <v>0</v>
      </c>
      <c r="AV178" s="1"/>
      <c r="AW178" s="1"/>
      <c r="AX178" s="1"/>
      <c r="AY178" s="1"/>
      <c r="AZ178" s="1">
        <f>MAX($E178)</f>
        <v>0</v>
      </c>
      <c r="BA178" s="1">
        <f>MAX($F178)</f>
        <v>0</v>
      </c>
      <c r="BB178" s="1">
        <f>MAX($G178)</f>
        <v>0</v>
      </c>
      <c r="BC178" s="1"/>
      <c r="BD178" s="1"/>
      <c r="BE178" s="1">
        <f>MAX($J178)</f>
        <v>0</v>
      </c>
      <c r="BF178" s="1"/>
      <c r="BG178" s="1"/>
      <c r="BH178" s="1"/>
      <c r="BI178" s="1">
        <f>MAX($P178)</f>
        <v>0</v>
      </c>
      <c r="BJ178" s="1">
        <f>MAX($Q178)</f>
        <v>0</v>
      </c>
      <c r="BK178" s="1"/>
    </row>
    <row r="179" spans="1:63">
      <c r="A179" s="1" t="s">
        <v>176</v>
      </c>
      <c r="B179" s="1"/>
      <c r="C179" s="1"/>
      <c r="D179" s="1"/>
      <c r="E179" s="1" cm="1">
        <f t="array" ref="E179">_xlfn.SWITCH($A$2,"average", AVERAGE(Instances!E179:Instances!E179),"median", MEDIAN(Instances!E179:Instances!E179),"min", MIN(Instances!E179:Instances!E179),"max", MAX(Instances!E179:Instances!E179),"diff", MAX(Instances!E179:Instances!E179)-MIN(Instances!E179:Instances!E179))</f>
        <v>0</v>
      </c>
      <c r="F179" s="1" cm="1">
        <f t="array" ref="F179">_xlfn.SWITCH($A$2,"average", AVERAGE(Instances!F179:Instances!F179),"median", MEDIAN(Instances!F179:Instances!F179),"min", MIN(Instances!F179:Instances!F179),"max", MAX(Instances!F179:Instances!F179),"diff", MAX(Instances!F179:Instances!F179)-MIN(Instances!F179:Instances!F179))</f>
        <v>0</v>
      </c>
      <c r="G179" s="1" cm="1">
        <f t="array" ref="G179">_xlfn.SWITCH($A$2,"average", AVERAGE(Instances!G179:Instances!G179),"median", MEDIAN(Instances!G179:Instances!G179),"min", MIN(Instances!G179:Instances!G179),"max", MAX(Instances!G179:Instances!G179),"diff", MAX(Instances!G179:Instances!G179)-MIN(Instances!G179:Instances!G179))</f>
        <v>0</v>
      </c>
      <c r="H179" s="1"/>
      <c r="I179" s="1"/>
      <c r="J179" s="1" cm="1">
        <f t="array" ref="J179">_xlfn.SWITCH($A$2,"average", AVERAGE(Instances!J179:Instances!J179),"median", MEDIAN(Instances!J179:Instances!J179),"min", MIN(Instances!J179:Instances!J179),"max", MAX(Instances!J179:Instances!J179),"diff", MAX(Instances!J179:Instances!J179)-MIN(Instances!J179:Instances!J179))</f>
        <v>0</v>
      </c>
      <c r="K179" s="1"/>
      <c r="L179" s="1"/>
      <c r="M179" s="1"/>
      <c r="N179" s="1"/>
      <c r="O179" s="1"/>
      <c r="P179" s="1" cm="1">
        <f t="array" ref="P179">_xlfn.SWITCH($A$2,"average", AVERAGE(Instances!P179:Instances!P179),"median", MEDIAN(Instances!P179:Instances!P179),"min", MIN(Instances!P179:Instances!P179),"max", MAX(Instances!P179:Instances!P179),"diff", MAX(Instances!P179:Instances!P179)-MIN(Instances!P179:Instances!P179))</f>
        <v>0</v>
      </c>
      <c r="Q179" s="1" cm="1">
        <f t="array" ref="Q179">_xlfn.SWITCH($A$2,"average", AVERAGE(Instances!Q179:Instances!Q179),"median", MEDIAN(Instances!Q179:Instances!Q179),"min", MIN(Instances!Q179:Instances!Q179),"max", MAX(Instances!Q179:Instances!Q179),"diff", MAX(Instances!Q179:Instances!Q179)-MIN(Instances!Q179:Instances!Q179))</f>
        <v>0</v>
      </c>
      <c r="R179" s="1"/>
      <c r="S179" s="1"/>
      <c r="T179" s="1"/>
      <c r="U179" s="1"/>
      <c r="V179" s="1">
        <f>MIN($E179)</f>
        <v>0</v>
      </c>
      <c r="W179" s="1">
        <f>MIN($F179)</f>
        <v>0</v>
      </c>
      <c r="X179" s="1">
        <f>MIN($G179)</f>
        <v>0</v>
      </c>
      <c r="Y179" s="1"/>
      <c r="Z179" s="1"/>
      <c r="AA179" s="1">
        <f>MIN($J179)</f>
        <v>0</v>
      </c>
      <c r="AB179" s="1"/>
      <c r="AC179" s="1"/>
      <c r="AD179" s="1"/>
      <c r="AE179" s="1">
        <f>MIN($P179)</f>
        <v>0</v>
      </c>
      <c r="AF179" s="1">
        <f>MIN($Q179)</f>
        <v>0</v>
      </c>
      <c r="AG179" s="1"/>
      <c r="AH179" s="1"/>
      <c r="AI179" s="1"/>
      <c r="AJ179" s="1"/>
      <c r="AK179" s="1">
        <f>MEDIAN($E179)</f>
        <v>0</v>
      </c>
      <c r="AL179" s="1">
        <f>MEDIAN($F179)</f>
        <v>0</v>
      </c>
      <c r="AM179" s="1">
        <f>MEDIAN($G179)</f>
        <v>0</v>
      </c>
      <c r="AN179" s="1"/>
      <c r="AO179" s="1"/>
      <c r="AP179" s="1">
        <f>MEDIAN($J179)</f>
        <v>0</v>
      </c>
      <c r="AQ179" s="1"/>
      <c r="AR179" s="1"/>
      <c r="AS179" s="1"/>
      <c r="AT179" s="1">
        <f>MEDIAN($P179)</f>
        <v>0</v>
      </c>
      <c r="AU179" s="1">
        <f>MEDIAN($Q179)</f>
        <v>0</v>
      </c>
      <c r="AV179" s="1"/>
      <c r="AW179" s="1"/>
      <c r="AX179" s="1"/>
      <c r="AY179" s="1"/>
      <c r="AZ179" s="1">
        <f>MAX($E179)</f>
        <v>0</v>
      </c>
      <c r="BA179" s="1">
        <f>MAX($F179)</f>
        <v>0</v>
      </c>
      <c r="BB179" s="1">
        <f>MAX($G179)</f>
        <v>0</v>
      </c>
      <c r="BC179" s="1"/>
      <c r="BD179" s="1"/>
      <c r="BE179" s="1">
        <f>MAX($J179)</f>
        <v>0</v>
      </c>
      <c r="BF179" s="1"/>
      <c r="BG179" s="1"/>
      <c r="BH179" s="1"/>
      <c r="BI179" s="1">
        <f>MAX($P179)</f>
        <v>0</v>
      </c>
      <c r="BJ179" s="1">
        <f>MAX($Q179)</f>
        <v>0</v>
      </c>
      <c r="BK179" s="1"/>
    </row>
    <row r="180" spans="1:63">
      <c r="A180" s="1" t="s">
        <v>177</v>
      </c>
      <c r="B180" s="1"/>
      <c r="C180" s="1"/>
      <c r="D180" s="1"/>
      <c r="E180" s="1" cm="1">
        <f t="array" ref="E180">_xlfn.SWITCH($A$2,"average", AVERAGE(Instances!E180:Instances!E180),"median", MEDIAN(Instances!E180:Instances!E180),"min", MIN(Instances!E180:Instances!E180),"max", MAX(Instances!E180:Instances!E180),"diff", MAX(Instances!E180:Instances!E180)-MIN(Instances!E180:Instances!E180))</f>
        <v>0</v>
      </c>
      <c r="F180" s="1" cm="1">
        <f t="array" ref="F180">_xlfn.SWITCH($A$2,"average", AVERAGE(Instances!F180:Instances!F180),"median", MEDIAN(Instances!F180:Instances!F180),"min", MIN(Instances!F180:Instances!F180),"max", MAX(Instances!F180:Instances!F180),"diff", MAX(Instances!F180:Instances!F180)-MIN(Instances!F180:Instances!F180))</f>
        <v>0</v>
      </c>
      <c r="G180" s="1" cm="1">
        <f t="array" ref="G180">_xlfn.SWITCH($A$2,"average", AVERAGE(Instances!G180:Instances!G180),"median", MEDIAN(Instances!G180:Instances!G180),"min", MIN(Instances!G180:Instances!G180),"max", MAX(Instances!G180:Instances!G180),"diff", MAX(Instances!G180:Instances!G180)-MIN(Instances!G180:Instances!G180))</f>
        <v>0</v>
      </c>
      <c r="H180" s="1"/>
      <c r="I180" s="1"/>
      <c r="J180" s="1" cm="1">
        <f t="array" ref="J180">_xlfn.SWITCH($A$2,"average", AVERAGE(Instances!J180:Instances!J180),"median", MEDIAN(Instances!J180:Instances!J180),"min", MIN(Instances!J180:Instances!J180),"max", MAX(Instances!J180:Instances!J180),"diff", MAX(Instances!J180:Instances!J180)-MIN(Instances!J180:Instances!J180))</f>
        <v>0</v>
      </c>
      <c r="K180" s="1"/>
      <c r="L180" s="1"/>
      <c r="M180" s="1"/>
      <c r="N180" s="1"/>
      <c r="O180" s="1"/>
      <c r="P180" s="1" cm="1">
        <f t="array" ref="P180">_xlfn.SWITCH($A$2,"average", AVERAGE(Instances!P180:Instances!P180),"median", MEDIAN(Instances!P180:Instances!P180),"min", MIN(Instances!P180:Instances!P180),"max", MAX(Instances!P180:Instances!P180),"diff", MAX(Instances!P180:Instances!P180)-MIN(Instances!P180:Instances!P180))</f>
        <v>0</v>
      </c>
      <c r="Q180" s="1" cm="1">
        <f t="array" ref="Q180">_xlfn.SWITCH($A$2,"average", AVERAGE(Instances!Q180:Instances!Q180),"median", MEDIAN(Instances!Q180:Instances!Q180),"min", MIN(Instances!Q180:Instances!Q180),"max", MAX(Instances!Q180:Instances!Q180),"diff", MAX(Instances!Q180:Instances!Q180)-MIN(Instances!Q180:Instances!Q180))</f>
        <v>0</v>
      </c>
      <c r="R180" s="1"/>
      <c r="S180" s="1"/>
      <c r="T180" s="1"/>
      <c r="U180" s="1"/>
      <c r="V180" s="1">
        <f>MIN($E180)</f>
        <v>0</v>
      </c>
      <c r="W180" s="1">
        <f>MIN($F180)</f>
        <v>0</v>
      </c>
      <c r="X180" s="1">
        <f>MIN($G180)</f>
        <v>0</v>
      </c>
      <c r="Y180" s="1"/>
      <c r="Z180" s="1"/>
      <c r="AA180" s="1">
        <f>MIN($J180)</f>
        <v>0</v>
      </c>
      <c r="AB180" s="1"/>
      <c r="AC180" s="1"/>
      <c r="AD180" s="1"/>
      <c r="AE180" s="1">
        <f>MIN($P180)</f>
        <v>0</v>
      </c>
      <c r="AF180" s="1">
        <f>MIN($Q180)</f>
        <v>0</v>
      </c>
      <c r="AG180" s="1"/>
      <c r="AH180" s="1"/>
      <c r="AI180" s="1"/>
      <c r="AJ180" s="1"/>
      <c r="AK180" s="1">
        <f>MEDIAN($E180)</f>
        <v>0</v>
      </c>
      <c r="AL180" s="1">
        <f>MEDIAN($F180)</f>
        <v>0</v>
      </c>
      <c r="AM180" s="1">
        <f>MEDIAN($G180)</f>
        <v>0</v>
      </c>
      <c r="AN180" s="1"/>
      <c r="AO180" s="1"/>
      <c r="AP180" s="1">
        <f>MEDIAN($J180)</f>
        <v>0</v>
      </c>
      <c r="AQ180" s="1"/>
      <c r="AR180" s="1"/>
      <c r="AS180" s="1"/>
      <c r="AT180" s="1">
        <f>MEDIAN($P180)</f>
        <v>0</v>
      </c>
      <c r="AU180" s="1">
        <f>MEDIAN($Q180)</f>
        <v>0</v>
      </c>
      <c r="AV180" s="1"/>
      <c r="AW180" s="1"/>
      <c r="AX180" s="1"/>
      <c r="AY180" s="1"/>
      <c r="AZ180" s="1">
        <f>MAX($E180)</f>
        <v>0</v>
      </c>
      <c r="BA180" s="1">
        <f>MAX($F180)</f>
        <v>0</v>
      </c>
      <c r="BB180" s="1">
        <f>MAX($G180)</f>
        <v>0</v>
      </c>
      <c r="BC180" s="1"/>
      <c r="BD180" s="1"/>
      <c r="BE180" s="1">
        <f>MAX($J180)</f>
        <v>0</v>
      </c>
      <c r="BF180" s="1"/>
      <c r="BG180" s="1"/>
      <c r="BH180" s="1"/>
      <c r="BI180" s="1">
        <f>MAX($P180)</f>
        <v>0</v>
      </c>
      <c r="BJ180" s="1">
        <f>MAX($Q180)</f>
        <v>0</v>
      </c>
      <c r="BK180" s="1"/>
    </row>
    <row r="181" spans="1:63">
      <c r="A181" s="1" t="s">
        <v>178</v>
      </c>
      <c r="B181" s="1"/>
      <c r="C181" s="1"/>
      <c r="D181" s="1"/>
      <c r="E181" s="1" cm="1">
        <f t="array" ref="E181">_xlfn.SWITCH($A$2,"average", AVERAGE(Instances!E181:Instances!E181),"median", MEDIAN(Instances!E181:Instances!E181),"min", MIN(Instances!E181:Instances!E181),"max", MAX(Instances!E181:Instances!E181),"diff", MAX(Instances!E181:Instances!E181)-MIN(Instances!E181:Instances!E181))</f>
        <v>0</v>
      </c>
      <c r="F181" s="1" cm="1">
        <f t="array" ref="F181">_xlfn.SWITCH($A$2,"average", AVERAGE(Instances!F181:Instances!F181),"median", MEDIAN(Instances!F181:Instances!F181),"min", MIN(Instances!F181:Instances!F181),"max", MAX(Instances!F181:Instances!F181),"diff", MAX(Instances!F181:Instances!F181)-MIN(Instances!F181:Instances!F181))</f>
        <v>0</v>
      </c>
      <c r="G181" s="1" cm="1">
        <f t="array" ref="G181">_xlfn.SWITCH($A$2,"average", AVERAGE(Instances!G181:Instances!G181),"median", MEDIAN(Instances!G181:Instances!G181),"min", MIN(Instances!G181:Instances!G181),"max", MAX(Instances!G181:Instances!G181),"diff", MAX(Instances!G181:Instances!G181)-MIN(Instances!G181:Instances!G181))</f>
        <v>0</v>
      </c>
      <c r="H181" s="1"/>
      <c r="I181" s="1"/>
      <c r="J181" s="1" cm="1">
        <f t="array" ref="J181">_xlfn.SWITCH($A$2,"average", AVERAGE(Instances!J181:Instances!J181),"median", MEDIAN(Instances!J181:Instances!J181),"min", MIN(Instances!J181:Instances!J181),"max", MAX(Instances!J181:Instances!J181),"diff", MAX(Instances!J181:Instances!J181)-MIN(Instances!J181:Instances!J181))</f>
        <v>0</v>
      </c>
      <c r="K181" s="1"/>
      <c r="L181" s="1"/>
      <c r="M181" s="1"/>
      <c r="N181" s="1"/>
      <c r="O181" s="1"/>
      <c r="P181" s="1" cm="1">
        <f t="array" ref="P181">_xlfn.SWITCH($A$2,"average", AVERAGE(Instances!P181:Instances!P181),"median", MEDIAN(Instances!P181:Instances!P181),"min", MIN(Instances!P181:Instances!P181),"max", MAX(Instances!P181:Instances!P181),"diff", MAX(Instances!P181:Instances!P181)-MIN(Instances!P181:Instances!P181))</f>
        <v>0</v>
      </c>
      <c r="Q181" s="1" cm="1">
        <f t="array" ref="Q181">_xlfn.SWITCH($A$2,"average", AVERAGE(Instances!Q181:Instances!Q181),"median", MEDIAN(Instances!Q181:Instances!Q181),"min", MIN(Instances!Q181:Instances!Q181),"max", MAX(Instances!Q181:Instances!Q181),"diff", MAX(Instances!Q181:Instances!Q181)-MIN(Instances!Q181:Instances!Q181))</f>
        <v>0</v>
      </c>
      <c r="R181" s="1"/>
      <c r="S181" s="1"/>
      <c r="T181" s="1"/>
      <c r="U181" s="1"/>
      <c r="V181" s="1">
        <f>MIN($E181)</f>
        <v>0</v>
      </c>
      <c r="W181" s="1">
        <f>MIN($F181)</f>
        <v>0</v>
      </c>
      <c r="X181" s="1">
        <f>MIN($G181)</f>
        <v>0</v>
      </c>
      <c r="Y181" s="1"/>
      <c r="Z181" s="1"/>
      <c r="AA181" s="1">
        <f>MIN($J181)</f>
        <v>0</v>
      </c>
      <c r="AB181" s="1"/>
      <c r="AC181" s="1"/>
      <c r="AD181" s="1"/>
      <c r="AE181" s="1">
        <f>MIN($P181)</f>
        <v>0</v>
      </c>
      <c r="AF181" s="1">
        <f>MIN($Q181)</f>
        <v>0</v>
      </c>
      <c r="AG181" s="1"/>
      <c r="AH181" s="1"/>
      <c r="AI181" s="1"/>
      <c r="AJ181" s="1"/>
      <c r="AK181" s="1">
        <f>MEDIAN($E181)</f>
        <v>0</v>
      </c>
      <c r="AL181" s="1">
        <f>MEDIAN($F181)</f>
        <v>0</v>
      </c>
      <c r="AM181" s="1">
        <f>MEDIAN($G181)</f>
        <v>0</v>
      </c>
      <c r="AN181" s="1"/>
      <c r="AO181" s="1"/>
      <c r="AP181" s="1">
        <f>MEDIAN($J181)</f>
        <v>0</v>
      </c>
      <c r="AQ181" s="1"/>
      <c r="AR181" s="1"/>
      <c r="AS181" s="1"/>
      <c r="AT181" s="1">
        <f>MEDIAN($P181)</f>
        <v>0</v>
      </c>
      <c r="AU181" s="1">
        <f>MEDIAN($Q181)</f>
        <v>0</v>
      </c>
      <c r="AV181" s="1"/>
      <c r="AW181" s="1"/>
      <c r="AX181" s="1"/>
      <c r="AY181" s="1"/>
      <c r="AZ181" s="1">
        <f>MAX($E181)</f>
        <v>0</v>
      </c>
      <c r="BA181" s="1">
        <f>MAX($F181)</f>
        <v>0</v>
      </c>
      <c r="BB181" s="1">
        <f>MAX($G181)</f>
        <v>0</v>
      </c>
      <c r="BC181" s="1"/>
      <c r="BD181" s="1"/>
      <c r="BE181" s="1">
        <f>MAX($J181)</f>
        <v>0</v>
      </c>
      <c r="BF181" s="1"/>
      <c r="BG181" s="1"/>
      <c r="BH181" s="1"/>
      <c r="BI181" s="1">
        <f>MAX($P181)</f>
        <v>0</v>
      </c>
      <c r="BJ181" s="1">
        <f>MAX($Q181)</f>
        <v>0</v>
      </c>
      <c r="BK181" s="1"/>
    </row>
    <row r="182" spans="1:63">
      <c r="A182" s="1" t="s">
        <v>179</v>
      </c>
      <c r="B182" s="1"/>
      <c r="C182" s="1"/>
      <c r="D182" s="1"/>
      <c r="E182" s="1" cm="1">
        <f t="array" ref="E182">_xlfn.SWITCH($A$2,"average", AVERAGE(Instances!E182:Instances!E182),"median", MEDIAN(Instances!E182:Instances!E182),"min", MIN(Instances!E182:Instances!E182),"max", MAX(Instances!E182:Instances!E182),"diff", MAX(Instances!E182:Instances!E182)-MIN(Instances!E182:Instances!E182))</f>
        <v>0</v>
      </c>
      <c r="F182" s="1" cm="1">
        <f t="array" ref="F182">_xlfn.SWITCH($A$2,"average", AVERAGE(Instances!F182:Instances!F182),"median", MEDIAN(Instances!F182:Instances!F182),"min", MIN(Instances!F182:Instances!F182),"max", MAX(Instances!F182:Instances!F182),"diff", MAX(Instances!F182:Instances!F182)-MIN(Instances!F182:Instances!F182))</f>
        <v>0</v>
      </c>
      <c r="G182" s="1" cm="1">
        <f t="array" ref="G182">_xlfn.SWITCH($A$2,"average", AVERAGE(Instances!G182:Instances!G182),"median", MEDIAN(Instances!G182:Instances!G182),"min", MIN(Instances!G182:Instances!G182),"max", MAX(Instances!G182:Instances!G182),"diff", MAX(Instances!G182:Instances!G182)-MIN(Instances!G182:Instances!G182))</f>
        <v>0</v>
      </c>
      <c r="H182" s="1"/>
      <c r="I182" s="1"/>
      <c r="J182" s="1" cm="1">
        <f t="array" ref="J182">_xlfn.SWITCH($A$2,"average", AVERAGE(Instances!J182:Instances!J182),"median", MEDIAN(Instances!J182:Instances!J182),"min", MIN(Instances!J182:Instances!J182),"max", MAX(Instances!J182:Instances!J182),"diff", MAX(Instances!J182:Instances!J182)-MIN(Instances!J182:Instances!J182))</f>
        <v>0</v>
      </c>
      <c r="K182" s="1"/>
      <c r="L182" s="1"/>
      <c r="M182" s="1"/>
      <c r="N182" s="1"/>
      <c r="O182" s="1"/>
      <c r="P182" s="1" cm="1">
        <f t="array" ref="P182">_xlfn.SWITCH($A$2,"average", AVERAGE(Instances!P182:Instances!P182),"median", MEDIAN(Instances!P182:Instances!P182),"min", MIN(Instances!P182:Instances!P182),"max", MAX(Instances!P182:Instances!P182),"diff", MAX(Instances!P182:Instances!P182)-MIN(Instances!P182:Instances!P182))</f>
        <v>0</v>
      </c>
      <c r="Q182" s="1" cm="1">
        <f t="array" ref="Q182">_xlfn.SWITCH($A$2,"average", AVERAGE(Instances!Q182:Instances!Q182),"median", MEDIAN(Instances!Q182:Instances!Q182),"min", MIN(Instances!Q182:Instances!Q182),"max", MAX(Instances!Q182:Instances!Q182),"diff", MAX(Instances!Q182:Instances!Q182)-MIN(Instances!Q182:Instances!Q182))</f>
        <v>0</v>
      </c>
      <c r="R182" s="1"/>
      <c r="S182" s="1"/>
      <c r="T182" s="1"/>
      <c r="U182" s="1"/>
      <c r="V182" s="1">
        <f>MIN($E182)</f>
        <v>0</v>
      </c>
      <c r="W182" s="1">
        <f>MIN($F182)</f>
        <v>0</v>
      </c>
      <c r="X182" s="1">
        <f>MIN($G182)</f>
        <v>0</v>
      </c>
      <c r="Y182" s="1"/>
      <c r="Z182" s="1"/>
      <c r="AA182" s="1">
        <f>MIN($J182)</f>
        <v>0</v>
      </c>
      <c r="AB182" s="1"/>
      <c r="AC182" s="1"/>
      <c r="AD182" s="1"/>
      <c r="AE182" s="1">
        <f>MIN($P182)</f>
        <v>0</v>
      </c>
      <c r="AF182" s="1">
        <f>MIN($Q182)</f>
        <v>0</v>
      </c>
      <c r="AG182" s="1"/>
      <c r="AH182" s="1"/>
      <c r="AI182" s="1"/>
      <c r="AJ182" s="1"/>
      <c r="AK182" s="1">
        <f>MEDIAN($E182)</f>
        <v>0</v>
      </c>
      <c r="AL182" s="1">
        <f>MEDIAN($F182)</f>
        <v>0</v>
      </c>
      <c r="AM182" s="1">
        <f>MEDIAN($G182)</f>
        <v>0</v>
      </c>
      <c r="AN182" s="1"/>
      <c r="AO182" s="1"/>
      <c r="AP182" s="1">
        <f>MEDIAN($J182)</f>
        <v>0</v>
      </c>
      <c r="AQ182" s="1"/>
      <c r="AR182" s="1"/>
      <c r="AS182" s="1"/>
      <c r="AT182" s="1">
        <f>MEDIAN($P182)</f>
        <v>0</v>
      </c>
      <c r="AU182" s="1">
        <f>MEDIAN($Q182)</f>
        <v>0</v>
      </c>
      <c r="AV182" s="1"/>
      <c r="AW182" s="1"/>
      <c r="AX182" s="1"/>
      <c r="AY182" s="1"/>
      <c r="AZ182" s="1">
        <f>MAX($E182)</f>
        <v>0</v>
      </c>
      <c r="BA182" s="1">
        <f>MAX($F182)</f>
        <v>0</v>
      </c>
      <c r="BB182" s="1">
        <f>MAX($G182)</f>
        <v>0</v>
      </c>
      <c r="BC182" s="1"/>
      <c r="BD182" s="1"/>
      <c r="BE182" s="1">
        <f>MAX($J182)</f>
        <v>0</v>
      </c>
      <c r="BF182" s="1"/>
      <c r="BG182" s="1"/>
      <c r="BH182" s="1"/>
      <c r="BI182" s="1">
        <f>MAX($P182)</f>
        <v>0</v>
      </c>
      <c r="BJ182" s="1">
        <f>MAX($Q182)</f>
        <v>0</v>
      </c>
      <c r="BK182" s="1"/>
    </row>
    <row r="183" spans="1:63">
      <c r="A183" s="1" t="s">
        <v>180</v>
      </c>
      <c r="B183" s="1"/>
      <c r="C183" s="1"/>
      <c r="D183" s="1"/>
      <c r="E183" s="1" cm="1">
        <f t="array" ref="E183">_xlfn.SWITCH($A$2,"average", AVERAGE(Instances!E183:Instances!E183),"median", MEDIAN(Instances!E183:Instances!E183),"min", MIN(Instances!E183:Instances!E183),"max", MAX(Instances!E183:Instances!E183),"diff", MAX(Instances!E183:Instances!E183)-MIN(Instances!E183:Instances!E183))</f>
        <v>0</v>
      </c>
      <c r="F183" s="1" cm="1">
        <f t="array" ref="F183">_xlfn.SWITCH($A$2,"average", AVERAGE(Instances!F183:Instances!F183),"median", MEDIAN(Instances!F183:Instances!F183),"min", MIN(Instances!F183:Instances!F183),"max", MAX(Instances!F183:Instances!F183),"diff", MAX(Instances!F183:Instances!F183)-MIN(Instances!F183:Instances!F183))</f>
        <v>0</v>
      </c>
      <c r="G183" s="1" cm="1">
        <f t="array" ref="G183">_xlfn.SWITCH($A$2,"average", AVERAGE(Instances!G183:Instances!G183),"median", MEDIAN(Instances!G183:Instances!G183),"min", MIN(Instances!G183:Instances!G183),"max", MAX(Instances!G183:Instances!G183),"diff", MAX(Instances!G183:Instances!G183)-MIN(Instances!G183:Instances!G183))</f>
        <v>0</v>
      </c>
      <c r="H183" s="1"/>
      <c r="I183" s="1"/>
      <c r="J183" s="1" cm="1">
        <f t="array" ref="J183">_xlfn.SWITCH($A$2,"average", AVERAGE(Instances!J183:Instances!J183),"median", MEDIAN(Instances!J183:Instances!J183),"min", MIN(Instances!J183:Instances!J183),"max", MAX(Instances!J183:Instances!J183),"diff", MAX(Instances!J183:Instances!J183)-MIN(Instances!J183:Instances!J183))</f>
        <v>0</v>
      </c>
      <c r="K183" s="1"/>
      <c r="L183" s="1"/>
      <c r="M183" s="1"/>
      <c r="N183" s="1"/>
      <c r="O183" s="1"/>
      <c r="P183" s="1" cm="1">
        <f t="array" ref="P183">_xlfn.SWITCH($A$2,"average", AVERAGE(Instances!P183:Instances!P183),"median", MEDIAN(Instances!P183:Instances!P183),"min", MIN(Instances!P183:Instances!P183),"max", MAX(Instances!P183:Instances!P183),"diff", MAX(Instances!P183:Instances!P183)-MIN(Instances!P183:Instances!P183))</f>
        <v>0</v>
      </c>
      <c r="Q183" s="1" cm="1">
        <f t="array" ref="Q183">_xlfn.SWITCH($A$2,"average", AVERAGE(Instances!Q183:Instances!Q183),"median", MEDIAN(Instances!Q183:Instances!Q183),"min", MIN(Instances!Q183:Instances!Q183),"max", MAX(Instances!Q183:Instances!Q183),"diff", MAX(Instances!Q183:Instances!Q183)-MIN(Instances!Q183:Instances!Q183))</f>
        <v>0</v>
      </c>
      <c r="R183" s="1"/>
      <c r="S183" s="1"/>
      <c r="T183" s="1"/>
      <c r="U183" s="1"/>
      <c r="V183" s="1">
        <f>MIN($E183)</f>
        <v>0</v>
      </c>
      <c r="W183" s="1">
        <f>MIN($F183)</f>
        <v>0</v>
      </c>
      <c r="X183" s="1">
        <f>MIN($G183)</f>
        <v>0</v>
      </c>
      <c r="Y183" s="1"/>
      <c r="Z183" s="1"/>
      <c r="AA183" s="1">
        <f>MIN($J183)</f>
        <v>0</v>
      </c>
      <c r="AB183" s="1"/>
      <c r="AC183" s="1"/>
      <c r="AD183" s="1"/>
      <c r="AE183" s="1">
        <f>MIN($P183)</f>
        <v>0</v>
      </c>
      <c r="AF183" s="1">
        <f>MIN($Q183)</f>
        <v>0</v>
      </c>
      <c r="AG183" s="1"/>
      <c r="AH183" s="1"/>
      <c r="AI183" s="1"/>
      <c r="AJ183" s="1"/>
      <c r="AK183" s="1">
        <f>MEDIAN($E183)</f>
        <v>0</v>
      </c>
      <c r="AL183" s="1">
        <f>MEDIAN($F183)</f>
        <v>0</v>
      </c>
      <c r="AM183" s="1">
        <f>MEDIAN($G183)</f>
        <v>0</v>
      </c>
      <c r="AN183" s="1"/>
      <c r="AO183" s="1"/>
      <c r="AP183" s="1">
        <f>MEDIAN($J183)</f>
        <v>0</v>
      </c>
      <c r="AQ183" s="1"/>
      <c r="AR183" s="1"/>
      <c r="AS183" s="1"/>
      <c r="AT183" s="1">
        <f>MEDIAN($P183)</f>
        <v>0</v>
      </c>
      <c r="AU183" s="1">
        <f>MEDIAN($Q183)</f>
        <v>0</v>
      </c>
      <c r="AV183" s="1"/>
      <c r="AW183" s="1"/>
      <c r="AX183" s="1"/>
      <c r="AY183" s="1"/>
      <c r="AZ183" s="1">
        <f>MAX($E183)</f>
        <v>0</v>
      </c>
      <c r="BA183" s="1">
        <f>MAX($F183)</f>
        <v>0</v>
      </c>
      <c r="BB183" s="1">
        <f>MAX($G183)</f>
        <v>0</v>
      </c>
      <c r="BC183" s="1"/>
      <c r="BD183" s="1"/>
      <c r="BE183" s="1">
        <f>MAX($J183)</f>
        <v>0</v>
      </c>
      <c r="BF183" s="1"/>
      <c r="BG183" s="1"/>
      <c r="BH183" s="1"/>
      <c r="BI183" s="1">
        <f>MAX($P183)</f>
        <v>0</v>
      </c>
      <c r="BJ183" s="1">
        <f>MAX($Q183)</f>
        <v>0</v>
      </c>
      <c r="BK183" s="1"/>
    </row>
    <row r="184" spans="1:63">
      <c r="A184" s="1" t="s">
        <v>181</v>
      </c>
      <c r="B184" s="1"/>
      <c r="C184" s="1"/>
      <c r="D184" s="1"/>
      <c r="E184" s="1" cm="1">
        <f t="array" ref="E184">_xlfn.SWITCH($A$2,"average", AVERAGE(Instances!E184:Instances!E184),"median", MEDIAN(Instances!E184:Instances!E184),"min", MIN(Instances!E184:Instances!E184),"max", MAX(Instances!E184:Instances!E184),"diff", MAX(Instances!E184:Instances!E184)-MIN(Instances!E184:Instances!E184))</f>
        <v>0</v>
      </c>
      <c r="F184" s="1" cm="1">
        <f t="array" ref="F184">_xlfn.SWITCH($A$2,"average", AVERAGE(Instances!F184:Instances!F184),"median", MEDIAN(Instances!F184:Instances!F184),"min", MIN(Instances!F184:Instances!F184),"max", MAX(Instances!F184:Instances!F184),"diff", MAX(Instances!F184:Instances!F184)-MIN(Instances!F184:Instances!F184))</f>
        <v>0</v>
      </c>
      <c r="G184" s="1" cm="1">
        <f t="array" ref="G184">_xlfn.SWITCH($A$2,"average", AVERAGE(Instances!G184:Instances!G184),"median", MEDIAN(Instances!G184:Instances!G184),"min", MIN(Instances!G184:Instances!G184),"max", MAX(Instances!G184:Instances!G184),"diff", MAX(Instances!G184:Instances!G184)-MIN(Instances!G184:Instances!G184))</f>
        <v>0</v>
      </c>
      <c r="H184" s="1"/>
      <c r="I184" s="1"/>
      <c r="J184" s="1" cm="1">
        <f t="array" ref="J184">_xlfn.SWITCH($A$2,"average", AVERAGE(Instances!J184:Instances!J184),"median", MEDIAN(Instances!J184:Instances!J184),"min", MIN(Instances!J184:Instances!J184),"max", MAX(Instances!J184:Instances!J184),"diff", MAX(Instances!J184:Instances!J184)-MIN(Instances!J184:Instances!J184))</f>
        <v>0</v>
      </c>
      <c r="K184" s="1"/>
      <c r="L184" s="1"/>
      <c r="M184" s="1"/>
      <c r="N184" s="1"/>
      <c r="O184" s="1"/>
      <c r="P184" s="1" cm="1">
        <f t="array" ref="P184">_xlfn.SWITCH($A$2,"average", AVERAGE(Instances!P184:Instances!P184),"median", MEDIAN(Instances!P184:Instances!P184),"min", MIN(Instances!P184:Instances!P184),"max", MAX(Instances!P184:Instances!P184),"diff", MAX(Instances!P184:Instances!P184)-MIN(Instances!P184:Instances!P184))</f>
        <v>0</v>
      </c>
      <c r="Q184" s="1" cm="1">
        <f t="array" ref="Q184">_xlfn.SWITCH($A$2,"average", AVERAGE(Instances!Q184:Instances!Q184),"median", MEDIAN(Instances!Q184:Instances!Q184),"min", MIN(Instances!Q184:Instances!Q184),"max", MAX(Instances!Q184:Instances!Q184),"diff", MAX(Instances!Q184:Instances!Q184)-MIN(Instances!Q184:Instances!Q184))</f>
        <v>0</v>
      </c>
      <c r="R184" s="1"/>
      <c r="S184" s="1"/>
      <c r="T184" s="1"/>
      <c r="U184" s="1"/>
      <c r="V184" s="1">
        <f>MIN($E184)</f>
        <v>0</v>
      </c>
      <c r="W184" s="1">
        <f>MIN($F184)</f>
        <v>0</v>
      </c>
      <c r="X184" s="1">
        <f>MIN($G184)</f>
        <v>0</v>
      </c>
      <c r="Y184" s="1"/>
      <c r="Z184" s="1"/>
      <c r="AA184" s="1">
        <f>MIN($J184)</f>
        <v>0</v>
      </c>
      <c r="AB184" s="1"/>
      <c r="AC184" s="1"/>
      <c r="AD184" s="1"/>
      <c r="AE184" s="1">
        <f>MIN($P184)</f>
        <v>0</v>
      </c>
      <c r="AF184" s="1">
        <f>MIN($Q184)</f>
        <v>0</v>
      </c>
      <c r="AG184" s="1"/>
      <c r="AH184" s="1"/>
      <c r="AI184" s="1"/>
      <c r="AJ184" s="1"/>
      <c r="AK184" s="1">
        <f>MEDIAN($E184)</f>
        <v>0</v>
      </c>
      <c r="AL184" s="1">
        <f>MEDIAN($F184)</f>
        <v>0</v>
      </c>
      <c r="AM184" s="1">
        <f>MEDIAN($G184)</f>
        <v>0</v>
      </c>
      <c r="AN184" s="1"/>
      <c r="AO184" s="1"/>
      <c r="AP184" s="1">
        <f>MEDIAN($J184)</f>
        <v>0</v>
      </c>
      <c r="AQ184" s="1"/>
      <c r="AR184" s="1"/>
      <c r="AS184" s="1"/>
      <c r="AT184" s="1">
        <f>MEDIAN($P184)</f>
        <v>0</v>
      </c>
      <c r="AU184" s="1">
        <f>MEDIAN($Q184)</f>
        <v>0</v>
      </c>
      <c r="AV184" s="1"/>
      <c r="AW184" s="1"/>
      <c r="AX184" s="1"/>
      <c r="AY184" s="1"/>
      <c r="AZ184" s="1">
        <f>MAX($E184)</f>
        <v>0</v>
      </c>
      <c r="BA184" s="1">
        <f>MAX($F184)</f>
        <v>0</v>
      </c>
      <c r="BB184" s="1">
        <f>MAX($G184)</f>
        <v>0</v>
      </c>
      <c r="BC184" s="1"/>
      <c r="BD184" s="1"/>
      <c r="BE184" s="1">
        <f>MAX($J184)</f>
        <v>0</v>
      </c>
      <c r="BF184" s="1"/>
      <c r="BG184" s="1"/>
      <c r="BH184" s="1"/>
      <c r="BI184" s="1">
        <f>MAX($P184)</f>
        <v>0</v>
      </c>
      <c r="BJ184" s="1">
        <f>MAX($Q184)</f>
        <v>0</v>
      </c>
      <c r="BK184" s="1"/>
    </row>
    <row r="185" spans="1:63">
      <c r="A185" s="1" t="s">
        <v>182</v>
      </c>
      <c r="B185" s="1"/>
      <c r="C185" s="1"/>
      <c r="D185" s="1"/>
      <c r="E185" s="1" cm="1">
        <f t="array" ref="E185">_xlfn.SWITCH($A$2,"average", AVERAGE(Instances!E185:Instances!E185),"median", MEDIAN(Instances!E185:Instances!E185),"min", MIN(Instances!E185:Instances!E185),"max", MAX(Instances!E185:Instances!E185),"diff", MAX(Instances!E185:Instances!E185)-MIN(Instances!E185:Instances!E185))</f>
        <v>0</v>
      </c>
      <c r="F185" s="1" cm="1">
        <f t="array" ref="F185">_xlfn.SWITCH($A$2,"average", AVERAGE(Instances!F185:Instances!F185),"median", MEDIAN(Instances!F185:Instances!F185),"min", MIN(Instances!F185:Instances!F185),"max", MAX(Instances!F185:Instances!F185),"diff", MAX(Instances!F185:Instances!F185)-MIN(Instances!F185:Instances!F185))</f>
        <v>0</v>
      </c>
      <c r="G185" s="1" cm="1">
        <f t="array" ref="G185">_xlfn.SWITCH($A$2,"average", AVERAGE(Instances!G185:Instances!G185),"median", MEDIAN(Instances!G185:Instances!G185),"min", MIN(Instances!G185:Instances!G185),"max", MAX(Instances!G185:Instances!G185),"diff", MAX(Instances!G185:Instances!G185)-MIN(Instances!G185:Instances!G185))</f>
        <v>0</v>
      </c>
      <c r="H185" s="1"/>
      <c r="I185" s="1"/>
      <c r="J185" s="1" cm="1">
        <f t="array" ref="J185">_xlfn.SWITCH($A$2,"average", AVERAGE(Instances!J185:Instances!J185),"median", MEDIAN(Instances!J185:Instances!J185),"min", MIN(Instances!J185:Instances!J185),"max", MAX(Instances!J185:Instances!J185),"diff", MAX(Instances!J185:Instances!J185)-MIN(Instances!J185:Instances!J185))</f>
        <v>0</v>
      </c>
      <c r="K185" s="1"/>
      <c r="L185" s="1"/>
      <c r="M185" s="1"/>
      <c r="N185" s="1"/>
      <c r="O185" s="1"/>
      <c r="P185" s="1" cm="1">
        <f t="array" ref="P185">_xlfn.SWITCH($A$2,"average", AVERAGE(Instances!P185:Instances!P185),"median", MEDIAN(Instances!P185:Instances!P185),"min", MIN(Instances!P185:Instances!P185),"max", MAX(Instances!P185:Instances!P185),"diff", MAX(Instances!P185:Instances!P185)-MIN(Instances!P185:Instances!P185))</f>
        <v>0</v>
      </c>
      <c r="Q185" s="1" cm="1">
        <f t="array" ref="Q185">_xlfn.SWITCH($A$2,"average", AVERAGE(Instances!Q185:Instances!Q185),"median", MEDIAN(Instances!Q185:Instances!Q185),"min", MIN(Instances!Q185:Instances!Q185),"max", MAX(Instances!Q185:Instances!Q185),"diff", MAX(Instances!Q185:Instances!Q185)-MIN(Instances!Q185:Instances!Q185))</f>
        <v>0</v>
      </c>
      <c r="R185" s="1"/>
      <c r="S185" s="1"/>
      <c r="T185" s="1"/>
      <c r="U185" s="1"/>
      <c r="V185" s="1">
        <f>MIN($E185)</f>
        <v>0</v>
      </c>
      <c r="W185" s="1">
        <f>MIN($F185)</f>
        <v>0</v>
      </c>
      <c r="X185" s="1">
        <f>MIN($G185)</f>
        <v>0</v>
      </c>
      <c r="Y185" s="1"/>
      <c r="Z185" s="1"/>
      <c r="AA185" s="1">
        <f>MIN($J185)</f>
        <v>0</v>
      </c>
      <c r="AB185" s="1"/>
      <c r="AC185" s="1"/>
      <c r="AD185" s="1"/>
      <c r="AE185" s="1">
        <f>MIN($P185)</f>
        <v>0</v>
      </c>
      <c r="AF185" s="1">
        <f>MIN($Q185)</f>
        <v>0</v>
      </c>
      <c r="AG185" s="1"/>
      <c r="AH185" s="1"/>
      <c r="AI185" s="1"/>
      <c r="AJ185" s="1"/>
      <c r="AK185" s="1">
        <f>MEDIAN($E185)</f>
        <v>0</v>
      </c>
      <c r="AL185" s="1">
        <f>MEDIAN($F185)</f>
        <v>0</v>
      </c>
      <c r="AM185" s="1">
        <f>MEDIAN($G185)</f>
        <v>0</v>
      </c>
      <c r="AN185" s="1"/>
      <c r="AO185" s="1"/>
      <c r="AP185" s="1">
        <f>MEDIAN($J185)</f>
        <v>0</v>
      </c>
      <c r="AQ185" s="1"/>
      <c r="AR185" s="1"/>
      <c r="AS185" s="1"/>
      <c r="AT185" s="1">
        <f>MEDIAN($P185)</f>
        <v>0</v>
      </c>
      <c r="AU185" s="1">
        <f>MEDIAN($Q185)</f>
        <v>0</v>
      </c>
      <c r="AV185" s="1"/>
      <c r="AW185" s="1"/>
      <c r="AX185" s="1"/>
      <c r="AY185" s="1"/>
      <c r="AZ185" s="1">
        <f>MAX($E185)</f>
        <v>0</v>
      </c>
      <c r="BA185" s="1">
        <f>MAX($F185)</f>
        <v>0</v>
      </c>
      <c r="BB185" s="1">
        <f>MAX($G185)</f>
        <v>0</v>
      </c>
      <c r="BC185" s="1"/>
      <c r="BD185" s="1"/>
      <c r="BE185" s="1">
        <f>MAX($J185)</f>
        <v>0</v>
      </c>
      <c r="BF185" s="1"/>
      <c r="BG185" s="1"/>
      <c r="BH185" s="1"/>
      <c r="BI185" s="1">
        <f>MAX($P185)</f>
        <v>0</v>
      </c>
      <c r="BJ185" s="1">
        <f>MAX($Q185)</f>
        <v>0</v>
      </c>
      <c r="BK185" s="1"/>
    </row>
    <row r="186" spans="1:63">
      <c r="A186" s="1" t="s">
        <v>91</v>
      </c>
      <c r="B186" s="1" cm="1">
        <f t="array" ref="B186">_xlfn.SWITCH($A$2,"average", AVERAGE(Instances!B186:Instances!B186),"median", MEDIAN(Instances!B186:Instances!B186),"min", MIN(Instances!B186:Instances!B186),"max", MAX(Instances!B186:Instances!B186),"diff", MAX(Instances!B186:Instances!B186)-MIN(Instances!B186:Instances!B186))</f>
        <v>0</v>
      </c>
      <c r="C186" s="1" cm="1">
        <f t="array" ref="C186">_xlfn.SWITCH($A$2,"average", AVERAGE(Instances!C186:Instances!C186),"median", MEDIAN(Instances!C186:Instances!C186),"min", MIN(Instances!C186:Instances!C186),"max", MAX(Instances!C186:Instances!C186),"diff", MAX(Instances!C186:Instances!C186)-MIN(Instances!C186:Instances!C186))</f>
        <v>0</v>
      </c>
      <c r="D186" s="1" cm="1">
        <f t="array" ref="D186">_xlfn.SWITCH($A$2,"average", AVERAGE(Instances!D186:Instances!D186),"median", MEDIAN(Instances!D186:Instances!D186),"min", MIN(Instances!D186:Instances!D186),"max", MAX(Instances!D186:Instances!D186),"diff", MAX(Instances!D186:Instances!D186)-MIN(Instances!D186:Instances!D186))</f>
        <v>0</v>
      </c>
      <c r="E186" s="1" cm="1">
        <f t="array" ref="E186">_xlfn.SWITCH($A$2,"average", AVERAGE(Instances!E186:Instances!E186),"median", MEDIAN(Instances!E186:Instances!E186),"min", MIN(Instances!E186:Instances!E186),"max", MAX(Instances!E186:Instances!E186),"diff", MAX(Instances!E186:Instances!E186)-MIN(Instances!E186:Instances!E186))</f>
        <v>0</v>
      </c>
      <c r="F186" s="1" cm="1">
        <f t="array" ref="F186">_xlfn.SWITCH($A$2,"average", AVERAGE(Instances!F186:Instances!F186),"median", MEDIAN(Instances!F186:Instances!F186),"min", MIN(Instances!F186:Instances!F186),"max", MAX(Instances!F186:Instances!F186),"diff", MAX(Instances!F186:Instances!F186)-MIN(Instances!F186:Instances!F186))</f>
        <v>0</v>
      </c>
      <c r="G186" s="1" cm="1">
        <f t="array" ref="G186">_xlfn.SWITCH($A$2,"average", AVERAGE(Instances!G186:Instances!G186),"median", MEDIAN(Instances!G186:Instances!G186),"min", MIN(Instances!G186:Instances!G186),"max", MAX(Instances!G186:Instances!G186),"diff", MAX(Instances!G186:Instances!G186)-MIN(Instances!G186:Instances!G186))</f>
        <v>0</v>
      </c>
      <c r="H186" s="1" cm="1">
        <f t="array" ref="H186">_xlfn.SWITCH($A$2,"average", AVERAGE(Instances!H186:Instances!H186),"median", MEDIAN(Instances!H186:Instances!H186),"min", MIN(Instances!H186:Instances!H186),"max", MAX(Instances!H186:Instances!H186),"diff", MAX(Instances!H186:Instances!H186)-MIN(Instances!H186:Instances!H186))</f>
        <v>0</v>
      </c>
      <c r="I186" s="1" cm="1">
        <f t="array" ref="I186">_xlfn.SWITCH($A$2,"average", AVERAGE(Instances!I186:Instances!I186),"median", MEDIAN(Instances!I186:Instances!I186),"min", MIN(Instances!I186:Instances!I186),"max", MAX(Instances!I186:Instances!I186),"diff", MAX(Instances!I186:Instances!I186)-MIN(Instances!I186:Instances!I186))</f>
        <v>0</v>
      </c>
      <c r="J186" s="1" cm="1">
        <f t="array" ref="J186">_xlfn.SWITCH($A$2,"average", AVERAGE(Instances!J186:Instances!J186),"median", MEDIAN(Instances!J186:Instances!J186),"min", MIN(Instances!J186:Instances!J186),"max", MAX(Instances!J186:Instances!J186),"diff", MAX(Instances!J186:Instances!J186)-MIN(Instances!J186:Instances!J186))</f>
        <v>0</v>
      </c>
      <c r="K186" s="1" cm="1">
        <f t="array" ref="K186">_xlfn.SWITCH($A$2,"average", AVERAGE(Instances!K186:Instances!K186),"median", MEDIAN(Instances!K186:Instances!K186),"min", MIN(Instances!K186:Instances!K186),"max", MAX(Instances!K186:Instances!K186),"diff", MAX(Instances!K186:Instances!K186)-MIN(Instances!K186:Instances!K186))</f>
        <v>0</v>
      </c>
      <c r="L186" s="1"/>
      <c r="M186" s="1" cm="1">
        <f t="array" ref="M186">_xlfn.SWITCH($A$2,"average", AVERAGE(Instances!M186:Instances!M186),"median", MEDIAN(Instances!M186:Instances!M186),"min", MIN(Instances!M186:Instances!M186),"max", MAX(Instances!M186:Instances!M186),"diff", MAX(Instances!M186:Instances!M186)-MIN(Instances!M186:Instances!M186))</f>
        <v>0</v>
      </c>
      <c r="N186" s="1" cm="1">
        <f t="array" ref="N186">_xlfn.SWITCH($A$2,"average", AVERAGE(Instances!N186:Instances!N186),"median", MEDIAN(Instances!N186:Instances!N186),"min", MIN(Instances!N186:Instances!N186),"max", MAX(Instances!N186:Instances!N186),"diff", MAX(Instances!N186:Instances!N186)-MIN(Instances!N186:Instances!N186))</f>
        <v>0</v>
      </c>
      <c r="O186" s="1"/>
      <c r="P186" s="1" cm="1">
        <f t="array" ref="P186">_xlfn.SWITCH($A$2,"average", AVERAGE(Instances!P186:Instances!P186),"median", MEDIAN(Instances!P186:Instances!P186),"min", MIN(Instances!P186:Instances!P186),"max", MAX(Instances!P186:Instances!P186),"diff", MAX(Instances!P186:Instances!P186)-MIN(Instances!P186:Instances!P186))</f>
        <v>0</v>
      </c>
      <c r="Q186" s="1" cm="1">
        <f t="array" ref="Q186">_xlfn.SWITCH($A$2,"average", AVERAGE(Instances!Q186:Instances!Q186),"median", MEDIAN(Instances!Q186:Instances!Q186),"min", MIN(Instances!Q186:Instances!Q186),"max", MAX(Instances!Q186:Instances!Q186),"diff", MAX(Instances!Q186:Instances!Q186)-MIN(Instances!Q186:Instances!Q186))</f>
        <v>0</v>
      </c>
      <c r="R186" s="1" cm="1">
        <f t="array" ref="R186">_xlfn.SWITCH($A$2,"average", AVERAGE(Instances!R186:Instances!R186),"median", MEDIAN(Instances!R186:Instances!R186),"min", MIN(Instances!R186:Instances!R186),"max", MAX(Instances!R186:Instances!R186),"diff", MAX(Instances!R186:Instances!R186)-MIN(Instances!R186:Instances!R186))</f>
        <v>0</v>
      </c>
      <c r="S186" s="1">
        <f>MIN($B186)</f>
        <v>0</v>
      </c>
      <c r="T186" s="1">
        <f>MIN($C186)</f>
        <v>0</v>
      </c>
      <c r="U186" s="1">
        <f>MIN($D186)</f>
        <v>0</v>
      </c>
      <c r="V186" s="1">
        <f>MIN($E186)</f>
        <v>0</v>
      </c>
      <c r="W186" s="1">
        <f>MIN($F186)</f>
        <v>0</v>
      </c>
      <c r="X186" s="1">
        <f>MIN($G186)</f>
        <v>0</v>
      </c>
      <c r="Y186" s="1">
        <f>MIN($H186)</f>
        <v>0</v>
      </c>
      <c r="Z186" s="1">
        <f>MIN($I186)</f>
        <v>0</v>
      </c>
      <c r="AA186" s="1">
        <f>MIN($J186)</f>
        <v>0</v>
      </c>
      <c r="AB186" s="1">
        <f>MIN($K186)</f>
        <v>0</v>
      </c>
      <c r="AC186" s="1">
        <f>MIN($M186)</f>
        <v>0</v>
      </c>
      <c r="AD186" s="1">
        <f>MIN($N186)</f>
        <v>0</v>
      </c>
      <c r="AE186" s="1">
        <f>MIN($P186)</f>
        <v>0</v>
      </c>
      <c r="AF186" s="1">
        <f>MIN($Q186)</f>
        <v>0</v>
      </c>
      <c r="AG186" s="1">
        <f>MIN($R186)</f>
        <v>0</v>
      </c>
      <c r="AH186" s="1">
        <f>MEDIAN($B186)</f>
        <v>0</v>
      </c>
      <c r="AI186" s="1">
        <f>MEDIAN($C186)</f>
        <v>0</v>
      </c>
      <c r="AJ186" s="1">
        <f>MEDIAN($D186)</f>
        <v>0</v>
      </c>
      <c r="AK186" s="1">
        <f>MEDIAN($E186)</f>
        <v>0</v>
      </c>
      <c r="AL186" s="1">
        <f>MEDIAN($F186)</f>
        <v>0</v>
      </c>
      <c r="AM186" s="1">
        <f>MEDIAN($G186)</f>
        <v>0</v>
      </c>
      <c r="AN186" s="1">
        <f>MEDIAN($H186)</f>
        <v>0</v>
      </c>
      <c r="AO186" s="1">
        <f>MEDIAN($I186)</f>
        <v>0</v>
      </c>
      <c r="AP186" s="1">
        <f>MEDIAN($J186)</f>
        <v>0</v>
      </c>
      <c r="AQ186" s="1">
        <f>MEDIAN($K186)</f>
        <v>0</v>
      </c>
      <c r="AR186" s="1">
        <f>MEDIAN($M186)</f>
        <v>0</v>
      </c>
      <c r="AS186" s="1">
        <f>MEDIAN($N186)</f>
        <v>0</v>
      </c>
      <c r="AT186" s="1">
        <f>MEDIAN($P186)</f>
        <v>0</v>
      </c>
      <c r="AU186" s="1">
        <f>MEDIAN($Q186)</f>
        <v>0</v>
      </c>
      <c r="AV186" s="1">
        <f>MEDIAN($R186)</f>
        <v>0</v>
      </c>
      <c r="AW186" s="1">
        <f>MAX($B186)</f>
        <v>0</v>
      </c>
      <c r="AX186" s="1">
        <f>MAX($C186)</f>
        <v>0</v>
      </c>
      <c r="AY186" s="1">
        <f>MAX($D186)</f>
        <v>0</v>
      </c>
      <c r="AZ186" s="1">
        <f>MAX($E186)</f>
        <v>0</v>
      </c>
      <c r="BA186" s="1">
        <f>MAX($F186)</f>
        <v>0</v>
      </c>
      <c r="BB186" s="1">
        <f>MAX($G186)</f>
        <v>0</v>
      </c>
      <c r="BC186" s="1">
        <f>MAX($H186)</f>
        <v>0</v>
      </c>
      <c r="BD186" s="1">
        <f>MAX($I186)</f>
        <v>0</v>
      </c>
      <c r="BE186" s="1">
        <f>MAX($J186)</f>
        <v>0</v>
      </c>
      <c r="BF186" s="1">
        <f>MAX($K186)</f>
        <v>0</v>
      </c>
      <c r="BG186" s="1">
        <f>MAX($M186)</f>
        <v>0</v>
      </c>
      <c r="BH186" s="1">
        <f>MAX($N186)</f>
        <v>0</v>
      </c>
      <c r="BI186" s="1">
        <f>MAX($P186)</f>
        <v>0</v>
      </c>
      <c r="BJ186" s="1">
        <f>MAX($Q186)</f>
        <v>0</v>
      </c>
      <c r="BK186" s="1">
        <f>MAX($R186)</f>
        <v>0</v>
      </c>
    </row>
    <row r="187" spans="1:6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</row>
    <row r="188" spans="1:63">
      <c r="A188" s="1" t="s">
        <v>183</v>
      </c>
      <c r="B188" s="1">
        <f>SUM(B$3:B$186)</f>
        <v>0</v>
      </c>
      <c r="C188" s="1">
        <f>SUM(C$3:C$186)</f>
        <v>0</v>
      </c>
      <c r="D188" s="1">
        <f>SUM(D$3:D$186)</f>
        <v>0</v>
      </c>
      <c r="E188" s="1">
        <f>SUM(E$3:E$186)</f>
        <v>0</v>
      </c>
      <c r="F188" s="1">
        <f>SUM(F$3:F$186)</f>
        <v>0</v>
      </c>
      <c r="G188" s="1">
        <f>SUM(G$3:G$186)</f>
        <v>0</v>
      </c>
      <c r="H188" s="1">
        <f>SUM(H$3:H$186)</f>
        <v>0</v>
      </c>
      <c r="I188" s="1">
        <f>SUM(I$3:I$186)</f>
        <v>0</v>
      </c>
      <c r="J188" s="1">
        <f>SUM(J$3:J$186)</f>
        <v>0</v>
      </c>
      <c r="K188" s="1">
        <f>SUM(K$3:K$186)</f>
        <v>0</v>
      </c>
      <c r="L188" s="1"/>
      <c r="M188" s="1">
        <f>SUM(M$3:M$186)</f>
        <v>0</v>
      </c>
      <c r="N188" s="1">
        <f>SUM(N$3:N$186)</f>
        <v>0</v>
      </c>
      <c r="O188" s="1"/>
      <c r="P188" s="1">
        <f>SUM(P$3:P$186)</f>
        <v>0</v>
      </c>
      <c r="Q188" s="1">
        <f>SUM(Q$3:Q$186)</f>
        <v>0</v>
      </c>
      <c r="R188" s="1">
        <f>SUM(R$3:R$186)</f>
        <v>0</v>
      </c>
      <c r="S188" s="1">
        <f>SUM(S$3:S$186)</f>
        <v>0</v>
      </c>
      <c r="T188" s="1">
        <f>SUM(T$3:T$186)</f>
        <v>0</v>
      </c>
      <c r="U188" s="1">
        <f>SUM(U$3:U$186)</f>
        <v>0</v>
      </c>
      <c r="V188" s="1">
        <f>SUM(V$3:V$186)</f>
        <v>0</v>
      </c>
      <c r="W188" s="1">
        <f>SUM(W$3:W$186)</f>
        <v>0</v>
      </c>
      <c r="X188" s="1">
        <f>SUM(X$3:X$186)</f>
        <v>0</v>
      </c>
      <c r="Y188" s="1">
        <f>SUM(Y$3:Y$186)</f>
        <v>0</v>
      </c>
      <c r="Z188" s="1">
        <f>SUM(Z$3:Z$186)</f>
        <v>0</v>
      </c>
      <c r="AA188" s="1">
        <f>SUM(AA$3:AA$186)</f>
        <v>0</v>
      </c>
      <c r="AB188" s="1">
        <f>SUM(AB$3:AB$186)</f>
        <v>0</v>
      </c>
      <c r="AC188" s="1">
        <f>SUM(AC$3:AC$186)</f>
        <v>0</v>
      </c>
      <c r="AD188" s="1">
        <f>SUM(AD$3:AD$186)</f>
        <v>0</v>
      </c>
      <c r="AE188" s="1">
        <f>SUM(AE$3:AE$186)</f>
        <v>0</v>
      </c>
      <c r="AF188" s="1">
        <f>SUM(AF$3:AF$186)</f>
        <v>0</v>
      </c>
      <c r="AG188" s="1">
        <f>SUM(AG$3:AG$186)</f>
        <v>0</v>
      </c>
      <c r="AH188" s="1">
        <f>SUM(AH$3:AH$186)</f>
        <v>0</v>
      </c>
      <c r="AI188" s="1">
        <f>SUM(AI$3:AI$186)</f>
        <v>0</v>
      </c>
      <c r="AJ188" s="1">
        <f>SUM(AJ$3:AJ$186)</f>
        <v>0</v>
      </c>
      <c r="AK188" s="1">
        <f>SUM(AK$3:AK$186)</f>
        <v>0</v>
      </c>
      <c r="AL188" s="1">
        <f>SUM(AL$3:AL$186)</f>
        <v>0</v>
      </c>
      <c r="AM188" s="1">
        <f>SUM(AM$3:AM$186)</f>
        <v>0</v>
      </c>
      <c r="AN188" s="1">
        <f>SUM(AN$3:AN$186)</f>
        <v>0</v>
      </c>
      <c r="AO188" s="1">
        <f>SUM(AO$3:AO$186)</f>
        <v>0</v>
      </c>
      <c r="AP188" s="1">
        <f>SUM(AP$3:AP$186)</f>
        <v>0</v>
      </c>
      <c r="AQ188" s="1">
        <f>SUM(AQ$3:AQ$186)</f>
        <v>0</v>
      </c>
      <c r="AR188" s="1">
        <f>SUM(AR$3:AR$186)</f>
        <v>0</v>
      </c>
      <c r="AS188" s="1">
        <f>SUM(AS$3:AS$186)</f>
        <v>0</v>
      </c>
      <c r="AT188" s="1">
        <f>SUM(AT$3:AT$186)</f>
        <v>0</v>
      </c>
      <c r="AU188" s="1">
        <f>SUM(AU$3:AU$186)</f>
        <v>0</v>
      </c>
      <c r="AV188" s="1">
        <f>SUM(AV$3:AV$186)</f>
        <v>0</v>
      </c>
      <c r="AW188" s="1">
        <f>SUM(AW$3:AW$186)</f>
        <v>0</v>
      </c>
      <c r="AX188" s="1">
        <f>SUM(AX$3:AX$186)</f>
        <v>0</v>
      </c>
      <c r="AY188" s="1">
        <f>SUM(AY$3:AY$186)</f>
        <v>0</v>
      </c>
      <c r="AZ188" s="1">
        <f>SUM(AZ$3:AZ$186)</f>
        <v>0</v>
      </c>
      <c r="BA188" s="1">
        <f>SUM(BA$3:BA$186)</f>
        <v>0</v>
      </c>
      <c r="BB188" s="1">
        <f>SUM(BB$3:BB$186)</f>
        <v>0</v>
      </c>
      <c r="BC188" s="1">
        <f>SUM(BC$3:BC$186)</f>
        <v>0</v>
      </c>
      <c r="BD188" s="1">
        <f>SUM(BD$3:BD$186)</f>
        <v>0</v>
      </c>
      <c r="BE188" s="1">
        <f>SUM(BE$3:BE$186)</f>
        <v>0</v>
      </c>
      <c r="BF188" s="1">
        <f>SUM(BF$3:BF$186)</f>
        <v>0</v>
      </c>
      <c r="BG188" s="1">
        <f>SUM(BG$3:BG$186)</f>
        <v>0</v>
      </c>
      <c r="BH188" s="1">
        <f>SUM(BH$3:BH$186)</f>
        <v>0</v>
      </c>
      <c r="BI188" s="1">
        <f>SUM(BI$3:BI$186)</f>
        <v>0</v>
      </c>
      <c r="BJ188" s="1">
        <f>SUM(BJ$3:BJ$186)</f>
        <v>0</v>
      </c>
      <c r="BK188" s="1">
        <f>SUM(BK$3:BK$186)</f>
        <v>0</v>
      </c>
    </row>
    <row r="189" spans="1:63">
      <c r="A189" s="1" t="s">
        <v>184</v>
      </c>
      <c r="B189" s="1">
        <f>AVERAGE(B$3:B$186)</f>
        <v>0</v>
      </c>
      <c r="C189" s="1">
        <f>AVERAGE(C$3:C$186)</f>
        <v>0</v>
      </c>
      <c r="D189" s="1">
        <f>AVERAGE(D$3:D$186)</f>
        <v>0</v>
      </c>
      <c r="E189" s="1">
        <f>AVERAGE(E$3:E$186)</f>
        <v>0</v>
      </c>
      <c r="F189" s="1">
        <f>AVERAGE(F$3:F$186)</f>
        <v>0</v>
      </c>
      <c r="G189" s="1">
        <f>AVERAGE(G$3:G$186)</f>
        <v>0</v>
      </c>
      <c r="H189" s="1">
        <f>AVERAGE(H$3:H$186)</f>
        <v>0</v>
      </c>
      <c r="I189" s="1">
        <f>AVERAGE(I$3:I$186)</f>
        <v>0</v>
      </c>
      <c r="J189" s="1">
        <f>AVERAGE(J$3:J$186)</f>
        <v>0</v>
      </c>
      <c r="K189" s="1">
        <f>AVERAGE(K$3:K$186)</f>
        <v>0</v>
      </c>
      <c r="L189" s="1"/>
      <c r="M189" s="1">
        <f>AVERAGE(M$3:M$186)</f>
        <v>0</v>
      </c>
      <c r="N189" s="1">
        <f>AVERAGE(N$3:N$186)</f>
        <v>0</v>
      </c>
      <c r="O189" s="1"/>
      <c r="P189" s="1">
        <f>AVERAGE(P$3:P$186)</f>
        <v>0</v>
      </c>
      <c r="Q189" s="1">
        <f>AVERAGE(Q$3:Q$186)</f>
        <v>0</v>
      </c>
      <c r="R189" s="1">
        <f>AVERAGE(R$3:R$186)</f>
        <v>0</v>
      </c>
      <c r="S189" s="1">
        <f>AVERAGE(S$3:S$186)</f>
        <v>0</v>
      </c>
      <c r="T189" s="1">
        <f>AVERAGE(T$3:T$186)</f>
        <v>0</v>
      </c>
      <c r="U189" s="1">
        <f>AVERAGE(U$3:U$186)</f>
        <v>0</v>
      </c>
      <c r="V189" s="1">
        <f>AVERAGE(V$3:V$186)</f>
        <v>0</v>
      </c>
      <c r="W189" s="1">
        <f>AVERAGE(W$3:W$186)</f>
        <v>0</v>
      </c>
      <c r="X189" s="1">
        <f>AVERAGE(X$3:X$186)</f>
        <v>0</v>
      </c>
      <c r="Y189" s="1">
        <f>AVERAGE(Y$3:Y$186)</f>
        <v>0</v>
      </c>
      <c r="Z189" s="1">
        <f>AVERAGE(Z$3:Z$186)</f>
        <v>0</v>
      </c>
      <c r="AA189" s="1">
        <f>AVERAGE(AA$3:AA$186)</f>
        <v>0</v>
      </c>
      <c r="AB189" s="1">
        <f>AVERAGE(AB$3:AB$186)</f>
        <v>0</v>
      </c>
      <c r="AC189" s="1">
        <f>AVERAGE(AC$3:AC$186)</f>
        <v>0</v>
      </c>
      <c r="AD189" s="1">
        <f>AVERAGE(AD$3:AD$186)</f>
        <v>0</v>
      </c>
      <c r="AE189" s="1">
        <f>AVERAGE(AE$3:AE$186)</f>
        <v>0</v>
      </c>
      <c r="AF189" s="1">
        <f>AVERAGE(AF$3:AF$186)</f>
        <v>0</v>
      </c>
      <c r="AG189" s="1">
        <f>AVERAGE(AG$3:AG$186)</f>
        <v>0</v>
      </c>
      <c r="AH189" s="1">
        <f>AVERAGE(AH$3:AH$186)</f>
        <v>0</v>
      </c>
      <c r="AI189" s="1">
        <f>AVERAGE(AI$3:AI$186)</f>
        <v>0</v>
      </c>
      <c r="AJ189" s="1">
        <f>AVERAGE(AJ$3:AJ$186)</f>
        <v>0</v>
      </c>
      <c r="AK189" s="1">
        <f>AVERAGE(AK$3:AK$186)</f>
        <v>0</v>
      </c>
      <c r="AL189" s="1">
        <f>AVERAGE(AL$3:AL$186)</f>
        <v>0</v>
      </c>
      <c r="AM189" s="1">
        <f>AVERAGE(AM$3:AM$186)</f>
        <v>0</v>
      </c>
      <c r="AN189" s="1">
        <f>AVERAGE(AN$3:AN$186)</f>
        <v>0</v>
      </c>
      <c r="AO189" s="1">
        <f>AVERAGE(AO$3:AO$186)</f>
        <v>0</v>
      </c>
      <c r="AP189" s="1">
        <f>AVERAGE(AP$3:AP$186)</f>
        <v>0</v>
      </c>
      <c r="AQ189" s="1">
        <f>AVERAGE(AQ$3:AQ$186)</f>
        <v>0</v>
      </c>
      <c r="AR189" s="1">
        <f>AVERAGE(AR$3:AR$186)</f>
        <v>0</v>
      </c>
      <c r="AS189" s="1">
        <f>AVERAGE(AS$3:AS$186)</f>
        <v>0</v>
      </c>
      <c r="AT189" s="1">
        <f>AVERAGE(AT$3:AT$186)</f>
        <v>0</v>
      </c>
      <c r="AU189" s="1">
        <f>AVERAGE(AU$3:AU$186)</f>
        <v>0</v>
      </c>
      <c r="AV189" s="1">
        <f>AVERAGE(AV$3:AV$186)</f>
        <v>0</v>
      </c>
      <c r="AW189" s="1">
        <f>AVERAGE(AW$3:AW$186)</f>
        <v>0</v>
      </c>
      <c r="AX189" s="1">
        <f>AVERAGE(AX$3:AX$186)</f>
        <v>0</v>
      </c>
      <c r="AY189" s="1">
        <f>AVERAGE(AY$3:AY$186)</f>
        <v>0</v>
      </c>
      <c r="AZ189" s="1">
        <f>AVERAGE(AZ$3:AZ$186)</f>
        <v>0</v>
      </c>
      <c r="BA189" s="1">
        <f>AVERAGE(BA$3:BA$186)</f>
        <v>0</v>
      </c>
      <c r="BB189" s="1">
        <f>AVERAGE(BB$3:BB$186)</f>
        <v>0</v>
      </c>
      <c r="BC189" s="1">
        <f>AVERAGE(BC$3:BC$186)</f>
        <v>0</v>
      </c>
      <c r="BD189" s="1">
        <f>AVERAGE(BD$3:BD$186)</f>
        <v>0</v>
      </c>
      <c r="BE189" s="1">
        <f>AVERAGE(BE$3:BE$186)</f>
        <v>0</v>
      </c>
      <c r="BF189" s="1">
        <f>AVERAGE(BF$3:BF$186)</f>
        <v>0</v>
      </c>
      <c r="BG189" s="1">
        <f>AVERAGE(BG$3:BG$186)</f>
        <v>0</v>
      </c>
      <c r="BH189" s="1">
        <f>AVERAGE(BH$3:BH$186)</f>
        <v>0</v>
      </c>
      <c r="BI189" s="1">
        <f>AVERAGE(BI$3:BI$186)</f>
        <v>0</v>
      </c>
      <c r="BJ189" s="1">
        <f>AVERAGE(BJ$3:BJ$186)</f>
        <v>0</v>
      </c>
      <c r="BK189" s="1">
        <f>AVERAGE(BK$3:BK$186)</f>
        <v>0</v>
      </c>
    </row>
    <row r="190" spans="1:63">
      <c r="A190" s="1" t="s">
        <v>185</v>
      </c>
      <c r="B190" s="1">
        <f>STDEV(B$3:B$186)</f>
        <v>0</v>
      </c>
      <c r="C190" s="1">
        <f>STDEV(C$3:C$186)</f>
        <v>0</v>
      </c>
      <c r="D190" s="1">
        <f>STDEV(D$3:D$186)</f>
        <v>0</v>
      </c>
      <c r="E190" s="1">
        <f>STDEV(E$3:E$186)</f>
        <v>0</v>
      </c>
      <c r="F190" s="1">
        <f>STDEV(F$3:F$186)</f>
        <v>0</v>
      </c>
      <c r="G190" s="1">
        <f>STDEV(G$3:G$186)</f>
        <v>0</v>
      </c>
      <c r="H190" s="1">
        <f>STDEV(H$3:H$186)</f>
        <v>0</v>
      </c>
      <c r="I190" s="1">
        <f>STDEV(I$3:I$186)</f>
        <v>0</v>
      </c>
      <c r="J190" s="1">
        <f>STDEV(J$3:J$186)</f>
        <v>0</v>
      </c>
      <c r="K190" s="1">
        <f>STDEV(K$3:K$186)</f>
        <v>0</v>
      </c>
      <c r="L190" s="1"/>
      <c r="M190" s="1">
        <f>STDEV(M$3:M$186)</f>
        <v>0</v>
      </c>
      <c r="N190" s="1">
        <f>STDEV(N$3:N$186)</f>
        <v>0</v>
      </c>
      <c r="O190" s="1"/>
      <c r="P190" s="1">
        <f>STDEV(P$3:P$186)</f>
        <v>0</v>
      </c>
      <c r="Q190" s="1">
        <f>STDEV(Q$3:Q$186)</f>
        <v>0</v>
      </c>
      <c r="R190" s="1">
        <f>STDEV(R$3:R$186)</f>
        <v>0</v>
      </c>
      <c r="S190" s="1">
        <f>STDEV(S$3:S$186)</f>
        <v>0</v>
      </c>
      <c r="T190" s="1">
        <f>STDEV(T$3:T$186)</f>
        <v>0</v>
      </c>
      <c r="U190" s="1">
        <f>STDEV(U$3:U$186)</f>
        <v>0</v>
      </c>
      <c r="V190" s="1">
        <f>STDEV(V$3:V$186)</f>
        <v>0</v>
      </c>
      <c r="W190" s="1">
        <f>STDEV(W$3:W$186)</f>
        <v>0</v>
      </c>
      <c r="X190" s="1">
        <f>STDEV(X$3:X$186)</f>
        <v>0</v>
      </c>
      <c r="Y190" s="1">
        <f>STDEV(Y$3:Y$186)</f>
        <v>0</v>
      </c>
      <c r="Z190" s="1">
        <f>STDEV(Z$3:Z$186)</f>
        <v>0</v>
      </c>
      <c r="AA190" s="1">
        <f>STDEV(AA$3:AA$186)</f>
        <v>0</v>
      </c>
      <c r="AB190" s="1">
        <f>STDEV(AB$3:AB$186)</f>
        <v>0</v>
      </c>
      <c r="AC190" s="1">
        <f>STDEV(AC$3:AC$186)</f>
        <v>0</v>
      </c>
      <c r="AD190" s="1">
        <f>STDEV(AD$3:AD$186)</f>
        <v>0</v>
      </c>
      <c r="AE190" s="1">
        <f>STDEV(AE$3:AE$186)</f>
        <v>0</v>
      </c>
      <c r="AF190" s="1">
        <f>STDEV(AF$3:AF$186)</f>
        <v>0</v>
      </c>
      <c r="AG190" s="1">
        <f>STDEV(AG$3:AG$186)</f>
        <v>0</v>
      </c>
      <c r="AH190" s="1">
        <f>STDEV(AH$3:AH$186)</f>
        <v>0</v>
      </c>
      <c r="AI190" s="1">
        <f>STDEV(AI$3:AI$186)</f>
        <v>0</v>
      </c>
      <c r="AJ190" s="1">
        <f>STDEV(AJ$3:AJ$186)</f>
        <v>0</v>
      </c>
      <c r="AK190" s="1">
        <f>STDEV(AK$3:AK$186)</f>
        <v>0</v>
      </c>
      <c r="AL190" s="1">
        <f>STDEV(AL$3:AL$186)</f>
        <v>0</v>
      </c>
      <c r="AM190" s="1">
        <f>STDEV(AM$3:AM$186)</f>
        <v>0</v>
      </c>
      <c r="AN190" s="1">
        <f>STDEV(AN$3:AN$186)</f>
        <v>0</v>
      </c>
      <c r="AO190" s="1">
        <f>STDEV(AO$3:AO$186)</f>
        <v>0</v>
      </c>
      <c r="AP190" s="1">
        <f>STDEV(AP$3:AP$186)</f>
        <v>0</v>
      </c>
      <c r="AQ190" s="1">
        <f>STDEV(AQ$3:AQ$186)</f>
        <v>0</v>
      </c>
      <c r="AR190" s="1">
        <f>STDEV(AR$3:AR$186)</f>
        <v>0</v>
      </c>
      <c r="AS190" s="1">
        <f>STDEV(AS$3:AS$186)</f>
        <v>0</v>
      </c>
      <c r="AT190" s="1">
        <f>STDEV(AT$3:AT$186)</f>
        <v>0</v>
      </c>
      <c r="AU190" s="1">
        <f>STDEV(AU$3:AU$186)</f>
        <v>0</v>
      </c>
      <c r="AV190" s="1">
        <f>STDEV(AV$3:AV$186)</f>
        <v>0</v>
      </c>
      <c r="AW190" s="1">
        <f>STDEV(AW$3:AW$186)</f>
        <v>0</v>
      </c>
      <c r="AX190" s="1">
        <f>STDEV(AX$3:AX$186)</f>
        <v>0</v>
      </c>
      <c r="AY190" s="1">
        <f>STDEV(AY$3:AY$186)</f>
        <v>0</v>
      </c>
      <c r="AZ190" s="1">
        <f>STDEV(AZ$3:AZ$186)</f>
        <v>0</v>
      </c>
      <c r="BA190" s="1">
        <f>STDEV(BA$3:BA$186)</f>
        <v>0</v>
      </c>
      <c r="BB190" s="1">
        <f>STDEV(BB$3:BB$186)</f>
        <v>0</v>
      </c>
      <c r="BC190" s="1">
        <f>STDEV(BC$3:BC$186)</f>
        <v>0</v>
      </c>
      <c r="BD190" s="1">
        <f>STDEV(BD$3:BD$186)</f>
        <v>0</v>
      </c>
      <c r="BE190" s="1">
        <f>STDEV(BE$3:BE$186)</f>
        <v>0</v>
      </c>
      <c r="BF190" s="1">
        <f>STDEV(BF$3:BF$186)</f>
        <v>0</v>
      </c>
      <c r="BG190" s="1">
        <f>STDEV(BG$3:BG$186)</f>
        <v>0</v>
      </c>
      <c r="BH190" s="1">
        <f>STDEV(BH$3:BH$186)</f>
        <v>0</v>
      </c>
      <c r="BI190" s="1">
        <f>STDEV(BI$3:BI$186)</f>
        <v>0</v>
      </c>
      <c r="BJ190" s="1">
        <f>STDEV(BJ$3:BJ$186)</f>
        <v>0</v>
      </c>
      <c r="BK190" s="1">
        <f>STDEV(BK$3:BK$186)</f>
        <v>0</v>
      </c>
    </row>
    <row r="191" spans="1:63">
      <c r="A191" s="1" t="s">
        <v>186</v>
      </c>
      <c r="B191" s="1">
        <f>SUMPRODUCT(--(B$3:B$186-$S$3:$S$186)^2)^0.5</f>
        <v>0</v>
      </c>
      <c r="C191" s="1">
        <f>SUMPRODUCT(--(C$3:C$186-$T$3:$T$186)^2)^0.5</f>
        <v>0</v>
      </c>
      <c r="D191" s="1">
        <f>SUMPRODUCT(--(D$3:D$186-$U$3:$U$186)^2)^0.5</f>
        <v>0</v>
      </c>
      <c r="E191" s="1">
        <f>SUMPRODUCT(--(E$3:E$186-$V$3:$V$186)^2)^0.5</f>
        <v>0</v>
      </c>
      <c r="F191" s="1">
        <f>SUMPRODUCT(--(F$3:F$186-$W$3:$W$186)^2)^0.5</f>
        <v>0</v>
      </c>
      <c r="G191" s="1">
        <f>SUMPRODUCT(--(G$3:G$186-$X$3:$X$186)^2)^0.5</f>
        <v>0</v>
      </c>
      <c r="H191" s="1">
        <f>SUMPRODUCT(--(H$3:H$186-$Y$3:$Y$186)^2)^0.5</f>
        <v>0</v>
      </c>
      <c r="I191" s="1">
        <f>SUMPRODUCT(--(I$3:I$186-$Z$3:$Z$186)^2)^0.5</f>
        <v>0</v>
      </c>
      <c r="J191" s="1">
        <f>SUMPRODUCT(--(J$3:J$186-$AA$3:$AA$186)^2)^0.5</f>
        <v>0</v>
      </c>
      <c r="K191" s="1">
        <f>SUMPRODUCT(--(K$3:K$186-$AB$3:$AB$186)^2)^0.5</f>
        <v>0</v>
      </c>
      <c r="L191" s="1"/>
      <c r="M191" s="1">
        <f>SUMPRODUCT(--(M$3:M$186-$AC$3:$AC$186)^2)^0.5</f>
        <v>0</v>
      </c>
      <c r="N191" s="1">
        <f>SUMPRODUCT(--(N$3:N$186-$AD$3:$AD$186)^2)^0.5</f>
        <v>0</v>
      </c>
      <c r="O191" s="1"/>
      <c r="P191" s="1">
        <f>SUMPRODUCT(--(P$3:P$186-$AE$3:$AE$186)^2)^0.5</f>
        <v>0</v>
      </c>
      <c r="Q191" s="1">
        <f>SUMPRODUCT(--(Q$3:Q$186-$AF$3:$AF$186)^2)^0.5</f>
        <v>0</v>
      </c>
      <c r="R191" s="1">
        <f>SUMPRODUCT(--(R$3:R$186-$AG$3:$AG$186)^2)^0.5</f>
        <v>0</v>
      </c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</row>
    <row r="192" spans="1:63">
      <c r="A192" s="1" t="s">
        <v>187</v>
      </c>
      <c r="B192" s="1">
        <f>SUMPRODUCT(NOT(ISBLANK(B$3:B$186))*(B$3:B$186=$S$3:$S$186))</f>
        <v>0</v>
      </c>
      <c r="C192" s="1">
        <f>SUMPRODUCT(NOT(ISBLANK(C$3:C$186))*(C$3:C$186=$T$3:$T$186))</f>
        <v>0</v>
      </c>
      <c r="D192" s="1">
        <f>SUMPRODUCT(NOT(ISBLANK(D$3:D$186))*(D$3:D$186=$U$3:$U$186))</f>
        <v>0</v>
      </c>
      <c r="E192" s="1">
        <f>SUMPRODUCT(NOT(ISBLANK(E$3:E$186))*(E$3:E$186=$V$3:$V$186))</f>
        <v>0</v>
      </c>
      <c r="F192" s="1">
        <f>SUMPRODUCT(NOT(ISBLANK(F$3:F$186))*(F$3:F$186=$W$3:$W$186))</f>
        <v>0</v>
      </c>
      <c r="G192" s="1">
        <f>SUMPRODUCT(NOT(ISBLANK(G$3:G$186))*(G$3:G$186=$X$3:$X$186))</f>
        <v>0</v>
      </c>
      <c r="H192" s="1">
        <f>SUMPRODUCT(NOT(ISBLANK(H$3:H$186))*(H$3:H$186=$Y$3:$Y$186))</f>
        <v>0</v>
      </c>
      <c r="I192" s="1">
        <f>SUMPRODUCT(NOT(ISBLANK(I$3:I$186))*(I$3:I$186=$Z$3:$Z$186))</f>
        <v>0</v>
      </c>
      <c r="J192" s="1">
        <f>SUMPRODUCT(NOT(ISBLANK(J$3:J$186))*(J$3:J$186=$AA$3:$AA$186))</f>
        <v>0</v>
      </c>
      <c r="K192" s="1">
        <f>SUMPRODUCT(NOT(ISBLANK(K$3:K$186))*(K$3:K$186=$AB$3:$AB$186))</f>
        <v>0</v>
      </c>
      <c r="L192" s="1"/>
      <c r="M192" s="1">
        <f>SUMPRODUCT(NOT(ISBLANK(M$3:M$186))*(M$3:M$186=$AC$3:$AC$186))</f>
        <v>0</v>
      </c>
      <c r="N192" s="1">
        <f>SUMPRODUCT(NOT(ISBLANK(N$3:N$186))*(N$3:N$186=$AD$3:$AD$186))</f>
        <v>0</v>
      </c>
      <c r="O192" s="1"/>
      <c r="P192" s="1">
        <f>SUMPRODUCT(NOT(ISBLANK(P$3:P$186))*(P$3:P$186=$AE$3:$AE$186))</f>
        <v>0</v>
      </c>
      <c r="Q192" s="1">
        <f>SUMPRODUCT(NOT(ISBLANK(Q$3:Q$186))*(Q$3:Q$186=$AF$3:$AF$186))</f>
        <v>0</v>
      </c>
      <c r="R192" s="1">
        <f>SUMPRODUCT(NOT(ISBLANK(R$3:R$186))*(R$3:R$186=$AG$3:$AG$186))</f>
        <v>0</v>
      </c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</row>
    <row r="193" spans="1:63">
      <c r="A193" s="1" t="s">
        <v>188</v>
      </c>
      <c r="B193" s="1">
        <f>SUMPRODUCT(NOT(ISBLANK(B$3:B$186))*(B$3:B$186&lt;$AH$3:$AH$186))</f>
        <v>0</v>
      </c>
      <c r="C193" s="1">
        <f>SUMPRODUCT(NOT(ISBLANK(C$3:C$186))*(C$3:C$186&lt;$AI$3:$AI$186))</f>
        <v>0</v>
      </c>
      <c r="D193" s="1">
        <f>SUMPRODUCT(NOT(ISBLANK(D$3:D$186))*(D$3:D$186&lt;$AJ$3:$AJ$186))</f>
        <v>0</v>
      </c>
      <c r="E193" s="1">
        <f>SUMPRODUCT(NOT(ISBLANK(E$3:E$186))*(E$3:E$186&lt;$AK$3:$AK$186))</f>
        <v>0</v>
      </c>
      <c r="F193" s="1">
        <f>SUMPRODUCT(NOT(ISBLANK(F$3:F$186))*(F$3:F$186&lt;$AL$3:$AL$186))</f>
        <v>0</v>
      </c>
      <c r="G193" s="1">
        <f>SUMPRODUCT(NOT(ISBLANK(G$3:G$186))*(G$3:G$186&lt;$AM$3:$AM$186))</f>
        <v>0</v>
      </c>
      <c r="H193" s="1">
        <f>SUMPRODUCT(NOT(ISBLANK(H$3:H$186))*(H$3:H$186&lt;$AN$3:$AN$186))</f>
        <v>0</v>
      </c>
      <c r="I193" s="1">
        <f>SUMPRODUCT(NOT(ISBLANK(I$3:I$186))*(I$3:I$186&lt;$AO$3:$AO$186))</f>
        <v>0</v>
      </c>
      <c r="J193" s="1">
        <f>SUMPRODUCT(NOT(ISBLANK(J$3:J$186))*(J$3:J$186&lt;$AP$3:$AP$186))</f>
        <v>0</v>
      </c>
      <c r="K193" s="1">
        <f>SUMPRODUCT(NOT(ISBLANK(K$3:K$186))*(K$3:K$186&lt;$AQ$3:$AQ$186))</f>
        <v>0</v>
      </c>
      <c r="L193" s="1"/>
      <c r="M193" s="1">
        <f>SUMPRODUCT(NOT(ISBLANK(M$3:M$186))*(M$3:M$186&lt;$AR$3:$AR$186))</f>
        <v>0</v>
      </c>
      <c r="N193" s="1">
        <f>SUMPRODUCT(NOT(ISBLANK(N$3:N$186))*(N$3:N$186&lt;$AS$3:$AS$186))</f>
        <v>0</v>
      </c>
      <c r="O193" s="1"/>
      <c r="P193" s="1">
        <f>SUMPRODUCT(NOT(ISBLANK(P$3:P$186))*(P$3:P$186&lt;$AT$3:$AT$186))</f>
        <v>0</v>
      </c>
      <c r="Q193" s="1">
        <f>SUMPRODUCT(NOT(ISBLANK(Q$3:Q$186))*(Q$3:Q$186&lt;$AU$3:$AU$186))</f>
        <v>0</v>
      </c>
      <c r="R193" s="1">
        <f>SUMPRODUCT(NOT(ISBLANK(R$3:R$186))*(R$3:R$186&lt;$AV$3:$AV$186))</f>
        <v>0</v>
      </c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</row>
    <row r="194" spans="1:63">
      <c r="A194" s="1" t="s">
        <v>189</v>
      </c>
      <c r="B194" s="1">
        <f>SUMPRODUCT((NOT(ISBLANK(B$3:B$186))*(B$3:B$186&gt;$AH$3:$AH$186))+ISBLANK(B$3:B$186))</f>
        <v>0</v>
      </c>
      <c r="C194" s="1">
        <f>SUMPRODUCT((NOT(ISBLANK(C$3:C$186))*(C$3:C$186&gt;$AI$3:$AI$186))+ISBLANK(C$3:C$186))</f>
        <v>0</v>
      </c>
      <c r="D194" s="1">
        <f>SUMPRODUCT((NOT(ISBLANK(D$3:D$186))*(D$3:D$186&gt;$AJ$3:$AJ$186))+ISBLANK(D$3:D$186))</f>
        <v>0</v>
      </c>
      <c r="E194" s="1">
        <f>SUMPRODUCT((NOT(ISBLANK(E$3:E$186))*(E$3:E$186&gt;$AK$3:$AK$186))+ISBLANK(E$3:E$186))</f>
        <v>0</v>
      </c>
      <c r="F194" s="1">
        <f>SUMPRODUCT((NOT(ISBLANK(F$3:F$186))*(F$3:F$186&gt;$AL$3:$AL$186))+ISBLANK(F$3:F$186))</f>
        <v>0</v>
      </c>
      <c r="G194" s="1">
        <f>SUMPRODUCT((NOT(ISBLANK(G$3:G$186))*(G$3:G$186&gt;$AM$3:$AM$186))+ISBLANK(G$3:G$186))</f>
        <v>0</v>
      </c>
      <c r="H194" s="1">
        <f>SUMPRODUCT((NOT(ISBLANK(H$3:H$186))*(H$3:H$186&gt;$AN$3:$AN$186))+ISBLANK(H$3:H$186))</f>
        <v>0</v>
      </c>
      <c r="I194" s="1">
        <f>SUMPRODUCT((NOT(ISBLANK(I$3:I$186))*(I$3:I$186&gt;$AO$3:$AO$186))+ISBLANK(I$3:I$186))</f>
        <v>0</v>
      </c>
      <c r="J194" s="1">
        <f>SUMPRODUCT((NOT(ISBLANK(J$3:J$186))*(J$3:J$186&gt;$AP$3:$AP$186))+ISBLANK(J$3:J$186))</f>
        <v>0</v>
      </c>
      <c r="K194" s="1">
        <f>SUMPRODUCT((NOT(ISBLANK(K$3:K$186))*(K$3:K$186&gt;$AQ$3:$AQ$186))+ISBLANK(K$3:K$186))</f>
        <v>0</v>
      </c>
      <c r="L194" s="1"/>
      <c r="M194" s="1">
        <f>SUMPRODUCT((NOT(ISBLANK(M$3:M$186))*(M$3:M$186&gt;$AR$3:$AR$186))+ISBLANK(M$3:M$186))</f>
        <v>0</v>
      </c>
      <c r="N194" s="1">
        <f>SUMPRODUCT((NOT(ISBLANK(N$3:N$186))*(N$3:N$186&gt;$AS$3:$AS$186))+ISBLANK(N$3:N$186))</f>
        <v>0</v>
      </c>
      <c r="O194" s="1"/>
      <c r="P194" s="1">
        <f>SUMPRODUCT((NOT(ISBLANK(P$3:P$186))*(P$3:P$186&gt;$AT$3:$AT$186))+ISBLANK(P$3:P$186))</f>
        <v>0</v>
      </c>
      <c r="Q194" s="1">
        <f>SUMPRODUCT((NOT(ISBLANK(Q$3:Q$186))*(Q$3:Q$186&gt;$AU$3:$AU$186))+ISBLANK(Q$3:Q$186))</f>
        <v>0</v>
      </c>
      <c r="R194" s="1">
        <f>SUMPRODUCT((NOT(ISBLANK(R$3:R$186))*(R$3:R$186&gt;$AV$3:$AV$186))+ISBLANK(R$3:R$186))</f>
        <v>0</v>
      </c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</row>
    <row r="195" spans="1:63">
      <c r="A195" s="1" t="s">
        <v>190</v>
      </c>
      <c r="B195" s="1">
        <f>SUMPRODUCT((NOT(ISBLANK(B$3:B$186))*(B$3:B$186=$AW$3:$AW$186))+ISBLANK(B$3:B$186))</f>
        <v>0</v>
      </c>
      <c r="C195" s="1">
        <f>SUMPRODUCT((NOT(ISBLANK(C$3:C$186))*(C$3:C$186=$AX$3:$AX$186))+ISBLANK(C$3:C$186))</f>
        <v>0</v>
      </c>
      <c r="D195" s="1">
        <f>SUMPRODUCT((NOT(ISBLANK(D$3:D$186))*(D$3:D$186=$AY$3:$AY$186))+ISBLANK(D$3:D$186))</f>
        <v>0</v>
      </c>
      <c r="E195" s="1">
        <f>SUMPRODUCT((NOT(ISBLANK(E$3:E$186))*(E$3:E$186=$AZ$3:$AZ$186))+ISBLANK(E$3:E$186))</f>
        <v>0</v>
      </c>
      <c r="F195" s="1">
        <f>SUMPRODUCT((NOT(ISBLANK(F$3:F$186))*(F$3:F$186=$BA$3:$BA$186))+ISBLANK(F$3:F$186))</f>
        <v>0</v>
      </c>
      <c r="G195" s="1">
        <f>SUMPRODUCT((NOT(ISBLANK(G$3:G$186))*(G$3:G$186=$BB$3:$BB$186))+ISBLANK(G$3:G$186))</f>
        <v>0</v>
      </c>
      <c r="H195" s="1">
        <f>SUMPRODUCT((NOT(ISBLANK(H$3:H$186))*(H$3:H$186=$BC$3:$BC$186))+ISBLANK(H$3:H$186))</f>
        <v>0</v>
      </c>
      <c r="I195" s="1">
        <f>SUMPRODUCT((NOT(ISBLANK(I$3:I$186))*(I$3:I$186=$BD$3:$BD$186))+ISBLANK(I$3:I$186))</f>
        <v>0</v>
      </c>
      <c r="J195" s="1">
        <f>SUMPRODUCT((NOT(ISBLANK(J$3:J$186))*(J$3:J$186=$BE$3:$BE$186))+ISBLANK(J$3:J$186))</f>
        <v>0</v>
      </c>
      <c r="K195" s="1">
        <f>SUMPRODUCT((NOT(ISBLANK(K$3:K$186))*(K$3:K$186=$BF$3:$BF$186))+ISBLANK(K$3:K$186))</f>
        <v>0</v>
      </c>
      <c r="L195" s="1"/>
      <c r="M195" s="1">
        <f>SUMPRODUCT((NOT(ISBLANK(M$3:M$186))*(M$3:M$186=$BG$3:$BG$186))+ISBLANK(M$3:M$186))</f>
        <v>0</v>
      </c>
      <c r="N195" s="1">
        <f>SUMPRODUCT((NOT(ISBLANK(N$3:N$186))*(N$3:N$186=$BH$3:$BH$186))+ISBLANK(N$3:N$186))</f>
        <v>0</v>
      </c>
      <c r="O195" s="1"/>
      <c r="P195" s="1">
        <f>SUMPRODUCT((NOT(ISBLANK(P$3:P$186))*(P$3:P$186=$BI$3:$BI$186))+ISBLANK(P$3:P$186))</f>
        <v>0</v>
      </c>
      <c r="Q195" s="1">
        <f>SUMPRODUCT((NOT(ISBLANK(Q$3:Q$186))*(Q$3:Q$186=$BJ$3:$BJ$186))+ISBLANK(Q$3:Q$186))</f>
        <v>0</v>
      </c>
      <c r="R195" s="1">
        <f>SUMPRODUCT((NOT(ISBLANK(R$3:R$186))*(R$3:R$186=$BK$3:$BK$186))+ISBLANK(R$3:R$186))</f>
        <v>0</v>
      </c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K1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8" width="11.42578125" customWidth="1"/>
    <col min="9" max="9" width="12" customWidth="1"/>
    <col min="10" max="13" width="11.42578125" customWidth="1"/>
    <col min="14" max="14" width="12.140625" customWidth="1"/>
    <col min="15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/>
      <c r="B1" s="1" t="s">
        <v>191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214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215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216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1"/>
      <c r="B2" s="1" t="s">
        <v>192</v>
      </c>
      <c r="C2" s="1" t="s">
        <v>193</v>
      </c>
      <c r="D2" s="1" t="s">
        <v>194</v>
      </c>
      <c r="E2" s="1" t="s">
        <v>195</v>
      </c>
      <c r="F2" s="1" t="s">
        <v>196</v>
      </c>
      <c r="G2" s="1" t="s">
        <v>197</v>
      </c>
      <c r="H2" s="1" t="s">
        <v>198</v>
      </c>
      <c r="I2" s="1" t="s">
        <v>199</v>
      </c>
      <c r="J2" s="1" t="s">
        <v>200</v>
      </c>
      <c r="K2" s="1" t="s">
        <v>201</v>
      </c>
      <c r="L2" s="1" t="s">
        <v>202</v>
      </c>
      <c r="M2" s="1" t="s">
        <v>206</v>
      </c>
      <c r="N2" s="1" t="s">
        <v>207</v>
      </c>
      <c r="O2" s="1" t="s">
        <v>208</v>
      </c>
      <c r="P2" s="1" t="s">
        <v>211</v>
      </c>
      <c r="Q2" s="1" t="s">
        <v>212</v>
      </c>
      <c r="R2" s="1" t="s">
        <v>213</v>
      </c>
      <c r="S2" s="1" t="s">
        <v>192</v>
      </c>
      <c r="T2" s="1" t="s">
        <v>193</v>
      </c>
      <c r="U2" s="1" t="s">
        <v>194</v>
      </c>
      <c r="V2" s="1" t="s">
        <v>195</v>
      </c>
      <c r="W2" s="1" t="s">
        <v>196</v>
      </c>
      <c r="X2" s="1" t="s">
        <v>197</v>
      </c>
      <c r="Y2" s="1" t="s">
        <v>198</v>
      </c>
      <c r="Z2" s="1" t="s">
        <v>199</v>
      </c>
      <c r="AA2" s="1" t="s">
        <v>200</v>
      </c>
      <c r="AB2" s="1" t="s">
        <v>201</v>
      </c>
      <c r="AC2" s="1" t="s">
        <v>206</v>
      </c>
      <c r="AD2" s="1" t="s">
        <v>207</v>
      </c>
      <c r="AE2" s="1" t="s">
        <v>211</v>
      </c>
      <c r="AF2" s="1" t="s">
        <v>212</v>
      </c>
      <c r="AG2" s="1" t="s">
        <v>213</v>
      </c>
      <c r="AH2" s="1" t="s">
        <v>192</v>
      </c>
      <c r="AI2" s="1" t="s">
        <v>193</v>
      </c>
      <c r="AJ2" s="1" t="s">
        <v>194</v>
      </c>
      <c r="AK2" s="1" t="s">
        <v>195</v>
      </c>
      <c r="AL2" s="1" t="s">
        <v>196</v>
      </c>
      <c r="AM2" s="1" t="s">
        <v>197</v>
      </c>
      <c r="AN2" s="1" t="s">
        <v>198</v>
      </c>
      <c r="AO2" s="1" t="s">
        <v>199</v>
      </c>
      <c r="AP2" s="1" t="s">
        <v>200</v>
      </c>
      <c r="AQ2" s="1" t="s">
        <v>201</v>
      </c>
      <c r="AR2" s="1" t="s">
        <v>206</v>
      </c>
      <c r="AS2" s="1" t="s">
        <v>207</v>
      </c>
      <c r="AT2" s="1" t="s">
        <v>211</v>
      </c>
      <c r="AU2" s="1" t="s">
        <v>212</v>
      </c>
      <c r="AV2" s="1" t="s">
        <v>213</v>
      </c>
      <c r="AW2" s="1" t="s">
        <v>192</v>
      </c>
      <c r="AX2" s="1" t="s">
        <v>193</v>
      </c>
      <c r="AY2" s="1" t="s">
        <v>194</v>
      </c>
      <c r="AZ2" s="1" t="s">
        <v>195</v>
      </c>
      <c r="BA2" s="1" t="s">
        <v>196</v>
      </c>
      <c r="BB2" s="1" t="s">
        <v>197</v>
      </c>
      <c r="BC2" s="1" t="s">
        <v>198</v>
      </c>
      <c r="BD2" s="1" t="s">
        <v>199</v>
      </c>
      <c r="BE2" s="1" t="s">
        <v>200</v>
      </c>
      <c r="BF2" s="1" t="s">
        <v>201</v>
      </c>
      <c r="BG2" s="1" t="s">
        <v>206</v>
      </c>
      <c r="BH2" s="1" t="s">
        <v>207</v>
      </c>
      <c r="BI2" s="1" t="s">
        <v>211</v>
      </c>
      <c r="BJ2" s="1" t="s">
        <v>212</v>
      </c>
      <c r="BK2" s="1" t="s">
        <v>213</v>
      </c>
    </row>
    <row r="3" spans="1:63">
      <c r="A3" s="1" t="s">
        <v>218</v>
      </c>
      <c r="B3" s="1">
        <f>AVERAGE(Instances!B3:Instances!B94)</f>
        <v>0</v>
      </c>
      <c r="C3" s="1">
        <f>AVERAGE(Instances!C3:Instances!C94)</f>
        <v>0</v>
      </c>
      <c r="D3" s="1">
        <f>AVERAGE(Instances!D3:Instances!D94)</f>
        <v>0</v>
      </c>
      <c r="E3" s="1">
        <f>AVERAGE(Instances!E3:Instances!E94)</f>
        <v>0</v>
      </c>
      <c r="F3" s="1">
        <f>AVERAGE(Instances!F3:Instances!F94)</f>
        <v>0</v>
      </c>
      <c r="G3" s="1">
        <f>AVERAGE(Instances!G3:Instances!G94)</f>
        <v>0</v>
      </c>
      <c r="H3" s="1">
        <f>AVERAGE(Instances!H3:Instances!H94)</f>
        <v>0</v>
      </c>
      <c r="I3" s="1">
        <f>AVERAGE(Instances!I3:Instances!I94)</f>
        <v>0</v>
      </c>
      <c r="J3" s="1">
        <f>AVERAGE(Instances!J3:Instances!J94)</f>
        <v>0</v>
      </c>
      <c r="K3" s="1">
        <f>AVERAGE(Instances!K3:Instances!K94)</f>
        <v>0</v>
      </c>
      <c r="L3" s="1"/>
      <c r="M3" s="1">
        <f>AVERAGE(Instances!M3:Instances!M94)</f>
        <v>0</v>
      </c>
      <c r="N3" s="1">
        <f>AVERAGE(Instances!N3:Instances!N94)</f>
        <v>0</v>
      </c>
      <c r="O3" s="1"/>
      <c r="P3" s="1">
        <f>AVERAGE(Instances!P3:Instances!P94)</f>
        <v>0</v>
      </c>
      <c r="Q3" s="1">
        <f>SUM(Instances!Q3:Instances!Q94)</f>
        <v>0</v>
      </c>
      <c r="R3" s="1">
        <f>AVERAGE(Instances!R3:Instances!R94)</f>
        <v>0</v>
      </c>
      <c r="S3" s="1">
        <f>MIN($B3)</f>
        <v>0</v>
      </c>
      <c r="T3" s="1">
        <f>MIN($C3)</f>
        <v>0</v>
      </c>
      <c r="U3" s="1">
        <f>MIN($D3)</f>
        <v>0</v>
      </c>
      <c r="V3" s="1">
        <f>MIN($E3)</f>
        <v>0</v>
      </c>
      <c r="W3" s="1">
        <f>MIN($F3)</f>
        <v>0</v>
      </c>
      <c r="X3" s="1">
        <f>MIN($G3)</f>
        <v>0</v>
      </c>
      <c r="Y3" s="1">
        <f>MIN($H3)</f>
        <v>0</v>
      </c>
      <c r="Z3" s="1">
        <f>MIN($I3)</f>
        <v>0</v>
      </c>
      <c r="AA3" s="1">
        <f>MIN($J3)</f>
        <v>0</v>
      </c>
      <c r="AB3" s="1">
        <f>MIN($K3)</f>
        <v>0</v>
      </c>
      <c r="AC3" s="1">
        <f>MIN($M3)</f>
        <v>0</v>
      </c>
      <c r="AD3" s="1">
        <f>MIN($N3)</f>
        <v>0</v>
      </c>
      <c r="AE3" s="1">
        <f>MIN($P3)</f>
        <v>0</v>
      </c>
      <c r="AF3" s="1">
        <f>MIN($Q3)</f>
        <v>0</v>
      </c>
      <c r="AG3" s="1">
        <f>MIN($R3)</f>
        <v>0</v>
      </c>
      <c r="AH3" s="1">
        <f>MEDIAN($B3)</f>
        <v>0</v>
      </c>
      <c r="AI3" s="1">
        <f>MEDIAN($C3)</f>
        <v>0</v>
      </c>
      <c r="AJ3" s="1">
        <f>MEDIAN($D3)</f>
        <v>0</v>
      </c>
      <c r="AK3" s="1">
        <f>MEDIAN($E3)</f>
        <v>0</v>
      </c>
      <c r="AL3" s="1">
        <f>MEDIAN($F3)</f>
        <v>0</v>
      </c>
      <c r="AM3" s="1">
        <f>MEDIAN($G3)</f>
        <v>0</v>
      </c>
      <c r="AN3" s="1">
        <f>MEDIAN($H3)</f>
        <v>0</v>
      </c>
      <c r="AO3" s="1">
        <f>MEDIAN($I3)</f>
        <v>0</v>
      </c>
      <c r="AP3" s="1">
        <f>MEDIAN($J3)</f>
        <v>0</v>
      </c>
      <c r="AQ3" s="1">
        <f>MEDIAN($K3)</f>
        <v>0</v>
      </c>
      <c r="AR3" s="1">
        <f>MEDIAN($M3)</f>
        <v>0</v>
      </c>
      <c r="AS3" s="1">
        <f>MEDIAN($N3)</f>
        <v>0</v>
      </c>
      <c r="AT3" s="1">
        <f>MEDIAN($P3)</f>
        <v>0</v>
      </c>
      <c r="AU3" s="1">
        <f>MEDIAN($Q3)</f>
        <v>0</v>
      </c>
      <c r="AV3" s="1">
        <f>MEDIAN($R3)</f>
        <v>0</v>
      </c>
      <c r="AW3" s="1">
        <f>MAX($B3)</f>
        <v>0</v>
      </c>
      <c r="AX3" s="1">
        <f>MAX($C3)</f>
        <v>0</v>
      </c>
      <c r="AY3" s="1">
        <f>MAX($D3)</f>
        <v>0</v>
      </c>
      <c r="AZ3" s="1">
        <f>MAX($E3)</f>
        <v>0</v>
      </c>
      <c r="BA3" s="1">
        <f>MAX($F3)</f>
        <v>0</v>
      </c>
      <c r="BB3" s="1">
        <f>MAX($G3)</f>
        <v>0</v>
      </c>
      <c r="BC3" s="1">
        <f>MAX($H3)</f>
        <v>0</v>
      </c>
      <c r="BD3" s="1">
        <f>MAX($I3)</f>
        <v>0</v>
      </c>
      <c r="BE3" s="1">
        <f>MAX($J3)</f>
        <v>0</v>
      </c>
      <c r="BF3" s="1">
        <f>MAX($K3)</f>
        <v>0</v>
      </c>
      <c r="BG3" s="1">
        <f>MAX($M3)</f>
        <v>0</v>
      </c>
      <c r="BH3" s="1">
        <f>MAX($N3)</f>
        <v>0</v>
      </c>
      <c r="BI3" s="1">
        <f>MAX($P3)</f>
        <v>0</v>
      </c>
      <c r="BJ3" s="1">
        <f>MAX($Q3)</f>
        <v>0</v>
      </c>
      <c r="BK3" s="1">
        <f>MAX($R3)</f>
        <v>0</v>
      </c>
    </row>
    <row r="4" spans="1:63">
      <c r="A4" s="1" t="s">
        <v>218</v>
      </c>
      <c r="B4" s="1">
        <f>AVERAGE(Instances!B95:Instances!B186)</f>
        <v>0</v>
      </c>
      <c r="C4" s="1">
        <f>AVERAGE(Instances!C95:Instances!C186)</f>
        <v>0</v>
      </c>
      <c r="D4" s="1">
        <f>AVERAGE(Instances!D95:Instances!D186)</f>
        <v>0</v>
      </c>
      <c r="E4" s="1">
        <f>AVERAGE(Instances!E95:Instances!E186)</f>
        <v>0</v>
      </c>
      <c r="F4" s="1">
        <f>AVERAGE(Instances!F95:Instances!F186)</f>
        <v>0</v>
      </c>
      <c r="G4" s="1">
        <f>AVERAGE(Instances!G95:Instances!G186)</f>
        <v>0</v>
      </c>
      <c r="H4" s="1">
        <f>AVERAGE(Instances!H95:Instances!H186)</f>
        <v>0</v>
      </c>
      <c r="I4" s="1">
        <f>AVERAGE(Instances!I95:Instances!I186)</f>
        <v>0</v>
      </c>
      <c r="J4" s="1">
        <f>AVERAGE(Instances!J95:Instances!J186)</f>
        <v>0</v>
      </c>
      <c r="K4" s="1">
        <f>AVERAGE(Instances!K95:Instances!K186)</f>
        <v>0</v>
      </c>
      <c r="L4" s="1"/>
      <c r="M4" s="1">
        <f>AVERAGE(Instances!M95:Instances!M186)</f>
        <v>0</v>
      </c>
      <c r="N4" s="1">
        <f>AVERAGE(Instances!N95:Instances!N186)</f>
        <v>0</v>
      </c>
      <c r="O4" s="1"/>
      <c r="P4" s="1">
        <f>AVERAGE(Instances!P95:Instances!P186)</f>
        <v>0</v>
      </c>
      <c r="Q4" s="1">
        <f>SUM(Instances!Q95:Instances!Q186)</f>
        <v>0</v>
      </c>
      <c r="R4" s="1">
        <f>AVERAGE(Instances!R95:Instances!R186)</f>
        <v>0</v>
      </c>
      <c r="S4" s="1">
        <f>MIN($B4)</f>
        <v>0</v>
      </c>
      <c r="T4" s="1">
        <f>MIN($C4)</f>
        <v>0</v>
      </c>
      <c r="U4" s="1">
        <f>MIN($D4)</f>
        <v>0</v>
      </c>
      <c r="V4" s="1">
        <f>MIN($E4)</f>
        <v>0</v>
      </c>
      <c r="W4" s="1">
        <f>MIN($F4)</f>
        <v>0</v>
      </c>
      <c r="X4" s="1">
        <f>MIN($G4)</f>
        <v>0</v>
      </c>
      <c r="Y4" s="1">
        <f>MIN($H4)</f>
        <v>0</v>
      </c>
      <c r="Z4" s="1">
        <f>MIN($I4)</f>
        <v>0</v>
      </c>
      <c r="AA4" s="1">
        <f>MIN($J4)</f>
        <v>0</v>
      </c>
      <c r="AB4" s="1">
        <f>MIN($K4)</f>
        <v>0</v>
      </c>
      <c r="AC4" s="1">
        <f>MIN($M4)</f>
        <v>0</v>
      </c>
      <c r="AD4" s="1">
        <f>MIN($N4)</f>
        <v>0</v>
      </c>
      <c r="AE4" s="1">
        <f>MIN($P4)</f>
        <v>0</v>
      </c>
      <c r="AF4" s="1">
        <f>MIN($Q4)</f>
        <v>0</v>
      </c>
      <c r="AG4" s="1">
        <f>MIN($R4)</f>
        <v>0</v>
      </c>
      <c r="AH4" s="1">
        <f>MEDIAN($B4)</f>
        <v>0</v>
      </c>
      <c r="AI4" s="1">
        <f>MEDIAN($C4)</f>
        <v>0</v>
      </c>
      <c r="AJ4" s="1">
        <f>MEDIAN($D4)</f>
        <v>0</v>
      </c>
      <c r="AK4" s="1">
        <f>MEDIAN($E4)</f>
        <v>0</v>
      </c>
      <c r="AL4" s="1">
        <f>MEDIAN($F4)</f>
        <v>0</v>
      </c>
      <c r="AM4" s="1">
        <f>MEDIAN($G4)</f>
        <v>0</v>
      </c>
      <c r="AN4" s="1">
        <f>MEDIAN($H4)</f>
        <v>0</v>
      </c>
      <c r="AO4" s="1">
        <f>MEDIAN($I4)</f>
        <v>0</v>
      </c>
      <c r="AP4" s="1">
        <f>MEDIAN($J4)</f>
        <v>0</v>
      </c>
      <c r="AQ4" s="1">
        <f>MEDIAN($K4)</f>
        <v>0</v>
      </c>
      <c r="AR4" s="1">
        <f>MEDIAN($M4)</f>
        <v>0</v>
      </c>
      <c r="AS4" s="1">
        <f>MEDIAN($N4)</f>
        <v>0</v>
      </c>
      <c r="AT4" s="1">
        <f>MEDIAN($P4)</f>
        <v>0</v>
      </c>
      <c r="AU4" s="1">
        <f>MEDIAN($Q4)</f>
        <v>0</v>
      </c>
      <c r="AV4" s="1">
        <f>MEDIAN($R4)</f>
        <v>0</v>
      </c>
      <c r="AW4" s="1">
        <f>MAX($B4)</f>
        <v>0</v>
      </c>
      <c r="AX4" s="1">
        <f>MAX($C4)</f>
        <v>0</v>
      </c>
      <c r="AY4" s="1">
        <f>MAX($D4)</f>
        <v>0</v>
      </c>
      <c r="AZ4" s="1">
        <f>MAX($E4)</f>
        <v>0</v>
      </c>
      <c r="BA4" s="1">
        <f>MAX($F4)</f>
        <v>0</v>
      </c>
      <c r="BB4" s="1">
        <f>MAX($G4)</f>
        <v>0</v>
      </c>
      <c r="BC4" s="1">
        <f>MAX($H4)</f>
        <v>0</v>
      </c>
      <c r="BD4" s="1">
        <f>MAX($I4)</f>
        <v>0</v>
      </c>
      <c r="BE4" s="1">
        <f>MAX($J4)</f>
        <v>0</v>
      </c>
      <c r="BF4" s="1">
        <f>MAX($K4)</f>
        <v>0</v>
      </c>
      <c r="BG4" s="1">
        <f>MAX($M4)</f>
        <v>0</v>
      </c>
      <c r="BH4" s="1">
        <f>MAX($N4)</f>
        <v>0</v>
      </c>
      <c r="BI4" s="1">
        <f>MAX($P4)</f>
        <v>0</v>
      </c>
      <c r="BJ4" s="1">
        <f>MAX($Q4)</f>
        <v>0</v>
      </c>
      <c r="BK4" s="1">
        <f>MAX($R4)</f>
        <v>0</v>
      </c>
    </row>
    <row r="5" spans="1:6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</row>
    <row r="6" spans="1:63">
      <c r="A6" s="1" t="s">
        <v>183</v>
      </c>
      <c r="B6" s="1">
        <f>SUM(B$3:B$4)</f>
        <v>0</v>
      </c>
      <c r="C6" s="1">
        <f>SUM(C$3:C$4)</f>
        <v>0</v>
      </c>
      <c r="D6" s="1">
        <f>SUM(D$3:D$4)</f>
        <v>0</v>
      </c>
      <c r="E6" s="1">
        <f>SUM(E$3:E$4)</f>
        <v>0</v>
      </c>
      <c r="F6" s="1">
        <f>SUM(F$3:F$4)</f>
        <v>0</v>
      </c>
      <c r="G6" s="1">
        <f>SUM(G$3:G$4)</f>
        <v>0</v>
      </c>
      <c r="H6" s="1">
        <f>SUM(H$3:H$4)</f>
        <v>0</v>
      </c>
      <c r="I6" s="1">
        <f>SUM(I$3:I$4)</f>
        <v>0</v>
      </c>
      <c r="J6" s="1">
        <f>SUM(J$3:J$4)</f>
        <v>0</v>
      </c>
      <c r="K6" s="1">
        <f>SUM(K$3:K$4)</f>
        <v>0</v>
      </c>
      <c r="L6" s="1"/>
      <c r="M6" s="1">
        <f>SUM(M$3:M$4)</f>
        <v>0</v>
      </c>
      <c r="N6" s="1">
        <f>SUM(N$3:N$4)</f>
        <v>0</v>
      </c>
      <c r="O6" s="1"/>
      <c r="P6" s="1">
        <f>SUM(P$3:P$4)</f>
        <v>0</v>
      </c>
      <c r="Q6" s="1">
        <f>SUM(Q$3:Q$4)</f>
        <v>0</v>
      </c>
      <c r="R6" s="1">
        <f>SUM(R$3:R$4)</f>
        <v>0</v>
      </c>
      <c r="S6" s="1">
        <f>SUM(S$3:S$4)</f>
        <v>0</v>
      </c>
      <c r="T6" s="1">
        <f>SUM(T$3:T$4)</f>
        <v>0</v>
      </c>
      <c r="U6" s="1">
        <f>SUM(U$3:U$4)</f>
        <v>0</v>
      </c>
      <c r="V6" s="1">
        <f>SUM(V$3:V$4)</f>
        <v>0</v>
      </c>
      <c r="W6" s="1">
        <f>SUM(W$3:W$4)</f>
        <v>0</v>
      </c>
      <c r="X6" s="1">
        <f>SUM(X$3:X$4)</f>
        <v>0</v>
      </c>
      <c r="Y6" s="1">
        <f>SUM(Y$3:Y$4)</f>
        <v>0</v>
      </c>
      <c r="Z6" s="1">
        <f>SUM(Z$3:Z$4)</f>
        <v>0</v>
      </c>
      <c r="AA6" s="1">
        <f>SUM(AA$3:AA$4)</f>
        <v>0</v>
      </c>
      <c r="AB6" s="1">
        <f>SUM(AB$3:AB$4)</f>
        <v>0</v>
      </c>
      <c r="AC6" s="1">
        <f>SUM(AC$3:AC$4)</f>
        <v>0</v>
      </c>
      <c r="AD6" s="1">
        <f>SUM(AD$3:AD$4)</f>
        <v>0</v>
      </c>
      <c r="AE6" s="1">
        <f>SUM(AE$3:AE$4)</f>
        <v>0</v>
      </c>
      <c r="AF6" s="1">
        <f>SUM(AF$3:AF$4)</f>
        <v>0</v>
      </c>
      <c r="AG6" s="1">
        <f>SUM(AG$3:AG$4)</f>
        <v>0</v>
      </c>
      <c r="AH6" s="1">
        <f>SUM(AH$3:AH$4)</f>
        <v>0</v>
      </c>
      <c r="AI6" s="1">
        <f>SUM(AI$3:AI$4)</f>
        <v>0</v>
      </c>
      <c r="AJ6" s="1">
        <f>SUM(AJ$3:AJ$4)</f>
        <v>0</v>
      </c>
      <c r="AK6" s="1">
        <f>SUM(AK$3:AK$4)</f>
        <v>0</v>
      </c>
      <c r="AL6" s="1">
        <f>SUM(AL$3:AL$4)</f>
        <v>0</v>
      </c>
      <c r="AM6" s="1">
        <f>SUM(AM$3:AM$4)</f>
        <v>0</v>
      </c>
      <c r="AN6" s="1">
        <f>SUM(AN$3:AN$4)</f>
        <v>0</v>
      </c>
      <c r="AO6" s="1">
        <f>SUM(AO$3:AO$4)</f>
        <v>0</v>
      </c>
      <c r="AP6" s="1">
        <f>SUM(AP$3:AP$4)</f>
        <v>0</v>
      </c>
      <c r="AQ6" s="1">
        <f>SUM(AQ$3:AQ$4)</f>
        <v>0</v>
      </c>
      <c r="AR6" s="1">
        <f>SUM(AR$3:AR$4)</f>
        <v>0</v>
      </c>
      <c r="AS6" s="1">
        <f>SUM(AS$3:AS$4)</f>
        <v>0</v>
      </c>
      <c r="AT6" s="1">
        <f>SUM(AT$3:AT$4)</f>
        <v>0</v>
      </c>
      <c r="AU6" s="1">
        <f>SUM(AU$3:AU$4)</f>
        <v>0</v>
      </c>
      <c r="AV6" s="1">
        <f>SUM(AV$3:AV$4)</f>
        <v>0</v>
      </c>
      <c r="AW6" s="1">
        <f>SUM(AW$3:AW$4)</f>
        <v>0</v>
      </c>
      <c r="AX6" s="1">
        <f>SUM(AX$3:AX$4)</f>
        <v>0</v>
      </c>
      <c r="AY6" s="1">
        <f>SUM(AY$3:AY$4)</f>
        <v>0</v>
      </c>
      <c r="AZ6" s="1">
        <f>SUM(AZ$3:AZ$4)</f>
        <v>0</v>
      </c>
      <c r="BA6" s="1">
        <f>SUM(BA$3:BA$4)</f>
        <v>0</v>
      </c>
      <c r="BB6" s="1">
        <f>SUM(BB$3:BB$4)</f>
        <v>0</v>
      </c>
      <c r="BC6" s="1">
        <f>SUM(BC$3:BC$4)</f>
        <v>0</v>
      </c>
      <c r="BD6" s="1">
        <f>SUM(BD$3:BD$4)</f>
        <v>0</v>
      </c>
      <c r="BE6" s="1">
        <f>SUM(BE$3:BE$4)</f>
        <v>0</v>
      </c>
      <c r="BF6" s="1">
        <f>SUM(BF$3:BF$4)</f>
        <v>0</v>
      </c>
      <c r="BG6" s="1">
        <f>SUM(BG$3:BG$4)</f>
        <v>0</v>
      </c>
      <c r="BH6" s="1">
        <f>SUM(BH$3:BH$4)</f>
        <v>0</v>
      </c>
      <c r="BI6" s="1">
        <f>SUM(BI$3:BI$4)</f>
        <v>0</v>
      </c>
      <c r="BJ6" s="1">
        <f>SUM(BJ$3:BJ$4)</f>
        <v>0</v>
      </c>
      <c r="BK6" s="1">
        <f>SUM(BK$3:BK$4)</f>
        <v>0</v>
      </c>
    </row>
    <row r="7" spans="1:63">
      <c r="A7" s="1" t="s">
        <v>184</v>
      </c>
      <c r="B7" s="1">
        <f>AVERAGE(B$3:B$4)</f>
        <v>0</v>
      </c>
      <c r="C7" s="1">
        <f>AVERAGE(C$3:C$4)</f>
        <v>0</v>
      </c>
      <c r="D7" s="1">
        <f>AVERAGE(D$3:D$4)</f>
        <v>0</v>
      </c>
      <c r="E7" s="1">
        <f>AVERAGE(E$3:E$4)</f>
        <v>0</v>
      </c>
      <c r="F7" s="1">
        <f>AVERAGE(F$3:F$4)</f>
        <v>0</v>
      </c>
      <c r="G7" s="1">
        <f>AVERAGE(G$3:G$4)</f>
        <v>0</v>
      </c>
      <c r="H7" s="1">
        <f>AVERAGE(H$3:H$4)</f>
        <v>0</v>
      </c>
      <c r="I7" s="1">
        <f>AVERAGE(I$3:I$4)</f>
        <v>0</v>
      </c>
      <c r="J7" s="1">
        <f>AVERAGE(J$3:J$4)</f>
        <v>0</v>
      </c>
      <c r="K7" s="1">
        <f>AVERAGE(K$3:K$4)</f>
        <v>0</v>
      </c>
      <c r="L7" s="1"/>
      <c r="M7" s="1">
        <f>AVERAGE(M$3:M$4)</f>
        <v>0</v>
      </c>
      <c r="N7" s="1">
        <f>AVERAGE(N$3:N$4)</f>
        <v>0</v>
      </c>
      <c r="O7" s="1"/>
      <c r="P7" s="1">
        <f>AVERAGE(P$3:P$4)</f>
        <v>0</v>
      </c>
      <c r="Q7" s="1">
        <f>AVERAGE(Q$3:Q$4)</f>
        <v>0</v>
      </c>
      <c r="R7" s="1">
        <f>AVERAGE(R$3:R$4)</f>
        <v>0</v>
      </c>
      <c r="S7" s="1">
        <f>AVERAGE(S$3:S$4)</f>
        <v>0</v>
      </c>
      <c r="T7" s="1">
        <f>AVERAGE(T$3:T$4)</f>
        <v>0</v>
      </c>
      <c r="U7" s="1">
        <f>AVERAGE(U$3:U$4)</f>
        <v>0</v>
      </c>
      <c r="V7" s="1">
        <f>AVERAGE(V$3:V$4)</f>
        <v>0</v>
      </c>
      <c r="W7" s="1">
        <f>AVERAGE(W$3:W$4)</f>
        <v>0</v>
      </c>
      <c r="X7" s="1">
        <f>AVERAGE(X$3:X$4)</f>
        <v>0</v>
      </c>
      <c r="Y7" s="1">
        <f>AVERAGE(Y$3:Y$4)</f>
        <v>0</v>
      </c>
      <c r="Z7" s="1">
        <f>AVERAGE(Z$3:Z$4)</f>
        <v>0</v>
      </c>
      <c r="AA7" s="1">
        <f>AVERAGE(AA$3:AA$4)</f>
        <v>0</v>
      </c>
      <c r="AB7" s="1">
        <f>AVERAGE(AB$3:AB$4)</f>
        <v>0</v>
      </c>
      <c r="AC7" s="1">
        <f>AVERAGE(AC$3:AC$4)</f>
        <v>0</v>
      </c>
      <c r="AD7" s="1">
        <f>AVERAGE(AD$3:AD$4)</f>
        <v>0</v>
      </c>
      <c r="AE7" s="1">
        <f>AVERAGE(AE$3:AE$4)</f>
        <v>0</v>
      </c>
      <c r="AF7" s="1">
        <f>AVERAGE(AF$3:AF$4)</f>
        <v>0</v>
      </c>
      <c r="AG7" s="1">
        <f>AVERAGE(AG$3:AG$4)</f>
        <v>0</v>
      </c>
      <c r="AH7" s="1">
        <f>AVERAGE(AH$3:AH$4)</f>
        <v>0</v>
      </c>
      <c r="AI7" s="1">
        <f>AVERAGE(AI$3:AI$4)</f>
        <v>0</v>
      </c>
      <c r="AJ7" s="1">
        <f>AVERAGE(AJ$3:AJ$4)</f>
        <v>0</v>
      </c>
      <c r="AK7" s="1">
        <f>AVERAGE(AK$3:AK$4)</f>
        <v>0</v>
      </c>
      <c r="AL7" s="1">
        <f>AVERAGE(AL$3:AL$4)</f>
        <v>0</v>
      </c>
      <c r="AM7" s="1">
        <f>AVERAGE(AM$3:AM$4)</f>
        <v>0</v>
      </c>
      <c r="AN7" s="1">
        <f>AVERAGE(AN$3:AN$4)</f>
        <v>0</v>
      </c>
      <c r="AO7" s="1">
        <f>AVERAGE(AO$3:AO$4)</f>
        <v>0</v>
      </c>
      <c r="AP7" s="1">
        <f>AVERAGE(AP$3:AP$4)</f>
        <v>0</v>
      </c>
      <c r="AQ7" s="1">
        <f>AVERAGE(AQ$3:AQ$4)</f>
        <v>0</v>
      </c>
      <c r="AR7" s="1">
        <f>AVERAGE(AR$3:AR$4)</f>
        <v>0</v>
      </c>
      <c r="AS7" s="1">
        <f>AVERAGE(AS$3:AS$4)</f>
        <v>0</v>
      </c>
      <c r="AT7" s="1">
        <f>AVERAGE(AT$3:AT$4)</f>
        <v>0</v>
      </c>
      <c r="AU7" s="1">
        <f>AVERAGE(AU$3:AU$4)</f>
        <v>0</v>
      </c>
      <c r="AV7" s="1">
        <f>AVERAGE(AV$3:AV$4)</f>
        <v>0</v>
      </c>
      <c r="AW7" s="1">
        <f>AVERAGE(AW$3:AW$4)</f>
        <v>0</v>
      </c>
      <c r="AX7" s="1">
        <f>AVERAGE(AX$3:AX$4)</f>
        <v>0</v>
      </c>
      <c r="AY7" s="1">
        <f>AVERAGE(AY$3:AY$4)</f>
        <v>0</v>
      </c>
      <c r="AZ7" s="1">
        <f>AVERAGE(AZ$3:AZ$4)</f>
        <v>0</v>
      </c>
      <c r="BA7" s="1">
        <f>AVERAGE(BA$3:BA$4)</f>
        <v>0</v>
      </c>
      <c r="BB7" s="1">
        <f>AVERAGE(BB$3:BB$4)</f>
        <v>0</v>
      </c>
      <c r="BC7" s="1">
        <f>AVERAGE(BC$3:BC$4)</f>
        <v>0</v>
      </c>
      <c r="BD7" s="1">
        <f>AVERAGE(BD$3:BD$4)</f>
        <v>0</v>
      </c>
      <c r="BE7" s="1">
        <f>AVERAGE(BE$3:BE$4)</f>
        <v>0</v>
      </c>
      <c r="BF7" s="1">
        <f>AVERAGE(BF$3:BF$4)</f>
        <v>0</v>
      </c>
      <c r="BG7" s="1">
        <f>AVERAGE(BG$3:BG$4)</f>
        <v>0</v>
      </c>
      <c r="BH7" s="1">
        <f>AVERAGE(BH$3:BH$4)</f>
        <v>0</v>
      </c>
      <c r="BI7" s="1">
        <f>AVERAGE(BI$3:BI$4)</f>
        <v>0</v>
      </c>
      <c r="BJ7" s="1">
        <f>AVERAGE(BJ$3:BJ$4)</f>
        <v>0</v>
      </c>
      <c r="BK7" s="1">
        <f>AVERAGE(BK$3:BK$4)</f>
        <v>0</v>
      </c>
    </row>
    <row r="8" spans="1:63">
      <c r="A8" s="1" t="s">
        <v>185</v>
      </c>
      <c r="B8" s="1">
        <f>STDEV(B$3:B$4)</f>
        <v>0</v>
      </c>
      <c r="C8" s="1">
        <f>STDEV(C$3:C$4)</f>
        <v>0</v>
      </c>
      <c r="D8" s="1">
        <f>STDEV(D$3:D$4)</f>
        <v>0</v>
      </c>
      <c r="E8" s="1">
        <f>STDEV(E$3:E$4)</f>
        <v>0</v>
      </c>
      <c r="F8" s="1">
        <f>STDEV(F$3:F$4)</f>
        <v>0</v>
      </c>
      <c r="G8" s="1">
        <f>STDEV(G$3:G$4)</f>
        <v>0</v>
      </c>
      <c r="H8" s="1">
        <f>STDEV(H$3:H$4)</f>
        <v>0</v>
      </c>
      <c r="I8" s="1">
        <f>STDEV(I$3:I$4)</f>
        <v>0</v>
      </c>
      <c r="J8" s="1">
        <f>STDEV(J$3:J$4)</f>
        <v>0</v>
      </c>
      <c r="K8" s="1">
        <f>STDEV(K$3:K$4)</f>
        <v>0</v>
      </c>
      <c r="L8" s="1"/>
      <c r="M8" s="1">
        <f>STDEV(M$3:M$4)</f>
        <v>0</v>
      </c>
      <c r="N8" s="1">
        <f>STDEV(N$3:N$4)</f>
        <v>0</v>
      </c>
      <c r="O8" s="1"/>
      <c r="P8" s="1">
        <f>STDEV(P$3:P$4)</f>
        <v>0</v>
      </c>
      <c r="Q8" s="1">
        <f>STDEV(Q$3:Q$4)</f>
        <v>0</v>
      </c>
      <c r="R8" s="1">
        <f>STDEV(R$3:R$4)</f>
        <v>0</v>
      </c>
      <c r="S8" s="1">
        <f>STDEV(S$3:S$4)</f>
        <v>0</v>
      </c>
      <c r="T8" s="1">
        <f>STDEV(T$3:T$4)</f>
        <v>0</v>
      </c>
      <c r="U8" s="1">
        <f>STDEV(U$3:U$4)</f>
        <v>0</v>
      </c>
      <c r="V8" s="1">
        <f>STDEV(V$3:V$4)</f>
        <v>0</v>
      </c>
      <c r="W8" s="1">
        <f>STDEV(W$3:W$4)</f>
        <v>0</v>
      </c>
      <c r="X8" s="1">
        <f>STDEV(X$3:X$4)</f>
        <v>0</v>
      </c>
      <c r="Y8" s="1">
        <f>STDEV(Y$3:Y$4)</f>
        <v>0</v>
      </c>
      <c r="Z8" s="1">
        <f>STDEV(Z$3:Z$4)</f>
        <v>0</v>
      </c>
      <c r="AA8" s="1">
        <f>STDEV(AA$3:AA$4)</f>
        <v>0</v>
      </c>
      <c r="AB8" s="1">
        <f>STDEV(AB$3:AB$4)</f>
        <v>0</v>
      </c>
      <c r="AC8" s="1">
        <f>STDEV(AC$3:AC$4)</f>
        <v>0</v>
      </c>
      <c r="AD8" s="1">
        <f>STDEV(AD$3:AD$4)</f>
        <v>0</v>
      </c>
      <c r="AE8" s="1">
        <f>STDEV(AE$3:AE$4)</f>
        <v>0</v>
      </c>
      <c r="AF8" s="1">
        <f>STDEV(AF$3:AF$4)</f>
        <v>0</v>
      </c>
      <c r="AG8" s="1">
        <f>STDEV(AG$3:AG$4)</f>
        <v>0</v>
      </c>
      <c r="AH8" s="1">
        <f>STDEV(AH$3:AH$4)</f>
        <v>0</v>
      </c>
      <c r="AI8" s="1">
        <f>STDEV(AI$3:AI$4)</f>
        <v>0</v>
      </c>
      <c r="AJ8" s="1">
        <f>STDEV(AJ$3:AJ$4)</f>
        <v>0</v>
      </c>
      <c r="AK8" s="1">
        <f>STDEV(AK$3:AK$4)</f>
        <v>0</v>
      </c>
      <c r="AL8" s="1">
        <f>STDEV(AL$3:AL$4)</f>
        <v>0</v>
      </c>
      <c r="AM8" s="1">
        <f>STDEV(AM$3:AM$4)</f>
        <v>0</v>
      </c>
      <c r="AN8" s="1">
        <f>STDEV(AN$3:AN$4)</f>
        <v>0</v>
      </c>
      <c r="AO8" s="1">
        <f>STDEV(AO$3:AO$4)</f>
        <v>0</v>
      </c>
      <c r="AP8" s="1">
        <f>STDEV(AP$3:AP$4)</f>
        <v>0</v>
      </c>
      <c r="AQ8" s="1">
        <f>STDEV(AQ$3:AQ$4)</f>
        <v>0</v>
      </c>
      <c r="AR8" s="1">
        <f>STDEV(AR$3:AR$4)</f>
        <v>0</v>
      </c>
      <c r="AS8" s="1">
        <f>STDEV(AS$3:AS$4)</f>
        <v>0</v>
      </c>
      <c r="AT8" s="1">
        <f>STDEV(AT$3:AT$4)</f>
        <v>0</v>
      </c>
      <c r="AU8" s="1">
        <f>STDEV(AU$3:AU$4)</f>
        <v>0</v>
      </c>
      <c r="AV8" s="1">
        <f>STDEV(AV$3:AV$4)</f>
        <v>0</v>
      </c>
      <c r="AW8" s="1">
        <f>STDEV(AW$3:AW$4)</f>
        <v>0</v>
      </c>
      <c r="AX8" s="1">
        <f>STDEV(AX$3:AX$4)</f>
        <v>0</v>
      </c>
      <c r="AY8" s="1">
        <f>STDEV(AY$3:AY$4)</f>
        <v>0</v>
      </c>
      <c r="AZ8" s="1">
        <f>STDEV(AZ$3:AZ$4)</f>
        <v>0</v>
      </c>
      <c r="BA8" s="1">
        <f>STDEV(BA$3:BA$4)</f>
        <v>0</v>
      </c>
      <c r="BB8" s="1">
        <f>STDEV(BB$3:BB$4)</f>
        <v>0</v>
      </c>
      <c r="BC8" s="1">
        <f>STDEV(BC$3:BC$4)</f>
        <v>0</v>
      </c>
      <c r="BD8" s="1">
        <f>STDEV(BD$3:BD$4)</f>
        <v>0</v>
      </c>
      <c r="BE8" s="1">
        <f>STDEV(BE$3:BE$4)</f>
        <v>0</v>
      </c>
      <c r="BF8" s="1">
        <f>STDEV(BF$3:BF$4)</f>
        <v>0</v>
      </c>
      <c r="BG8" s="1">
        <f>STDEV(BG$3:BG$4)</f>
        <v>0</v>
      </c>
      <c r="BH8" s="1">
        <f>STDEV(BH$3:BH$4)</f>
        <v>0</v>
      </c>
      <c r="BI8" s="1">
        <f>STDEV(BI$3:BI$4)</f>
        <v>0</v>
      </c>
      <c r="BJ8" s="1">
        <f>STDEV(BJ$3:BJ$4)</f>
        <v>0</v>
      </c>
      <c r="BK8" s="1">
        <f>STDEV(BK$3:BK$4)</f>
        <v>0</v>
      </c>
    </row>
    <row r="9" spans="1:63">
      <c r="A9" s="1" t="s">
        <v>186</v>
      </c>
      <c r="B9" s="1">
        <f>SUMPRODUCT(--(B$3:B$4-$S$3:$S$4)^2)^0.5</f>
        <v>0</v>
      </c>
      <c r="C9" s="1">
        <f>SUMPRODUCT(--(C$3:C$4-$T$3:$T$4)^2)^0.5</f>
        <v>0</v>
      </c>
      <c r="D9" s="1">
        <f>SUMPRODUCT(--(D$3:D$4-$U$3:$U$4)^2)^0.5</f>
        <v>0</v>
      </c>
      <c r="E9" s="1">
        <f>SUMPRODUCT(--(E$3:E$4-$V$3:$V$4)^2)^0.5</f>
        <v>0</v>
      </c>
      <c r="F9" s="1">
        <f>SUMPRODUCT(--(F$3:F$4-$W$3:$W$4)^2)^0.5</f>
        <v>0</v>
      </c>
      <c r="G9" s="1">
        <f>SUMPRODUCT(--(G$3:G$4-$X$3:$X$4)^2)^0.5</f>
        <v>0</v>
      </c>
      <c r="H9" s="1">
        <f>SUMPRODUCT(--(H$3:H$4-$Y$3:$Y$4)^2)^0.5</f>
        <v>0</v>
      </c>
      <c r="I9" s="1">
        <f>SUMPRODUCT(--(I$3:I$4-$Z$3:$Z$4)^2)^0.5</f>
        <v>0</v>
      </c>
      <c r="J9" s="1">
        <f>SUMPRODUCT(--(J$3:J$4-$AA$3:$AA$4)^2)^0.5</f>
        <v>0</v>
      </c>
      <c r="K9" s="1">
        <f>SUMPRODUCT(--(K$3:K$4-$AB$3:$AB$4)^2)^0.5</f>
        <v>0</v>
      </c>
      <c r="L9" s="1"/>
      <c r="M9" s="1">
        <f>SUMPRODUCT(--(M$3:M$4-$AC$3:$AC$4)^2)^0.5</f>
        <v>0</v>
      </c>
      <c r="N9" s="1">
        <f>SUMPRODUCT(--(N$3:N$4-$AD$3:$AD$4)^2)^0.5</f>
        <v>0</v>
      </c>
      <c r="O9" s="1"/>
      <c r="P9" s="1">
        <f>SUMPRODUCT(--(P$3:P$4-$AE$3:$AE$4)^2)^0.5</f>
        <v>0</v>
      </c>
      <c r="Q9" s="1">
        <f>SUMPRODUCT(--(Q$3:Q$4-$AF$3:$AF$4)^2)^0.5</f>
        <v>0</v>
      </c>
      <c r="R9" s="1">
        <f>SUMPRODUCT(--(R$3:R$4-$AG$3:$AG$4)^2)^0.5</f>
        <v>0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</row>
    <row r="10" spans="1:63">
      <c r="A10" s="1" t="s">
        <v>187</v>
      </c>
      <c r="B10" s="1">
        <f>SUMPRODUCT(NOT(ISBLANK(B$3:B$4))*(B$3:B$4=$S$3:$S$4))</f>
        <v>0</v>
      </c>
      <c r="C10" s="1">
        <f>SUMPRODUCT(NOT(ISBLANK(C$3:C$4))*(C$3:C$4=$T$3:$T$4))</f>
        <v>0</v>
      </c>
      <c r="D10" s="1">
        <f>SUMPRODUCT(NOT(ISBLANK(D$3:D$4))*(D$3:D$4=$U$3:$U$4))</f>
        <v>0</v>
      </c>
      <c r="E10" s="1">
        <f>SUMPRODUCT(NOT(ISBLANK(E$3:E$4))*(E$3:E$4=$V$3:$V$4))</f>
        <v>0</v>
      </c>
      <c r="F10" s="1">
        <f>SUMPRODUCT(NOT(ISBLANK(F$3:F$4))*(F$3:F$4=$W$3:$W$4))</f>
        <v>0</v>
      </c>
      <c r="G10" s="1">
        <f>SUMPRODUCT(NOT(ISBLANK(G$3:G$4))*(G$3:G$4=$X$3:$X$4))</f>
        <v>0</v>
      </c>
      <c r="H10" s="1">
        <f>SUMPRODUCT(NOT(ISBLANK(H$3:H$4))*(H$3:H$4=$Y$3:$Y$4))</f>
        <v>0</v>
      </c>
      <c r="I10" s="1">
        <f>SUMPRODUCT(NOT(ISBLANK(I$3:I$4))*(I$3:I$4=$Z$3:$Z$4))</f>
        <v>0</v>
      </c>
      <c r="J10" s="1">
        <f>SUMPRODUCT(NOT(ISBLANK(J$3:J$4))*(J$3:J$4=$AA$3:$AA$4))</f>
        <v>0</v>
      </c>
      <c r="K10" s="1">
        <f>SUMPRODUCT(NOT(ISBLANK(K$3:K$4))*(K$3:K$4=$AB$3:$AB$4))</f>
        <v>0</v>
      </c>
      <c r="L10" s="1"/>
      <c r="M10" s="1">
        <f>SUMPRODUCT(NOT(ISBLANK(M$3:M$4))*(M$3:M$4=$AC$3:$AC$4))</f>
        <v>0</v>
      </c>
      <c r="N10" s="1">
        <f>SUMPRODUCT(NOT(ISBLANK(N$3:N$4))*(N$3:N$4=$AD$3:$AD$4))</f>
        <v>0</v>
      </c>
      <c r="O10" s="1"/>
      <c r="P10" s="1">
        <f>SUMPRODUCT(NOT(ISBLANK(P$3:P$4))*(P$3:P$4=$AE$3:$AE$4))</f>
        <v>0</v>
      </c>
      <c r="Q10" s="1">
        <f>SUMPRODUCT(NOT(ISBLANK(Q$3:Q$4))*(Q$3:Q$4=$AF$3:$AF$4))</f>
        <v>0</v>
      </c>
      <c r="R10" s="1">
        <f>SUMPRODUCT(NOT(ISBLANK(R$3:R$4))*(R$3:R$4=$AG$3:$AG$4))</f>
        <v>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</row>
    <row r="11" spans="1:63">
      <c r="A11" s="1" t="s">
        <v>188</v>
      </c>
      <c r="B11" s="1">
        <f>SUMPRODUCT(NOT(ISBLANK(B$3:B$4))*(B$3:B$4&lt;$AH$3:$AH$4))</f>
        <v>0</v>
      </c>
      <c r="C11" s="1">
        <f>SUMPRODUCT(NOT(ISBLANK(C$3:C$4))*(C$3:C$4&lt;$AI$3:$AI$4))</f>
        <v>0</v>
      </c>
      <c r="D11" s="1">
        <f>SUMPRODUCT(NOT(ISBLANK(D$3:D$4))*(D$3:D$4&lt;$AJ$3:$AJ$4))</f>
        <v>0</v>
      </c>
      <c r="E11" s="1">
        <f>SUMPRODUCT(NOT(ISBLANK(E$3:E$4))*(E$3:E$4&lt;$AK$3:$AK$4))</f>
        <v>0</v>
      </c>
      <c r="F11" s="1">
        <f>SUMPRODUCT(NOT(ISBLANK(F$3:F$4))*(F$3:F$4&lt;$AL$3:$AL$4))</f>
        <v>0</v>
      </c>
      <c r="G11" s="1">
        <f>SUMPRODUCT(NOT(ISBLANK(G$3:G$4))*(G$3:G$4&lt;$AM$3:$AM$4))</f>
        <v>0</v>
      </c>
      <c r="H11" s="1">
        <f>SUMPRODUCT(NOT(ISBLANK(H$3:H$4))*(H$3:H$4&lt;$AN$3:$AN$4))</f>
        <v>0</v>
      </c>
      <c r="I11" s="1">
        <f>SUMPRODUCT(NOT(ISBLANK(I$3:I$4))*(I$3:I$4&lt;$AO$3:$AO$4))</f>
        <v>0</v>
      </c>
      <c r="J11" s="1">
        <f>SUMPRODUCT(NOT(ISBLANK(J$3:J$4))*(J$3:J$4&lt;$AP$3:$AP$4))</f>
        <v>0</v>
      </c>
      <c r="K11" s="1">
        <f>SUMPRODUCT(NOT(ISBLANK(K$3:K$4))*(K$3:K$4&lt;$AQ$3:$AQ$4))</f>
        <v>0</v>
      </c>
      <c r="L11" s="1"/>
      <c r="M11" s="1">
        <f>SUMPRODUCT(NOT(ISBLANK(M$3:M$4))*(M$3:M$4&lt;$AR$3:$AR$4))</f>
        <v>0</v>
      </c>
      <c r="N11" s="1">
        <f>SUMPRODUCT(NOT(ISBLANK(N$3:N$4))*(N$3:N$4&lt;$AS$3:$AS$4))</f>
        <v>0</v>
      </c>
      <c r="O11" s="1"/>
      <c r="P11" s="1">
        <f>SUMPRODUCT(NOT(ISBLANK(P$3:P$4))*(P$3:P$4&lt;$AT$3:$AT$4))</f>
        <v>0</v>
      </c>
      <c r="Q11" s="1">
        <f>SUMPRODUCT(NOT(ISBLANK(Q$3:Q$4))*(Q$3:Q$4&lt;$AU$3:$AU$4))</f>
        <v>0</v>
      </c>
      <c r="R11" s="1">
        <f>SUMPRODUCT(NOT(ISBLANK(R$3:R$4))*(R$3:R$4&lt;$AV$3:$AV$4))</f>
        <v>0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</row>
    <row r="12" spans="1:63">
      <c r="A12" s="1" t="s">
        <v>189</v>
      </c>
      <c r="B12" s="1">
        <f>SUMPRODUCT((NOT(ISBLANK(B$3:B$4))*(B$3:B$4&gt;$AH$3:$AH$4))+ISBLANK(B$3:B$4))</f>
        <v>0</v>
      </c>
      <c r="C12" s="1">
        <f>SUMPRODUCT((NOT(ISBLANK(C$3:C$4))*(C$3:C$4&gt;$AI$3:$AI$4))+ISBLANK(C$3:C$4))</f>
        <v>0</v>
      </c>
      <c r="D12" s="1">
        <f>SUMPRODUCT((NOT(ISBLANK(D$3:D$4))*(D$3:D$4&gt;$AJ$3:$AJ$4))+ISBLANK(D$3:D$4))</f>
        <v>0</v>
      </c>
      <c r="E12" s="1">
        <f>SUMPRODUCT((NOT(ISBLANK(E$3:E$4))*(E$3:E$4&gt;$AK$3:$AK$4))+ISBLANK(E$3:E$4))</f>
        <v>0</v>
      </c>
      <c r="F12" s="1">
        <f>SUMPRODUCT((NOT(ISBLANK(F$3:F$4))*(F$3:F$4&gt;$AL$3:$AL$4))+ISBLANK(F$3:F$4))</f>
        <v>0</v>
      </c>
      <c r="G12" s="1">
        <f>SUMPRODUCT((NOT(ISBLANK(G$3:G$4))*(G$3:G$4&gt;$AM$3:$AM$4))+ISBLANK(G$3:G$4))</f>
        <v>0</v>
      </c>
      <c r="H12" s="1">
        <f>SUMPRODUCT((NOT(ISBLANK(H$3:H$4))*(H$3:H$4&gt;$AN$3:$AN$4))+ISBLANK(H$3:H$4))</f>
        <v>0</v>
      </c>
      <c r="I12" s="1">
        <f>SUMPRODUCT((NOT(ISBLANK(I$3:I$4))*(I$3:I$4&gt;$AO$3:$AO$4))+ISBLANK(I$3:I$4))</f>
        <v>0</v>
      </c>
      <c r="J12" s="1">
        <f>SUMPRODUCT((NOT(ISBLANK(J$3:J$4))*(J$3:J$4&gt;$AP$3:$AP$4))+ISBLANK(J$3:J$4))</f>
        <v>0</v>
      </c>
      <c r="K12" s="1">
        <f>SUMPRODUCT((NOT(ISBLANK(K$3:K$4))*(K$3:K$4&gt;$AQ$3:$AQ$4))+ISBLANK(K$3:K$4))</f>
        <v>0</v>
      </c>
      <c r="L12" s="1"/>
      <c r="M12" s="1">
        <f>SUMPRODUCT((NOT(ISBLANK(M$3:M$4))*(M$3:M$4&gt;$AR$3:$AR$4))+ISBLANK(M$3:M$4))</f>
        <v>0</v>
      </c>
      <c r="N12" s="1">
        <f>SUMPRODUCT((NOT(ISBLANK(N$3:N$4))*(N$3:N$4&gt;$AS$3:$AS$4))+ISBLANK(N$3:N$4))</f>
        <v>0</v>
      </c>
      <c r="O12" s="1"/>
      <c r="P12" s="1">
        <f>SUMPRODUCT((NOT(ISBLANK(P$3:P$4))*(P$3:P$4&gt;$AT$3:$AT$4))+ISBLANK(P$3:P$4))</f>
        <v>0</v>
      </c>
      <c r="Q12" s="1">
        <f>SUMPRODUCT((NOT(ISBLANK(Q$3:Q$4))*(Q$3:Q$4&gt;$AU$3:$AU$4))+ISBLANK(Q$3:Q$4))</f>
        <v>0</v>
      </c>
      <c r="R12" s="1">
        <f>SUMPRODUCT((NOT(ISBLANK(R$3:R$4))*(R$3:R$4&gt;$AV$3:$AV$4))+ISBLANK(R$3:R$4))</f>
        <v>0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</row>
    <row r="13" spans="1:63">
      <c r="A13" s="1" t="s">
        <v>190</v>
      </c>
      <c r="B13" s="1">
        <f>SUMPRODUCT((NOT(ISBLANK(B$3:B$4))*(B$3:B$4=$AW$3:$AW$4))+ISBLANK(B$3:B$4))</f>
        <v>0</v>
      </c>
      <c r="C13" s="1">
        <f>SUMPRODUCT((NOT(ISBLANK(C$3:C$4))*(C$3:C$4=$AX$3:$AX$4))+ISBLANK(C$3:C$4))</f>
        <v>0</v>
      </c>
      <c r="D13" s="1">
        <f>SUMPRODUCT((NOT(ISBLANK(D$3:D$4))*(D$3:D$4=$AY$3:$AY$4))+ISBLANK(D$3:D$4))</f>
        <v>0</v>
      </c>
      <c r="E13" s="1">
        <f>SUMPRODUCT((NOT(ISBLANK(E$3:E$4))*(E$3:E$4=$AZ$3:$AZ$4))+ISBLANK(E$3:E$4))</f>
        <v>0</v>
      </c>
      <c r="F13" s="1">
        <f>SUMPRODUCT((NOT(ISBLANK(F$3:F$4))*(F$3:F$4=$BA$3:$BA$4))+ISBLANK(F$3:F$4))</f>
        <v>0</v>
      </c>
      <c r="G13" s="1">
        <f>SUMPRODUCT((NOT(ISBLANK(G$3:G$4))*(G$3:G$4=$BB$3:$BB$4))+ISBLANK(G$3:G$4))</f>
        <v>0</v>
      </c>
      <c r="H13" s="1">
        <f>SUMPRODUCT((NOT(ISBLANK(H$3:H$4))*(H$3:H$4=$BC$3:$BC$4))+ISBLANK(H$3:H$4))</f>
        <v>0</v>
      </c>
      <c r="I13" s="1">
        <f>SUMPRODUCT((NOT(ISBLANK(I$3:I$4))*(I$3:I$4=$BD$3:$BD$4))+ISBLANK(I$3:I$4))</f>
        <v>0</v>
      </c>
      <c r="J13" s="1">
        <f>SUMPRODUCT((NOT(ISBLANK(J$3:J$4))*(J$3:J$4=$BE$3:$BE$4))+ISBLANK(J$3:J$4))</f>
        <v>0</v>
      </c>
      <c r="K13" s="1">
        <f>SUMPRODUCT((NOT(ISBLANK(K$3:K$4))*(K$3:K$4=$BF$3:$BF$4))+ISBLANK(K$3:K$4))</f>
        <v>0</v>
      </c>
      <c r="L13" s="1"/>
      <c r="M13" s="1">
        <f>SUMPRODUCT((NOT(ISBLANK(M$3:M$4))*(M$3:M$4=$BG$3:$BG$4))+ISBLANK(M$3:M$4))</f>
        <v>0</v>
      </c>
      <c r="N13" s="1">
        <f>SUMPRODUCT((NOT(ISBLANK(N$3:N$4))*(N$3:N$4=$BH$3:$BH$4))+ISBLANK(N$3:N$4))</f>
        <v>0</v>
      </c>
      <c r="O13" s="1"/>
      <c r="P13" s="1">
        <f>SUMPRODUCT((NOT(ISBLANK(P$3:P$4))*(P$3:P$4=$BI$3:$BI$4))+ISBLANK(P$3:P$4))</f>
        <v>0</v>
      </c>
      <c r="Q13" s="1">
        <f>SUMPRODUCT((NOT(ISBLANK(Q$3:Q$4))*(Q$3:Q$4=$BJ$3:$BJ$4))+ISBLANK(Q$3:Q$4))</f>
        <v>0</v>
      </c>
      <c r="R13" s="1">
        <f>SUMPRODUCT((NOT(ISBLANK(R$3:R$4))*(R$3:R$4=$BK$3:$BK$4))+ISBLANK(R$3:R$4))</f>
        <v>0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T1299"/>
  <sheetViews>
    <sheetView workbookViewId="0"/>
  </sheetViews>
  <sheetFormatPr defaultRowHeight="15"/>
  <sheetData>
    <row r="2" spans="1:20">
      <c r="A2" t="s">
        <v>192</v>
      </c>
      <c r="B2">
        <v>1</v>
      </c>
      <c r="E2">
        <f>VLOOKUP(Charts!$F$3,A2:B16,2,FALSE)</f>
        <v>0</v>
      </c>
      <c r="K2">
        <f>E2</f>
        <v>0</v>
      </c>
      <c r="Q2">
        <f>VLOOKUP(Charts!$F$3,A2:B16,2,FALSE)</f>
        <v>0</v>
      </c>
    </row>
    <row r="3" spans="1:20">
      <c r="A3" t="s">
        <v>193</v>
      </c>
      <c r="B3">
        <v>2</v>
      </c>
      <c r="D3" t="s">
        <v>219</v>
      </c>
      <c r="E3">
        <f>Instances!B1</f>
        <v>0</v>
      </c>
      <c r="J3" t="s">
        <v>219</v>
      </c>
      <c r="K3">
        <f>E3</f>
        <v>0</v>
      </c>
      <c r="Q3">
        <f>Instances!B1</f>
        <v>0</v>
      </c>
    </row>
    <row r="4" spans="1:20">
      <c r="A4" t="s">
        <v>194</v>
      </c>
      <c r="B4">
        <v>3</v>
      </c>
      <c r="D4" t="s">
        <v>220</v>
      </c>
      <c r="E4" t="s">
        <v>224</v>
      </c>
      <c r="F4" t="s">
        <v>225</v>
      </c>
      <c r="H4" t="s">
        <v>226</v>
      </c>
      <c r="J4" t="s">
        <v>220</v>
      </c>
      <c r="K4" t="s">
        <v>224</v>
      </c>
      <c r="L4" t="s">
        <v>225</v>
      </c>
      <c r="N4" t="s">
        <v>226</v>
      </c>
      <c r="P4" t="s">
        <v>227</v>
      </c>
      <c r="Q4" t="s">
        <v>220</v>
      </c>
      <c r="R4" t="s">
        <v>225</v>
      </c>
      <c r="S4" t="s">
        <v>220</v>
      </c>
      <c r="T4" t="s">
        <v>226</v>
      </c>
    </row>
    <row r="5" spans="1:20">
      <c r="A5" t="s">
        <v>195</v>
      </c>
      <c r="B5">
        <v>4</v>
      </c>
      <c r="D5">
        <v>1</v>
      </c>
      <c r="E5">
        <f>IF(INDIRECT(ADDRESS($D5+2,E$2+1,,,"Instances"))="","",INDIRECT(ADDRESS($D5+2,E$2+1,,,"Instances")))</f>
        <v>0</v>
      </c>
      <c r="F5">
        <f>IFERROR(SMALL(E5:E188,ROW()-ROW($F$5)+1),"")</f>
        <v>0</v>
      </c>
      <c r="H5">
        <f>IFERROR(SUM(F5:F5),"")</f>
        <v>0</v>
      </c>
      <c r="J5">
        <v>1</v>
      </c>
      <c r="K5" cm="1">
        <f t="array" ref="K5">_xlfn.SWITCH(Charts!$B$3,"average", AVERAGE(INDIRECT(ADDRESS(0+3,K$2+1,,,"Instances") &amp; ":" &amp; ADDRESS(0+3,K$2+1))),"median", MEDIAN(INDIRECT(ADDRESS(0+3,K$2+1,,,"Instances") &amp; ":" &amp; ADDRESS(0+3,K$2+1))),"min", MIN(INDIRECT(ADDRESS(0+3,K$2+1,,,"Instances") &amp; ":" &amp; ADDRESS(0+3,K$2+1))),"max", MAX(INDIRECT(ADDRESS(0+3,K$2+1,,,"Instances") &amp; ":" &amp; ADDRESS(0+3,K$2+1))),"diff", MAX(INDIRECT(ADDRESS(0+3,K$2+1,,,"Instances") &amp; ":" &amp; ADDRESS(0+3,K$2+1)))-MIN(INDIRECT(ADDRESS(0+3,K$2+1,,,"Instances") &amp; ":" &amp; ADDRESS(0+3,K$2+1))))</f>
        <v>0</v>
      </c>
      <c r="L5">
        <f>IFERROR(SMALL(K5:K188,ROW()-ROW($L$5)+1),"")</f>
        <v>0</v>
      </c>
      <c r="N5">
        <f>IFERROR(SUM(L5:L5),"")</f>
        <v>0</v>
      </c>
      <c r="Q5">
        <f>IF(Charts!$B$3="none",E932,IF(K932="",NA(),K932))</f>
        <v>0</v>
      </c>
      <c r="R5">
        <f>IF(Charts!$B$3="none",F932,IF(L932="",NA(),L932))</f>
        <v>0</v>
      </c>
      <c r="S5">
        <f>IF(Charts!$B$3="none",G932,IF(M932="",NA(),M932))</f>
        <v>0</v>
      </c>
      <c r="T5">
        <f>IF(Charts!$B$3="none",H932,IF(N932="",NA(),N932))</f>
        <v>0</v>
      </c>
    </row>
    <row r="6" spans="1:20">
      <c r="A6" t="s">
        <v>196</v>
      </c>
      <c r="B6">
        <v>5</v>
      </c>
      <c r="D6">
        <v>2</v>
      </c>
      <c r="E6">
        <f>IF(INDIRECT(ADDRESS($D6+2,E$2+1,,,"Instances"))="","",INDIRECT(ADDRESS($D6+2,E$2+1,,,"Instances")))</f>
        <v>0</v>
      </c>
      <c r="F6">
        <f>IFERROR(SMALL(E5:E188,ROW()-ROW($F$5)+1),"")</f>
        <v>0</v>
      </c>
      <c r="H6">
        <f>IFERROR(SUM(F5:F6),"")</f>
        <v>0</v>
      </c>
      <c r="J6">
        <v>2</v>
      </c>
      <c r="K6" cm="1">
        <f t="array" ref="K6">_xlfn.SWITCH(Charts!$B$3,"average", AVERAGE(INDIRECT(ADDRESS(1+3,K$2+1,,,"Instances") &amp; ":" &amp; ADDRESS(1+3,K$2+1))),"median", MEDIAN(INDIRECT(ADDRESS(1+3,K$2+1,,,"Instances") &amp; ":" &amp; ADDRESS(1+3,K$2+1))),"min", MIN(INDIRECT(ADDRESS(1+3,K$2+1,,,"Instances") &amp; ":" &amp; ADDRESS(1+3,K$2+1))),"max", MAX(INDIRECT(ADDRESS(1+3,K$2+1,,,"Instances") &amp; ":" &amp; ADDRESS(1+3,K$2+1))),"diff", MAX(INDIRECT(ADDRESS(1+3,K$2+1,,,"Instances") &amp; ":" &amp; ADDRESS(1+3,K$2+1)))-MIN(INDIRECT(ADDRESS(1+3,K$2+1,,,"Instances") &amp; ":" &amp; ADDRESS(1+3,K$2+1))))</f>
        <v>0</v>
      </c>
      <c r="L6">
        <f>IFERROR(SMALL(K5:K188,ROW()-ROW($L$5)+1),"")</f>
        <v>0</v>
      </c>
      <c r="N6">
        <f>IFERROR(SUM(L5:L6),"")</f>
        <v>0</v>
      </c>
      <c r="Q6">
        <f>IF(Charts!$B$3="none",E933,IF(K933="",NA(),K933))</f>
        <v>0</v>
      </c>
      <c r="R6">
        <f>IF(Charts!$B$3="none",F933,IF(L933="",NA(),L933))</f>
        <v>0</v>
      </c>
      <c r="S6">
        <f>IF(Charts!$B$3="none",G933,IF(M933="",NA(),M933))</f>
        <v>0</v>
      </c>
      <c r="T6">
        <f>IF(Charts!$B$3="none",H933,IF(N933="",NA(),N933))</f>
        <v>0</v>
      </c>
    </row>
    <row r="7" spans="1:20">
      <c r="A7" t="s">
        <v>197</v>
      </c>
      <c r="B7">
        <v>6</v>
      </c>
      <c r="D7">
        <v>3</v>
      </c>
      <c r="E7">
        <f>IF(INDIRECT(ADDRESS($D7+2,E$2+1,,,"Instances"))="","",INDIRECT(ADDRESS($D7+2,E$2+1,,,"Instances")))</f>
        <v>0</v>
      </c>
      <c r="F7">
        <f>IFERROR(SMALL(E5:E188,ROW()-ROW($F$5)+1),"")</f>
        <v>0</v>
      </c>
      <c r="H7">
        <f>IFERROR(SUM(F5:F7),"")</f>
        <v>0</v>
      </c>
      <c r="J7">
        <v>3</v>
      </c>
      <c r="K7" cm="1">
        <f t="array" ref="K7">_xlfn.SWITCH(Charts!$B$3,"average", AVERAGE(INDIRECT(ADDRESS(2+3,K$2+1,,,"Instances") &amp; ":" &amp; ADDRESS(2+3,K$2+1))),"median", MEDIAN(INDIRECT(ADDRESS(2+3,K$2+1,,,"Instances") &amp; ":" &amp; ADDRESS(2+3,K$2+1))),"min", MIN(INDIRECT(ADDRESS(2+3,K$2+1,,,"Instances") &amp; ":" &amp; ADDRESS(2+3,K$2+1))),"max", MAX(INDIRECT(ADDRESS(2+3,K$2+1,,,"Instances") &amp; ":" &amp; ADDRESS(2+3,K$2+1))),"diff", MAX(INDIRECT(ADDRESS(2+3,K$2+1,,,"Instances") &amp; ":" &amp; ADDRESS(2+3,K$2+1)))-MIN(INDIRECT(ADDRESS(2+3,K$2+1,,,"Instances") &amp; ":" &amp; ADDRESS(2+3,K$2+1))))</f>
        <v>0</v>
      </c>
      <c r="L7">
        <f>IFERROR(SMALL(K5:K188,ROW()-ROW($L$5)+1),"")</f>
        <v>0</v>
      </c>
      <c r="N7">
        <f>IFERROR(SUM(L5:L7),"")</f>
        <v>0</v>
      </c>
      <c r="Q7">
        <f>IF(Charts!$B$3="none",E934,IF(K934="",NA(),K934))</f>
        <v>0</v>
      </c>
      <c r="R7">
        <f>IF(Charts!$B$3="none",F934,IF(L934="",NA(),L934))</f>
        <v>0</v>
      </c>
      <c r="S7">
        <f>IF(Charts!$B$3="none",G934,IF(M934="",NA(),M934))</f>
        <v>0</v>
      </c>
      <c r="T7">
        <f>IF(Charts!$B$3="none",H934,IF(N934="",NA(),N934))</f>
        <v>0</v>
      </c>
    </row>
    <row r="8" spans="1:20">
      <c r="A8" t="s">
        <v>198</v>
      </c>
      <c r="B8">
        <v>7</v>
      </c>
      <c r="D8">
        <v>4</v>
      </c>
      <c r="E8">
        <f>IF(INDIRECT(ADDRESS($D8+2,E$2+1,,,"Instances"))="","",INDIRECT(ADDRESS($D8+2,E$2+1,,,"Instances")))</f>
        <v>0</v>
      </c>
      <c r="F8">
        <f>IFERROR(SMALL(E5:E188,ROW()-ROW($F$5)+1),"")</f>
        <v>0</v>
      </c>
      <c r="H8">
        <f>IFERROR(SUM(F5:F8),"")</f>
        <v>0</v>
      </c>
      <c r="J8">
        <v>4</v>
      </c>
      <c r="K8" cm="1">
        <f t="array" ref="K8">_xlfn.SWITCH(Charts!$B$3,"average", AVERAGE(INDIRECT(ADDRESS(3+3,K$2+1,,,"Instances") &amp; ":" &amp; ADDRESS(3+3,K$2+1))),"median", MEDIAN(INDIRECT(ADDRESS(3+3,K$2+1,,,"Instances") &amp; ":" &amp; ADDRESS(3+3,K$2+1))),"min", MIN(INDIRECT(ADDRESS(3+3,K$2+1,,,"Instances") &amp; ":" &amp; ADDRESS(3+3,K$2+1))),"max", MAX(INDIRECT(ADDRESS(3+3,K$2+1,,,"Instances") &amp; ":" &amp; ADDRESS(3+3,K$2+1))),"diff", MAX(INDIRECT(ADDRESS(3+3,K$2+1,,,"Instances") &amp; ":" &amp; ADDRESS(3+3,K$2+1)))-MIN(INDIRECT(ADDRESS(3+3,K$2+1,,,"Instances") &amp; ":" &amp; ADDRESS(3+3,K$2+1))))</f>
        <v>0</v>
      </c>
      <c r="L8">
        <f>IFERROR(SMALL(K5:K188,ROW()-ROW($L$5)+1),"")</f>
        <v>0</v>
      </c>
      <c r="N8">
        <f>IFERROR(SUM(L5:L8),"")</f>
        <v>0</v>
      </c>
      <c r="Q8">
        <f>IF(Charts!$B$3="none",E935,IF(K935="",NA(),K935))</f>
        <v>0</v>
      </c>
      <c r="R8">
        <f>IF(Charts!$B$3="none",F935,IF(L935="",NA(),L935))</f>
        <v>0</v>
      </c>
      <c r="S8">
        <f>IF(Charts!$B$3="none",G935,IF(M935="",NA(),M935))</f>
        <v>0</v>
      </c>
      <c r="T8">
        <f>IF(Charts!$B$3="none",H935,IF(N935="",NA(),N935))</f>
        <v>0</v>
      </c>
    </row>
    <row r="9" spans="1:20">
      <c r="A9" t="s">
        <v>199</v>
      </c>
      <c r="B9">
        <v>8</v>
      </c>
      <c r="D9">
        <v>5</v>
      </c>
      <c r="E9">
        <f>IF(INDIRECT(ADDRESS($D9+2,E$2+1,,,"Instances"))="","",INDIRECT(ADDRESS($D9+2,E$2+1,,,"Instances")))</f>
        <v>0</v>
      </c>
      <c r="F9">
        <f>IFERROR(SMALL(E5:E188,ROW()-ROW($F$5)+1),"")</f>
        <v>0</v>
      </c>
      <c r="H9">
        <f>IFERROR(SUM(F5:F9),"")</f>
        <v>0</v>
      </c>
      <c r="J9">
        <v>5</v>
      </c>
      <c r="K9" cm="1">
        <f t="array" ref="K9">_xlfn.SWITCH(Charts!$B$3,"average", AVERAGE(INDIRECT(ADDRESS(4+3,K$2+1,,,"Instances") &amp; ":" &amp; ADDRESS(4+3,K$2+1))),"median", MEDIAN(INDIRECT(ADDRESS(4+3,K$2+1,,,"Instances") &amp; ":" &amp; ADDRESS(4+3,K$2+1))),"min", MIN(INDIRECT(ADDRESS(4+3,K$2+1,,,"Instances") &amp; ":" &amp; ADDRESS(4+3,K$2+1))),"max", MAX(INDIRECT(ADDRESS(4+3,K$2+1,,,"Instances") &amp; ":" &amp; ADDRESS(4+3,K$2+1))),"diff", MAX(INDIRECT(ADDRESS(4+3,K$2+1,,,"Instances") &amp; ":" &amp; ADDRESS(4+3,K$2+1)))-MIN(INDIRECT(ADDRESS(4+3,K$2+1,,,"Instances") &amp; ":" &amp; ADDRESS(4+3,K$2+1))))</f>
        <v>0</v>
      </c>
      <c r="L9">
        <f>IFERROR(SMALL(K5:K188,ROW()-ROW($L$5)+1),"")</f>
        <v>0</v>
      </c>
      <c r="N9">
        <f>IFERROR(SUM(L5:L9),"")</f>
        <v>0</v>
      </c>
      <c r="Q9">
        <f>IF(Charts!$B$3="none",E936,IF(K936="",NA(),K936))</f>
        <v>0</v>
      </c>
      <c r="R9">
        <f>IF(Charts!$B$3="none",F936,IF(L936="",NA(),L936))</f>
        <v>0</v>
      </c>
      <c r="S9">
        <f>IF(Charts!$B$3="none",G936,IF(M936="",NA(),M936))</f>
        <v>0</v>
      </c>
      <c r="T9">
        <f>IF(Charts!$B$3="none",H936,IF(N936="",NA(),N936))</f>
        <v>0</v>
      </c>
    </row>
    <row r="10" spans="1:20">
      <c r="A10" t="s">
        <v>200</v>
      </c>
      <c r="B10">
        <v>9</v>
      </c>
      <c r="D10">
        <v>6</v>
      </c>
      <c r="E10">
        <f>IF(INDIRECT(ADDRESS($D10+2,E$2+1,,,"Instances"))="","",INDIRECT(ADDRESS($D10+2,E$2+1,,,"Instances")))</f>
        <v>0</v>
      </c>
      <c r="F10">
        <f>IFERROR(SMALL(E5:E188,ROW()-ROW($F$5)+1),"")</f>
        <v>0</v>
      </c>
      <c r="H10">
        <f>IFERROR(SUM(F5:F10),"")</f>
        <v>0</v>
      </c>
      <c r="J10">
        <v>6</v>
      </c>
      <c r="K10" cm="1">
        <f t="array" ref="K10">_xlfn.SWITCH(Charts!$B$3,"average", AVERAGE(INDIRECT(ADDRESS(5+3,K$2+1,,,"Instances") &amp; ":" &amp; ADDRESS(5+3,K$2+1))),"median", MEDIAN(INDIRECT(ADDRESS(5+3,K$2+1,,,"Instances") &amp; ":" &amp; ADDRESS(5+3,K$2+1))),"min", MIN(INDIRECT(ADDRESS(5+3,K$2+1,,,"Instances") &amp; ":" &amp; ADDRESS(5+3,K$2+1))),"max", MAX(INDIRECT(ADDRESS(5+3,K$2+1,,,"Instances") &amp; ":" &amp; ADDRESS(5+3,K$2+1))),"diff", MAX(INDIRECT(ADDRESS(5+3,K$2+1,,,"Instances") &amp; ":" &amp; ADDRESS(5+3,K$2+1)))-MIN(INDIRECT(ADDRESS(5+3,K$2+1,,,"Instances") &amp; ":" &amp; ADDRESS(5+3,K$2+1))))</f>
        <v>0</v>
      </c>
      <c r="L10">
        <f>IFERROR(SMALL(K5:K188,ROW()-ROW($L$5)+1),"")</f>
        <v>0</v>
      </c>
      <c r="N10">
        <f>IFERROR(SUM(L5:L10),"")</f>
        <v>0</v>
      </c>
      <c r="Q10">
        <f>IF(Charts!$B$3="none",E937,IF(K937="",NA(),K937))</f>
        <v>0</v>
      </c>
      <c r="R10">
        <f>IF(Charts!$B$3="none",F937,IF(L937="",NA(),L937))</f>
        <v>0</v>
      </c>
      <c r="S10">
        <f>IF(Charts!$B$3="none",G937,IF(M937="",NA(),M937))</f>
        <v>0</v>
      </c>
      <c r="T10">
        <f>IF(Charts!$B$3="none",H937,IF(N937="",NA(),N937))</f>
        <v>0</v>
      </c>
    </row>
    <row r="11" spans="1:20">
      <c r="A11" t="s">
        <v>201</v>
      </c>
      <c r="B11">
        <v>10</v>
      </c>
      <c r="D11">
        <v>7</v>
      </c>
      <c r="E11">
        <f>IF(INDIRECT(ADDRESS($D11+2,E$2+1,,,"Instances"))="","",INDIRECT(ADDRESS($D11+2,E$2+1,,,"Instances")))</f>
        <v>0</v>
      </c>
      <c r="F11">
        <f>IFERROR(SMALL(E5:E188,ROW()-ROW($F$5)+1),"")</f>
        <v>0</v>
      </c>
      <c r="H11">
        <f>IFERROR(SUM(F5:F11),"")</f>
        <v>0</v>
      </c>
      <c r="J11">
        <v>7</v>
      </c>
      <c r="K11" cm="1">
        <f t="array" ref="K11">_xlfn.SWITCH(Charts!$B$3,"average", AVERAGE(INDIRECT(ADDRESS(6+3,K$2+1,,,"Instances") &amp; ":" &amp; ADDRESS(6+3,K$2+1))),"median", MEDIAN(INDIRECT(ADDRESS(6+3,K$2+1,,,"Instances") &amp; ":" &amp; ADDRESS(6+3,K$2+1))),"min", MIN(INDIRECT(ADDRESS(6+3,K$2+1,,,"Instances") &amp; ":" &amp; ADDRESS(6+3,K$2+1))),"max", MAX(INDIRECT(ADDRESS(6+3,K$2+1,,,"Instances") &amp; ":" &amp; ADDRESS(6+3,K$2+1))),"diff", MAX(INDIRECT(ADDRESS(6+3,K$2+1,,,"Instances") &amp; ":" &amp; ADDRESS(6+3,K$2+1)))-MIN(INDIRECT(ADDRESS(6+3,K$2+1,,,"Instances") &amp; ":" &amp; ADDRESS(6+3,K$2+1))))</f>
        <v>0</v>
      </c>
      <c r="L11">
        <f>IFERROR(SMALL(K5:K188,ROW()-ROW($L$5)+1),"")</f>
        <v>0</v>
      </c>
      <c r="N11">
        <f>IFERROR(SUM(L5:L11),"")</f>
        <v>0</v>
      </c>
      <c r="Q11">
        <f>IF(Charts!$B$3="none",E938,IF(K938="",NA(),K938))</f>
        <v>0</v>
      </c>
      <c r="R11">
        <f>IF(Charts!$B$3="none",F938,IF(L938="",NA(),L938))</f>
        <v>0</v>
      </c>
      <c r="S11">
        <f>IF(Charts!$B$3="none",G938,IF(M938="",NA(),M938))</f>
        <v>0</v>
      </c>
      <c r="T11">
        <f>IF(Charts!$B$3="none",H938,IF(N938="",NA(),N938))</f>
        <v>0</v>
      </c>
    </row>
    <row r="12" spans="1:20">
      <c r="A12" t="s">
        <v>206</v>
      </c>
      <c r="B12">
        <v>12</v>
      </c>
      <c r="D12">
        <v>8</v>
      </c>
      <c r="E12">
        <f>IF(INDIRECT(ADDRESS($D12+2,E$2+1,,,"Instances"))="","",INDIRECT(ADDRESS($D12+2,E$2+1,,,"Instances")))</f>
        <v>0</v>
      </c>
      <c r="F12">
        <f>IFERROR(SMALL(E5:E188,ROW()-ROW($F$5)+1),"")</f>
        <v>0</v>
      </c>
      <c r="H12">
        <f>IFERROR(SUM(F5:F12),"")</f>
        <v>0</v>
      </c>
      <c r="J12">
        <v>8</v>
      </c>
      <c r="K12" cm="1">
        <f t="array" ref="K12">_xlfn.SWITCH(Charts!$B$3,"average", AVERAGE(INDIRECT(ADDRESS(7+3,K$2+1,,,"Instances") &amp; ":" &amp; ADDRESS(7+3,K$2+1))),"median", MEDIAN(INDIRECT(ADDRESS(7+3,K$2+1,,,"Instances") &amp; ":" &amp; ADDRESS(7+3,K$2+1))),"min", MIN(INDIRECT(ADDRESS(7+3,K$2+1,,,"Instances") &amp; ":" &amp; ADDRESS(7+3,K$2+1))),"max", MAX(INDIRECT(ADDRESS(7+3,K$2+1,,,"Instances") &amp; ":" &amp; ADDRESS(7+3,K$2+1))),"diff", MAX(INDIRECT(ADDRESS(7+3,K$2+1,,,"Instances") &amp; ":" &amp; ADDRESS(7+3,K$2+1)))-MIN(INDIRECT(ADDRESS(7+3,K$2+1,,,"Instances") &amp; ":" &amp; ADDRESS(7+3,K$2+1))))</f>
        <v>0</v>
      </c>
      <c r="L12">
        <f>IFERROR(SMALL(K5:K188,ROW()-ROW($L$5)+1),"")</f>
        <v>0</v>
      </c>
      <c r="N12">
        <f>IFERROR(SUM(L5:L12),"")</f>
        <v>0</v>
      </c>
      <c r="Q12">
        <f>IF(Charts!$B$3="none",E939,IF(K939="",NA(),K939))</f>
        <v>0</v>
      </c>
      <c r="R12">
        <f>IF(Charts!$B$3="none",F939,IF(L939="",NA(),L939))</f>
        <v>0</v>
      </c>
      <c r="S12">
        <f>IF(Charts!$B$3="none",G939,IF(M939="",NA(),M939))</f>
        <v>0</v>
      </c>
      <c r="T12">
        <f>IF(Charts!$B$3="none",H939,IF(N939="",NA(),N939))</f>
        <v>0</v>
      </c>
    </row>
    <row r="13" spans="1:20">
      <c r="A13" t="s">
        <v>207</v>
      </c>
      <c r="B13">
        <v>13</v>
      </c>
      <c r="D13">
        <v>9</v>
      </c>
      <c r="E13">
        <f>IF(INDIRECT(ADDRESS($D13+2,E$2+1,,,"Instances"))="","",INDIRECT(ADDRESS($D13+2,E$2+1,,,"Instances")))</f>
        <v>0</v>
      </c>
      <c r="F13">
        <f>IFERROR(SMALL(E5:E188,ROW()-ROW($F$5)+1),"")</f>
        <v>0</v>
      </c>
      <c r="H13">
        <f>IFERROR(SUM(F5:F13),"")</f>
        <v>0</v>
      </c>
      <c r="J13">
        <v>9</v>
      </c>
      <c r="K13" cm="1">
        <f t="array" ref="K13">_xlfn.SWITCH(Charts!$B$3,"average", AVERAGE(INDIRECT(ADDRESS(8+3,K$2+1,,,"Instances") &amp; ":" &amp; ADDRESS(8+3,K$2+1))),"median", MEDIAN(INDIRECT(ADDRESS(8+3,K$2+1,,,"Instances") &amp; ":" &amp; ADDRESS(8+3,K$2+1))),"min", MIN(INDIRECT(ADDRESS(8+3,K$2+1,,,"Instances") &amp; ":" &amp; ADDRESS(8+3,K$2+1))),"max", MAX(INDIRECT(ADDRESS(8+3,K$2+1,,,"Instances") &amp; ":" &amp; ADDRESS(8+3,K$2+1))),"diff", MAX(INDIRECT(ADDRESS(8+3,K$2+1,,,"Instances") &amp; ":" &amp; ADDRESS(8+3,K$2+1)))-MIN(INDIRECT(ADDRESS(8+3,K$2+1,,,"Instances") &amp; ":" &amp; ADDRESS(8+3,K$2+1))))</f>
        <v>0</v>
      </c>
      <c r="L13">
        <f>IFERROR(SMALL(K5:K188,ROW()-ROW($L$5)+1),"")</f>
        <v>0</v>
      </c>
      <c r="N13">
        <f>IFERROR(SUM(L5:L13),"")</f>
        <v>0</v>
      </c>
      <c r="Q13">
        <f>IF(Charts!$B$3="none",E940,IF(K940="",NA(),K940))</f>
        <v>0</v>
      </c>
      <c r="R13">
        <f>IF(Charts!$B$3="none",F940,IF(L940="",NA(),L940))</f>
        <v>0</v>
      </c>
      <c r="S13">
        <f>IF(Charts!$B$3="none",G940,IF(M940="",NA(),M940))</f>
        <v>0</v>
      </c>
      <c r="T13">
        <f>IF(Charts!$B$3="none",H940,IF(N940="",NA(),N940))</f>
        <v>0</v>
      </c>
    </row>
    <row r="14" spans="1:20">
      <c r="A14" t="s">
        <v>211</v>
      </c>
      <c r="B14">
        <v>15</v>
      </c>
      <c r="D14">
        <v>10</v>
      </c>
      <c r="E14">
        <f>IF(INDIRECT(ADDRESS($D14+2,E$2+1,,,"Instances"))="","",INDIRECT(ADDRESS($D14+2,E$2+1,,,"Instances")))</f>
        <v>0</v>
      </c>
      <c r="F14">
        <f>IFERROR(SMALL(E5:E188,ROW()-ROW($F$5)+1),"")</f>
        <v>0</v>
      </c>
      <c r="H14">
        <f>IFERROR(SUM(F5:F14),"")</f>
        <v>0</v>
      </c>
      <c r="J14">
        <v>10</v>
      </c>
      <c r="K14" cm="1">
        <f t="array" ref="K14">_xlfn.SWITCH(Charts!$B$3,"average", AVERAGE(INDIRECT(ADDRESS(9+3,K$2+1,,,"Instances") &amp; ":" &amp; ADDRESS(9+3,K$2+1))),"median", MEDIAN(INDIRECT(ADDRESS(9+3,K$2+1,,,"Instances") &amp; ":" &amp; ADDRESS(9+3,K$2+1))),"min", MIN(INDIRECT(ADDRESS(9+3,K$2+1,,,"Instances") &amp; ":" &amp; ADDRESS(9+3,K$2+1))),"max", MAX(INDIRECT(ADDRESS(9+3,K$2+1,,,"Instances") &amp; ":" &amp; ADDRESS(9+3,K$2+1))),"diff", MAX(INDIRECT(ADDRESS(9+3,K$2+1,,,"Instances") &amp; ":" &amp; ADDRESS(9+3,K$2+1)))-MIN(INDIRECT(ADDRESS(9+3,K$2+1,,,"Instances") &amp; ":" &amp; ADDRESS(9+3,K$2+1))))</f>
        <v>0</v>
      </c>
      <c r="L14">
        <f>IFERROR(SMALL(K5:K188,ROW()-ROW($L$5)+1),"")</f>
        <v>0</v>
      </c>
      <c r="N14">
        <f>IFERROR(SUM(L5:L14),"")</f>
        <v>0</v>
      </c>
      <c r="Q14">
        <f>IF(Charts!$B$3="none",E941,IF(K941="",NA(),K941))</f>
        <v>0</v>
      </c>
      <c r="R14">
        <f>IF(Charts!$B$3="none",F941,IF(L941="",NA(),L941))</f>
        <v>0</v>
      </c>
      <c r="S14">
        <f>IF(Charts!$B$3="none",G941,IF(M941="",NA(),M941))</f>
        <v>0</v>
      </c>
      <c r="T14">
        <f>IF(Charts!$B$3="none",H941,IF(N941="",NA(),N941))</f>
        <v>0</v>
      </c>
    </row>
    <row r="15" spans="1:20">
      <c r="A15" t="s">
        <v>212</v>
      </c>
      <c r="B15">
        <v>16</v>
      </c>
      <c r="D15">
        <v>11</v>
      </c>
      <c r="E15">
        <f>IF(INDIRECT(ADDRESS($D15+2,E$2+1,,,"Instances"))="","",INDIRECT(ADDRESS($D15+2,E$2+1,,,"Instances")))</f>
        <v>0</v>
      </c>
      <c r="F15">
        <f>IFERROR(SMALL(E5:E188,ROW()-ROW($F$5)+1),"")</f>
        <v>0</v>
      </c>
      <c r="H15">
        <f>IFERROR(SUM(F5:F15),"")</f>
        <v>0</v>
      </c>
      <c r="J15">
        <v>11</v>
      </c>
      <c r="K15" cm="1">
        <f t="array" ref="K15">_xlfn.SWITCH(Charts!$B$3,"average", AVERAGE(INDIRECT(ADDRESS(10+3,K$2+1,,,"Instances") &amp; ":" &amp; ADDRESS(10+3,K$2+1))),"median", MEDIAN(INDIRECT(ADDRESS(10+3,K$2+1,,,"Instances") &amp; ":" &amp; ADDRESS(10+3,K$2+1))),"min", MIN(INDIRECT(ADDRESS(10+3,K$2+1,,,"Instances") &amp; ":" &amp; ADDRESS(10+3,K$2+1))),"max", MAX(INDIRECT(ADDRESS(10+3,K$2+1,,,"Instances") &amp; ":" &amp; ADDRESS(10+3,K$2+1))),"diff", MAX(INDIRECT(ADDRESS(10+3,K$2+1,,,"Instances") &amp; ":" &amp; ADDRESS(10+3,K$2+1)))-MIN(INDIRECT(ADDRESS(10+3,K$2+1,,,"Instances") &amp; ":" &amp; ADDRESS(10+3,K$2+1))))</f>
        <v>0</v>
      </c>
      <c r="L15">
        <f>IFERROR(SMALL(K5:K188,ROW()-ROW($L$5)+1),"")</f>
        <v>0</v>
      </c>
      <c r="N15">
        <f>IFERROR(SUM(L5:L15),"")</f>
        <v>0</v>
      </c>
      <c r="Q15">
        <f>IF(Charts!$B$3="none",E942,IF(K942="",NA(),K942))</f>
        <v>0</v>
      </c>
      <c r="R15">
        <f>IF(Charts!$B$3="none",F942,IF(L942="",NA(),L942))</f>
        <v>0</v>
      </c>
      <c r="S15">
        <f>IF(Charts!$B$3="none",G942,IF(M942="",NA(),M942))</f>
        <v>0</v>
      </c>
      <c r="T15">
        <f>IF(Charts!$B$3="none",H942,IF(N942="",NA(),N942))</f>
        <v>0</v>
      </c>
    </row>
    <row r="16" spans="1:20">
      <c r="A16" t="s">
        <v>213</v>
      </c>
      <c r="B16">
        <v>17</v>
      </c>
      <c r="D16">
        <v>12</v>
      </c>
      <c r="E16">
        <f>IF(INDIRECT(ADDRESS($D16+2,E$2+1,,,"Instances"))="","",INDIRECT(ADDRESS($D16+2,E$2+1,,,"Instances")))</f>
        <v>0</v>
      </c>
      <c r="F16">
        <f>IFERROR(SMALL(E5:E188,ROW()-ROW($F$5)+1),"")</f>
        <v>0</v>
      </c>
      <c r="H16">
        <f>IFERROR(SUM(F5:F16),"")</f>
        <v>0</v>
      </c>
      <c r="J16">
        <v>12</v>
      </c>
      <c r="K16" cm="1">
        <f t="array" ref="K16">_xlfn.SWITCH(Charts!$B$3,"average", AVERAGE(INDIRECT(ADDRESS(11+3,K$2+1,,,"Instances") &amp; ":" &amp; ADDRESS(11+3,K$2+1))),"median", MEDIAN(INDIRECT(ADDRESS(11+3,K$2+1,,,"Instances") &amp; ":" &amp; ADDRESS(11+3,K$2+1))),"min", MIN(INDIRECT(ADDRESS(11+3,K$2+1,,,"Instances") &amp; ":" &amp; ADDRESS(11+3,K$2+1))),"max", MAX(INDIRECT(ADDRESS(11+3,K$2+1,,,"Instances") &amp; ":" &amp; ADDRESS(11+3,K$2+1))),"diff", MAX(INDIRECT(ADDRESS(11+3,K$2+1,,,"Instances") &amp; ":" &amp; ADDRESS(11+3,K$2+1)))-MIN(INDIRECT(ADDRESS(11+3,K$2+1,,,"Instances") &amp; ":" &amp; ADDRESS(11+3,K$2+1))))</f>
        <v>0</v>
      </c>
      <c r="L16">
        <f>IFERROR(SMALL(K5:K188,ROW()-ROW($L$5)+1),"")</f>
        <v>0</v>
      </c>
      <c r="N16">
        <f>IFERROR(SUM(L5:L16),"")</f>
        <v>0</v>
      </c>
      <c r="Q16">
        <f>IF(Charts!$B$3="none",E943,IF(K943="",NA(),K943))</f>
        <v>0</v>
      </c>
      <c r="R16">
        <f>IF(Charts!$B$3="none",F943,IF(L943="",NA(),L943))</f>
        <v>0</v>
      </c>
      <c r="S16">
        <f>IF(Charts!$B$3="none",G943,IF(M943="",NA(),M943))</f>
        <v>0</v>
      </c>
      <c r="T16">
        <f>IF(Charts!$B$3="none",H943,IF(N943="",NA(),N943))</f>
        <v>0</v>
      </c>
    </row>
    <row r="17" spans="4:20">
      <c r="D17">
        <v>13</v>
      </c>
      <c r="E17">
        <f>IF(INDIRECT(ADDRESS($D17+2,E$2+1,,,"Instances"))="","",INDIRECT(ADDRESS($D17+2,E$2+1,,,"Instances")))</f>
        <v>0</v>
      </c>
      <c r="F17">
        <f>IFERROR(SMALL(E5:E188,ROW()-ROW($F$5)+1),"")</f>
        <v>0</v>
      </c>
      <c r="H17">
        <f>IFERROR(SUM(F5:F17),"")</f>
        <v>0</v>
      </c>
      <c r="J17">
        <v>13</v>
      </c>
      <c r="K17" cm="1">
        <f t="array" ref="K17">_xlfn.SWITCH(Charts!$B$3,"average", AVERAGE(INDIRECT(ADDRESS(12+3,K$2+1,,,"Instances") &amp; ":" &amp; ADDRESS(12+3,K$2+1))),"median", MEDIAN(INDIRECT(ADDRESS(12+3,K$2+1,,,"Instances") &amp; ":" &amp; ADDRESS(12+3,K$2+1))),"min", MIN(INDIRECT(ADDRESS(12+3,K$2+1,,,"Instances") &amp; ":" &amp; ADDRESS(12+3,K$2+1))),"max", MAX(INDIRECT(ADDRESS(12+3,K$2+1,,,"Instances") &amp; ":" &amp; ADDRESS(12+3,K$2+1))),"diff", MAX(INDIRECT(ADDRESS(12+3,K$2+1,,,"Instances") &amp; ":" &amp; ADDRESS(12+3,K$2+1)))-MIN(INDIRECT(ADDRESS(12+3,K$2+1,,,"Instances") &amp; ":" &amp; ADDRESS(12+3,K$2+1))))</f>
        <v>0</v>
      </c>
      <c r="L17">
        <f>IFERROR(SMALL(K5:K188,ROW()-ROW($L$5)+1),"")</f>
        <v>0</v>
      </c>
      <c r="N17">
        <f>IFERROR(SUM(L5:L17),"")</f>
        <v>0</v>
      </c>
      <c r="Q17">
        <f>IF(Charts!$B$3="none",E944,IF(K944="",NA(),K944))</f>
        <v>0</v>
      </c>
      <c r="R17">
        <f>IF(Charts!$B$3="none",F944,IF(L944="",NA(),L944))</f>
        <v>0</v>
      </c>
      <c r="S17">
        <f>IF(Charts!$B$3="none",G944,IF(M944="",NA(),M944))</f>
        <v>0</v>
      </c>
      <c r="T17">
        <f>IF(Charts!$B$3="none",H944,IF(N944="",NA(),N944))</f>
        <v>0</v>
      </c>
    </row>
    <row r="18" spans="4:20">
      <c r="D18">
        <v>14</v>
      </c>
      <c r="E18">
        <f>IF(INDIRECT(ADDRESS($D18+2,E$2+1,,,"Instances"))="","",INDIRECT(ADDRESS($D18+2,E$2+1,,,"Instances")))</f>
        <v>0</v>
      </c>
      <c r="F18">
        <f>IFERROR(SMALL(E5:E188,ROW()-ROW($F$5)+1),"")</f>
        <v>0</v>
      </c>
      <c r="H18">
        <f>IFERROR(SUM(F5:F18),"")</f>
        <v>0</v>
      </c>
      <c r="J18">
        <v>14</v>
      </c>
      <c r="K18" cm="1">
        <f t="array" ref="K18">_xlfn.SWITCH(Charts!$B$3,"average", AVERAGE(INDIRECT(ADDRESS(13+3,K$2+1,,,"Instances") &amp; ":" &amp; ADDRESS(13+3,K$2+1))),"median", MEDIAN(INDIRECT(ADDRESS(13+3,K$2+1,,,"Instances") &amp; ":" &amp; ADDRESS(13+3,K$2+1))),"min", MIN(INDIRECT(ADDRESS(13+3,K$2+1,,,"Instances") &amp; ":" &amp; ADDRESS(13+3,K$2+1))),"max", MAX(INDIRECT(ADDRESS(13+3,K$2+1,,,"Instances") &amp; ":" &amp; ADDRESS(13+3,K$2+1))),"diff", MAX(INDIRECT(ADDRESS(13+3,K$2+1,,,"Instances") &amp; ":" &amp; ADDRESS(13+3,K$2+1)))-MIN(INDIRECT(ADDRESS(13+3,K$2+1,,,"Instances") &amp; ":" &amp; ADDRESS(13+3,K$2+1))))</f>
        <v>0</v>
      </c>
      <c r="L18">
        <f>IFERROR(SMALL(K5:K188,ROW()-ROW($L$5)+1),"")</f>
        <v>0</v>
      </c>
      <c r="N18">
        <f>IFERROR(SUM(L5:L18),"")</f>
        <v>0</v>
      </c>
      <c r="Q18">
        <f>IF(Charts!$B$3="none",E945,IF(K945="",NA(),K945))</f>
        <v>0</v>
      </c>
      <c r="R18">
        <f>IF(Charts!$B$3="none",F945,IF(L945="",NA(),L945))</f>
        <v>0</v>
      </c>
      <c r="S18">
        <f>IF(Charts!$B$3="none",G945,IF(M945="",NA(),M945))</f>
        <v>0</v>
      </c>
      <c r="T18">
        <f>IF(Charts!$B$3="none",H945,IF(N945="",NA(),N945))</f>
        <v>0</v>
      </c>
    </row>
    <row r="19" spans="4:20">
      <c r="D19">
        <v>15</v>
      </c>
      <c r="E19">
        <f>IF(INDIRECT(ADDRESS($D19+2,E$2+1,,,"Instances"))="","",INDIRECT(ADDRESS($D19+2,E$2+1,,,"Instances")))</f>
        <v>0</v>
      </c>
      <c r="F19">
        <f>IFERROR(SMALL(E5:E188,ROW()-ROW($F$5)+1),"")</f>
        <v>0</v>
      </c>
      <c r="H19">
        <f>IFERROR(SUM(F5:F19),"")</f>
        <v>0</v>
      </c>
      <c r="J19">
        <v>15</v>
      </c>
      <c r="K19" cm="1">
        <f t="array" ref="K19">_xlfn.SWITCH(Charts!$B$3,"average", AVERAGE(INDIRECT(ADDRESS(14+3,K$2+1,,,"Instances") &amp; ":" &amp; ADDRESS(14+3,K$2+1))),"median", MEDIAN(INDIRECT(ADDRESS(14+3,K$2+1,,,"Instances") &amp; ":" &amp; ADDRESS(14+3,K$2+1))),"min", MIN(INDIRECT(ADDRESS(14+3,K$2+1,,,"Instances") &amp; ":" &amp; ADDRESS(14+3,K$2+1))),"max", MAX(INDIRECT(ADDRESS(14+3,K$2+1,,,"Instances") &amp; ":" &amp; ADDRESS(14+3,K$2+1))),"diff", MAX(INDIRECT(ADDRESS(14+3,K$2+1,,,"Instances") &amp; ":" &amp; ADDRESS(14+3,K$2+1)))-MIN(INDIRECT(ADDRESS(14+3,K$2+1,,,"Instances") &amp; ":" &amp; ADDRESS(14+3,K$2+1))))</f>
        <v>0</v>
      </c>
      <c r="L19">
        <f>IFERROR(SMALL(K5:K188,ROW()-ROW($L$5)+1),"")</f>
        <v>0</v>
      </c>
      <c r="N19">
        <f>IFERROR(SUM(L5:L19),"")</f>
        <v>0</v>
      </c>
      <c r="Q19">
        <f>IF(Charts!$B$3="none",E946,IF(K946="",NA(),K946))</f>
        <v>0</v>
      </c>
      <c r="R19">
        <f>IF(Charts!$B$3="none",F946,IF(L946="",NA(),L946))</f>
        <v>0</v>
      </c>
      <c r="S19">
        <f>IF(Charts!$B$3="none",G946,IF(M946="",NA(),M946))</f>
        <v>0</v>
      </c>
      <c r="T19">
        <f>IF(Charts!$B$3="none",H946,IF(N946="",NA(),N946))</f>
        <v>0</v>
      </c>
    </row>
    <row r="20" spans="4:20">
      <c r="D20">
        <v>16</v>
      </c>
      <c r="E20">
        <f>IF(INDIRECT(ADDRESS($D20+2,E$2+1,,,"Instances"))="","",INDIRECT(ADDRESS($D20+2,E$2+1,,,"Instances")))</f>
        <v>0</v>
      </c>
      <c r="F20">
        <f>IFERROR(SMALL(E5:E188,ROW()-ROW($F$5)+1),"")</f>
        <v>0</v>
      </c>
      <c r="H20">
        <f>IFERROR(SUM(F5:F20),"")</f>
        <v>0</v>
      </c>
      <c r="J20">
        <v>16</v>
      </c>
      <c r="K20" cm="1">
        <f t="array" ref="K20">_xlfn.SWITCH(Charts!$B$3,"average", AVERAGE(INDIRECT(ADDRESS(15+3,K$2+1,,,"Instances") &amp; ":" &amp; ADDRESS(15+3,K$2+1))),"median", MEDIAN(INDIRECT(ADDRESS(15+3,K$2+1,,,"Instances") &amp; ":" &amp; ADDRESS(15+3,K$2+1))),"min", MIN(INDIRECT(ADDRESS(15+3,K$2+1,,,"Instances") &amp; ":" &amp; ADDRESS(15+3,K$2+1))),"max", MAX(INDIRECT(ADDRESS(15+3,K$2+1,,,"Instances") &amp; ":" &amp; ADDRESS(15+3,K$2+1))),"diff", MAX(INDIRECT(ADDRESS(15+3,K$2+1,,,"Instances") &amp; ":" &amp; ADDRESS(15+3,K$2+1)))-MIN(INDIRECT(ADDRESS(15+3,K$2+1,,,"Instances") &amp; ":" &amp; ADDRESS(15+3,K$2+1))))</f>
        <v>0</v>
      </c>
      <c r="L20">
        <f>IFERROR(SMALL(K5:K188,ROW()-ROW($L$5)+1),"")</f>
        <v>0</v>
      </c>
      <c r="N20">
        <f>IFERROR(SUM(L5:L20),"")</f>
        <v>0</v>
      </c>
      <c r="Q20">
        <f>IF(Charts!$B$3="none",E947,IF(K947="",NA(),K947))</f>
        <v>0</v>
      </c>
      <c r="R20">
        <f>IF(Charts!$B$3="none",F947,IF(L947="",NA(),L947))</f>
        <v>0</v>
      </c>
      <c r="S20">
        <f>IF(Charts!$B$3="none",G947,IF(M947="",NA(),M947))</f>
        <v>0</v>
      </c>
      <c r="T20">
        <f>IF(Charts!$B$3="none",H947,IF(N947="",NA(),N947))</f>
        <v>0</v>
      </c>
    </row>
    <row r="21" spans="4:20">
      <c r="D21">
        <v>17</v>
      </c>
      <c r="E21">
        <f>IF(INDIRECT(ADDRESS($D21+2,E$2+1,,,"Instances"))="","",INDIRECT(ADDRESS($D21+2,E$2+1,,,"Instances")))</f>
        <v>0</v>
      </c>
      <c r="F21">
        <f>IFERROR(SMALL(E5:E188,ROW()-ROW($F$5)+1),"")</f>
        <v>0</v>
      </c>
      <c r="H21">
        <f>IFERROR(SUM(F5:F21),"")</f>
        <v>0</v>
      </c>
      <c r="J21">
        <v>17</v>
      </c>
      <c r="K21" cm="1">
        <f t="array" ref="K21">_xlfn.SWITCH(Charts!$B$3,"average", AVERAGE(INDIRECT(ADDRESS(16+3,K$2+1,,,"Instances") &amp; ":" &amp; ADDRESS(16+3,K$2+1))),"median", MEDIAN(INDIRECT(ADDRESS(16+3,K$2+1,,,"Instances") &amp; ":" &amp; ADDRESS(16+3,K$2+1))),"min", MIN(INDIRECT(ADDRESS(16+3,K$2+1,,,"Instances") &amp; ":" &amp; ADDRESS(16+3,K$2+1))),"max", MAX(INDIRECT(ADDRESS(16+3,K$2+1,,,"Instances") &amp; ":" &amp; ADDRESS(16+3,K$2+1))),"diff", MAX(INDIRECT(ADDRESS(16+3,K$2+1,,,"Instances") &amp; ":" &amp; ADDRESS(16+3,K$2+1)))-MIN(INDIRECT(ADDRESS(16+3,K$2+1,,,"Instances") &amp; ":" &amp; ADDRESS(16+3,K$2+1))))</f>
        <v>0</v>
      </c>
      <c r="L21">
        <f>IFERROR(SMALL(K5:K188,ROW()-ROW($L$5)+1),"")</f>
        <v>0</v>
      </c>
      <c r="N21">
        <f>IFERROR(SUM(L5:L21),"")</f>
        <v>0</v>
      </c>
      <c r="Q21">
        <f>IF(Charts!$B$3="none",E948,IF(K948="",NA(),K948))</f>
        <v>0</v>
      </c>
      <c r="R21">
        <f>IF(Charts!$B$3="none",F948,IF(L948="",NA(),L948))</f>
        <v>0</v>
      </c>
      <c r="S21">
        <f>IF(Charts!$B$3="none",G948,IF(M948="",NA(),M948))</f>
        <v>0</v>
      </c>
      <c r="T21">
        <f>IF(Charts!$B$3="none",H948,IF(N948="",NA(),N948))</f>
        <v>0</v>
      </c>
    </row>
    <row r="22" spans="4:20">
      <c r="D22">
        <v>18</v>
      </c>
      <c r="E22">
        <f>IF(INDIRECT(ADDRESS($D22+2,E$2+1,,,"Instances"))="","",INDIRECT(ADDRESS($D22+2,E$2+1,,,"Instances")))</f>
        <v>0</v>
      </c>
      <c r="F22">
        <f>IFERROR(SMALL(E5:E188,ROW()-ROW($F$5)+1),"")</f>
        <v>0</v>
      </c>
      <c r="H22">
        <f>IFERROR(SUM(F5:F22),"")</f>
        <v>0</v>
      </c>
      <c r="J22">
        <v>18</v>
      </c>
      <c r="K22" cm="1">
        <f t="array" ref="K22">_xlfn.SWITCH(Charts!$B$3,"average", AVERAGE(INDIRECT(ADDRESS(17+3,K$2+1,,,"Instances") &amp; ":" &amp; ADDRESS(17+3,K$2+1))),"median", MEDIAN(INDIRECT(ADDRESS(17+3,K$2+1,,,"Instances") &amp; ":" &amp; ADDRESS(17+3,K$2+1))),"min", MIN(INDIRECT(ADDRESS(17+3,K$2+1,,,"Instances") &amp; ":" &amp; ADDRESS(17+3,K$2+1))),"max", MAX(INDIRECT(ADDRESS(17+3,K$2+1,,,"Instances") &amp; ":" &amp; ADDRESS(17+3,K$2+1))),"diff", MAX(INDIRECT(ADDRESS(17+3,K$2+1,,,"Instances") &amp; ":" &amp; ADDRESS(17+3,K$2+1)))-MIN(INDIRECT(ADDRESS(17+3,K$2+1,,,"Instances") &amp; ":" &amp; ADDRESS(17+3,K$2+1))))</f>
        <v>0</v>
      </c>
      <c r="L22">
        <f>IFERROR(SMALL(K5:K188,ROW()-ROW($L$5)+1),"")</f>
        <v>0</v>
      </c>
      <c r="N22">
        <f>IFERROR(SUM(L5:L22),"")</f>
        <v>0</v>
      </c>
      <c r="Q22">
        <f>IF(Charts!$B$3="none",E949,IF(K949="",NA(),K949))</f>
        <v>0</v>
      </c>
      <c r="R22">
        <f>IF(Charts!$B$3="none",F949,IF(L949="",NA(),L949))</f>
        <v>0</v>
      </c>
      <c r="S22">
        <f>IF(Charts!$B$3="none",G949,IF(M949="",NA(),M949))</f>
        <v>0</v>
      </c>
      <c r="T22">
        <f>IF(Charts!$B$3="none",H949,IF(N949="",NA(),N949))</f>
        <v>0</v>
      </c>
    </row>
    <row r="23" spans="4:20">
      <c r="D23">
        <v>19</v>
      </c>
      <c r="E23">
        <f>IF(INDIRECT(ADDRESS($D23+2,E$2+1,,,"Instances"))="","",INDIRECT(ADDRESS($D23+2,E$2+1,,,"Instances")))</f>
        <v>0</v>
      </c>
      <c r="F23">
        <f>IFERROR(SMALL(E5:E188,ROW()-ROW($F$5)+1),"")</f>
        <v>0</v>
      </c>
      <c r="H23">
        <f>IFERROR(SUM(F5:F23),"")</f>
        <v>0</v>
      </c>
      <c r="J23">
        <v>19</v>
      </c>
      <c r="K23" cm="1">
        <f t="array" ref="K23">_xlfn.SWITCH(Charts!$B$3,"average", AVERAGE(INDIRECT(ADDRESS(18+3,K$2+1,,,"Instances") &amp; ":" &amp; ADDRESS(18+3,K$2+1))),"median", MEDIAN(INDIRECT(ADDRESS(18+3,K$2+1,,,"Instances") &amp; ":" &amp; ADDRESS(18+3,K$2+1))),"min", MIN(INDIRECT(ADDRESS(18+3,K$2+1,,,"Instances") &amp; ":" &amp; ADDRESS(18+3,K$2+1))),"max", MAX(INDIRECT(ADDRESS(18+3,K$2+1,,,"Instances") &amp; ":" &amp; ADDRESS(18+3,K$2+1))),"diff", MAX(INDIRECT(ADDRESS(18+3,K$2+1,,,"Instances") &amp; ":" &amp; ADDRESS(18+3,K$2+1)))-MIN(INDIRECT(ADDRESS(18+3,K$2+1,,,"Instances") &amp; ":" &amp; ADDRESS(18+3,K$2+1))))</f>
        <v>0</v>
      </c>
      <c r="L23">
        <f>IFERROR(SMALL(K5:K188,ROW()-ROW($L$5)+1),"")</f>
        <v>0</v>
      </c>
      <c r="N23">
        <f>IFERROR(SUM(L5:L23),"")</f>
        <v>0</v>
      </c>
      <c r="Q23">
        <f>IF(Charts!$B$3="none",E950,IF(K950="",NA(),K950))</f>
        <v>0</v>
      </c>
      <c r="R23">
        <f>IF(Charts!$B$3="none",F950,IF(L950="",NA(),L950))</f>
        <v>0</v>
      </c>
      <c r="S23">
        <f>IF(Charts!$B$3="none",G950,IF(M950="",NA(),M950))</f>
        <v>0</v>
      </c>
      <c r="T23">
        <f>IF(Charts!$B$3="none",H950,IF(N950="",NA(),N950))</f>
        <v>0</v>
      </c>
    </row>
    <row r="24" spans="4:20">
      <c r="D24">
        <v>20</v>
      </c>
      <c r="E24">
        <f>IF(INDIRECT(ADDRESS($D24+2,E$2+1,,,"Instances"))="","",INDIRECT(ADDRESS($D24+2,E$2+1,,,"Instances")))</f>
        <v>0</v>
      </c>
      <c r="F24">
        <f>IFERROR(SMALL(E5:E188,ROW()-ROW($F$5)+1),"")</f>
        <v>0</v>
      </c>
      <c r="H24">
        <f>IFERROR(SUM(F5:F24),"")</f>
        <v>0</v>
      </c>
      <c r="J24">
        <v>20</v>
      </c>
      <c r="K24" cm="1">
        <f t="array" ref="K24">_xlfn.SWITCH(Charts!$B$3,"average", AVERAGE(INDIRECT(ADDRESS(19+3,K$2+1,,,"Instances") &amp; ":" &amp; ADDRESS(19+3,K$2+1))),"median", MEDIAN(INDIRECT(ADDRESS(19+3,K$2+1,,,"Instances") &amp; ":" &amp; ADDRESS(19+3,K$2+1))),"min", MIN(INDIRECT(ADDRESS(19+3,K$2+1,,,"Instances") &amp; ":" &amp; ADDRESS(19+3,K$2+1))),"max", MAX(INDIRECT(ADDRESS(19+3,K$2+1,,,"Instances") &amp; ":" &amp; ADDRESS(19+3,K$2+1))),"diff", MAX(INDIRECT(ADDRESS(19+3,K$2+1,,,"Instances") &amp; ":" &amp; ADDRESS(19+3,K$2+1)))-MIN(INDIRECT(ADDRESS(19+3,K$2+1,,,"Instances") &amp; ":" &amp; ADDRESS(19+3,K$2+1))))</f>
        <v>0</v>
      </c>
      <c r="L24">
        <f>IFERROR(SMALL(K5:K188,ROW()-ROW($L$5)+1),"")</f>
        <v>0</v>
      </c>
      <c r="N24">
        <f>IFERROR(SUM(L5:L24),"")</f>
        <v>0</v>
      </c>
      <c r="Q24">
        <f>IF(Charts!$B$3="none",E951,IF(K951="",NA(),K951))</f>
        <v>0</v>
      </c>
      <c r="R24">
        <f>IF(Charts!$B$3="none",F951,IF(L951="",NA(),L951))</f>
        <v>0</v>
      </c>
      <c r="S24">
        <f>IF(Charts!$B$3="none",G951,IF(M951="",NA(),M951))</f>
        <v>0</v>
      </c>
      <c r="T24">
        <f>IF(Charts!$B$3="none",H951,IF(N951="",NA(),N951))</f>
        <v>0</v>
      </c>
    </row>
    <row r="25" spans="4:20">
      <c r="D25">
        <v>21</v>
      </c>
      <c r="E25">
        <f>IF(INDIRECT(ADDRESS($D25+2,E$2+1,,,"Instances"))="","",INDIRECT(ADDRESS($D25+2,E$2+1,,,"Instances")))</f>
        <v>0</v>
      </c>
      <c r="F25">
        <f>IFERROR(SMALL(E5:E188,ROW()-ROW($F$5)+1),"")</f>
        <v>0</v>
      </c>
      <c r="H25">
        <f>IFERROR(SUM(F5:F25),"")</f>
        <v>0</v>
      </c>
      <c r="J25">
        <v>21</v>
      </c>
      <c r="K25" cm="1">
        <f t="array" ref="K25">_xlfn.SWITCH(Charts!$B$3,"average", AVERAGE(INDIRECT(ADDRESS(20+3,K$2+1,,,"Instances") &amp; ":" &amp; ADDRESS(20+3,K$2+1))),"median", MEDIAN(INDIRECT(ADDRESS(20+3,K$2+1,,,"Instances") &amp; ":" &amp; ADDRESS(20+3,K$2+1))),"min", MIN(INDIRECT(ADDRESS(20+3,K$2+1,,,"Instances") &amp; ":" &amp; ADDRESS(20+3,K$2+1))),"max", MAX(INDIRECT(ADDRESS(20+3,K$2+1,,,"Instances") &amp; ":" &amp; ADDRESS(20+3,K$2+1))),"diff", MAX(INDIRECT(ADDRESS(20+3,K$2+1,,,"Instances") &amp; ":" &amp; ADDRESS(20+3,K$2+1)))-MIN(INDIRECT(ADDRESS(20+3,K$2+1,,,"Instances") &amp; ":" &amp; ADDRESS(20+3,K$2+1))))</f>
        <v>0</v>
      </c>
      <c r="L25">
        <f>IFERROR(SMALL(K5:K188,ROW()-ROW($L$5)+1),"")</f>
        <v>0</v>
      </c>
      <c r="N25">
        <f>IFERROR(SUM(L5:L25),"")</f>
        <v>0</v>
      </c>
      <c r="Q25">
        <f>IF(Charts!$B$3="none",E952,IF(K952="",NA(),K952))</f>
        <v>0</v>
      </c>
      <c r="R25">
        <f>IF(Charts!$B$3="none",F952,IF(L952="",NA(),L952))</f>
        <v>0</v>
      </c>
      <c r="S25">
        <f>IF(Charts!$B$3="none",G952,IF(M952="",NA(),M952))</f>
        <v>0</v>
      </c>
      <c r="T25">
        <f>IF(Charts!$B$3="none",H952,IF(N952="",NA(),N952))</f>
        <v>0</v>
      </c>
    </row>
    <row r="26" spans="4:20">
      <c r="D26">
        <v>22</v>
      </c>
      <c r="E26">
        <f>IF(INDIRECT(ADDRESS($D26+2,E$2+1,,,"Instances"))="","",INDIRECT(ADDRESS($D26+2,E$2+1,,,"Instances")))</f>
        <v>0</v>
      </c>
      <c r="F26">
        <f>IFERROR(SMALL(E5:E188,ROW()-ROW($F$5)+1),"")</f>
        <v>0</v>
      </c>
      <c r="H26">
        <f>IFERROR(SUM(F5:F26),"")</f>
        <v>0</v>
      </c>
      <c r="J26">
        <v>22</v>
      </c>
      <c r="K26" cm="1">
        <f t="array" ref="K26">_xlfn.SWITCH(Charts!$B$3,"average", AVERAGE(INDIRECT(ADDRESS(21+3,K$2+1,,,"Instances") &amp; ":" &amp; ADDRESS(21+3,K$2+1))),"median", MEDIAN(INDIRECT(ADDRESS(21+3,K$2+1,,,"Instances") &amp; ":" &amp; ADDRESS(21+3,K$2+1))),"min", MIN(INDIRECT(ADDRESS(21+3,K$2+1,,,"Instances") &amp; ":" &amp; ADDRESS(21+3,K$2+1))),"max", MAX(INDIRECT(ADDRESS(21+3,K$2+1,,,"Instances") &amp; ":" &amp; ADDRESS(21+3,K$2+1))),"diff", MAX(INDIRECT(ADDRESS(21+3,K$2+1,,,"Instances") &amp; ":" &amp; ADDRESS(21+3,K$2+1)))-MIN(INDIRECT(ADDRESS(21+3,K$2+1,,,"Instances") &amp; ":" &amp; ADDRESS(21+3,K$2+1))))</f>
        <v>0</v>
      </c>
      <c r="L26">
        <f>IFERROR(SMALL(K5:K188,ROW()-ROW($L$5)+1),"")</f>
        <v>0</v>
      </c>
      <c r="N26">
        <f>IFERROR(SUM(L5:L26),"")</f>
        <v>0</v>
      </c>
      <c r="Q26">
        <f>IF(Charts!$B$3="none",E953,IF(K953="",NA(),K953))</f>
        <v>0</v>
      </c>
      <c r="R26">
        <f>IF(Charts!$B$3="none",F953,IF(L953="",NA(),L953))</f>
        <v>0</v>
      </c>
      <c r="S26">
        <f>IF(Charts!$B$3="none",G953,IF(M953="",NA(),M953))</f>
        <v>0</v>
      </c>
      <c r="T26">
        <f>IF(Charts!$B$3="none",H953,IF(N953="",NA(),N953))</f>
        <v>0</v>
      </c>
    </row>
    <row r="27" spans="4:20">
      <c r="D27">
        <v>23</v>
      </c>
      <c r="E27">
        <f>IF(INDIRECT(ADDRESS($D27+2,E$2+1,,,"Instances"))="","",INDIRECT(ADDRESS($D27+2,E$2+1,,,"Instances")))</f>
        <v>0</v>
      </c>
      <c r="F27">
        <f>IFERROR(SMALL(E5:E188,ROW()-ROW($F$5)+1),"")</f>
        <v>0</v>
      </c>
      <c r="H27">
        <f>IFERROR(SUM(F5:F27),"")</f>
        <v>0</v>
      </c>
      <c r="J27">
        <v>23</v>
      </c>
      <c r="K27" cm="1">
        <f t="array" ref="K27">_xlfn.SWITCH(Charts!$B$3,"average", AVERAGE(INDIRECT(ADDRESS(22+3,K$2+1,,,"Instances") &amp; ":" &amp; ADDRESS(22+3,K$2+1))),"median", MEDIAN(INDIRECT(ADDRESS(22+3,K$2+1,,,"Instances") &amp; ":" &amp; ADDRESS(22+3,K$2+1))),"min", MIN(INDIRECT(ADDRESS(22+3,K$2+1,,,"Instances") &amp; ":" &amp; ADDRESS(22+3,K$2+1))),"max", MAX(INDIRECT(ADDRESS(22+3,K$2+1,,,"Instances") &amp; ":" &amp; ADDRESS(22+3,K$2+1))),"diff", MAX(INDIRECT(ADDRESS(22+3,K$2+1,,,"Instances") &amp; ":" &amp; ADDRESS(22+3,K$2+1)))-MIN(INDIRECT(ADDRESS(22+3,K$2+1,,,"Instances") &amp; ":" &amp; ADDRESS(22+3,K$2+1))))</f>
        <v>0</v>
      </c>
      <c r="L27">
        <f>IFERROR(SMALL(K5:K188,ROW()-ROW($L$5)+1),"")</f>
        <v>0</v>
      </c>
      <c r="N27">
        <f>IFERROR(SUM(L5:L27),"")</f>
        <v>0</v>
      </c>
      <c r="Q27">
        <f>IF(Charts!$B$3="none",E954,IF(K954="",NA(),K954))</f>
        <v>0</v>
      </c>
      <c r="R27">
        <f>IF(Charts!$B$3="none",F954,IF(L954="",NA(),L954))</f>
        <v>0</v>
      </c>
      <c r="S27">
        <f>IF(Charts!$B$3="none",G954,IF(M954="",NA(),M954))</f>
        <v>0</v>
      </c>
      <c r="T27">
        <f>IF(Charts!$B$3="none",H954,IF(N954="",NA(),N954))</f>
        <v>0</v>
      </c>
    </row>
    <row r="28" spans="4:20">
      <c r="D28">
        <v>24</v>
      </c>
      <c r="E28">
        <f>IF(INDIRECT(ADDRESS($D28+2,E$2+1,,,"Instances"))="","",INDIRECT(ADDRESS($D28+2,E$2+1,,,"Instances")))</f>
        <v>0</v>
      </c>
      <c r="F28">
        <f>IFERROR(SMALL(E5:E188,ROW()-ROW($F$5)+1),"")</f>
        <v>0</v>
      </c>
      <c r="H28">
        <f>IFERROR(SUM(F5:F28),"")</f>
        <v>0</v>
      </c>
      <c r="J28">
        <v>24</v>
      </c>
      <c r="K28" cm="1">
        <f t="array" ref="K28">_xlfn.SWITCH(Charts!$B$3,"average", AVERAGE(INDIRECT(ADDRESS(23+3,K$2+1,,,"Instances") &amp; ":" &amp; ADDRESS(23+3,K$2+1))),"median", MEDIAN(INDIRECT(ADDRESS(23+3,K$2+1,,,"Instances") &amp; ":" &amp; ADDRESS(23+3,K$2+1))),"min", MIN(INDIRECT(ADDRESS(23+3,K$2+1,,,"Instances") &amp; ":" &amp; ADDRESS(23+3,K$2+1))),"max", MAX(INDIRECT(ADDRESS(23+3,K$2+1,,,"Instances") &amp; ":" &amp; ADDRESS(23+3,K$2+1))),"diff", MAX(INDIRECT(ADDRESS(23+3,K$2+1,,,"Instances") &amp; ":" &amp; ADDRESS(23+3,K$2+1)))-MIN(INDIRECT(ADDRESS(23+3,K$2+1,,,"Instances") &amp; ":" &amp; ADDRESS(23+3,K$2+1))))</f>
        <v>0</v>
      </c>
      <c r="L28">
        <f>IFERROR(SMALL(K5:K188,ROW()-ROW($L$5)+1),"")</f>
        <v>0</v>
      </c>
      <c r="N28">
        <f>IFERROR(SUM(L5:L28),"")</f>
        <v>0</v>
      </c>
      <c r="Q28">
        <f>IF(Charts!$B$3="none",E955,IF(K955="",NA(),K955))</f>
        <v>0</v>
      </c>
      <c r="R28">
        <f>IF(Charts!$B$3="none",F955,IF(L955="",NA(),L955))</f>
        <v>0</v>
      </c>
      <c r="S28">
        <f>IF(Charts!$B$3="none",G955,IF(M955="",NA(),M955))</f>
        <v>0</v>
      </c>
      <c r="T28">
        <f>IF(Charts!$B$3="none",H955,IF(N955="",NA(),N955))</f>
        <v>0</v>
      </c>
    </row>
    <row r="29" spans="4:20">
      <c r="D29">
        <v>25</v>
      </c>
      <c r="E29">
        <f>IF(INDIRECT(ADDRESS($D29+2,E$2+1,,,"Instances"))="","",INDIRECT(ADDRESS($D29+2,E$2+1,,,"Instances")))</f>
        <v>0</v>
      </c>
      <c r="F29">
        <f>IFERROR(SMALL(E5:E188,ROW()-ROW($F$5)+1),"")</f>
        <v>0</v>
      </c>
      <c r="H29">
        <f>IFERROR(SUM(F5:F29),"")</f>
        <v>0</v>
      </c>
      <c r="J29">
        <v>25</v>
      </c>
      <c r="K29" cm="1">
        <f t="array" ref="K29">_xlfn.SWITCH(Charts!$B$3,"average", AVERAGE(INDIRECT(ADDRESS(24+3,K$2+1,,,"Instances") &amp; ":" &amp; ADDRESS(24+3,K$2+1))),"median", MEDIAN(INDIRECT(ADDRESS(24+3,K$2+1,,,"Instances") &amp; ":" &amp; ADDRESS(24+3,K$2+1))),"min", MIN(INDIRECT(ADDRESS(24+3,K$2+1,,,"Instances") &amp; ":" &amp; ADDRESS(24+3,K$2+1))),"max", MAX(INDIRECT(ADDRESS(24+3,K$2+1,,,"Instances") &amp; ":" &amp; ADDRESS(24+3,K$2+1))),"diff", MAX(INDIRECT(ADDRESS(24+3,K$2+1,,,"Instances") &amp; ":" &amp; ADDRESS(24+3,K$2+1)))-MIN(INDIRECT(ADDRESS(24+3,K$2+1,,,"Instances") &amp; ":" &amp; ADDRESS(24+3,K$2+1))))</f>
        <v>0</v>
      </c>
      <c r="L29">
        <f>IFERROR(SMALL(K5:K188,ROW()-ROW($L$5)+1),"")</f>
        <v>0</v>
      </c>
      <c r="N29">
        <f>IFERROR(SUM(L5:L29),"")</f>
        <v>0</v>
      </c>
      <c r="Q29">
        <f>IF(Charts!$B$3="none",E956,IF(K956="",NA(),K956))</f>
        <v>0</v>
      </c>
      <c r="R29">
        <f>IF(Charts!$B$3="none",F956,IF(L956="",NA(),L956))</f>
        <v>0</v>
      </c>
      <c r="S29">
        <f>IF(Charts!$B$3="none",G956,IF(M956="",NA(),M956))</f>
        <v>0</v>
      </c>
      <c r="T29">
        <f>IF(Charts!$B$3="none",H956,IF(N956="",NA(),N956))</f>
        <v>0</v>
      </c>
    </row>
    <row r="30" spans="4:20">
      <c r="D30">
        <v>26</v>
      </c>
      <c r="E30">
        <f>IF(INDIRECT(ADDRESS($D30+2,E$2+1,,,"Instances"))="","",INDIRECT(ADDRESS($D30+2,E$2+1,,,"Instances")))</f>
        <v>0</v>
      </c>
      <c r="F30">
        <f>IFERROR(SMALL(E5:E188,ROW()-ROW($F$5)+1),"")</f>
        <v>0</v>
      </c>
      <c r="H30">
        <f>IFERROR(SUM(F5:F30),"")</f>
        <v>0</v>
      </c>
      <c r="J30">
        <v>26</v>
      </c>
      <c r="K30" cm="1">
        <f t="array" ref="K30">_xlfn.SWITCH(Charts!$B$3,"average", AVERAGE(INDIRECT(ADDRESS(25+3,K$2+1,,,"Instances") &amp; ":" &amp; ADDRESS(25+3,K$2+1))),"median", MEDIAN(INDIRECT(ADDRESS(25+3,K$2+1,,,"Instances") &amp; ":" &amp; ADDRESS(25+3,K$2+1))),"min", MIN(INDIRECT(ADDRESS(25+3,K$2+1,,,"Instances") &amp; ":" &amp; ADDRESS(25+3,K$2+1))),"max", MAX(INDIRECT(ADDRESS(25+3,K$2+1,,,"Instances") &amp; ":" &amp; ADDRESS(25+3,K$2+1))),"diff", MAX(INDIRECT(ADDRESS(25+3,K$2+1,,,"Instances") &amp; ":" &amp; ADDRESS(25+3,K$2+1)))-MIN(INDIRECT(ADDRESS(25+3,K$2+1,,,"Instances") &amp; ":" &amp; ADDRESS(25+3,K$2+1))))</f>
        <v>0</v>
      </c>
      <c r="L30">
        <f>IFERROR(SMALL(K5:K188,ROW()-ROW($L$5)+1),"")</f>
        <v>0</v>
      </c>
      <c r="N30">
        <f>IFERROR(SUM(L5:L30),"")</f>
        <v>0</v>
      </c>
      <c r="Q30">
        <f>IF(Charts!$B$3="none",E957,IF(K957="",NA(),K957))</f>
        <v>0</v>
      </c>
      <c r="R30">
        <f>IF(Charts!$B$3="none",F957,IF(L957="",NA(),L957))</f>
        <v>0</v>
      </c>
      <c r="S30">
        <f>IF(Charts!$B$3="none",G957,IF(M957="",NA(),M957))</f>
        <v>0</v>
      </c>
      <c r="T30">
        <f>IF(Charts!$B$3="none",H957,IF(N957="",NA(),N957))</f>
        <v>0</v>
      </c>
    </row>
    <row r="31" spans="4:20">
      <c r="D31">
        <v>27</v>
      </c>
      <c r="E31">
        <f>IF(INDIRECT(ADDRESS($D31+2,E$2+1,,,"Instances"))="","",INDIRECT(ADDRESS($D31+2,E$2+1,,,"Instances")))</f>
        <v>0</v>
      </c>
      <c r="F31">
        <f>IFERROR(SMALL(E5:E188,ROW()-ROW($F$5)+1),"")</f>
        <v>0</v>
      </c>
      <c r="H31">
        <f>IFERROR(SUM(F5:F31),"")</f>
        <v>0</v>
      </c>
      <c r="J31">
        <v>27</v>
      </c>
      <c r="K31" cm="1">
        <f t="array" ref="K31">_xlfn.SWITCH(Charts!$B$3,"average", AVERAGE(INDIRECT(ADDRESS(26+3,K$2+1,,,"Instances") &amp; ":" &amp; ADDRESS(26+3,K$2+1))),"median", MEDIAN(INDIRECT(ADDRESS(26+3,K$2+1,,,"Instances") &amp; ":" &amp; ADDRESS(26+3,K$2+1))),"min", MIN(INDIRECT(ADDRESS(26+3,K$2+1,,,"Instances") &amp; ":" &amp; ADDRESS(26+3,K$2+1))),"max", MAX(INDIRECT(ADDRESS(26+3,K$2+1,,,"Instances") &amp; ":" &amp; ADDRESS(26+3,K$2+1))),"diff", MAX(INDIRECT(ADDRESS(26+3,K$2+1,,,"Instances") &amp; ":" &amp; ADDRESS(26+3,K$2+1)))-MIN(INDIRECT(ADDRESS(26+3,K$2+1,,,"Instances") &amp; ":" &amp; ADDRESS(26+3,K$2+1))))</f>
        <v>0</v>
      </c>
      <c r="L31">
        <f>IFERROR(SMALL(K5:K188,ROW()-ROW($L$5)+1),"")</f>
        <v>0</v>
      </c>
      <c r="N31">
        <f>IFERROR(SUM(L5:L31),"")</f>
        <v>0</v>
      </c>
      <c r="Q31">
        <f>IF(Charts!$B$3="none",E958,IF(K958="",NA(),K958))</f>
        <v>0</v>
      </c>
      <c r="R31">
        <f>IF(Charts!$B$3="none",F958,IF(L958="",NA(),L958))</f>
        <v>0</v>
      </c>
      <c r="S31">
        <f>IF(Charts!$B$3="none",G958,IF(M958="",NA(),M958))</f>
        <v>0</v>
      </c>
      <c r="T31">
        <f>IF(Charts!$B$3="none",H958,IF(N958="",NA(),N958))</f>
        <v>0</v>
      </c>
    </row>
    <row r="32" spans="4:20">
      <c r="D32">
        <v>28</v>
      </c>
      <c r="E32">
        <f>IF(INDIRECT(ADDRESS($D32+2,E$2+1,,,"Instances"))="","",INDIRECT(ADDRESS($D32+2,E$2+1,,,"Instances")))</f>
        <v>0</v>
      </c>
      <c r="F32">
        <f>IFERROR(SMALL(E5:E188,ROW()-ROW($F$5)+1),"")</f>
        <v>0</v>
      </c>
      <c r="H32">
        <f>IFERROR(SUM(F5:F32),"")</f>
        <v>0</v>
      </c>
      <c r="J32">
        <v>28</v>
      </c>
      <c r="K32" cm="1">
        <f t="array" ref="K32">_xlfn.SWITCH(Charts!$B$3,"average", AVERAGE(INDIRECT(ADDRESS(27+3,K$2+1,,,"Instances") &amp; ":" &amp; ADDRESS(27+3,K$2+1))),"median", MEDIAN(INDIRECT(ADDRESS(27+3,K$2+1,,,"Instances") &amp; ":" &amp; ADDRESS(27+3,K$2+1))),"min", MIN(INDIRECT(ADDRESS(27+3,K$2+1,,,"Instances") &amp; ":" &amp; ADDRESS(27+3,K$2+1))),"max", MAX(INDIRECT(ADDRESS(27+3,K$2+1,,,"Instances") &amp; ":" &amp; ADDRESS(27+3,K$2+1))),"diff", MAX(INDIRECT(ADDRESS(27+3,K$2+1,,,"Instances") &amp; ":" &amp; ADDRESS(27+3,K$2+1)))-MIN(INDIRECT(ADDRESS(27+3,K$2+1,,,"Instances") &amp; ":" &amp; ADDRESS(27+3,K$2+1))))</f>
        <v>0</v>
      </c>
      <c r="L32">
        <f>IFERROR(SMALL(K5:K188,ROW()-ROW($L$5)+1),"")</f>
        <v>0</v>
      </c>
      <c r="N32">
        <f>IFERROR(SUM(L5:L32),"")</f>
        <v>0</v>
      </c>
      <c r="Q32">
        <f>IF(Charts!$B$3="none",E959,IF(K959="",NA(),K959))</f>
        <v>0</v>
      </c>
      <c r="R32">
        <f>IF(Charts!$B$3="none",F959,IF(L959="",NA(),L959))</f>
        <v>0</v>
      </c>
      <c r="S32">
        <f>IF(Charts!$B$3="none",G959,IF(M959="",NA(),M959))</f>
        <v>0</v>
      </c>
      <c r="T32">
        <f>IF(Charts!$B$3="none",H959,IF(N959="",NA(),N959))</f>
        <v>0</v>
      </c>
    </row>
    <row r="33" spans="4:20">
      <c r="D33">
        <v>29</v>
      </c>
      <c r="E33">
        <f>IF(INDIRECT(ADDRESS($D33+2,E$2+1,,,"Instances"))="","",INDIRECT(ADDRESS($D33+2,E$2+1,,,"Instances")))</f>
        <v>0</v>
      </c>
      <c r="F33">
        <f>IFERROR(SMALL(E5:E188,ROW()-ROW($F$5)+1),"")</f>
        <v>0</v>
      </c>
      <c r="H33">
        <f>IFERROR(SUM(F5:F33),"")</f>
        <v>0</v>
      </c>
      <c r="J33">
        <v>29</v>
      </c>
      <c r="K33" cm="1">
        <f t="array" ref="K33">_xlfn.SWITCH(Charts!$B$3,"average", AVERAGE(INDIRECT(ADDRESS(28+3,K$2+1,,,"Instances") &amp; ":" &amp; ADDRESS(28+3,K$2+1))),"median", MEDIAN(INDIRECT(ADDRESS(28+3,K$2+1,,,"Instances") &amp; ":" &amp; ADDRESS(28+3,K$2+1))),"min", MIN(INDIRECT(ADDRESS(28+3,K$2+1,,,"Instances") &amp; ":" &amp; ADDRESS(28+3,K$2+1))),"max", MAX(INDIRECT(ADDRESS(28+3,K$2+1,,,"Instances") &amp; ":" &amp; ADDRESS(28+3,K$2+1))),"diff", MAX(INDIRECT(ADDRESS(28+3,K$2+1,,,"Instances") &amp; ":" &amp; ADDRESS(28+3,K$2+1)))-MIN(INDIRECT(ADDRESS(28+3,K$2+1,,,"Instances") &amp; ":" &amp; ADDRESS(28+3,K$2+1))))</f>
        <v>0</v>
      </c>
      <c r="L33">
        <f>IFERROR(SMALL(K5:K188,ROW()-ROW($L$5)+1),"")</f>
        <v>0</v>
      </c>
      <c r="N33">
        <f>IFERROR(SUM(L5:L33),"")</f>
        <v>0</v>
      </c>
      <c r="Q33">
        <f>IF(Charts!$B$3="none",E960,IF(K960="",NA(),K960))</f>
        <v>0</v>
      </c>
      <c r="R33">
        <f>IF(Charts!$B$3="none",F960,IF(L960="",NA(),L960))</f>
        <v>0</v>
      </c>
      <c r="S33">
        <f>IF(Charts!$B$3="none",G960,IF(M960="",NA(),M960))</f>
        <v>0</v>
      </c>
      <c r="T33">
        <f>IF(Charts!$B$3="none",H960,IF(N960="",NA(),N960))</f>
        <v>0</v>
      </c>
    </row>
    <row r="34" spans="4:20">
      <c r="D34">
        <v>30</v>
      </c>
      <c r="E34">
        <f>IF(INDIRECT(ADDRESS($D34+2,E$2+1,,,"Instances"))="","",INDIRECT(ADDRESS($D34+2,E$2+1,,,"Instances")))</f>
        <v>0</v>
      </c>
      <c r="F34">
        <f>IFERROR(SMALL(E5:E188,ROW()-ROW($F$5)+1),"")</f>
        <v>0</v>
      </c>
      <c r="H34">
        <f>IFERROR(SUM(F5:F34),"")</f>
        <v>0</v>
      </c>
      <c r="J34">
        <v>30</v>
      </c>
      <c r="K34" cm="1">
        <f t="array" ref="K34">_xlfn.SWITCH(Charts!$B$3,"average", AVERAGE(INDIRECT(ADDRESS(29+3,K$2+1,,,"Instances") &amp; ":" &amp; ADDRESS(29+3,K$2+1))),"median", MEDIAN(INDIRECT(ADDRESS(29+3,K$2+1,,,"Instances") &amp; ":" &amp; ADDRESS(29+3,K$2+1))),"min", MIN(INDIRECT(ADDRESS(29+3,K$2+1,,,"Instances") &amp; ":" &amp; ADDRESS(29+3,K$2+1))),"max", MAX(INDIRECT(ADDRESS(29+3,K$2+1,,,"Instances") &amp; ":" &amp; ADDRESS(29+3,K$2+1))),"diff", MAX(INDIRECT(ADDRESS(29+3,K$2+1,,,"Instances") &amp; ":" &amp; ADDRESS(29+3,K$2+1)))-MIN(INDIRECT(ADDRESS(29+3,K$2+1,,,"Instances") &amp; ":" &amp; ADDRESS(29+3,K$2+1))))</f>
        <v>0</v>
      </c>
      <c r="L34">
        <f>IFERROR(SMALL(K5:K188,ROW()-ROW($L$5)+1),"")</f>
        <v>0</v>
      </c>
      <c r="N34">
        <f>IFERROR(SUM(L5:L34),"")</f>
        <v>0</v>
      </c>
      <c r="Q34">
        <f>IF(Charts!$B$3="none",E961,IF(K961="",NA(),K961))</f>
        <v>0</v>
      </c>
      <c r="R34">
        <f>IF(Charts!$B$3="none",F961,IF(L961="",NA(),L961))</f>
        <v>0</v>
      </c>
      <c r="S34">
        <f>IF(Charts!$B$3="none",G961,IF(M961="",NA(),M961))</f>
        <v>0</v>
      </c>
      <c r="T34">
        <f>IF(Charts!$B$3="none",H961,IF(N961="",NA(),N961))</f>
        <v>0</v>
      </c>
    </row>
    <row r="35" spans="4:20">
      <c r="D35">
        <v>31</v>
      </c>
      <c r="E35">
        <f>IF(INDIRECT(ADDRESS($D35+2,E$2+1,,,"Instances"))="","",INDIRECT(ADDRESS($D35+2,E$2+1,,,"Instances")))</f>
        <v>0</v>
      </c>
      <c r="F35">
        <f>IFERROR(SMALL(E5:E188,ROW()-ROW($F$5)+1),"")</f>
        <v>0</v>
      </c>
      <c r="H35">
        <f>IFERROR(SUM(F5:F35),"")</f>
        <v>0</v>
      </c>
      <c r="J35">
        <v>31</v>
      </c>
      <c r="K35" cm="1">
        <f t="array" ref="K35">_xlfn.SWITCH(Charts!$B$3,"average", AVERAGE(INDIRECT(ADDRESS(30+3,K$2+1,,,"Instances") &amp; ":" &amp; ADDRESS(30+3,K$2+1))),"median", MEDIAN(INDIRECT(ADDRESS(30+3,K$2+1,,,"Instances") &amp; ":" &amp; ADDRESS(30+3,K$2+1))),"min", MIN(INDIRECT(ADDRESS(30+3,K$2+1,,,"Instances") &amp; ":" &amp; ADDRESS(30+3,K$2+1))),"max", MAX(INDIRECT(ADDRESS(30+3,K$2+1,,,"Instances") &amp; ":" &amp; ADDRESS(30+3,K$2+1))),"diff", MAX(INDIRECT(ADDRESS(30+3,K$2+1,,,"Instances") &amp; ":" &amp; ADDRESS(30+3,K$2+1)))-MIN(INDIRECT(ADDRESS(30+3,K$2+1,,,"Instances") &amp; ":" &amp; ADDRESS(30+3,K$2+1))))</f>
        <v>0</v>
      </c>
      <c r="L35">
        <f>IFERROR(SMALL(K5:K188,ROW()-ROW($L$5)+1),"")</f>
        <v>0</v>
      </c>
      <c r="N35">
        <f>IFERROR(SUM(L5:L35),"")</f>
        <v>0</v>
      </c>
      <c r="Q35">
        <f>IF(Charts!$B$3="none",E962,IF(K962="",NA(),K962))</f>
        <v>0</v>
      </c>
      <c r="R35">
        <f>IF(Charts!$B$3="none",F962,IF(L962="",NA(),L962))</f>
        <v>0</v>
      </c>
      <c r="S35">
        <f>IF(Charts!$B$3="none",G962,IF(M962="",NA(),M962))</f>
        <v>0</v>
      </c>
      <c r="T35">
        <f>IF(Charts!$B$3="none",H962,IF(N962="",NA(),N962))</f>
        <v>0</v>
      </c>
    </row>
    <row r="36" spans="4:20">
      <c r="D36">
        <v>32</v>
      </c>
      <c r="E36">
        <f>IF(INDIRECT(ADDRESS($D36+2,E$2+1,,,"Instances"))="","",INDIRECT(ADDRESS($D36+2,E$2+1,,,"Instances")))</f>
        <v>0</v>
      </c>
      <c r="F36">
        <f>IFERROR(SMALL(E5:E188,ROW()-ROW($F$5)+1),"")</f>
        <v>0</v>
      </c>
      <c r="H36">
        <f>IFERROR(SUM(F5:F36),"")</f>
        <v>0</v>
      </c>
      <c r="J36">
        <v>32</v>
      </c>
      <c r="K36" cm="1">
        <f t="array" ref="K36">_xlfn.SWITCH(Charts!$B$3,"average", AVERAGE(INDIRECT(ADDRESS(31+3,K$2+1,,,"Instances") &amp; ":" &amp; ADDRESS(31+3,K$2+1))),"median", MEDIAN(INDIRECT(ADDRESS(31+3,K$2+1,,,"Instances") &amp; ":" &amp; ADDRESS(31+3,K$2+1))),"min", MIN(INDIRECT(ADDRESS(31+3,K$2+1,,,"Instances") &amp; ":" &amp; ADDRESS(31+3,K$2+1))),"max", MAX(INDIRECT(ADDRESS(31+3,K$2+1,,,"Instances") &amp; ":" &amp; ADDRESS(31+3,K$2+1))),"diff", MAX(INDIRECT(ADDRESS(31+3,K$2+1,,,"Instances") &amp; ":" &amp; ADDRESS(31+3,K$2+1)))-MIN(INDIRECT(ADDRESS(31+3,K$2+1,,,"Instances") &amp; ":" &amp; ADDRESS(31+3,K$2+1))))</f>
        <v>0</v>
      </c>
      <c r="L36">
        <f>IFERROR(SMALL(K5:K188,ROW()-ROW($L$5)+1),"")</f>
        <v>0</v>
      </c>
      <c r="N36">
        <f>IFERROR(SUM(L5:L36),"")</f>
        <v>0</v>
      </c>
      <c r="Q36">
        <f>IF(Charts!$B$3="none",E963,IF(K963="",NA(),K963))</f>
        <v>0</v>
      </c>
      <c r="R36">
        <f>IF(Charts!$B$3="none",F963,IF(L963="",NA(),L963))</f>
        <v>0</v>
      </c>
      <c r="S36">
        <f>IF(Charts!$B$3="none",G963,IF(M963="",NA(),M963))</f>
        <v>0</v>
      </c>
      <c r="T36">
        <f>IF(Charts!$B$3="none",H963,IF(N963="",NA(),N963))</f>
        <v>0</v>
      </c>
    </row>
    <row r="37" spans="4:20">
      <c r="D37">
        <v>33</v>
      </c>
      <c r="E37">
        <f>IF(INDIRECT(ADDRESS($D37+2,E$2+1,,,"Instances"))="","",INDIRECT(ADDRESS($D37+2,E$2+1,,,"Instances")))</f>
        <v>0</v>
      </c>
      <c r="F37">
        <f>IFERROR(SMALL(E5:E188,ROW()-ROW($F$5)+1),"")</f>
        <v>0</v>
      </c>
      <c r="H37">
        <f>IFERROR(SUM(F5:F37),"")</f>
        <v>0</v>
      </c>
      <c r="J37">
        <v>33</v>
      </c>
      <c r="K37" cm="1">
        <f t="array" ref="K37">_xlfn.SWITCH(Charts!$B$3,"average", AVERAGE(INDIRECT(ADDRESS(32+3,K$2+1,,,"Instances") &amp; ":" &amp; ADDRESS(32+3,K$2+1))),"median", MEDIAN(INDIRECT(ADDRESS(32+3,K$2+1,,,"Instances") &amp; ":" &amp; ADDRESS(32+3,K$2+1))),"min", MIN(INDIRECT(ADDRESS(32+3,K$2+1,,,"Instances") &amp; ":" &amp; ADDRESS(32+3,K$2+1))),"max", MAX(INDIRECT(ADDRESS(32+3,K$2+1,,,"Instances") &amp; ":" &amp; ADDRESS(32+3,K$2+1))),"diff", MAX(INDIRECT(ADDRESS(32+3,K$2+1,,,"Instances") &amp; ":" &amp; ADDRESS(32+3,K$2+1)))-MIN(INDIRECT(ADDRESS(32+3,K$2+1,,,"Instances") &amp; ":" &amp; ADDRESS(32+3,K$2+1))))</f>
        <v>0</v>
      </c>
      <c r="L37">
        <f>IFERROR(SMALL(K5:K188,ROW()-ROW($L$5)+1),"")</f>
        <v>0</v>
      </c>
      <c r="N37">
        <f>IFERROR(SUM(L5:L37),"")</f>
        <v>0</v>
      </c>
      <c r="Q37">
        <f>IF(Charts!$B$3="none",E964,IF(K964="",NA(),K964))</f>
        <v>0</v>
      </c>
      <c r="R37">
        <f>IF(Charts!$B$3="none",F964,IF(L964="",NA(),L964))</f>
        <v>0</v>
      </c>
      <c r="S37">
        <f>IF(Charts!$B$3="none",G964,IF(M964="",NA(),M964))</f>
        <v>0</v>
      </c>
      <c r="T37">
        <f>IF(Charts!$B$3="none",H964,IF(N964="",NA(),N964))</f>
        <v>0</v>
      </c>
    </row>
    <row r="38" spans="4:20">
      <c r="D38">
        <v>34</v>
      </c>
      <c r="E38">
        <f>IF(INDIRECT(ADDRESS($D38+2,E$2+1,,,"Instances"))="","",INDIRECT(ADDRESS($D38+2,E$2+1,,,"Instances")))</f>
        <v>0</v>
      </c>
      <c r="F38">
        <f>IFERROR(SMALL(E5:E188,ROW()-ROW($F$5)+1),"")</f>
        <v>0</v>
      </c>
      <c r="H38">
        <f>IFERROR(SUM(F5:F38),"")</f>
        <v>0</v>
      </c>
      <c r="J38">
        <v>34</v>
      </c>
      <c r="K38" cm="1">
        <f t="array" ref="K38">_xlfn.SWITCH(Charts!$B$3,"average", AVERAGE(INDIRECT(ADDRESS(33+3,K$2+1,,,"Instances") &amp; ":" &amp; ADDRESS(33+3,K$2+1))),"median", MEDIAN(INDIRECT(ADDRESS(33+3,K$2+1,,,"Instances") &amp; ":" &amp; ADDRESS(33+3,K$2+1))),"min", MIN(INDIRECT(ADDRESS(33+3,K$2+1,,,"Instances") &amp; ":" &amp; ADDRESS(33+3,K$2+1))),"max", MAX(INDIRECT(ADDRESS(33+3,K$2+1,,,"Instances") &amp; ":" &amp; ADDRESS(33+3,K$2+1))),"diff", MAX(INDIRECT(ADDRESS(33+3,K$2+1,,,"Instances") &amp; ":" &amp; ADDRESS(33+3,K$2+1)))-MIN(INDIRECT(ADDRESS(33+3,K$2+1,,,"Instances") &amp; ":" &amp; ADDRESS(33+3,K$2+1))))</f>
        <v>0</v>
      </c>
      <c r="L38">
        <f>IFERROR(SMALL(K5:K188,ROW()-ROW($L$5)+1),"")</f>
        <v>0</v>
      </c>
      <c r="N38">
        <f>IFERROR(SUM(L5:L38),"")</f>
        <v>0</v>
      </c>
      <c r="Q38">
        <f>IF(Charts!$B$3="none",E965,IF(K965="",NA(),K965))</f>
        <v>0</v>
      </c>
      <c r="R38">
        <f>IF(Charts!$B$3="none",F965,IF(L965="",NA(),L965))</f>
        <v>0</v>
      </c>
      <c r="S38">
        <f>IF(Charts!$B$3="none",G965,IF(M965="",NA(),M965))</f>
        <v>0</v>
      </c>
      <c r="T38">
        <f>IF(Charts!$B$3="none",H965,IF(N965="",NA(),N965))</f>
        <v>0</v>
      </c>
    </row>
    <row r="39" spans="4:20">
      <c r="D39">
        <v>35</v>
      </c>
      <c r="E39">
        <f>IF(INDIRECT(ADDRESS($D39+2,E$2+1,,,"Instances"))="","",INDIRECT(ADDRESS($D39+2,E$2+1,,,"Instances")))</f>
        <v>0</v>
      </c>
      <c r="F39">
        <f>IFERROR(SMALL(E5:E188,ROW()-ROW($F$5)+1),"")</f>
        <v>0</v>
      </c>
      <c r="H39">
        <f>IFERROR(SUM(F5:F39),"")</f>
        <v>0</v>
      </c>
      <c r="J39">
        <v>35</v>
      </c>
      <c r="K39" cm="1">
        <f t="array" ref="K39">_xlfn.SWITCH(Charts!$B$3,"average", AVERAGE(INDIRECT(ADDRESS(34+3,K$2+1,,,"Instances") &amp; ":" &amp; ADDRESS(34+3,K$2+1))),"median", MEDIAN(INDIRECT(ADDRESS(34+3,K$2+1,,,"Instances") &amp; ":" &amp; ADDRESS(34+3,K$2+1))),"min", MIN(INDIRECT(ADDRESS(34+3,K$2+1,,,"Instances") &amp; ":" &amp; ADDRESS(34+3,K$2+1))),"max", MAX(INDIRECT(ADDRESS(34+3,K$2+1,,,"Instances") &amp; ":" &amp; ADDRESS(34+3,K$2+1))),"diff", MAX(INDIRECT(ADDRESS(34+3,K$2+1,,,"Instances") &amp; ":" &amp; ADDRESS(34+3,K$2+1)))-MIN(INDIRECT(ADDRESS(34+3,K$2+1,,,"Instances") &amp; ":" &amp; ADDRESS(34+3,K$2+1))))</f>
        <v>0</v>
      </c>
      <c r="L39">
        <f>IFERROR(SMALL(K5:K188,ROW()-ROW($L$5)+1),"")</f>
        <v>0</v>
      </c>
      <c r="N39">
        <f>IFERROR(SUM(L5:L39),"")</f>
        <v>0</v>
      </c>
      <c r="Q39">
        <f>IF(Charts!$B$3="none",E966,IF(K966="",NA(),K966))</f>
        <v>0</v>
      </c>
      <c r="R39">
        <f>IF(Charts!$B$3="none",F966,IF(L966="",NA(),L966))</f>
        <v>0</v>
      </c>
      <c r="S39">
        <f>IF(Charts!$B$3="none",G966,IF(M966="",NA(),M966))</f>
        <v>0</v>
      </c>
      <c r="T39">
        <f>IF(Charts!$B$3="none",H966,IF(N966="",NA(),N966))</f>
        <v>0</v>
      </c>
    </row>
    <row r="40" spans="4:20">
      <c r="D40">
        <v>36</v>
      </c>
      <c r="E40">
        <f>IF(INDIRECT(ADDRESS($D40+2,E$2+1,,,"Instances"))="","",INDIRECT(ADDRESS($D40+2,E$2+1,,,"Instances")))</f>
        <v>0</v>
      </c>
      <c r="F40">
        <f>IFERROR(SMALL(E5:E188,ROW()-ROW($F$5)+1),"")</f>
        <v>0</v>
      </c>
      <c r="H40">
        <f>IFERROR(SUM(F5:F40),"")</f>
        <v>0</v>
      </c>
      <c r="J40">
        <v>36</v>
      </c>
      <c r="K40" cm="1">
        <f t="array" ref="K40">_xlfn.SWITCH(Charts!$B$3,"average", AVERAGE(INDIRECT(ADDRESS(35+3,K$2+1,,,"Instances") &amp; ":" &amp; ADDRESS(35+3,K$2+1))),"median", MEDIAN(INDIRECT(ADDRESS(35+3,K$2+1,,,"Instances") &amp; ":" &amp; ADDRESS(35+3,K$2+1))),"min", MIN(INDIRECT(ADDRESS(35+3,K$2+1,,,"Instances") &amp; ":" &amp; ADDRESS(35+3,K$2+1))),"max", MAX(INDIRECT(ADDRESS(35+3,K$2+1,,,"Instances") &amp; ":" &amp; ADDRESS(35+3,K$2+1))),"diff", MAX(INDIRECT(ADDRESS(35+3,K$2+1,,,"Instances") &amp; ":" &amp; ADDRESS(35+3,K$2+1)))-MIN(INDIRECT(ADDRESS(35+3,K$2+1,,,"Instances") &amp; ":" &amp; ADDRESS(35+3,K$2+1))))</f>
        <v>0</v>
      </c>
      <c r="L40">
        <f>IFERROR(SMALL(K5:K188,ROW()-ROW($L$5)+1),"")</f>
        <v>0</v>
      </c>
      <c r="N40">
        <f>IFERROR(SUM(L5:L40),"")</f>
        <v>0</v>
      </c>
      <c r="Q40">
        <f>IF(Charts!$B$3="none",E967,IF(K967="",NA(),K967))</f>
        <v>0</v>
      </c>
      <c r="R40">
        <f>IF(Charts!$B$3="none",F967,IF(L967="",NA(),L967))</f>
        <v>0</v>
      </c>
      <c r="S40">
        <f>IF(Charts!$B$3="none",G967,IF(M967="",NA(),M967))</f>
        <v>0</v>
      </c>
      <c r="T40">
        <f>IF(Charts!$B$3="none",H967,IF(N967="",NA(),N967))</f>
        <v>0</v>
      </c>
    </row>
    <row r="41" spans="4:20">
      <c r="D41">
        <v>37</v>
      </c>
      <c r="E41">
        <f>IF(INDIRECT(ADDRESS($D41+2,E$2+1,,,"Instances"))="","",INDIRECT(ADDRESS($D41+2,E$2+1,,,"Instances")))</f>
        <v>0</v>
      </c>
      <c r="F41">
        <f>IFERROR(SMALL(E5:E188,ROW()-ROW($F$5)+1),"")</f>
        <v>0</v>
      </c>
      <c r="H41">
        <f>IFERROR(SUM(F5:F41),"")</f>
        <v>0</v>
      </c>
      <c r="J41">
        <v>37</v>
      </c>
      <c r="K41" cm="1">
        <f t="array" ref="K41">_xlfn.SWITCH(Charts!$B$3,"average", AVERAGE(INDIRECT(ADDRESS(36+3,K$2+1,,,"Instances") &amp; ":" &amp; ADDRESS(36+3,K$2+1))),"median", MEDIAN(INDIRECT(ADDRESS(36+3,K$2+1,,,"Instances") &amp; ":" &amp; ADDRESS(36+3,K$2+1))),"min", MIN(INDIRECT(ADDRESS(36+3,K$2+1,,,"Instances") &amp; ":" &amp; ADDRESS(36+3,K$2+1))),"max", MAX(INDIRECT(ADDRESS(36+3,K$2+1,,,"Instances") &amp; ":" &amp; ADDRESS(36+3,K$2+1))),"diff", MAX(INDIRECT(ADDRESS(36+3,K$2+1,,,"Instances") &amp; ":" &amp; ADDRESS(36+3,K$2+1)))-MIN(INDIRECT(ADDRESS(36+3,K$2+1,,,"Instances") &amp; ":" &amp; ADDRESS(36+3,K$2+1))))</f>
        <v>0</v>
      </c>
      <c r="L41">
        <f>IFERROR(SMALL(K5:K188,ROW()-ROW($L$5)+1),"")</f>
        <v>0</v>
      </c>
      <c r="N41">
        <f>IFERROR(SUM(L5:L41),"")</f>
        <v>0</v>
      </c>
      <c r="Q41">
        <f>IF(Charts!$B$3="none",E968,IF(K968="",NA(),K968))</f>
        <v>0</v>
      </c>
      <c r="R41">
        <f>IF(Charts!$B$3="none",F968,IF(L968="",NA(),L968))</f>
        <v>0</v>
      </c>
      <c r="S41">
        <f>IF(Charts!$B$3="none",G968,IF(M968="",NA(),M968))</f>
        <v>0</v>
      </c>
      <c r="T41">
        <f>IF(Charts!$B$3="none",H968,IF(N968="",NA(),N968))</f>
        <v>0</v>
      </c>
    </row>
    <row r="42" spans="4:20">
      <c r="D42">
        <v>38</v>
      </c>
      <c r="E42">
        <f>IF(INDIRECT(ADDRESS($D42+2,E$2+1,,,"Instances"))="","",INDIRECT(ADDRESS($D42+2,E$2+1,,,"Instances")))</f>
        <v>0</v>
      </c>
      <c r="F42">
        <f>IFERROR(SMALL(E5:E188,ROW()-ROW($F$5)+1),"")</f>
        <v>0</v>
      </c>
      <c r="H42">
        <f>IFERROR(SUM(F5:F42),"")</f>
        <v>0</v>
      </c>
      <c r="J42">
        <v>38</v>
      </c>
      <c r="K42" cm="1">
        <f t="array" ref="K42">_xlfn.SWITCH(Charts!$B$3,"average", AVERAGE(INDIRECT(ADDRESS(37+3,K$2+1,,,"Instances") &amp; ":" &amp; ADDRESS(37+3,K$2+1))),"median", MEDIAN(INDIRECT(ADDRESS(37+3,K$2+1,,,"Instances") &amp; ":" &amp; ADDRESS(37+3,K$2+1))),"min", MIN(INDIRECT(ADDRESS(37+3,K$2+1,,,"Instances") &amp; ":" &amp; ADDRESS(37+3,K$2+1))),"max", MAX(INDIRECT(ADDRESS(37+3,K$2+1,,,"Instances") &amp; ":" &amp; ADDRESS(37+3,K$2+1))),"diff", MAX(INDIRECT(ADDRESS(37+3,K$2+1,,,"Instances") &amp; ":" &amp; ADDRESS(37+3,K$2+1)))-MIN(INDIRECT(ADDRESS(37+3,K$2+1,,,"Instances") &amp; ":" &amp; ADDRESS(37+3,K$2+1))))</f>
        <v>0</v>
      </c>
      <c r="L42">
        <f>IFERROR(SMALL(K5:K188,ROW()-ROW($L$5)+1),"")</f>
        <v>0</v>
      </c>
      <c r="N42">
        <f>IFERROR(SUM(L5:L42),"")</f>
        <v>0</v>
      </c>
      <c r="Q42">
        <f>IF(Charts!$B$3="none",E969,IF(K969="",NA(),K969))</f>
        <v>0</v>
      </c>
      <c r="R42">
        <f>IF(Charts!$B$3="none",F969,IF(L969="",NA(),L969))</f>
        <v>0</v>
      </c>
      <c r="S42">
        <f>IF(Charts!$B$3="none",G969,IF(M969="",NA(),M969))</f>
        <v>0</v>
      </c>
      <c r="T42">
        <f>IF(Charts!$B$3="none",H969,IF(N969="",NA(),N969))</f>
        <v>0</v>
      </c>
    </row>
    <row r="43" spans="4:20">
      <c r="D43">
        <v>39</v>
      </c>
      <c r="E43">
        <f>IF(INDIRECT(ADDRESS($D43+2,E$2+1,,,"Instances"))="","",INDIRECT(ADDRESS($D43+2,E$2+1,,,"Instances")))</f>
        <v>0</v>
      </c>
      <c r="F43">
        <f>IFERROR(SMALL(E5:E188,ROW()-ROW($F$5)+1),"")</f>
        <v>0</v>
      </c>
      <c r="H43">
        <f>IFERROR(SUM(F5:F43),"")</f>
        <v>0</v>
      </c>
      <c r="J43">
        <v>39</v>
      </c>
      <c r="K43" cm="1">
        <f t="array" ref="K43">_xlfn.SWITCH(Charts!$B$3,"average", AVERAGE(INDIRECT(ADDRESS(38+3,K$2+1,,,"Instances") &amp; ":" &amp; ADDRESS(38+3,K$2+1))),"median", MEDIAN(INDIRECT(ADDRESS(38+3,K$2+1,,,"Instances") &amp; ":" &amp; ADDRESS(38+3,K$2+1))),"min", MIN(INDIRECT(ADDRESS(38+3,K$2+1,,,"Instances") &amp; ":" &amp; ADDRESS(38+3,K$2+1))),"max", MAX(INDIRECT(ADDRESS(38+3,K$2+1,,,"Instances") &amp; ":" &amp; ADDRESS(38+3,K$2+1))),"diff", MAX(INDIRECT(ADDRESS(38+3,K$2+1,,,"Instances") &amp; ":" &amp; ADDRESS(38+3,K$2+1)))-MIN(INDIRECT(ADDRESS(38+3,K$2+1,,,"Instances") &amp; ":" &amp; ADDRESS(38+3,K$2+1))))</f>
        <v>0</v>
      </c>
      <c r="L43">
        <f>IFERROR(SMALL(K5:K188,ROW()-ROW($L$5)+1),"")</f>
        <v>0</v>
      </c>
      <c r="N43">
        <f>IFERROR(SUM(L5:L43),"")</f>
        <v>0</v>
      </c>
      <c r="Q43">
        <f>IF(Charts!$B$3="none",E970,IF(K970="",NA(),K970))</f>
        <v>0</v>
      </c>
      <c r="R43">
        <f>IF(Charts!$B$3="none",F970,IF(L970="",NA(),L970))</f>
        <v>0</v>
      </c>
      <c r="S43">
        <f>IF(Charts!$B$3="none",G970,IF(M970="",NA(),M970))</f>
        <v>0</v>
      </c>
      <c r="T43">
        <f>IF(Charts!$B$3="none",H970,IF(N970="",NA(),N970))</f>
        <v>0</v>
      </c>
    </row>
    <row r="44" spans="4:20">
      <c r="D44">
        <v>40</v>
      </c>
      <c r="E44">
        <f>IF(INDIRECT(ADDRESS($D44+2,E$2+1,,,"Instances"))="","",INDIRECT(ADDRESS($D44+2,E$2+1,,,"Instances")))</f>
        <v>0</v>
      </c>
      <c r="F44">
        <f>IFERROR(SMALL(E5:E188,ROW()-ROW($F$5)+1),"")</f>
        <v>0</v>
      </c>
      <c r="H44">
        <f>IFERROR(SUM(F5:F44),"")</f>
        <v>0</v>
      </c>
      <c r="J44">
        <v>40</v>
      </c>
      <c r="K44" cm="1">
        <f t="array" ref="K44">_xlfn.SWITCH(Charts!$B$3,"average", AVERAGE(INDIRECT(ADDRESS(39+3,K$2+1,,,"Instances") &amp; ":" &amp; ADDRESS(39+3,K$2+1))),"median", MEDIAN(INDIRECT(ADDRESS(39+3,K$2+1,,,"Instances") &amp; ":" &amp; ADDRESS(39+3,K$2+1))),"min", MIN(INDIRECT(ADDRESS(39+3,K$2+1,,,"Instances") &amp; ":" &amp; ADDRESS(39+3,K$2+1))),"max", MAX(INDIRECT(ADDRESS(39+3,K$2+1,,,"Instances") &amp; ":" &amp; ADDRESS(39+3,K$2+1))),"diff", MAX(INDIRECT(ADDRESS(39+3,K$2+1,,,"Instances") &amp; ":" &amp; ADDRESS(39+3,K$2+1)))-MIN(INDIRECT(ADDRESS(39+3,K$2+1,,,"Instances") &amp; ":" &amp; ADDRESS(39+3,K$2+1))))</f>
        <v>0</v>
      </c>
      <c r="L44">
        <f>IFERROR(SMALL(K5:K188,ROW()-ROW($L$5)+1),"")</f>
        <v>0</v>
      </c>
      <c r="N44">
        <f>IFERROR(SUM(L5:L44),"")</f>
        <v>0</v>
      </c>
      <c r="Q44">
        <f>IF(Charts!$B$3="none",E971,IF(K971="",NA(),K971))</f>
        <v>0</v>
      </c>
      <c r="R44">
        <f>IF(Charts!$B$3="none",F971,IF(L971="",NA(),L971))</f>
        <v>0</v>
      </c>
      <c r="S44">
        <f>IF(Charts!$B$3="none",G971,IF(M971="",NA(),M971))</f>
        <v>0</v>
      </c>
      <c r="T44">
        <f>IF(Charts!$B$3="none",H971,IF(N971="",NA(),N971))</f>
        <v>0</v>
      </c>
    </row>
    <row r="45" spans="4:20">
      <c r="D45">
        <v>41</v>
      </c>
      <c r="E45">
        <f>IF(INDIRECT(ADDRESS($D45+2,E$2+1,,,"Instances"))="","",INDIRECT(ADDRESS($D45+2,E$2+1,,,"Instances")))</f>
        <v>0</v>
      </c>
      <c r="F45">
        <f>IFERROR(SMALL(E5:E188,ROW()-ROW($F$5)+1),"")</f>
        <v>0</v>
      </c>
      <c r="H45">
        <f>IFERROR(SUM(F5:F45),"")</f>
        <v>0</v>
      </c>
      <c r="J45">
        <v>41</v>
      </c>
      <c r="K45" cm="1">
        <f t="array" ref="K45">_xlfn.SWITCH(Charts!$B$3,"average", AVERAGE(INDIRECT(ADDRESS(40+3,K$2+1,,,"Instances") &amp; ":" &amp; ADDRESS(40+3,K$2+1))),"median", MEDIAN(INDIRECT(ADDRESS(40+3,K$2+1,,,"Instances") &amp; ":" &amp; ADDRESS(40+3,K$2+1))),"min", MIN(INDIRECT(ADDRESS(40+3,K$2+1,,,"Instances") &amp; ":" &amp; ADDRESS(40+3,K$2+1))),"max", MAX(INDIRECT(ADDRESS(40+3,K$2+1,,,"Instances") &amp; ":" &amp; ADDRESS(40+3,K$2+1))),"diff", MAX(INDIRECT(ADDRESS(40+3,K$2+1,,,"Instances") &amp; ":" &amp; ADDRESS(40+3,K$2+1)))-MIN(INDIRECT(ADDRESS(40+3,K$2+1,,,"Instances") &amp; ":" &amp; ADDRESS(40+3,K$2+1))))</f>
        <v>0</v>
      </c>
      <c r="L45">
        <f>IFERROR(SMALL(K5:K188,ROW()-ROW($L$5)+1),"")</f>
        <v>0</v>
      </c>
      <c r="N45">
        <f>IFERROR(SUM(L5:L45),"")</f>
        <v>0</v>
      </c>
      <c r="Q45">
        <f>IF(Charts!$B$3="none",E972,IF(K972="",NA(),K972))</f>
        <v>0</v>
      </c>
      <c r="R45">
        <f>IF(Charts!$B$3="none",F972,IF(L972="",NA(),L972))</f>
        <v>0</v>
      </c>
      <c r="S45">
        <f>IF(Charts!$B$3="none",G972,IF(M972="",NA(),M972))</f>
        <v>0</v>
      </c>
      <c r="T45">
        <f>IF(Charts!$B$3="none",H972,IF(N972="",NA(),N972))</f>
        <v>0</v>
      </c>
    </row>
    <row r="46" spans="4:20">
      <c r="D46">
        <v>42</v>
      </c>
      <c r="E46">
        <f>IF(INDIRECT(ADDRESS($D46+2,E$2+1,,,"Instances"))="","",INDIRECT(ADDRESS($D46+2,E$2+1,,,"Instances")))</f>
        <v>0</v>
      </c>
      <c r="F46">
        <f>IFERROR(SMALL(E5:E188,ROW()-ROW($F$5)+1),"")</f>
        <v>0</v>
      </c>
      <c r="H46">
        <f>IFERROR(SUM(F5:F46),"")</f>
        <v>0</v>
      </c>
      <c r="J46">
        <v>42</v>
      </c>
      <c r="K46" cm="1">
        <f t="array" ref="K46">_xlfn.SWITCH(Charts!$B$3,"average", AVERAGE(INDIRECT(ADDRESS(41+3,K$2+1,,,"Instances") &amp; ":" &amp; ADDRESS(41+3,K$2+1))),"median", MEDIAN(INDIRECT(ADDRESS(41+3,K$2+1,,,"Instances") &amp; ":" &amp; ADDRESS(41+3,K$2+1))),"min", MIN(INDIRECT(ADDRESS(41+3,K$2+1,,,"Instances") &amp; ":" &amp; ADDRESS(41+3,K$2+1))),"max", MAX(INDIRECT(ADDRESS(41+3,K$2+1,,,"Instances") &amp; ":" &amp; ADDRESS(41+3,K$2+1))),"diff", MAX(INDIRECT(ADDRESS(41+3,K$2+1,,,"Instances") &amp; ":" &amp; ADDRESS(41+3,K$2+1)))-MIN(INDIRECT(ADDRESS(41+3,K$2+1,,,"Instances") &amp; ":" &amp; ADDRESS(41+3,K$2+1))))</f>
        <v>0</v>
      </c>
      <c r="L46">
        <f>IFERROR(SMALL(K5:K188,ROW()-ROW($L$5)+1),"")</f>
        <v>0</v>
      </c>
      <c r="N46">
        <f>IFERROR(SUM(L5:L46),"")</f>
        <v>0</v>
      </c>
      <c r="Q46">
        <f>IF(Charts!$B$3="none",E973,IF(K973="",NA(),K973))</f>
        <v>0</v>
      </c>
      <c r="R46">
        <f>IF(Charts!$B$3="none",F973,IF(L973="",NA(),L973))</f>
        <v>0</v>
      </c>
      <c r="S46">
        <f>IF(Charts!$B$3="none",G973,IF(M973="",NA(),M973))</f>
        <v>0</v>
      </c>
      <c r="T46">
        <f>IF(Charts!$B$3="none",H973,IF(N973="",NA(),N973))</f>
        <v>0</v>
      </c>
    </row>
    <row r="47" spans="4:20">
      <c r="D47">
        <v>43</v>
      </c>
      <c r="E47">
        <f>IF(INDIRECT(ADDRESS($D47+2,E$2+1,,,"Instances"))="","",INDIRECT(ADDRESS($D47+2,E$2+1,,,"Instances")))</f>
        <v>0</v>
      </c>
      <c r="F47">
        <f>IFERROR(SMALL(E5:E188,ROW()-ROW($F$5)+1),"")</f>
        <v>0</v>
      </c>
      <c r="H47">
        <f>IFERROR(SUM(F5:F47),"")</f>
        <v>0</v>
      </c>
      <c r="J47">
        <v>43</v>
      </c>
      <c r="K47" cm="1">
        <f t="array" ref="K47">_xlfn.SWITCH(Charts!$B$3,"average", AVERAGE(INDIRECT(ADDRESS(42+3,K$2+1,,,"Instances") &amp; ":" &amp; ADDRESS(42+3,K$2+1))),"median", MEDIAN(INDIRECT(ADDRESS(42+3,K$2+1,,,"Instances") &amp; ":" &amp; ADDRESS(42+3,K$2+1))),"min", MIN(INDIRECT(ADDRESS(42+3,K$2+1,,,"Instances") &amp; ":" &amp; ADDRESS(42+3,K$2+1))),"max", MAX(INDIRECT(ADDRESS(42+3,K$2+1,,,"Instances") &amp; ":" &amp; ADDRESS(42+3,K$2+1))),"diff", MAX(INDIRECT(ADDRESS(42+3,K$2+1,,,"Instances") &amp; ":" &amp; ADDRESS(42+3,K$2+1)))-MIN(INDIRECT(ADDRESS(42+3,K$2+1,,,"Instances") &amp; ":" &amp; ADDRESS(42+3,K$2+1))))</f>
        <v>0</v>
      </c>
      <c r="L47">
        <f>IFERROR(SMALL(K5:K188,ROW()-ROW($L$5)+1),"")</f>
        <v>0</v>
      </c>
      <c r="N47">
        <f>IFERROR(SUM(L5:L47),"")</f>
        <v>0</v>
      </c>
      <c r="Q47">
        <f>IF(Charts!$B$3="none",E974,IF(K974="",NA(),K974))</f>
        <v>0</v>
      </c>
      <c r="R47">
        <f>IF(Charts!$B$3="none",F974,IF(L974="",NA(),L974))</f>
        <v>0</v>
      </c>
      <c r="S47">
        <f>IF(Charts!$B$3="none",G974,IF(M974="",NA(),M974))</f>
        <v>0</v>
      </c>
      <c r="T47">
        <f>IF(Charts!$B$3="none",H974,IF(N974="",NA(),N974))</f>
        <v>0</v>
      </c>
    </row>
    <row r="48" spans="4:20">
      <c r="D48">
        <v>44</v>
      </c>
      <c r="E48">
        <f>IF(INDIRECT(ADDRESS($D48+2,E$2+1,,,"Instances"))="","",INDIRECT(ADDRESS($D48+2,E$2+1,,,"Instances")))</f>
        <v>0</v>
      </c>
      <c r="F48">
        <f>IFERROR(SMALL(E5:E188,ROW()-ROW($F$5)+1),"")</f>
        <v>0</v>
      </c>
      <c r="H48">
        <f>IFERROR(SUM(F5:F48),"")</f>
        <v>0</v>
      </c>
      <c r="J48">
        <v>44</v>
      </c>
      <c r="K48" cm="1">
        <f t="array" ref="K48">_xlfn.SWITCH(Charts!$B$3,"average", AVERAGE(INDIRECT(ADDRESS(43+3,K$2+1,,,"Instances") &amp; ":" &amp; ADDRESS(43+3,K$2+1))),"median", MEDIAN(INDIRECT(ADDRESS(43+3,K$2+1,,,"Instances") &amp; ":" &amp; ADDRESS(43+3,K$2+1))),"min", MIN(INDIRECT(ADDRESS(43+3,K$2+1,,,"Instances") &amp; ":" &amp; ADDRESS(43+3,K$2+1))),"max", MAX(INDIRECT(ADDRESS(43+3,K$2+1,,,"Instances") &amp; ":" &amp; ADDRESS(43+3,K$2+1))),"diff", MAX(INDIRECT(ADDRESS(43+3,K$2+1,,,"Instances") &amp; ":" &amp; ADDRESS(43+3,K$2+1)))-MIN(INDIRECT(ADDRESS(43+3,K$2+1,,,"Instances") &amp; ":" &amp; ADDRESS(43+3,K$2+1))))</f>
        <v>0</v>
      </c>
      <c r="L48">
        <f>IFERROR(SMALL(K5:K188,ROW()-ROW($L$5)+1),"")</f>
        <v>0</v>
      </c>
      <c r="N48">
        <f>IFERROR(SUM(L5:L48),"")</f>
        <v>0</v>
      </c>
      <c r="Q48">
        <f>IF(Charts!$B$3="none",E975,IF(K975="",NA(),K975))</f>
        <v>0</v>
      </c>
      <c r="R48">
        <f>IF(Charts!$B$3="none",F975,IF(L975="",NA(),L975))</f>
        <v>0</v>
      </c>
      <c r="S48">
        <f>IF(Charts!$B$3="none",G975,IF(M975="",NA(),M975))</f>
        <v>0</v>
      </c>
      <c r="T48">
        <f>IF(Charts!$B$3="none",H975,IF(N975="",NA(),N975))</f>
        <v>0</v>
      </c>
    </row>
    <row r="49" spans="4:20">
      <c r="D49">
        <v>45</v>
      </c>
      <c r="E49">
        <f>IF(INDIRECT(ADDRESS($D49+2,E$2+1,,,"Instances"))="","",INDIRECT(ADDRESS($D49+2,E$2+1,,,"Instances")))</f>
        <v>0</v>
      </c>
      <c r="F49">
        <f>IFERROR(SMALL(E5:E188,ROW()-ROW($F$5)+1),"")</f>
        <v>0</v>
      </c>
      <c r="H49">
        <f>IFERROR(SUM(F5:F49),"")</f>
        <v>0</v>
      </c>
      <c r="J49">
        <v>45</v>
      </c>
      <c r="K49" cm="1">
        <f t="array" ref="K49">_xlfn.SWITCH(Charts!$B$3,"average", AVERAGE(INDIRECT(ADDRESS(44+3,K$2+1,,,"Instances") &amp; ":" &amp; ADDRESS(44+3,K$2+1))),"median", MEDIAN(INDIRECT(ADDRESS(44+3,K$2+1,,,"Instances") &amp; ":" &amp; ADDRESS(44+3,K$2+1))),"min", MIN(INDIRECT(ADDRESS(44+3,K$2+1,,,"Instances") &amp; ":" &amp; ADDRESS(44+3,K$2+1))),"max", MAX(INDIRECT(ADDRESS(44+3,K$2+1,,,"Instances") &amp; ":" &amp; ADDRESS(44+3,K$2+1))),"diff", MAX(INDIRECT(ADDRESS(44+3,K$2+1,,,"Instances") &amp; ":" &amp; ADDRESS(44+3,K$2+1)))-MIN(INDIRECT(ADDRESS(44+3,K$2+1,,,"Instances") &amp; ":" &amp; ADDRESS(44+3,K$2+1))))</f>
        <v>0</v>
      </c>
      <c r="L49">
        <f>IFERROR(SMALL(K5:K188,ROW()-ROW($L$5)+1),"")</f>
        <v>0</v>
      </c>
      <c r="N49">
        <f>IFERROR(SUM(L5:L49),"")</f>
        <v>0</v>
      </c>
      <c r="Q49">
        <f>IF(Charts!$B$3="none",E976,IF(K976="",NA(),K976))</f>
        <v>0</v>
      </c>
      <c r="R49">
        <f>IF(Charts!$B$3="none",F976,IF(L976="",NA(),L976))</f>
        <v>0</v>
      </c>
      <c r="S49">
        <f>IF(Charts!$B$3="none",G976,IF(M976="",NA(),M976))</f>
        <v>0</v>
      </c>
      <c r="T49">
        <f>IF(Charts!$B$3="none",H976,IF(N976="",NA(),N976))</f>
        <v>0</v>
      </c>
    </row>
    <row r="50" spans="4:20">
      <c r="D50">
        <v>46</v>
      </c>
      <c r="E50">
        <f>IF(INDIRECT(ADDRESS($D50+2,E$2+1,,,"Instances"))="","",INDIRECT(ADDRESS($D50+2,E$2+1,,,"Instances")))</f>
        <v>0</v>
      </c>
      <c r="F50">
        <f>IFERROR(SMALL(E5:E188,ROW()-ROW($F$5)+1),"")</f>
        <v>0</v>
      </c>
      <c r="H50">
        <f>IFERROR(SUM(F5:F50),"")</f>
        <v>0</v>
      </c>
      <c r="J50">
        <v>46</v>
      </c>
      <c r="K50" cm="1">
        <f t="array" ref="K50">_xlfn.SWITCH(Charts!$B$3,"average", AVERAGE(INDIRECT(ADDRESS(45+3,K$2+1,,,"Instances") &amp; ":" &amp; ADDRESS(45+3,K$2+1))),"median", MEDIAN(INDIRECT(ADDRESS(45+3,K$2+1,,,"Instances") &amp; ":" &amp; ADDRESS(45+3,K$2+1))),"min", MIN(INDIRECT(ADDRESS(45+3,K$2+1,,,"Instances") &amp; ":" &amp; ADDRESS(45+3,K$2+1))),"max", MAX(INDIRECT(ADDRESS(45+3,K$2+1,,,"Instances") &amp; ":" &amp; ADDRESS(45+3,K$2+1))),"diff", MAX(INDIRECT(ADDRESS(45+3,K$2+1,,,"Instances") &amp; ":" &amp; ADDRESS(45+3,K$2+1)))-MIN(INDIRECT(ADDRESS(45+3,K$2+1,,,"Instances") &amp; ":" &amp; ADDRESS(45+3,K$2+1))))</f>
        <v>0</v>
      </c>
      <c r="L50">
        <f>IFERROR(SMALL(K5:K188,ROW()-ROW($L$5)+1),"")</f>
        <v>0</v>
      </c>
      <c r="N50">
        <f>IFERROR(SUM(L5:L50),"")</f>
        <v>0</v>
      </c>
      <c r="Q50">
        <f>IF(Charts!$B$3="none",E977,IF(K977="",NA(),K977))</f>
        <v>0</v>
      </c>
      <c r="R50">
        <f>IF(Charts!$B$3="none",F977,IF(L977="",NA(),L977))</f>
        <v>0</v>
      </c>
      <c r="S50">
        <f>IF(Charts!$B$3="none",G977,IF(M977="",NA(),M977))</f>
        <v>0</v>
      </c>
      <c r="T50">
        <f>IF(Charts!$B$3="none",H977,IF(N977="",NA(),N977))</f>
        <v>0</v>
      </c>
    </row>
    <row r="51" spans="4:20">
      <c r="D51">
        <v>47</v>
      </c>
      <c r="E51">
        <f>IF(INDIRECT(ADDRESS($D51+2,E$2+1,,,"Instances"))="","",INDIRECT(ADDRESS($D51+2,E$2+1,,,"Instances")))</f>
        <v>0</v>
      </c>
      <c r="F51">
        <f>IFERROR(SMALL(E5:E188,ROW()-ROW($F$5)+1),"")</f>
        <v>0</v>
      </c>
      <c r="H51">
        <f>IFERROR(SUM(F5:F51),"")</f>
        <v>0</v>
      </c>
      <c r="J51">
        <v>47</v>
      </c>
      <c r="K51" cm="1">
        <f t="array" ref="K51">_xlfn.SWITCH(Charts!$B$3,"average", AVERAGE(INDIRECT(ADDRESS(46+3,K$2+1,,,"Instances") &amp; ":" &amp; ADDRESS(46+3,K$2+1))),"median", MEDIAN(INDIRECT(ADDRESS(46+3,K$2+1,,,"Instances") &amp; ":" &amp; ADDRESS(46+3,K$2+1))),"min", MIN(INDIRECT(ADDRESS(46+3,K$2+1,,,"Instances") &amp; ":" &amp; ADDRESS(46+3,K$2+1))),"max", MAX(INDIRECT(ADDRESS(46+3,K$2+1,,,"Instances") &amp; ":" &amp; ADDRESS(46+3,K$2+1))),"diff", MAX(INDIRECT(ADDRESS(46+3,K$2+1,,,"Instances") &amp; ":" &amp; ADDRESS(46+3,K$2+1)))-MIN(INDIRECT(ADDRESS(46+3,K$2+1,,,"Instances") &amp; ":" &amp; ADDRESS(46+3,K$2+1))))</f>
        <v>0</v>
      </c>
      <c r="L51">
        <f>IFERROR(SMALL(K5:K188,ROW()-ROW($L$5)+1),"")</f>
        <v>0</v>
      </c>
      <c r="N51">
        <f>IFERROR(SUM(L5:L51),"")</f>
        <v>0</v>
      </c>
      <c r="Q51">
        <f>IF(Charts!$B$3="none",E978,IF(K978="",NA(),K978))</f>
        <v>0</v>
      </c>
      <c r="R51">
        <f>IF(Charts!$B$3="none",F978,IF(L978="",NA(),L978))</f>
        <v>0</v>
      </c>
      <c r="S51">
        <f>IF(Charts!$B$3="none",G978,IF(M978="",NA(),M978))</f>
        <v>0</v>
      </c>
      <c r="T51">
        <f>IF(Charts!$B$3="none",H978,IF(N978="",NA(),N978))</f>
        <v>0</v>
      </c>
    </row>
    <row r="52" spans="4:20">
      <c r="D52">
        <v>48</v>
      </c>
      <c r="E52">
        <f>IF(INDIRECT(ADDRESS($D52+2,E$2+1,,,"Instances"))="","",INDIRECT(ADDRESS($D52+2,E$2+1,,,"Instances")))</f>
        <v>0</v>
      </c>
      <c r="F52">
        <f>IFERROR(SMALL(E5:E188,ROW()-ROW($F$5)+1),"")</f>
        <v>0</v>
      </c>
      <c r="H52">
        <f>IFERROR(SUM(F5:F52),"")</f>
        <v>0</v>
      </c>
      <c r="J52">
        <v>48</v>
      </c>
      <c r="K52" cm="1">
        <f t="array" ref="K52">_xlfn.SWITCH(Charts!$B$3,"average", AVERAGE(INDIRECT(ADDRESS(47+3,K$2+1,,,"Instances") &amp; ":" &amp; ADDRESS(47+3,K$2+1))),"median", MEDIAN(INDIRECT(ADDRESS(47+3,K$2+1,,,"Instances") &amp; ":" &amp; ADDRESS(47+3,K$2+1))),"min", MIN(INDIRECT(ADDRESS(47+3,K$2+1,,,"Instances") &amp; ":" &amp; ADDRESS(47+3,K$2+1))),"max", MAX(INDIRECT(ADDRESS(47+3,K$2+1,,,"Instances") &amp; ":" &amp; ADDRESS(47+3,K$2+1))),"diff", MAX(INDIRECT(ADDRESS(47+3,K$2+1,,,"Instances") &amp; ":" &amp; ADDRESS(47+3,K$2+1)))-MIN(INDIRECT(ADDRESS(47+3,K$2+1,,,"Instances") &amp; ":" &amp; ADDRESS(47+3,K$2+1))))</f>
        <v>0</v>
      </c>
      <c r="L52">
        <f>IFERROR(SMALL(K5:K188,ROW()-ROW($L$5)+1),"")</f>
        <v>0</v>
      </c>
      <c r="N52">
        <f>IFERROR(SUM(L5:L52),"")</f>
        <v>0</v>
      </c>
      <c r="Q52">
        <f>IF(Charts!$B$3="none",E979,IF(K979="",NA(),K979))</f>
        <v>0</v>
      </c>
      <c r="R52">
        <f>IF(Charts!$B$3="none",F979,IF(L979="",NA(),L979))</f>
        <v>0</v>
      </c>
      <c r="S52">
        <f>IF(Charts!$B$3="none",G979,IF(M979="",NA(),M979))</f>
        <v>0</v>
      </c>
      <c r="T52">
        <f>IF(Charts!$B$3="none",H979,IF(N979="",NA(),N979))</f>
        <v>0</v>
      </c>
    </row>
    <row r="53" spans="4:20">
      <c r="D53">
        <v>49</v>
      </c>
      <c r="E53">
        <f>IF(INDIRECT(ADDRESS($D53+2,E$2+1,,,"Instances"))="","",INDIRECT(ADDRESS($D53+2,E$2+1,,,"Instances")))</f>
        <v>0</v>
      </c>
      <c r="F53">
        <f>IFERROR(SMALL(E5:E188,ROW()-ROW($F$5)+1),"")</f>
        <v>0</v>
      </c>
      <c r="H53">
        <f>IFERROR(SUM(F5:F53),"")</f>
        <v>0</v>
      </c>
      <c r="J53">
        <v>49</v>
      </c>
      <c r="K53" cm="1">
        <f t="array" ref="K53">_xlfn.SWITCH(Charts!$B$3,"average", AVERAGE(INDIRECT(ADDRESS(48+3,K$2+1,,,"Instances") &amp; ":" &amp; ADDRESS(48+3,K$2+1))),"median", MEDIAN(INDIRECT(ADDRESS(48+3,K$2+1,,,"Instances") &amp; ":" &amp; ADDRESS(48+3,K$2+1))),"min", MIN(INDIRECT(ADDRESS(48+3,K$2+1,,,"Instances") &amp; ":" &amp; ADDRESS(48+3,K$2+1))),"max", MAX(INDIRECT(ADDRESS(48+3,K$2+1,,,"Instances") &amp; ":" &amp; ADDRESS(48+3,K$2+1))),"diff", MAX(INDIRECT(ADDRESS(48+3,K$2+1,,,"Instances") &amp; ":" &amp; ADDRESS(48+3,K$2+1)))-MIN(INDIRECT(ADDRESS(48+3,K$2+1,,,"Instances") &amp; ":" &amp; ADDRESS(48+3,K$2+1))))</f>
        <v>0</v>
      </c>
      <c r="L53">
        <f>IFERROR(SMALL(K5:K188,ROW()-ROW($L$5)+1),"")</f>
        <v>0</v>
      </c>
      <c r="N53">
        <f>IFERROR(SUM(L5:L53),"")</f>
        <v>0</v>
      </c>
      <c r="Q53">
        <f>IF(Charts!$B$3="none",E980,IF(K980="",NA(),K980))</f>
        <v>0</v>
      </c>
      <c r="R53">
        <f>IF(Charts!$B$3="none",F980,IF(L980="",NA(),L980))</f>
        <v>0</v>
      </c>
      <c r="S53">
        <f>IF(Charts!$B$3="none",G980,IF(M980="",NA(),M980))</f>
        <v>0</v>
      </c>
      <c r="T53">
        <f>IF(Charts!$B$3="none",H980,IF(N980="",NA(),N980))</f>
        <v>0</v>
      </c>
    </row>
    <row r="54" spans="4:20">
      <c r="D54">
        <v>50</v>
      </c>
      <c r="E54">
        <f>IF(INDIRECT(ADDRESS($D54+2,E$2+1,,,"Instances"))="","",INDIRECT(ADDRESS($D54+2,E$2+1,,,"Instances")))</f>
        <v>0</v>
      </c>
      <c r="F54">
        <f>IFERROR(SMALL(E5:E188,ROW()-ROW($F$5)+1),"")</f>
        <v>0</v>
      </c>
      <c r="H54">
        <f>IFERROR(SUM(F5:F54),"")</f>
        <v>0</v>
      </c>
      <c r="J54">
        <v>50</v>
      </c>
      <c r="K54" cm="1">
        <f t="array" ref="K54">_xlfn.SWITCH(Charts!$B$3,"average", AVERAGE(INDIRECT(ADDRESS(49+3,K$2+1,,,"Instances") &amp; ":" &amp; ADDRESS(49+3,K$2+1))),"median", MEDIAN(INDIRECT(ADDRESS(49+3,K$2+1,,,"Instances") &amp; ":" &amp; ADDRESS(49+3,K$2+1))),"min", MIN(INDIRECT(ADDRESS(49+3,K$2+1,,,"Instances") &amp; ":" &amp; ADDRESS(49+3,K$2+1))),"max", MAX(INDIRECT(ADDRESS(49+3,K$2+1,,,"Instances") &amp; ":" &amp; ADDRESS(49+3,K$2+1))),"diff", MAX(INDIRECT(ADDRESS(49+3,K$2+1,,,"Instances") &amp; ":" &amp; ADDRESS(49+3,K$2+1)))-MIN(INDIRECT(ADDRESS(49+3,K$2+1,,,"Instances") &amp; ":" &amp; ADDRESS(49+3,K$2+1))))</f>
        <v>0</v>
      </c>
      <c r="L54">
        <f>IFERROR(SMALL(K5:K188,ROW()-ROW($L$5)+1),"")</f>
        <v>0</v>
      </c>
      <c r="N54">
        <f>IFERROR(SUM(L5:L54),"")</f>
        <v>0</v>
      </c>
      <c r="Q54">
        <f>IF(Charts!$B$3="none",E981,IF(K981="",NA(),K981))</f>
        <v>0</v>
      </c>
      <c r="R54">
        <f>IF(Charts!$B$3="none",F981,IF(L981="",NA(),L981))</f>
        <v>0</v>
      </c>
      <c r="S54">
        <f>IF(Charts!$B$3="none",G981,IF(M981="",NA(),M981))</f>
        <v>0</v>
      </c>
      <c r="T54">
        <f>IF(Charts!$B$3="none",H981,IF(N981="",NA(),N981))</f>
        <v>0</v>
      </c>
    </row>
    <row r="55" spans="4:20">
      <c r="D55">
        <v>51</v>
      </c>
      <c r="E55">
        <f>IF(INDIRECT(ADDRESS($D55+2,E$2+1,,,"Instances"))="","",INDIRECT(ADDRESS($D55+2,E$2+1,,,"Instances")))</f>
        <v>0</v>
      </c>
      <c r="F55">
        <f>IFERROR(SMALL(E5:E188,ROW()-ROW($F$5)+1),"")</f>
        <v>0</v>
      </c>
      <c r="H55">
        <f>IFERROR(SUM(F5:F55),"")</f>
        <v>0</v>
      </c>
      <c r="J55">
        <v>51</v>
      </c>
      <c r="K55" cm="1">
        <f t="array" ref="K55">_xlfn.SWITCH(Charts!$B$3,"average", AVERAGE(INDIRECT(ADDRESS(50+3,K$2+1,,,"Instances") &amp; ":" &amp; ADDRESS(50+3,K$2+1))),"median", MEDIAN(INDIRECT(ADDRESS(50+3,K$2+1,,,"Instances") &amp; ":" &amp; ADDRESS(50+3,K$2+1))),"min", MIN(INDIRECT(ADDRESS(50+3,K$2+1,,,"Instances") &amp; ":" &amp; ADDRESS(50+3,K$2+1))),"max", MAX(INDIRECT(ADDRESS(50+3,K$2+1,,,"Instances") &amp; ":" &amp; ADDRESS(50+3,K$2+1))),"diff", MAX(INDIRECT(ADDRESS(50+3,K$2+1,,,"Instances") &amp; ":" &amp; ADDRESS(50+3,K$2+1)))-MIN(INDIRECT(ADDRESS(50+3,K$2+1,,,"Instances") &amp; ":" &amp; ADDRESS(50+3,K$2+1))))</f>
        <v>0</v>
      </c>
      <c r="L55">
        <f>IFERROR(SMALL(K5:K188,ROW()-ROW($L$5)+1),"")</f>
        <v>0</v>
      </c>
      <c r="N55">
        <f>IFERROR(SUM(L5:L55),"")</f>
        <v>0</v>
      </c>
      <c r="Q55">
        <f>IF(Charts!$B$3="none",E982,IF(K982="",NA(),K982))</f>
        <v>0</v>
      </c>
      <c r="R55">
        <f>IF(Charts!$B$3="none",F982,IF(L982="",NA(),L982))</f>
        <v>0</v>
      </c>
      <c r="S55">
        <f>IF(Charts!$B$3="none",G982,IF(M982="",NA(),M982))</f>
        <v>0</v>
      </c>
      <c r="T55">
        <f>IF(Charts!$B$3="none",H982,IF(N982="",NA(),N982))</f>
        <v>0</v>
      </c>
    </row>
    <row r="56" spans="4:20">
      <c r="D56">
        <v>52</v>
      </c>
      <c r="E56">
        <f>IF(INDIRECT(ADDRESS($D56+2,E$2+1,,,"Instances"))="","",INDIRECT(ADDRESS($D56+2,E$2+1,,,"Instances")))</f>
        <v>0</v>
      </c>
      <c r="F56">
        <f>IFERROR(SMALL(E5:E188,ROW()-ROW($F$5)+1),"")</f>
        <v>0</v>
      </c>
      <c r="H56">
        <f>IFERROR(SUM(F5:F56),"")</f>
        <v>0</v>
      </c>
      <c r="J56">
        <v>52</v>
      </c>
      <c r="K56" cm="1">
        <f t="array" ref="K56">_xlfn.SWITCH(Charts!$B$3,"average", AVERAGE(INDIRECT(ADDRESS(51+3,K$2+1,,,"Instances") &amp; ":" &amp; ADDRESS(51+3,K$2+1))),"median", MEDIAN(INDIRECT(ADDRESS(51+3,K$2+1,,,"Instances") &amp; ":" &amp; ADDRESS(51+3,K$2+1))),"min", MIN(INDIRECT(ADDRESS(51+3,K$2+1,,,"Instances") &amp; ":" &amp; ADDRESS(51+3,K$2+1))),"max", MAX(INDIRECT(ADDRESS(51+3,K$2+1,,,"Instances") &amp; ":" &amp; ADDRESS(51+3,K$2+1))),"diff", MAX(INDIRECT(ADDRESS(51+3,K$2+1,,,"Instances") &amp; ":" &amp; ADDRESS(51+3,K$2+1)))-MIN(INDIRECT(ADDRESS(51+3,K$2+1,,,"Instances") &amp; ":" &amp; ADDRESS(51+3,K$2+1))))</f>
        <v>0</v>
      </c>
      <c r="L56">
        <f>IFERROR(SMALL(K5:K188,ROW()-ROW($L$5)+1),"")</f>
        <v>0</v>
      </c>
      <c r="N56">
        <f>IFERROR(SUM(L5:L56),"")</f>
        <v>0</v>
      </c>
      <c r="Q56">
        <f>IF(Charts!$B$3="none",E983,IF(K983="",NA(),K983))</f>
        <v>0</v>
      </c>
      <c r="R56">
        <f>IF(Charts!$B$3="none",F983,IF(L983="",NA(),L983))</f>
        <v>0</v>
      </c>
      <c r="S56">
        <f>IF(Charts!$B$3="none",G983,IF(M983="",NA(),M983))</f>
        <v>0</v>
      </c>
      <c r="T56">
        <f>IF(Charts!$B$3="none",H983,IF(N983="",NA(),N983))</f>
        <v>0</v>
      </c>
    </row>
    <row r="57" spans="4:20">
      <c r="D57">
        <v>53</v>
      </c>
      <c r="E57">
        <f>IF(INDIRECT(ADDRESS($D57+2,E$2+1,,,"Instances"))="","",INDIRECT(ADDRESS($D57+2,E$2+1,,,"Instances")))</f>
        <v>0</v>
      </c>
      <c r="F57">
        <f>IFERROR(SMALL(E5:E188,ROW()-ROW($F$5)+1),"")</f>
        <v>0</v>
      </c>
      <c r="H57">
        <f>IFERROR(SUM(F5:F57),"")</f>
        <v>0</v>
      </c>
      <c r="J57">
        <v>53</v>
      </c>
      <c r="K57" cm="1">
        <f t="array" ref="K57">_xlfn.SWITCH(Charts!$B$3,"average", AVERAGE(INDIRECT(ADDRESS(52+3,K$2+1,,,"Instances") &amp; ":" &amp; ADDRESS(52+3,K$2+1))),"median", MEDIAN(INDIRECT(ADDRESS(52+3,K$2+1,,,"Instances") &amp; ":" &amp; ADDRESS(52+3,K$2+1))),"min", MIN(INDIRECT(ADDRESS(52+3,K$2+1,,,"Instances") &amp; ":" &amp; ADDRESS(52+3,K$2+1))),"max", MAX(INDIRECT(ADDRESS(52+3,K$2+1,,,"Instances") &amp; ":" &amp; ADDRESS(52+3,K$2+1))),"diff", MAX(INDIRECT(ADDRESS(52+3,K$2+1,,,"Instances") &amp; ":" &amp; ADDRESS(52+3,K$2+1)))-MIN(INDIRECT(ADDRESS(52+3,K$2+1,,,"Instances") &amp; ":" &amp; ADDRESS(52+3,K$2+1))))</f>
        <v>0</v>
      </c>
      <c r="L57">
        <f>IFERROR(SMALL(K5:K188,ROW()-ROW($L$5)+1),"")</f>
        <v>0</v>
      </c>
      <c r="N57">
        <f>IFERROR(SUM(L5:L57),"")</f>
        <v>0</v>
      </c>
      <c r="Q57">
        <f>IF(Charts!$B$3="none",E984,IF(K984="",NA(),K984))</f>
        <v>0</v>
      </c>
      <c r="R57">
        <f>IF(Charts!$B$3="none",F984,IF(L984="",NA(),L984))</f>
        <v>0</v>
      </c>
      <c r="S57">
        <f>IF(Charts!$B$3="none",G984,IF(M984="",NA(),M984))</f>
        <v>0</v>
      </c>
      <c r="T57">
        <f>IF(Charts!$B$3="none",H984,IF(N984="",NA(),N984))</f>
        <v>0</v>
      </c>
    </row>
    <row r="58" spans="4:20">
      <c r="D58">
        <v>54</v>
      </c>
      <c r="E58">
        <f>IF(INDIRECT(ADDRESS($D58+2,E$2+1,,,"Instances"))="","",INDIRECT(ADDRESS($D58+2,E$2+1,,,"Instances")))</f>
        <v>0</v>
      </c>
      <c r="F58">
        <f>IFERROR(SMALL(E5:E188,ROW()-ROW($F$5)+1),"")</f>
        <v>0</v>
      </c>
      <c r="H58">
        <f>IFERROR(SUM(F5:F58),"")</f>
        <v>0</v>
      </c>
      <c r="J58">
        <v>54</v>
      </c>
      <c r="K58" cm="1">
        <f t="array" ref="K58">_xlfn.SWITCH(Charts!$B$3,"average", AVERAGE(INDIRECT(ADDRESS(53+3,K$2+1,,,"Instances") &amp; ":" &amp; ADDRESS(53+3,K$2+1))),"median", MEDIAN(INDIRECT(ADDRESS(53+3,K$2+1,,,"Instances") &amp; ":" &amp; ADDRESS(53+3,K$2+1))),"min", MIN(INDIRECT(ADDRESS(53+3,K$2+1,,,"Instances") &amp; ":" &amp; ADDRESS(53+3,K$2+1))),"max", MAX(INDIRECT(ADDRESS(53+3,K$2+1,,,"Instances") &amp; ":" &amp; ADDRESS(53+3,K$2+1))),"diff", MAX(INDIRECT(ADDRESS(53+3,K$2+1,,,"Instances") &amp; ":" &amp; ADDRESS(53+3,K$2+1)))-MIN(INDIRECT(ADDRESS(53+3,K$2+1,,,"Instances") &amp; ":" &amp; ADDRESS(53+3,K$2+1))))</f>
        <v>0</v>
      </c>
      <c r="L58">
        <f>IFERROR(SMALL(K5:K188,ROW()-ROW($L$5)+1),"")</f>
        <v>0</v>
      </c>
      <c r="N58">
        <f>IFERROR(SUM(L5:L58),"")</f>
        <v>0</v>
      </c>
      <c r="Q58">
        <f>IF(Charts!$B$3="none",E985,IF(K985="",NA(),K985))</f>
        <v>0</v>
      </c>
      <c r="R58">
        <f>IF(Charts!$B$3="none",F985,IF(L985="",NA(),L985))</f>
        <v>0</v>
      </c>
      <c r="S58">
        <f>IF(Charts!$B$3="none",G985,IF(M985="",NA(),M985))</f>
        <v>0</v>
      </c>
      <c r="T58">
        <f>IF(Charts!$B$3="none",H985,IF(N985="",NA(),N985))</f>
        <v>0</v>
      </c>
    </row>
    <row r="59" spans="4:20">
      <c r="D59">
        <v>55</v>
      </c>
      <c r="E59">
        <f>IF(INDIRECT(ADDRESS($D59+2,E$2+1,,,"Instances"))="","",INDIRECT(ADDRESS($D59+2,E$2+1,,,"Instances")))</f>
        <v>0</v>
      </c>
      <c r="F59">
        <f>IFERROR(SMALL(E5:E188,ROW()-ROW($F$5)+1),"")</f>
        <v>0</v>
      </c>
      <c r="H59">
        <f>IFERROR(SUM(F5:F59),"")</f>
        <v>0</v>
      </c>
      <c r="J59">
        <v>55</v>
      </c>
      <c r="K59" cm="1">
        <f t="array" ref="K59">_xlfn.SWITCH(Charts!$B$3,"average", AVERAGE(INDIRECT(ADDRESS(54+3,K$2+1,,,"Instances") &amp; ":" &amp; ADDRESS(54+3,K$2+1))),"median", MEDIAN(INDIRECT(ADDRESS(54+3,K$2+1,,,"Instances") &amp; ":" &amp; ADDRESS(54+3,K$2+1))),"min", MIN(INDIRECT(ADDRESS(54+3,K$2+1,,,"Instances") &amp; ":" &amp; ADDRESS(54+3,K$2+1))),"max", MAX(INDIRECT(ADDRESS(54+3,K$2+1,,,"Instances") &amp; ":" &amp; ADDRESS(54+3,K$2+1))),"diff", MAX(INDIRECT(ADDRESS(54+3,K$2+1,,,"Instances") &amp; ":" &amp; ADDRESS(54+3,K$2+1)))-MIN(INDIRECT(ADDRESS(54+3,K$2+1,,,"Instances") &amp; ":" &amp; ADDRESS(54+3,K$2+1))))</f>
        <v>0</v>
      </c>
      <c r="L59">
        <f>IFERROR(SMALL(K5:K188,ROW()-ROW($L$5)+1),"")</f>
        <v>0</v>
      </c>
      <c r="N59">
        <f>IFERROR(SUM(L5:L59),"")</f>
        <v>0</v>
      </c>
      <c r="Q59">
        <f>IF(Charts!$B$3="none",E986,IF(K986="",NA(),K986))</f>
        <v>0</v>
      </c>
      <c r="R59">
        <f>IF(Charts!$B$3="none",F986,IF(L986="",NA(),L986))</f>
        <v>0</v>
      </c>
      <c r="S59">
        <f>IF(Charts!$B$3="none",G986,IF(M986="",NA(),M986))</f>
        <v>0</v>
      </c>
      <c r="T59">
        <f>IF(Charts!$B$3="none",H986,IF(N986="",NA(),N986))</f>
        <v>0</v>
      </c>
    </row>
    <row r="60" spans="4:20">
      <c r="D60">
        <v>56</v>
      </c>
      <c r="E60">
        <f>IF(INDIRECT(ADDRESS($D60+2,E$2+1,,,"Instances"))="","",INDIRECT(ADDRESS($D60+2,E$2+1,,,"Instances")))</f>
        <v>0</v>
      </c>
      <c r="F60">
        <f>IFERROR(SMALL(E5:E188,ROW()-ROW($F$5)+1),"")</f>
        <v>0</v>
      </c>
      <c r="H60">
        <f>IFERROR(SUM(F5:F60),"")</f>
        <v>0</v>
      </c>
      <c r="J60">
        <v>56</v>
      </c>
      <c r="K60" cm="1">
        <f t="array" ref="K60">_xlfn.SWITCH(Charts!$B$3,"average", AVERAGE(INDIRECT(ADDRESS(55+3,K$2+1,,,"Instances") &amp; ":" &amp; ADDRESS(55+3,K$2+1))),"median", MEDIAN(INDIRECT(ADDRESS(55+3,K$2+1,,,"Instances") &amp; ":" &amp; ADDRESS(55+3,K$2+1))),"min", MIN(INDIRECT(ADDRESS(55+3,K$2+1,,,"Instances") &amp; ":" &amp; ADDRESS(55+3,K$2+1))),"max", MAX(INDIRECT(ADDRESS(55+3,K$2+1,,,"Instances") &amp; ":" &amp; ADDRESS(55+3,K$2+1))),"diff", MAX(INDIRECT(ADDRESS(55+3,K$2+1,,,"Instances") &amp; ":" &amp; ADDRESS(55+3,K$2+1)))-MIN(INDIRECT(ADDRESS(55+3,K$2+1,,,"Instances") &amp; ":" &amp; ADDRESS(55+3,K$2+1))))</f>
        <v>0</v>
      </c>
      <c r="L60">
        <f>IFERROR(SMALL(K5:K188,ROW()-ROW($L$5)+1),"")</f>
        <v>0</v>
      </c>
      <c r="N60">
        <f>IFERROR(SUM(L5:L60),"")</f>
        <v>0</v>
      </c>
      <c r="Q60">
        <f>IF(Charts!$B$3="none",E987,IF(K987="",NA(),K987))</f>
        <v>0</v>
      </c>
      <c r="R60">
        <f>IF(Charts!$B$3="none",F987,IF(L987="",NA(),L987))</f>
        <v>0</v>
      </c>
      <c r="S60">
        <f>IF(Charts!$B$3="none",G987,IF(M987="",NA(),M987))</f>
        <v>0</v>
      </c>
      <c r="T60">
        <f>IF(Charts!$B$3="none",H987,IF(N987="",NA(),N987))</f>
        <v>0</v>
      </c>
    </row>
    <row r="61" spans="4:20">
      <c r="D61">
        <v>57</v>
      </c>
      <c r="E61">
        <f>IF(INDIRECT(ADDRESS($D61+2,E$2+1,,,"Instances"))="","",INDIRECT(ADDRESS($D61+2,E$2+1,,,"Instances")))</f>
        <v>0</v>
      </c>
      <c r="F61">
        <f>IFERROR(SMALL(E5:E188,ROW()-ROW($F$5)+1),"")</f>
        <v>0</v>
      </c>
      <c r="H61">
        <f>IFERROR(SUM(F5:F61),"")</f>
        <v>0</v>
      </c>
      <c r="J61">
        <v>57</v>
      </c>
      <c r="K61" cm="1">
        <f t="array" ref="K61">_xlfn.SWITCH(Charts!$B$3,"average", AVERAGE(INDIRECT(ADDRESS(56+3,K$2+1,,,"Instances") &amp; ":" &amp; ADDRESS(56+3,K$2+1))),"median", MEDIAN(INDIRECT(ADDRESS(56+3,K$2+1,,,"Instances") &amp; ":" &amp; ADDRESS(56+3,K$2+1))),"min", MIN(INDIRECT(ADDRESS(56+3,K$2+1,,,"Instances") &amp; ":" &amp; ADDRESS(56+3,K$2+1))),"max", MAX(INDIRECT(ADDRESS(56+3,K$2+1,,,"Instances") &amp; ":" &amp; ADDRESS(56+3,K$2+1))),"diff", MAX(INDIRECT(ADDRESS(56+3,K$2+1,,,"Instances") &amp; ":" &amp; ADDRESS(56+3,K$2+1)))-MIN(INDIRECT(ADDRESS(56+3,K$2+1,,,"Instances") &amp; ":" &amp; ADDRESS(56+3,K$2+1))))</f>
        <v>0</v>
      </c>
      <c r="L61">
        <f>IFERROR(SMALL(K5:K188,ROW()-ROW($L$5)+1),"")</f>
        <v>0</v>
      </c>
      <c r="N61">
        <f>IFERROR(SUM(L5:L61),"")</f>
        <v>0</v>
      </c>
      <c r="Q61">
        <f>IF(Charts!$B$3="none",E988,IF(K988="",NA(),K988))</f>
        <v>0</v>
      </c>
      <c r="R61">
        <f>IF(Charts!$B$3="none",F988,IF(L988="",NA(),L988))</f>
        <v>0</v>
      </c>
      <c r="S61">
        <f>IF(Charts!$B$3="none",G988,IF(M988="",NA(),M988))</f>
        <v>0</v>
      </c>
      <c r="T61">
        <f>IF(Charts!$B$3="none",H988,IF(N988="",NA(),N988))</f>
        <v>0</v>
      </c>
    </row>
    <row r="62" spans="4:20">
      <c r="D62">
        <v>58</v>
      </c>
      <c r="E62">
        <f>IF(INDIRECT(ADDRESS($D62+2,E$2+1,,,"Instances"))="","",INDIRECT(ADDRESS($D62+2,E$2+1,,,"Instances")))</f>
        <v>0</v>
      </c>
      <c r="F62">
        <f>IFERROR(SMALL(E5:E188,ROW()-ROW($F$5)+1),"")</f>
        <v>0</v>
      </c>
      <c r="H62">
        <f>IFERROR(SUM(F5:F62),"")</f>
        <v>0</v>
      </c>
      <c r="J62">
        <v>58</v>
      </c>
      <c r="K62" cm="1">
        <f t="array" ref="K62">_xlfn.SWITCH(Charts!$B$3,"average", AVERAGE(INDIRECT(ADDRESS(57+3,K$2+1,,,"Instances") &amp; ":" &amp; ADDRESS(57+3,K$2+1))),"median", MEDIAN(INDIRECT(ADDRESS(57+3,K$2+1,,,"Instances") &amp; ":" &amp; ADDRESS(57+3,K$2+1))),"min", MIN(INDIRECT(ADDRESS(57+3,K$2+1,,,"Instances") &amp; ":" &amp; ADDRESS(57+3,K$2+1))),"max", MAX(INDIRECT(ADDRESS(57+3,K$2+1,,,"Instances") &amp; ":" &amp; ADDRESS(57+3,K$2+1))),"diff", MAX(INDIRECT(ADDRESS(57+3,K$2+1,,,"Instances") &amp; ":" &amp; ADDRESS(57+3,K$2+1)))-MIN(INDIRECT(ADDRESS(57+3,K$2+1,,,"Instances") &amp; ":" &amp; ADDRESS(57+3,K$2+1))))</f>
        <v>0</v>
      </c>
      <c r="L62">
        <f>IFERROR(SMALL(K5:K188,ROW()-ROW($L$5)+1),"")</f>
        <v>0</v>
      </c>
      <c r="N62">
        <f>IFERROR(SUM(L5:L62),"")</f>
        <v>0</v>
      </c>
      <c r="Q62">
        <f>IF(Charts!$B$3="none",E989,IF(K989="",NA(),K989))</f>
        <v>0</v>
      </c>
      <c r="R62">
        <f>IF(Charts!$B$3="none",F989,IF(L989="",NA(),L989))</f>
        <v>0</v>
      </c>
      <c r="S62">
        <f>IF(Charts!$B$3="none",G989,IF(M989="",NA(),M989))</f>
        <v>0</v>
      </c>
      <c r="T62">
        <f>IF(Charts!$B$3="none",H989,IF(N989="",NA(),N989))</f>
        <v>0</v>
      </c>
    </row>
    <row r="63" spans="4:20">
      <c r="D63">
        <v>59</v>
      </c>
      <c r="E63">
        <f>IF(INDIRECT(ADDRESS($D63+2,E$2+1,,,"Instances"))="","",INDIRECT(ADDRESS($D63+2,E$2+1,,,"Instances")))</f>
        <v>0</v>
      </c>
      <c r="F63">
        <f>IFERROR(SMALL(E5:E188,ROW()-ROW($F$5)+1),"")</f>
        <v>0</v>
      </c>
      <c r="H63">
        <f>IFERROR(SUM(F5:F63),"")</f>
        <v>0</v>
      </c>
      <c r="J63">
        <v>59</v>
      </c>
      <c r="K63" cm="1">
        <f t="array" ref="K63">_xlfn.SWITCH(Charts!$B$3,"average", AVERAGE(INDIRECT(ADDRESS(58+3,K$2+1,,,"Instances") &amp; ":" &amp; ADDRESS(58+3,K$2+1))),"median", MEDIAN(INDIRECT(ADDRESS(58+3,K$2+1,,,"Instances") &amp; ":" &amp; ADDRESS(58+3,K$2+1))),"min", MIN(INDIRECT(ADDRESS(58+3,K$2+1,,,"Instances") &amp; ":" &amp; ADDRESS(58+3,K$2+1))),"max", MAX(INDIRECT(ADDRESS(58+3,K$2+1,,,"Instances") &amp; ":" &amp; ADDRESS(58+3,K$2+1))),"diff", MAX(INDIRECT(ADDRESS(58+3,K$2+1,,,"Instances") &amp; ":" &amp; ADDRESS(58+3,K$2+1)))-MIN(INDIRECT(ADDRESS(58+3,K$2+1,,,"Instances") &amp; ":" &amp; ADDRESS(58+3,K$2+1))))</f>
        <v>0</v>
      </c>
      <c r="L63">
        <f>IFERROR(SMALL(K5:K188,ROW()-ROW($L$5)+1),"")</f>
        <v>0</v>
      </c>
      <c r="N63">
        <f>IFERROR(SUM(L5:L63),"")</f>
        <v>0</v>
      </c>
      <c r="Q63">
        <f>IF(Charts!$B$3="none",E990,IF(K990="",NA(),K990))</f>
        <v>0</v>
      </c>
      <c r="R63">
        <f>IF(Charts!$B$3="none",F990,IF(L990="",NA(),L990))</f>
        <v>0</v>
      </c>
      <c r="S63">
        <f>IF(Charts!$B$3="none",G990,IF(M990="",NA(),M990))</f>
        <v>0</v>
      </c>
      <c r="T63">
        <f>IF(Charts!$B$3="none",H990,IF(N990="",NA(),N990))</f>
        <v>0</v>
      </c>
    </row>
    <row r="64" spans="4:20">
      <c r="D64">
        <v>60</v>
      </c>
      <c r="E64">
        <f>IF(INDIRECT(ADDRESS($D64+2,E$2+1,,,"Instances"))="","",INDIRECT(ADDRESS($D64+2,E$2+1,,,"Instances")))</f>
        <v>0</v>
      </c>
      <c r="F64">
        <f>IFERROR(SMALL(E5:E188,ROW()-ROW($F$5)+1),"")</f>
        <v>0</v>
      </c>
      <c r="H64">
        <f>IFERROR(SUM(F5:F64),"")</f>
        <v>0</v>
      </c>
      <c r="J64">
        <v>60</v>
      </c>
      <c r="K64" cm="1">
        <f t="array" ref="K64">_xlfn.SWITCH(Charts!$B$3,"average", AVERAGE(INDIRECT(ADDRESS(59+3,K$2+1,,,"Instances") &amp; ":" &amp; ADDRESS(59+3,K$2+1))),"median", MEDIAN(INDIRECT(ADDRESS(59+3,K$2+1,,,"Instances") &amp; ":" &amp; ADDRESS(59+3,K$2+1))),"min", MIN(INDIRECT(ADDRESS(59+3,K$2+1,,,"Instances") &amp; ":" &amp; ADDRESS(59+3,K$2+1))),"max", MAX(INDIRECT(ADDRESS(59+3,K$2+1,,,"Instances") &amp; ":" &amp; ADDRESS(59+3,K$2+1))),"diff", MAX(INDIRECT(ADDRESS(59+3,K$2+1,,,"Instances") &amp; ":" &amp; ADDRESS(59+3,K$2+1)))-MIN(INDIRECT(ADDRESS(59+3,K$2+1,,,"Instances") &amp; ":" &amp; ADDRESS(59+3,K$2+1))))</f>
        <v>0</v>
      </c>
      <c r="L64">
        <f>IFERROR(SMALL(K5:K188,ROW()-ROW($L$5)+1),"")</f>
        <v>0</v>
      </c>
      <c r="N64">
        <f>IFERROR(SUM(L5:L64),"")</f>
        <v>0</v>
      </c>
      <c r="Q64">
        <f>IF(Charts!$B$3="none",E991,IF(K991="",NA(),K991))</f>
        <v>0</v>
      </c>
      <c r="R64">
        <f>IF(Charts!$B$3="none",F991,IF(L991="",NA(),L991))</f>
        <v>0</v>
      </c>
      <c r="S64">
        <f>IF(Charts!$B$3="none",G991,IF(M991="",NA(),M991))</f>
        <v>0</v>
      </c>
      <c r="T64">
        <f>IF(Charts!$B$3="none",H991,IF(N991="",NA(),N991))</f>
        <v>0</v>
      </c>
    </row>
    <row r="65" spans="4:20">
      <c r="D65">
        <v>61</v>
      </c>
      <c r="E65">
        <f>IF(INDIRECT(ADDRESS($D65+2,E$2+1,,,"Instances"))="","",INDIRECT(ADDRESS($D65+2,E$2+1,,,"Instances")))</f>
        <v>0</v>
      </c>
      <c r="F65">
        <f>IFERROR(SMALL(E5:E188,ROW()-ROW($F$5)+1),"")</f>
        <v>0</v>
      </c>
      <c r="H65">
        <f>IFERROR(SUM(F5:F65),"")</f>
        <v>0</v>
      </c>
      <c r="J65">
        <v>61</v>
      </c>
      <c r="K65" cm="1">
        <f t="array" ref="K65">_xlfn.SWITCH(Charts!$B$3,"average", AVERAGE(INDIRECT(ADDRESS(60+3,K$2+1,,,"Instances") &amp; ":" &amp; ADDRESS(60+3,K$2+1))),"median", MEDIAN(INDIRECT(ADDRESS(60+3,K$2+1,,,"Instances") &amp; ":" &amp; ADDRESS(60+3,K$2+1))),"min", MIN(INDIRECT(ADDRESS(60+3,K$2+1,,,"Instances") &amp; ":" &amp; ADDRESS(60+3,K$2+1))),"max", MAX(INDIRECT(ADDRESS(60+3,K$2+1,,,"Instances") &amp; ":" &amp; ADDRESS(60+3,K$2+1))),"diff", MAX(INDIRECT(ADDRESS(60+3,K$2+1,,,"Instances") &amp; ":" &amp; ADDRESS(60+3,K$2+1)))-MIN(INDIRECT(ADDRESS(60+3,K$2+1,,,"Instances") &amp; ":" &amp; ADDRESS(60+3,K$2+1))))</f>
        <v>0</v>
      </c>
      <c r="L65">
        <f>IFERROR(SMALL(K5:K188,ROW()-ROW($L$5)+1),"")</f>
        <v>0</v>
      </c>
      <c r="N65">
        <f>IFERROR(SUM(L5:L65),"")</f>
        <v>0</v>
      </c>
      <c r="Q65">
        <f>IF(Charts!$B$3="none",E992,IF(K992="",NA(),K992))</f>
        <v>0</v>
      </c>
      <c r="R65">
        <f>IF(Charts!$B$3="none",F992,IF(L992="",NA(),L992))</f>
        <v>0</v>
      </c>
      <c r="S65">
        <f>IF(Charts!$B$3="none",G992,IF(M992="",NA(),M992))</f>
        <v>0</v>
      </c>
      <c r="T65">
        <f>IF(Charts!$B$3="none",H992,IF(N992="",NA(),N992))</f>
        <v>0</v>
      </c>
    </row>
    <row r="66" spans="4:20">
      <c r="D66">
        <v>62</v>
      </c>
      <c r="E66">
        <f>IF(INDIRECT(ADDRESS($D66+2,E$2+1,,,"Instances"))="","",INDIRECT(ADDRESS($D66+2,E$2+1,,,"Instances")))</f>
        <v>0</v>
      </c>
      <c r="F66">
        <f>IFERROR(SMALL(E5:E188,ROW()-ROW($F$5)+1),"")</f>
        <v>0</v>
      </c>
      <c r="H66">
        <f>IFERROR(SUM(F5:F66),"")</f>
        <v>0</v>
      </c>
      <c r="J66">
        <v>62</v>
      </c>
      <c r="K66" cm="1">
        <f t="array" ref="K66">_xlfn.SWITCH(Charts!$B$3,"average", AVERAGE(INDIRECT(ADDRESS(61+3,K$2+1,,,"Instances") &amp; ":" &amp; ADDRESS(61+3,K$2+1))),"median", MEDIAN(INDIRECT(ADDRESS(61+3,K$2+1,,,"Instances") &amp; ":" &amp; ADDRESS(61+3,K$2+1))),"min", MIN(INDIRECT(ADDRESS(61+3,K$2+1,,,"Instances") &amp; ":" &amp; ADDRESS(61+3,K$2+1))),"max", MAX(INDIRECT(ADDRESS(61+3,K$2+1,,,"Instances") &amp; ":" &amp; ADDRESS(61+3,K$2+1))),"diff", MAX(INDIRECT(ADDRESS(61+3,K$2+1,,,"Instances") &amp; ":" &amp; ADDRESS(61+3,K$2+1)))-MIN(INDIRECT(ADDRESS(61+3,K$2+1,,,"Instances") &amp; ":" &amp; ADDRESS(61+3,K$2+1))))</f>
        <v>0</v>
      </c>
      <c r="L66">
        <f>IFERROR(SMALL(K5:K188,ROW()-ROW($L$5)+1),"")</f>
        <v>0</v>
      </c>
      <c r="N66">
        <f>IFERROR(SUM(L5:L66),"")</f>
        <v>0</v>
      </c>
      <c r="Q66">
        <f>IF(Charts!$B$3="none",E993,IF(K993="",NA(),K993))</f>
        <v>0</v>
      </c>
      <c r="R66">
        <f>IF(Charts!$B$3="none",F993,IF(L993="",NA(),L993))</f>
        <v>0</v>
      </c>
      <c r="S66">
        <f>IF(Charts!$B$3="none",G993,IF(M993="",NA(),M993))</f>
        <v>0</v>
      </c>
      <c r="T66">
        <f>IF(Charts!$B$3="none",H993,IF(N993="",NA(),N993))</f>
        <v>0</v>
      </c>
    </row>
    <row r="67" spans="4:20">
      <c r="D67">
        <v>63</v>
      </c>
      <c r="E67">
        <f>IF(INDIRECT(ADDRESS($D67+2,E$2+1,,,"Instances"))="","",INDIRECT(ADDRESS($D67+2,E$2+1,,,"Instances")))</f>
        <v>0</v>
      </c>
      <c r="F67">
        <f>IFERROR(SMALL(E5:E188,ROW()-ROW($F$5)+1),"")</f>
        <v>0</v>
      </c>
      <c r="H67">
        <f>IFERROR(SUM(F5:F67),"")</f>
        <v>0</v>
      </c>
      <c r="J67">
        <v>63</v>
      </c>
      <c r="K67" cm="1">
        <f t="array" ref="K67">_xlfn.SWITCH(Charts!$B$3,"average", AVERAGE(INDIRECT(ADDRESS(62+3,K$2+1,,,"Instances") &amp; ":" &amp; ADDRESS(62+3,K$2+1))),"median", MEDIAN(INDIRECT(ADDRESS(62+3,K$2+1,,,"Instances") &amp; ":" &amp; ADDRESS(62+3,K$2+1))),"min", MIN(INDIRECT(ADDRESS(62+3,K$2+1,,,"Instances") &amp; ":" &amp; ADDRESS(62+3,K$2+1))),"max", MAX(INDIRECT(ADDRESS(62+3,K$2+1,,,"Instances") &amp; ":" &amp; ADDRESS(62+3,K$2+1))),"diff", MAX(INDIRECT(ADDRESS(62+3,K$2+1,,,"Instances") &amp; ":" &amp; ADDRESS(62+3,K$2+1)))-MIN(INDIRECT(ADDRESS(62+3,K$2+1,,,"Instances") &amp; ":" &amp; ADDRESS(62+3,K$2+1))))</f>
        <v>0</v>
      </c>
      <c r="L67">
        <f>IFERROR(SMALL(K5:K188,ROW()-ROW($L$5)+1),"")</f>
        <v>0</v>
      </c>
      <c r="N67">
        <f>IFERROR(SUM(L5:L67),"")</f>
        <v>0</v>
      </c>
      <c r="Q67">
        <f>IF(Charts!$B$3="none",E994,IF(K994="",NA(),K994))</f>
        <v>0</v>
      </c>
      <c r="R67">
        <f>IF(Charts!$B$3="none",F994,IF(L994="",NA(),L994))</f>
        <v>0</v>
      </c>
      <c r="S67">
        <f>IF(Charts!$B$3="none",G994,IF(M994="",NA(),M994))</f>
        <v>0</v>
      </c>
      <c r="T67">
        <f>IF(Charts!$B$3="none",H994,IF(N994="",NA(),N994))</f>
        <v>0</v>
      </c>
    </row>
    <row r="68" spans="4:20">
      <c r="D68">
        <v>64</v>
      </c>
      <c r="E68">
        <f>IF(INDIRECT(ADDRESS($D68+2,E$2+1,,,"Instances"))="","",INDIRECT(ADDRESS($D68+2,E$2+1,,,"Instances")))</f>
        <v>0</v>
      </c>
      <c r="F68">
        <f>IFERROR(SMALL(E5:E188,ROW()-ROW($F$5)+1),"")</f>
        <v>0</v>
      </c>
      <c r="H68">
        <f>IFERROR(SUM(F5:F68),"")</f>
        <v>0</v>
      </c>
      <c r="J68">
        <v>64</v>
      </c>
      <c r="K68" cm="1">
        <f t="array" ref="K68">_xlfn.SWITCH(Charts!$B$3,"average", AVERAGE(INDIRECT(ADDRESS(63+3,K$2+1,,,"Instances") &amp; ":" &amp; ADDRESS(63+3,K$2+1))),"median", MEDIAN(INDIRECT(ADDRESS(63+3,K$2+1,,,"Instances") &amp; ":" &amp; ADDRESS(63+3,K$2+1))),"min", MIN(INDIRECT(ADDRESS(63+3,K$2+1,,,"Instances") &amp; ":" &amp; ADDRESS(63+3,K$2+1))),"max", MAX(INDIRECT(ADDRESS(63+3,K$2+1,,,"Instances") &amp; ":" &amp; ADDRESS(63+3,K$2+1))),"diff", MAX(INDIRECT(ADDRESS(63+3,K$2+1,,,"Instances") &amp; ":" &amp; ADDRESS(63+3,K$2+1)))-MIN(INDIRECT(ADDRESS(63+3,K$2+1,,,"Instances") &amp; ":" &amp; ADDRESS(63+3,K$2+1))))</f>
        <v>0</v>
      </c>
      <c r="L68">
        <f>IFERROR(SMALL(K5:K188,ROW()-ROW($L$5)+1),"")</f>
        <v>0</v>
      </c>
      <c r="N68">
        <f>IFERROR(SUM(L5:L68),"")</f>
        <v>0</v>
      </c>
      <c r="Q68">
        <f>IF(Charts!$B$3="none",E995,IF(K995="",NA(),K995))</f>
        <v>0</v>
      </c>
      <c r="R68">
        <f>IF(Charts!$B$3="none",F995,IF(L995="",NA(),L995))</f>
        <v>0</v>
      </c>
      <c r="S68">
        <f>IF(Charts!$B$3="none",G995,IF(M995="",NA(),M995))</f>
        <v>0</v>
      </c>
      <c r="T68">
        <f>IF(Charts!$B$3="none",H995,IF(N995="",NA(),N995))</f>
        <v>0</v>
      </c>
    </row>
    <row r="69" spans="4:20">
      <c r="D69">
        <v>65</v>
      </c>
      <c r="E69">
        <f>IF(INDIRECT(ADDRESS($D69+2,E$2+1,,,"Instances"))="","",INDIRECT(ADDRESS($D69+2,E$2+1,,,"Instances")))</f>
        <v>0</v>
      </c>
      <c r="F69">
        <f>IFERROR(SMALL(E5:E188,ROW()-ROW($F$5)+1),"")</f>
        <v>0</v>
      </c>
      <c r="H69">
        <f>IFERROR(SUM(F5:F69),"")</f>
        <v>0</v>
      </c>
      <c r="J69">
        <v>65</v>
      </c>
      <c r="K69" cm="1">
        <f t="array" ref="K69">_xlfn.SWITCH(Charts!$B$3,"average", AVERAGE(INDIRECT(ADDRESS(64+3,K$2+1,,,"Instances") &amp; ":" &amp; ADDRESS(64+3,K$2+1))),"median", MEDIAN(INDIRECT(ADDRESS(64+3,K$2+1,,,"Instances") &amp; ":" &amp; ADDRESS(64+3,K$2+1))),"min", MIN(INDIRECT(ADDRESS(64+3,K$2+1,,,"Instances") &amp; ":" &amp; ADDRESS(64+3,K$2+1))),"max", MAX(INDIRECT(ADDRESS(64+3,K$2+1,,,"Instances") &amp; ":" &amp; ADDRESS(64+3,K$2+1))),"diff", MAX(INDIRECT(ADDRESS(64+3,K$2+1,,,"Instances") &amp; ":" &amp; ADDRESS(64+3,K$2+1)))-MIN(INDIRECT(ADDRESS(64+3,K$2+1,,,"Instances") &amp; ":" &amp; ADDRESS(64+3,K$2+1))))</f>
        <v>0</v>
      </c>
      <c r="L69">
        <f>IFERROR(SMALL(K5:K188,ROW()-ROW($L$5)+1),"")</f>
        <v>0</v>
      </c>
      <c r="N69">
        <f>IFERROR(SUM(L5:L69),"")</f>
        <v>0</v>
      </c>
      <c r="Q69">
        <f>IF(Charts!$B$3="none",E996,IF(K996="",NA(),K996))</f>
        <v>0</v>
      </c>
      <c r="R69">
        <f>IF(Charts!$B$3="none",F996,IF(L996="",NA(),L996))</f>
        <v>0</v>
      </c>
      <c r="S69">
        <f>IF(Charts!$B$3="none",G996,IF(M996="",NA(),M996))</f>
        <v>0</v>
      </c>
      <c r="T69">
        <f>IF(Charts!$B$3="none",H996,IF(N996="",NA(),N996))</f>
        <v>0</v>
      </c>
    </row>
    <row r="70" spans="4:20">
      <c r="D70">
        <v>66</v>
      </c>
      <c r="E70">
        <f>IF(INDIRECT(ADDRESS($D70+2,E$2+1,,,"Instances"))="","",INDIRECT(ADDRESS($D70+2,E$2+1,,,"Instances")))</f>
        <v>0</v>
      </c>
      <c r="F70">
        <f>IFERROR(SMALL(E5:E188,ROW()-ROW($F$5)+1),"")</f>
        <v>0</v>
      </c>
      <c r="H70">
        <f>IFERROR(SUM(F5:F70),"")</f>
        <v>0</v>
      </c>
      <c r="J70">
        <v>66</v>
      </c>
      <c r="K70" cm="1">
        <f t="array" ref="K70">_xlfn.SWITCH(Charts!$B$3,"average", AVERAGE(INDIRECT(ADDRESS(65+3,K$2+1,,,"Instances") &amp; ":" &amp; ADDRESS(65+3,K$2+1))),"median", MEDIAN(INDIRECT(ADDRESS(65+3,K$2+1,,,"Instances") &amp; ":" &amp; ADDRESS(65+3,K$2+1))),"min", MIN(INDIRECT(ADDRESS(65+3,K$2+1,,,"Instances") &amp; ":" &amp; ADDRESS(65+3,K$2+1))),"max", MAX(INDIRECT(ADDRESS(65+3,K$2+1,,,"Instances") &amp; ":" &amp; ADDRESS(65+3,K$2+1))),"diff", MAX(INDIRECT(ADDRESS(65+3,K$2+1,,,"Instances") &amp; ":" &amp; ADDRESS(65+3,K$2+1)))-MIN(INDIRECT(ADDRESS(65+3,K$2+1,,,"Instances") &amp; ":" &amp; ADDRESS(65+3,K$2+1))))</f>
        <v>0</v>
      </c>
      <c r="L70">
        <f>IFERROR(SMALL(K5:K188,ROW()-ROW($L$5)+1),"")</f>
        <v>0</v>
      </c>
      <c r="N70">
        <f>IFERROR(SUM(L5:L70),"")</f>
        <v>0</v>
      </c>
      <c r="Q70">
        <f>IF(Charts!$B$3="none",E997,IF(K997="",NA(),K997))</f>
        <v>0</v>
      </c>
      <c r="R70">
        <f>IF(Charts!$B$3="none",F997,IF(L997="",NA(),L997))</f>
        <v>0</v>
      </c>
      <c r="S70">
        <f>IF(Charts!$B$3="none",G997,IF(M997="",NA(),M997))</f>
        <v>0</v>
      </c>
      <c r="T70">
        <f>IF(Charts!$B$3="none",H997,IF(N997="",NA(),N997))</f>
        <v>0</v>
      </c>
    </row>
    <row r="71" spans="4:20">
      <c r="D71">
        <v>67</v>
      </c>
      <c r="E71">
        <f>IF(INDIRECT(ADDRESS($D71+2,E$2+1,,,"Instances"))="","",INDIRECT(ADDRESS($D71+2,E$2+1,,,"Instances")))</f>
        <v>0</v>
      </c>
      <c r="F71">
        <f>IFERROR(SMALL(E5:E188,ROW()-ROW($F$5)+1),"")</f>
        <v>0</v>
      </c>
      <c r="H71">
        <f>IFERROR(SUM(F5:F71),"")</f>
        <v>0</v>
      </c>
      <c r="J71">
        <v>67</v>
      </c>
      <c r="K71" cm="1">
        <f t="array" ref="K71">_xlfn.SWITCH(Charts!$B$3,"average", AVERAGE(INDIRECT(ADDRESS(66+3,K$2+1,,,"Instances") &amp; ":" &amp; ADDRESS(66+3,K$2+1))),"median", MEDIAN(INDIRECT(ADDRESS(66+3,K$2+1,,,"Instances") &amp; ":" &amp; ADDRESS(66+3,K$2+1))),"min", MIN(INDIRECT(ADDRESS(66+3,K$2+1,,,"Instances") &amp; ":" &amp; ADDRESS(66+3,K$2+1))),"max", MAX(INDIRECT(ADDRESS(66+3,K$2+1,,,"Instances") &amp; ":" &amp; ADDRESS(66+3,K$2+1))),"diff", MAX(INDIRECT(ADDRESS(66+3,K$2+1,,,"Instances") &amp; ":" &amp; ADDRESS(66+3,K$2+1)))-MIN(INDIRECT(ADDRESS(66+3,K$2+1,,,"Instances") &amp; ":" &amp; ADDRESS(66+3,K$2+1))))</f>
        <v>0</v>
      </c>
      <c r="L71">
        <f>IFERROR(SMALL(K5:K188,ROW()-ROW($L$5)+1),"")</f>
        <v>0</v>
      </c>
      <c r="N71">
        <f>IFERROR(SUM(L5:L71),"")</f>
        <v>0</v>
      </c>
      <c r="Q71">
        <f>IF(Charts!$B$3="none",E998,IF(K998="",NA(),K998))</f>
        <v>0</v>
      </c>
      <c r="R71">
        <f>IF(Charts!$B$3="none",F998,IF(L998="",NA(),L998))</f>
        <v>0</v>
      </c>
      <c r="S71">
        <f>IF(Charts!$B$3="none",G998,IF(M998="",NA(),M998))</f>
        <v>0</v>
      </c>
      <c r="T71">
        <f>IF(Charts!$B$3="none",H998,IF(N998="",NA(),N998))</f>
        <v>0</v>
      </c>
    </row>
    <row r="72" spans="4:20">
      <c r="D72">
        <v>68</v>
      </c>
      <c r="E72">
        <f>IF(INDIRECT(ADDRESS($D72+2,E$2+1,,,"Instances"))="","",INDIRECT(ADDRESS($D72+2,E$2+1,,,"Instances")))</f>
        <v>0</v>
      </c>
      <c r="F72">
        <f>IFERROR(SMALL(E5:E188,ROW()-ROW($F$5)+1),"")</f>
        <v>0</v>
      </c>
      <c r="H72">
        <f>IFERROR(SUM(F5:F72),"")</f>
        <v>0</v>
      </c>
      <c r="J72">
        <v>68</v>
      </c>
      <c r="K72" cm="1">
        <f t="array" ref="K72">_xlfn.SWITCH(Charts!$B$3,"average", AVERAGE(INDIRECT(ADDRESS(67+3,K$2+1,,,"Instances") &amp; ":" &amp; ADDRESS(67+3,K$2+1))),"median", MEDIAN(INDIRECT(ADDRESS(67+3,K$2+1,,,"Instances") &amp; ":" &amp; ADDRESS(67+3,K$2+1))),"min", MIN(INDIRECT(ADDRESS(67+3,K$2+1,,,"Instances") &amp; ":" &amp; ADDRESS(67+3,K$2+1))),"max", MAX(INDIRECT(ADDRESS(67+3,K$2+1,,,"Instances") &amp; ":" &amp; ADDRESS(67+3,K$2+1))),"diff", MAX(INDIRECT(ADDRESS(67+3,K$2+1,,,"Instances") &amp; ":" &amp; ADDRESS(67+3,K$2+1)))-MIN(INDIRECT(ADDRESS(67+3,K$2+1,,,"Instances") &amp; ":" &amp; ADDRESS(67+3,K$2+1))))</f>
        <v>0</v>
      </c>
      <c r="L72">
        <f>IFERROR(SMALL(K5:K188,ROW()-ROW($L$5)+1),"")</f>
        <v>0</v>
      </c>
      <c r="N72">
        <f>IFERROR(SUM(L5:L72),"")</f>
        <v>0</v>
      </c>
      <c r="Q72">
        <f>IF(Charts!$B$3="none",E999,IF(K999="",NA(),K999))</f>
        <v>0</v>
      </c>
      <c r="R72">
        <f>IF(Charts!$B$3="none",F999,IF(L999="",NA(),L999))</f>
        <v>0</v>
      </c>
      <c r="S72">
        <f>IF(Charts!$B$3="none",G999,IF(M999="",NA(),M999))</f>
        <v>0</v>
      </c>
      <c r="T72">
        <f>IF(Charts!$B$3="none",H999,IF(N999="",NA(),N999))</f>
        <v>0</v>
      </c>
    </row>
    <row r="73" spans="4:20">
      <c r="D73">
        <v>69</v>
      </c>
      <c r="E73">
        <f>IF(INDIRECT(ADDRESS($D73+2,E$2+1,,,"Instances"))="","",INDIRECT(ADDRESS($D73+2,E$2+1,,,"Instances")))</f>
        <v>0</v>
      </c>
      <c r="F73">
        <f>IFERROR(SMALL(E5:E188,ROW()-ROW($F$5)+1),"")</f>
        <v>0</v>
      </c>
      <c r="H73">
        <f>IFERROR(SUM(F5:F73),"")</f>
        <v>0</v>
      </c>
      <c r="J73">
        <v>69</v>
      </c>
      <c r="K73" cm="1">
        <f t="array" ref="K73">_xlfn.SWITCH(Charts!$B$3,"average", AVERAGE(INDIRECT(ADDRESS(68+3,K$2+1,,,"Instances") &amp; ":" &amp; ADDRESS(68+3,K$2+1))),"median", MEDIAN(INDIRECT(ADDRESS(68+3,K$2+1,,,"Instances") &amp; ":" &amp; ADDRESS(68+3,K$2+1))),"min", MIN(INDIRECT(ADDRESS(68+3,K$2+1,,,"Instances") &amp; ":" &amp; ADDRESS(68+3,K$2+1))),"max", MAX(INDIRECT(ADDRESS(68+3,K$2+1,,,"Instances") &amp; ":" &amp; ADDRESS(68+3,K$2+1))),"diff", MAX(INDIRECT(ADDRESS(68+3,K$2+1,,,"Instances") &amp; ":" &amp; ADDRESS(68+3,K$2+1)))-MIN(INDIRECT(ADDRESS(68+3,K$2+1,,,"Instances") &amp; ":" &amp; ADDRESS(68+3,K$2+1))))</f>
        <v>0</v>
      </c>
      <c r="L73">
        <f>IFERROR(SMALL(K5:K188,ROW()-ROW($L$5)+1),"")</f>
        <v>0</v>
      </c>
      <c r="N73">
        <f>IFERROR(SUM(L5:L73),"")</f>
        <v>0</v>
      </c>
      <c r="Q73">
        <f>IF(Charts!$B$3="none",E1000,IF(K1000="",NA(),K1000))</f>
        <v>0</v>
      </c>
      <c r="R73">
        <f>IF(Charts!$B$3="none",F1000,IF(L1000="",NA(),L1000))</f>
        <v>0</v>
      </c>
      <c r="S73">
        <f>IF(Charts!$B$3="none",G1000,IF(M1000="",NA(),M1000))</f>
        <v>0</v>
      </c>
      <c r="T73">
        <f>IF(Charts!$B$3="none",H1000,IF(N1000="",NA(),N1000))</f>
        <v>0</v>
      </c>
    </row>
    <row r="74" spans="4:20">
      <c r="D74">
        <v>70</v>
      </c>
      <c r="E74">
        <f>IF(INDIRECT(ADDRESS($D74+2,E$2+1,,,"Instances"))="","",INDIRECT(ADDRESS($D74+2,E$2+1,,,"Instances")))</f>
        <v>0</v>
      </c>
      <c r="F74">
        <f>IFERROR(SMALL(E5:E188,ROW()-ROW($F$5)+1),"")</f>
        <v>0</v>
      </c>
      <c r="H74">
        <f>IFERROR(SUM(F5:F74),"")</f>
        <v>0</v>
      </c>
      <c r="J74">
        <v>70</v>
      </c>
      <c r="K74" cm="1">
        <f t="array" ref="K74">_xlfn.SWITCH(Charts!$B$3,"average", AVERAGE(INDIRECT(ADDRESS(69+3,K$2+1,,,"Instances") &amp; ":" &amp; ADDRESS(69+3,K$2+1))),"median", MEDIAN(INDIRECT(ADDRESS(69+3,K$2+1,,,"Instances") &amp; ":" &amp; ADDRESS(69+3,K$2+1))),"min", MIN(INDIRECT(ADDRESS(69+3,K$2+1,,,"Instances") &amp; ":" &amp; ADDRESS(69+3,K$2+1))),"max", MAX(INDIRECT(ADDRESS(69+3,K$2+1,,,"Instances") &amp; ":" &amp; ADDRESS(69+3,K$2+1))),"diff", MAX(INDIRECT(ADDRESS(69+3,K$2+1,,,"Instances") &amp; ":" &amp; ADDRESS(69+3,K$2+1)))-MIN(INDIRECT(ADDRESS(69+3,K$2+1,,,"Instances") &amp; ":" &amp; ADDRESS(69+3,K$2+1))))</f>
        <v>0</v>
      </c>
      <c r="L74">
        <f>IFERROR(SMALL(K5:K188,ROW()-ROW($L$5)+1),"")</f>
        <v>0</v>
      </c>
      <c r="N74">
        <f>IFERROR(SUM(L5:L74),"")</f>
        <v>0</v>
      </c>
      <c r="Q74">
        <f>IF(Charts!$B$3="none",E1001,IF(K1001="",NA(),K1001))</f>
        <v>0</v>
      </c>
      <c r="R74">
        <f>IF(Charts!$B$3="none",F1001,IF(L1001="",NA(),L1001))</f>
        <v>0</v>
      </c>
      <c r="S74">
        <f>IF(Charts!$B$3="none",G1001,IF(M1001="",NA(),M1001))</f>
        <v>0</v>
      </c>
      <c r="T74">
        <f>IF(Charts!$B$3="none",H1001,IF(N1001="",NA(),N1001))</f>
        <v>0</v>
      </c>
    </row>
    <row r="75" spans="4:20">
      <c r="D75">
        <v>71</v>
      </c>
      <c r="E75">
        <f>IF(INDIRECT(ADDRESS($D75+2,E$2+1,,,"Instances"))="","",INDIRECT(ADDRESS($D75+2,E$2+1,,,"Instances")))</f>
        <v>0</v>
      </c>
      <c r="F75">
        <f>IFERROR(SMALL(E5:E188,ROW()-ROW($F$5)+1),"")</f>
        <v>0</v>
      </c>
      <c r="H75">
        <f>IFERROR(SUM(F5:F75),"")</f>
        <v>0</v>
      </c>
      <c r="J75">
        <v>71</v>
      </c>
      <c r="K75" cm="1">
        <f t="array" ref="K75">_xlfn.SWITCH(Charts!$B$3,"average", AVERAGE(INDIRECT(ADDRESS(70+3,K$2+1,,,"Instances") &amp; ":" &amp; ADDRESS(70+3,K$2+1))),"median", MEDIAN(INDIRECT(ADDRESS(70+3,K$2+1,,,"Instances") &amp; ":" &amp; ADDRESS(70+3,K$2+1))),"min", MIN(INDIRECT(ADDRESS(70+3,K$2+1,,,"Instances") &amp; ":" &amp; ADDRESS(70+3,K$2+1))),"max", MAX(INDIRECT(ADDRESS(70+3,K$2+1,,,"Instances") &amp; ":" &amp; ADDRESS(70+3,K$2+1))),"diff", MAX(INDIRECT(ADDRESS(70+3,K$2+1,,,"Instances") &amp; ":" &amp; ADDRESS(70+3,K$2+1)))-MIN(INDIRECT(ADDRESS(70+3,K$2+1,,,"Instances") &amp; ":" &amp; ADDRESS(70+3,K$2+1))))</f>
        <v>0</v>
      </c>
      <c r="L75">
        <f>IFERROR(SMALL(K5:K188,ROW()-ROW($L$5)+1),"")</f>
        <v>0</v>
      </c>
      <c r="N75">
        <f>IFERROR(SUM(L5:L75),"")</f>
        <v>0</v>
      </c>
      <c r="Q75">
        <f>IF(Charts!$B$3="none",E1002,IF(K1002="",NA(),K1002))</f>
        <v>0</v>
      </c>
      <c r="R75">
        <f>IF(Charts!$B$3="none",F1002,IF(L1002="",NA(),L1002))</f>
        <v>0</v>
      </c>
      <c r="S75">
        <f>IF(Charts!$B$3="none",G1002,IF(M1002="",NA(),M1002))</f>
        <v>0</v>
      </c>
      <c r="T75">
        <f>IF(Charts!$B$3="none",H1002,IF(N1002="",NA(),N1002))</f>
        <v>0</v>
      </c>
    </row>
    <row r="76" spans="4:20">
      <c r="D76">
        <v>72</v>
      </c>
      <c r="E76">
        <f>IF(INDIRECT(ADDRESS($D76+2,E$2+1,,,"Instances"))="","",INDIRECT(ADDRESS($D76+2,E$2+1,,,"Instances")))</f>
        <v>0</v>
      </c>
      <c r="F76">
        <f>IFERROR(SMALL(E5:E188,ROW()-ROW($F$5)+1),"")</f>
        <v>0</v>
      </c>
      <c r="H76">
        <f>IFERROR(SUM(F5:F76),"")</f>
        <v>0</v>
      </c>
      <c r="J76">
        <v>72</v>
      </c>
      <c r="K76" cm="1">
        <f t="array" ref="K76">_xlfn.SWITCH(Charts!$B$3,"average", AVERAGE(INDIRECT(ADDRESS(71+3,K$2+1,,,"Instances") &amp; ":" &amp; ADDRESS(71+3,K$2+1))),"median", MEDIAN(INDIRECT(ADDRESS(71+3,K$2+1,,,"Instances") &amp; ":" &amp; ADDRESS(71+3,K$2+1))),"min", MIN(INDIRECT(ADDRESS(71+3,K$2+1,,,"Instances") &amp; ":" &amp; ADDRESS(71+3,K$2+1))),"max", MAX(INDIRECT(ADDRESS(71+3,K$2+1,,,"Instances") &amp; ":" &amp; ADDRESS(71+3,K$2+1))),"diff", MAX(INDIRECT(ADDRESS(71+3,K$2+1,,,"Instances") &amp; ":" &amp; ADDRESS(71+3,K$2+1)))-MIN(INDIRECT(ADDRESS(71+3,K$2+1,,,"Instances") &amp; ":" &amp; ADDRESS(71+3,K$2+1))))</f>
        <v>0</v>
      </c>
      <c r="L76">
        <f>IFERROR(SMALL(K5:K188,ROW()-ROW($L$5)+1),"")</f>
        <v>0</v>
      </c>
      <c r="N76">
        <f>IFERROR(SUM(L5:L76),"")</f>
        <v>0</v>
      </c>
      <c r="Q76">
        <f>IF(Charts!$B$3="none",E1003,IF(K1003="",NA(),K1003))</f>
        <v>0</v>
      </c>
      <c r="R76">
        <f>IF(Charts!$B$3="none",F1003,IF(L1003="",NA(),L1003))</f>
        <v>0</v>
      </c>
      <c r="S76">
        <f>IF(Charts!$B$3="none",G1003,IF(M1003="",NA(),M1003))</f>
        <v>0</v>
      </c>
      <c r="T76">
        <f>IF(Charts!$B$3="none",H1003,IF(N1003="",NA(),N1003))</f>
        <v>0</v>
      </c>
    </row>
    <row r="77" spans="4:20">
      <c r="D77">
        <v>73</v>
      </c>
      <c r="E77">
        <f>IF(INDIRECT(ADDRESS($D77+2,E$2+1,,,"Instances"))="","",INDIRECT(ADDRESS($D77+2,E$2+1,,,"Instances")))</f>
        <v>0</v>
      </c>
      <c r="F77">
        <f>IFERROR(SMALL(E5:E188,ROW()-ROW($F$5)+1),"")</f>
        <v>0</v>
      </c>
      <c r="H77">
        <f>IFERROR(SUM(F5:F77),"")</f>
        <v>0</v>
      </c>
      <c r="J77">
        <v>73</v>
      </c>
      <c r="K77" cm="1">
        <f t="array" ref="K77">_xlfn.SWITCH(Charts!$B$3,"average", AVERAGE(INDIRECT(ADDRESS(72+3,K$2+1,,,"Instances") &amp; ":" &amp; ADDRESS(72+3,K$2+1))),"median", MEDIAN(INDIRECT(ADDRESS(72+3,K$2+1,,,"Instances") &amp; ":" &amp; ADDRESS(72+3,K$2+1))),"min", MIN(INDIRECT(ADDRESS(72+3,K$2+1,,,"Instances") &amp; ":" &amp; ADDRESS(72+3,K$2+1))),"max", MAX(INDIRECT(ADDRESS(72+3,K$2+1,,,"Instances") &amp; ":" &amp; ADDRESS(72+3,K$2+1))),"diff", MAX(INDIRECT(ADDRESS(72+3,K$2+1,,,"Instances") &amp; ":" &amp; ADDRESS(72+3,K$2+1)))-MIN(INDIRECT(ADDRESS(72+3,K$2+1,,,"Instances") &amp; ":" &amp; ADDRESS(72+3,K$2+1))))</f>
        <v>0</v>
      </c>
      <c r="L77">
        <f>IFERROR(SMALL(K5:K188,ROW()-ROW($L$5)+1),"")</f>
        <v>0</v>
      </c>
      <c r="N77">
        <f>IFERROR(SUM(L5:L77),"")</f>
        <v>0</v>
      </c>
      <c r="Q77">
        <f>IF(Charts!$B$3="none",E1004,IF(K1004="",NA(),K1004))</f>
        <v>0</v>
      </c>
      <c r="R77">
        <f>IF(Charts!$B$3="none",F1004,IF(L1004="",NA(),L1004))</f>
        <v>0</v>
      </c>
      <c r="S77">
        <f>IF(Charts!$B$3="none",G1004,IF(M1004="",NA(),M1004))</f>
        <v>0</v>
      </c>
      <c r="T77">
        <f>IF(Charts!$B$3="none",H1004,IF(N1004="",NA(),N1004))</f>
        <v>0</v>
      </c>
    </row>
    <row r="78" spans="4:20">
      <c r="D78">
        <v>74</v>
      </c>
      <c r="E78">
        <f>IF(INDIRECT(ADDRESS($D78+2,E$2+1,,,"Instances"))="","",INDIRECT(ADDRESS($D78+2,E$2+1,,,"Instances")))</f>
        <v>0</v>
      </c>
      <c r="F78">
        <f>IFERROR(SMALL(E5:E188,ROW()-ROW($F$5)+1),"")</f>
        <v>0</v>
      </c>
      <c r="H78">
        <f>IFERROR(SUM(F5:F78),"")</f>
        <v>0</v>
      </c>
      <c r="J78">
        <v>74</v>
      </c>
      <c r="K78" cm="1">
        <f t="array" ref="K78">_xlfn.SWITCH(Charts!$B$3,"average", AVERAGE(INDIRECT(ADDRESS(73+3,K$2+1,,,"Instances") &amp; ":" &amp; ADDRESS(73+3,K$2+1))),"median", MEDIAN(INDIRECT(ADDRESS(73+3,K$2+1,,,"Instances") &amp; ":" &amp; ADDRESS(73+3,K$2+1))),"min", MIN(INDIRECT(ADDRESS(73+3,K$2+1,,,"Instances") &amp; ":" &amp; ADDRESS(73+3,K$2+1))),"max", MAX(INDIRECT(ADDRESS(73+3,K$2+1,,,"Instances") &amp; ":" &amp; ADDRESS(73+3,K$2+1))),"diff", MAX(INDIRECT(ADDRESS(73+3,K$2+1,,,"Instances") &amp; ":" &amp; ADDRESS(73+3,K$2+1)))-MIN(INDIRECT(ADDRESS(73+3,K$2+1,,,"Instances") &amp; ":" &amp; ADDRESS(73+3,K$2+1))))</f>
        <v>0</v>
      </c>
      <c r="L78">
        <f>IFERROR(SMALL(K5:K188,ROW()-ROW($L$5)+1),"")</f>
        <v>0</v>
      </c>
      <c r="N78">
        <f>IFERROR(SUM(L5:L78),"")</f>
        <v>0</v>
      </c>
      <c r="Q78">
        <f>IF(Charts!$B$3="none",E1005,IF(K1005="",NA(),K1005))</f>
        <v>0</v>
      </c>
      <c r="R78">
        <f>IF(Charts!$B$3="none",F1005,IF(L1005="",NA(),L1005))</f>
        <v>0</v>
      </c>
      <c r="S78">
        <f>IF(Charts!$B$3="none",G1005,IF(M1005="",NA(),M1005))</f>
        <v>0</v>
      </c>
      <c r="T78">
        <f>IF(Charts!$B$3="none",H1005,IF(N1005="",NA(),N1005))</f>
        <v>0</v>
      </c>
    </row>
    <row r="79" spans="4:20">
      <c r="D79">
        <v>75</v>
      </c>
      <c r="E79">
        <f>IF(INDIRECT(ADDRESS($D79+2,E$2+1,,,"Instances"))="","",INDIRECT(ADDRESS($D79+2,E$2+1,,,"Instances")))</f>
        <v>0</v>
      </c>
      <c r="F79">
        <f>IFERROR(SMALL(E5:E188,ROW()-ROW($F$5)+1),"")</f>
        <v>0</v>
      </c>
      <c r="H79">
        <f>IFERROR(SUM(F5:F79),"")</f>
        <v>0</v>
      </c>
      <c r="J79">
        <v>75</v>
      </c>
      <c r="K79" cm="1">
        <f t="array" ref="K79">_xlfn.SWITCH(Charts!$B$3,"average", AVERAGE(INDIRECT(ADDRESS(74+3,K$2+1,,,"Instances") &amp; ":" &amp; ADDRESS(74+3,K$2+1))),"median", MEDIAN(INDIRECT(ADDRESS(74+3,K$2+1,,,"Instances") &amp; ":" &amp; ADDRESS(74+3,K$2+1))),"min", MIN(INDIRECT(ADDRESS(74+3,K$2+1,,,"Instances") &amp; ":" &amp; ADDRESS(74+3,K$2+1))),"max", MAX(INDIRECT(ADDRESS(74+3,K$2+1,,,"Instances") &amp; ":" &amp; ADDRESS(74+3,K$2+1))),"diff", MAX(INDIRECT(ADDRESS(74+3,K$2+1,,,"Instances") &amp; ":" &amp; ADDRESS(74+3,K$2+1)))-MIN(INDIRECT(ADDRESS(74+3,K$2+1,,,"Instances") &amp; ":" &amp; ADDRESS(74+3,K$2+1))))</f>
        <v>0</v>
      </c>
      <c r="L79">
        <f>IFERROR(SMALL(K5:K188,ROW()-ROW($L$5)+1),"")</f>
        <v>0</v>
      </c>
      <c r="N79">
        <f>IFERROR(SUM(L5:L79),"")</f>
        <v>0</v>
      </c>
      <c r="Q79">
        <f>IF(Charts!$B$3="none",E1006,IF(K1006="",NA(),K1006))</f>
        <v>0</v>
      </c>
      <c r="R79">
        <f>IF(Charts!$B$3="none",F1006,IF(L1006="",NA(),L1006))</f>
        <v>0</v>
      </c>
      <c r="S79">
        <f>IF(Charts!$B$3="none",G1006,IF(M1006="",NA(),M1006))</f>
        <v>0</v>
      </c>
      <c r="T79">
        <f>IF(Charts!$B$3="none",H1006,IF(N1006="",NA(),N1006))</f>
        <v>0</v>
      </c>
    </row>
    <row r="80" spans="4:20">
      <c r="D80">
        <v>76</v>
      </c>
      <c r="E80">
        <f>IF(INDIRECT(ADDRESS($D80+2,E$2+1,,,"Instances"))="","",INDIRECT(ADDRESS($D80+2,E$2+1,,,"Instances")))</f>
        <v>0</v>
      </c>
      <c r="F80">
        <f>IFERROR(SMALL(E5:E188,ROW()-ROW($F$5)+1),"")</f>
        <v>0</v>
      </c>
      <c r="H80">
        <f>IFERROR(SUM(F5:F80),"")</f>
        <v>0</v>
      </c>
      <c r="J80">
        <v>76</v>
      </c>
      <c r="K80" cm="1">
        <f t="array" ref="K80">_xlfn.SWITCH(Charts!$B$3,"average", AVERAGE(INDIRECT(ADDRESS(75+3,K$2+1,,,"Instances") &amp; ":" &amp; ADDRESS(75+3,K$2+1))),"median", MEDIAN(INDIRECT(ADDRESS(75+3,K$2+1,,,"Instances") &amp; ":" &amp; ADDRESS(75+3,K$2+1))),"min", MIN(INDIRECT(ADDRESS(75+3,K$2+1,,,"Instances") &amp; ":" &amp; ADDRESS(75+3,K$2+1))),"max", MAX(INDIRECT(ADDRESS(75+3,K$2+1,,,"Instances") &amp; ":" &amp; ADDRESS(75+3,K$2+1))),"diff", MAX(INDIRECT(ADDRESS(75+3,K$2+1,,,"Instances") &amp; ":" &amp; ADDRESS(75+3,K$2+1)))-MIN(INDIRECT(ADDRESS(75+3,K$2+1,,,"Instances") &amp; ":" &amp; ADDRESS(75+3,K$2+1))))</f>
        <v>0</v>
      </c>
      <c r="L80">
        <f>IFERROR(SMALL(K5:K188,ROW()-ROW($L$5)+1),"")</f>
        <v>0</v>
      </c>
      <c r="N80">
        <f>IFERROR(SUM(L5:L80),"")</f>
        <v>0</v>
      </c>
      <c r="Q80">
        <f>IF(Charts!$B$3="none",E1007,IF(K1007="",NA(),K1007))</f>
        <v>0</v>
      </c>
      <c r="R80">
        <f>IF(Charts!$B$3="none",F1007,IF(L1007="",NA(),L1007))</f>
        <v>0</v>
      </c>
      <c r="S80">
        <f>IF(Charts!$B$3="none",G1007,IF(M1007="",NA(),M1007))</f>
        <v>0</v>
      </c>
      <c r="T80">
        <f>IF(Charts!$B$3="none",H1007,IF(N1007="",NA(),N1007))</f>
        <v>0</v>
      </c>
    </row>
    <row r="81" spans="4:20">
      <c r="D81">
        <v>77</v>
      </c>
      <c r="E81">
        <f>IF(INDIRECT(ADDRESS($D81+2,E$2+1,,,"Instances"))="","",INDIRECT(ADDRESS($D81+2,E$2+1,,,"Instances")))</f>
        <v>0</v>
      </c>
      <c r="F81">
        <f>IFERROR(SMALL(E5:E188,ROW()-ROW($F$5)+1),"")</f>
        <v>0</v>
      </c>
      <c r="H81">
        <f>IFERROR(SUM(F5:F81),"")</f>
        <v>0</v>
      </c>
      <c r="J81">
        <v>77</v>
      </c>
      <c r="K81" cm="1">
        <f t="array" ref="K81">_xlfn.SWITCH(Charts!$B$3,"average", AVERAGE(INDIRECT(ADDRESS(76+3,K$2+1,,,"Instances") &amp; ":" &amp; ADDRESS(76+3,K$2+1))),"median", MEDIAN(INDIRECT(ADDRESS(76+3,K$2+1,,,"Instances") &amp; ":" &amp; ADDRESS(76+3,K$2+1))),"min", MIN(INDIRECT(ADDRESS(76+3,K$2+1,,,"Instances") &amp; ":" &amp; ADDRESS(76+3,K$2+1))),"max", MAX(INDIRECT(ADDRESS(76+3,K$2+1,,,"Instances") &amp; ":" &amp; ADDRESS(76+3,K$2+1))),"diff", MAX(INDIRECT(ADDRESS(76+3,K$2+1,,,"Instances") &amp; ":" &amp; ADDRESS(76+3,K$2+1)))-MIN(INDIRECT(ADDRESS(76+3,K$2+1,,,"Instances") &amp; ":" &amp; ADDRESS(76+3,K$2+1))))</f>
        <v>0</v>
      </c>
      <c r="L81">
        <f>IFERROR(SMALL(K5:K188,ROW()-ROW($L$5)+1),"")</f>
        <v>0</v>
      </c>
      <c r="N81">
        <f>IFERROR(SUM(L5:L81),"")</f>
        <v>0</v>
      </c>
      <c r="Q81">
        <f>IF(Charts!$B$3="none",E1008,IF(K1008="",NA(),K1008))</f>
        <v>0</v>
      </c>
      <c r="R81">
        <f>IF(Charts!$B$3="none",F1008,IF(L1008="",NA(),L1008))</f>
        <v>0</v>
      </c>
      <c r="S81">
        <f>IF(Charts!$B$3="none",G1008,IF(M1008="",NA(),M1008))</f>
        <v>0</v>
      </c>
      <c r="T81">
        <f>IF(Charts!$B$3="none",H1008,IF(N1008="",NA(),N1008))</f>
        <v>0</v>
      </c>
    </row>
    <row r="82" spans="4:20">
      <c r="D82">
        <v>78</v>
      </c>
      <c r="E82">
        <f>IF(INDIRECT(ADDRESS($D82+2,E$2+1,,,"Instances"))="","",INDIRECT(ADDRESS($D82+2,E$2+1,,,"Instances")))</f>
        <v>0</v>
      </c>
      <c r="F82">
        <f>IFERROR(SMALL(E5:E188,ROW()-ROW($F$5)+1),"")</f>
        <v>0</v>
      </c>
      <c r="H82">
        <f>IFERROR(SUM(F5:F82),"")</f>
        <v>0</v>
      </c>
      <c r="J82">
        <v>78</v>
      </c>
      <c r="K82" cm="1">
        <f t="array" ref="K82">_xlfn.SWITCH(Charts!$B$3,"average", AVERAGE(INDIRECT(ADDRESS(77+3,K$2+1,,,"Instances") &amp; ":" &amp; ADDRESS(77+3,K$2+1))),"median", MEDIAN(INDIRECT(ADDRESS(77+3,K$2+1,,,"Instances") &amp; ":" &amp; ADDRESS(77+3,K$2+1))),"min", MIN(INDIRECT(ADDRESS(77+3,K$2+1,,,"Instances") &amp; ":" &amp; ADDRESS(77+3,K$2+1))),"max", MAX(INDIRECT(ADDRESS(77+3,K$2+1,,,"Instances") &amp; ":" &amp; ADDRESS(77+3,K$2+1))),"diff", MAX(INDIRECT(ADDRESS(77+3,K$2+1,,,"Instances") &amp; ":" &amp; ADDRESS(77+3,K$2+1)))-MIN(INDIRECT(ADDRESS(77+3,K$2+1,,,"Instances") &amp; ":" &amp; ADDRESS(77+3,K$2+1))))</f>
        <v>0</v>
      </c>
      <c r="L82">
        <f>IFERROR(SMALL(K5:K188,ROW()-ROW($L$5)+1),"")</f>
        <v>0</v>
      </c>
      <c r="N82">
        <f>IFERROR(SUM(L5:L82),"")</f>
        <v>0</v>
      </c>
      <c r="Q82">
        <f>IF(Charts!$B$3="none",E1009,IF(K1009="",NA(),K1009))</f>
        <v>0</v>
      </c>
      <c r="R82">
        <f>IF(Charts!$B$3="none",F1009,IF(L1009="",NA(),L1009))</f>
        <v>0</v>
      </c>
      <c r="S82">
        <f>IF(Charts!$B$3="none",G1009,IF(M1009="",NA(),M1009))</f>
        <v>0</v>
      </c>
      <c r="T82">
        <f>IF(Charts!$B$3="none",H1009,IF(N1009="",NA(),N1009))</f>
        <v>0</v>
      </c>
    </row>
    <row r="83" spans="4:20">
      <c r="D83">
        <v>79</v>
      </c>
      <c r="E83">
        <f>IF(INDIRECT(ADDRESS($D83+2,E$2+1,,,"Instances"))="","",INDIRECT(ADDRESS($D83+2,E$2+1,,,"Instances")))</f>
        <v>0</v>
      </c>
      <c r="F83">
        <f>IFERROR(SMALL(E5:E188,ROW()-ROW($F$5)+1),"")</f>
        <v>0</v>
      </c>
      <c r="H83">
        <f>IFERROR(SUM(F5:F83),"")</f>
        <v>0</v>
      </c>
      <c r="J83">
        <v>79</v>
      </c>
      <c r="K83" cm="1">
        <f t="array" ref="K83">_xlfn.SWITCH(Charts!$B$3,"average", AVERAGE(INDIRECT(ADDRESS(78+3,K$2+1,,,"Instances") &amp; ":" &amp; ADDRESS(78+3,K$2+1))),"median", MEDIAN(INDIRECT(ADDRESS(78+3,K$2+1,,,"Instances") &amp; ":" &amp; ADDRESS(78+3,K$2+1))),"min", MIN(INDIRECT(ADDRESS(78+3,K$2+1,,,"Instances") &amp; ":" &amp; ADDRESS(78+3,K$2+1))),"max", MAX(INDIRECT(ADDRESS(78+3,K$2+1,,,"Instances") &amp; ":" &amp; ADDRESS(78+3,K$2+1))),"diff", MAX(INDIRECT(ADDRESS(78+3,K$2+1,,,"Instances") &amp; ":" &amp; ADDRESS(78+3,K$2+1)))-MIN(INDIRECT(ADDRESS(78+3,K$2+1,,,"Instances") &amp; ":" &amp; ADDRESS(78+3,K$2+1))))</f>
        <v>0</v>
      </c>
      <c r="L83">
        <f>IFERROR(SMALL(K5:K188,ROW()-ROW($L$5)+1),"")</f>
        <v>0</v>
      </c>
      <c r="N83">
        <f>IFERROR(SUM(L5:L83),"")</f>
        <v>0</v>
      </c>
      <c r="Q83">
        <f>IF(Charts!$B$3="none",E1010,IF(K1010="",NA(),K1010))</f>
        <v>0</v>
      </c>
      <c r="R83">
        <f>IF(Charts!$B$3="none",F1010,IF(L1010="",NA(),L1010))</f>
        <v>0</v>
      </c>
      <c r="S83">
        <f>IF(Charts!$B$3="none",G1010,IF(M1010="",NA(),M1010))</f>
        <v>0</v>
      </c>
      <c r="T83">
        <f>IF(Charts!$B$3="none",H1010,IF(N1010="",NA(),N1010))</f>
        <v>0</v>
      </c>
    </row>
    <row r="84" spans="4:20">
      <c r="D84">
        <v>80</v>
      </c>
      <c r="E84">
        <f>IF(INDIRECT(ADDRESS($D84+2,E$2+1,,,"Instances"))="","",INDIRECT(ADDRESS($D84+2,E$2+1,,,"Instances")))</f>
        <v>0</v>
      </c>
      <c r="F84">
        <f>IFERROR(SMALL(E5:E188,ROW()-ROW($F$5)+1),"")</f>
        <v>0</v>
      </c>
      <c r="H84">
        <f>IFERROR(SUM(F5:F84),"")</f>
        <v>0</v>
      </c>
      <c r="J84">
        <v>80</v>
      </c>
      <c r="K84" cm="1">
        <f t="array" ref="K84">_xlfn.SWITCH(Charts!$B$3,"average", AVERAGE(INDIRECT(ADDRESS(79+3,K$2+1,,,"Instances") &amp; ":" &amp; ADDRESS(79+3,K$2+1))),"median", MEDIAN(INDIRECT(ADDRESS(79+3,K$2+1,,,"Instances") &amp; ":" &amp; ADDRESS(79+3,K$2+1))),"min", MIN(INDIRECT(ADDRESS(79+3,K$2+1,,,"Instances") &amp; ":" &amp; ADDRESS(79+3,K$2+1))),"max", MAX(INDIRECT(ADDRESS(79+3,K$2+1,,,"Instances") &amp; ":" &amp; ADDRESS(79+3,K$2+1))),"diff", MAX(INDIRECT(ADDRESS(79+3,K$2+1,,,"Instances") &amp; ":" &amp; ADDRESS(79+3,K$2+1)))-MIN(INDIRECT(ADDRESS(79+3,K$2+1,,,"Instances") &amp; ":" &amp; ADDRESS(79+3,K$2+1))))</f>
        <v>0</v>
      </c>
      <c r="L84">
        <f>IFERROR(SMALL(K5:K188,ROW()-ROW($L$5)+1),"")</f>
        <v>0</v>
      </c>
      <c r="N84">
        <f>IFERROR(SUM(L5:L84),"")</f>
        <v>0</v>
      </c>
      <c r="Q84">
        <f>IF(Charts!$B$3="none",E1011,IF(K1011="",NA(),K1011))</f>
        <v>0</v>
      </c>
      <c r="R84">
        <f>IF(Charts!$B$3="none",F1011,IF(L1011="",NA(),L1011))</f>
        <v>0</v>
      </c>
      <c r="S84">
        <f>IF(Charts!$B$3="none",G1011,IF(M1011="",NA(),M1011))</f>
        <v>0</v>
      </c>
      <c r="T84">
        <f>IF(Charts!$B$3="none",H1011,IF(N1011="",NA(),N1011))</f>
        <v>0</v>
      </c>
    </row>
    <row r="85" spans="4:20">
      <c r="D85">
        <v>81</v>
      </c>
      <c r="E85">
        <f>IF(INDIRECT(ADDRESS($D85+2,E$2+1,,,"Instances"))="","",INDIRECT(ADDRESS($D85+2,E$2+1,,,"Instances")))</f>
        <v>0</v>
      </c>
      <c r="F85">
        <f>IFERROR(SMALL(E5:E188,ROW()-ROW($F$5)+1),"")</f>
        <v>0</v>
      </c>
      <c r="H85">
        <f>IFERROR(SUM(F5:F85),"")</f>
        <v>0</v>
      </c>
      <c r="J85">
        <v>81</v>
      </c>
      <c r="K85" cm="1">
        <f t="array" ref="K85">_xlfn.SWITCH(Charts!$B$3,"average", AVERAGE(INDIRECT(ADDRESS(80+3,K$2+1,,,"Instances") &amp; ":" &amp; ADDRESS(80+3,K$2+1))),"median", MEDIAN(INDIRECT(ADDRESS(80+3,K$2+1,,,"Instances") &amp; ":" &amp; ADDRESS(80+3,K$2+1))),"min", MIN(INDIRECT(ADDRESS(80+3,K$2+1,,,"Instances") &amp; ":" &amp; ADDRESS(80+3,K$2+1))),"max", MAX(INDIRECT(ADDRESS(80+3,K$2+1,,,"Instances") &amp; ":" &amp; ADDRESS(80+3,K$2+1))),"diff", MAX(INDIRECT(ADDRESS(80+3,K$2+1,,,"Instances") &amp; ":" &amp; ADDRESS(80+3,K$2+1)))-MIN(INDIRECT(ADDRESS(80+3,K$2+1,,,"Instances") &amp; ":" &amp; ADDRESS(80+3,K$2+1))))</f>
        <v>0</v>
      </c>
      <c r="L85">
        <f>IFERROR(SMALL(K5:K188,ROW()-ROW($L$5)+1),"")</f>
        <v>0</v>
      </c>
      <c r="N85">
        <f>IFERROR(SUM(L5:L85),"")</f>
        <v>0</v>
      </c>
      <c r="Q85">
        <f>IF(Charts!$B$3="none",E1012,IF(K1012="",NA(),K1012))</f>
        <v>0</v>
      </c>
      <c r="R85">
        <f>IF(Charts!$B$3="none",F1012,IF(L1012="",NA(),L1012))</f>
        <v>0</v>
      </c>
      <c r="S85">
        <f>IF(Charts!$B$3="none",G1012,IF(M1012="",NA(),M1012))</f>
        <v>0</v>
      </c>
      <c r="T85">
        <f>IF(Charts!$B$3="none",H1012,IF(N1012="",NA(),N1012))</f>
        <v>0</v>
      </c>
    </row>
    <row r="86" spans="4:20">
      <c r="D86">
        <v>82</v>
      </c>
      <c r="E86">
        <f>IF(INDIRECT(ADDRESS($D86+2,E$2+1,,,"Instances"))="","",INDIRECT(ADDRESS($D86+2,E$2+1,,,"Instances")))</f>
        <v>0</v>
      </c>
      <c r="F86">
        <f>IFERROR(SMALL(E5:E188,ROW()-ROW($F$5)+1),"")</f>
        <v>0</v>
      </c>
      <c r="H86">
        <f>IFERROR(SUM(F5:F86),"")</f>
        <v>0</v>
      </c>
      <c r="J86">
        <v>82</v>
      </c>
      <c r="K86" cm="1">
        <f t="array" ref="K86">_xlfn.SWITCH(Charts!$B$3,"average", AVERAGE(INDIRECT(ADDRESS(81+3,K$2+1,,,"Instances") &amp; ":" &amp; ADDRESS(81+3,K$2+1))),"median", MEDIAN(INDIRECT(ADDRESS(81+3,K$2+1,,,"Instances") &amp; ":" &amp; ADDRESS(81+3,K$2+1))),"min", MIN(INDIRECT(ADDRESS(81+3,K$2+1,,,"Instances") &amp; ":" &amp; ADDRESS(81+3,K$2+1))),"max", MAX(INDIRECT(ADDRESS(81+3,K$2+1,,,"Instances") &amp; ":" &amp; ADDRESS(81+3,K$2+1))),"diff", MAX(INDIRECT(ADDRESS(81+3,K$2+1,,,"Instances") &amp; ":" &amp; ADDRESS(81+3,K$2+1)))-MIN(INDIRECT(ADDRESS(81+3,K$2+1,,,"Instances") &amp; ":" &amp; ADDRESS(81+3,K$2+1))))</f>
        <v>0</v>
      </c>
      <c r="L86">
        <f>IFERROR(SMALL(K5:K188,ROW()-ROW($L$5)+1),"")</f>
        <v>0</v>
      </c>
      <c r="N86">
        <f>IFERROR(SUM(L5:L86),"")</f>
        <v>0</v>
      </c>
      <c r="Q86">
        <f>IF(Charts!$B$3="none",E1013,IF(K1013="",NA(),K1013))</f>
        <v>0</v>
      </c>
      <c r="R86">
        <f>IF(Charts!$B$3="none",F1013,IF(L1013="",NA(),L1013))</f>
        <v>0</v>
      </c>
      <c r="S86">
        <f>IF(Charts!$B$3="none",G1013,IF(M1013="",NA(),M1013))</f>
        <v>0</v>
      </c>
      <c r="T86">
        <f>IF(Charts!$B$3="none",H1013,IF(N1013="",NA(),N1013))</f>
        <v>0</v>
      </c>
    </row>
    <row r="87" spans="4:20">
      <c r="D87">
        <v>83</v>
      </c>
      <c r="E87">
        <f>IF(INDIRECT(ADDRESS($D87+2,E$2+1,,,"Instances"))="","",INDIRECT(ADDRESS($D87+2,E$2+1,,,"Instances")))</f>
        <v>0</v>
      </c>
      <c r="F87">
        <f>IFERROR(SMALL(E5:E188,ROW()-ROW($F$5)+1),"")</f>
        <v>0</v>
      </c>
      <c r="H87">
        <f>IFERROR(SUM(F5:F87),"")</f>
        <v>0</v>
      </c>
      <c r="J87">
        <v>83</v>
      </c>
      <c r="K87" cm="1">
        <f t="array" ref="K87">_xlfn.SWITCH(Charts!$B$3,"average", AVERAGE(INDIRECT(ADDRESS(82+3,K$2+1,,,"Instances") &amp; ":" &amp; ADDRESS(82+3,K$2+1))),"median", MEDIAN(INDIRECT(ADDRESS(82+3,K$2+1,,,"Instances") &amp; ":" &amp; ADDRESS(82+3,K$2+1))),"min", MIN(INDIRECT(ADDRESS(82+3,K$2+1,,,"Instances") &amp; ":" &amp; ADDRESS(82+3,K$2+1))),"max", MAX(INDIRECT(ADDRESS(82+3,K$2+1,,,"Instances") &amp; ":" &amp; ADDRESS(82+3,K$2+1))),"diff", MAX(INDIRECT(ADDRESS(82+3,K$2+1,,,"Instances") &amp; ":" &amp; ADDRESS(82+3,K$2+1)))-MIN(INDIRECT(ADDRESS(82+3,K$2+1,,,"Instances") &amp; ":" &amp; ADDRESS(82+3,K$2+1))))</f>
        <v>0</v>
      </c>
      <c r="L87">
        <f>IFERROR(SMALL(K5:K188,ROW()-ROW($L$5)+1),"")</f>
        <v>0</v>
      </c>
      <c r="N87">
        <f>IFERROR(SUM(L5:L87),"")</f>
        <v>0</v>
      </c>
      <c r="Q87">
        <f>IF(Charts!$B$3="none",E1014,IF(K1014="",NA(),K1014))</f>
        <v>0</v>
      </c>
      <c r="R87">
        <f>IF(Charts!$B$3="none",F1014,IF(L1014="",NA(),L1014))</f>
        <v>0</v>
      </c>
      <c r="S87">
        <f>IF(Charts!$B$3="none",G1014,IF(M1014="",NA(),M1014))</f>
        <v>0</v>
      </c>
      <c r="T87">
        <f>IF(Charts!$B$3="none",H1014,IF(N1014="",NA(),N1014))</f>
        <v>0</v>
      </c>
    </row>
    <row r="88" spans="4:20">
      <c r="D88">
        <v>84</v>
      </c>
      <c r="E88">
        <f>IF(INDIRECT(ADDRESS($D88+2,E$2+1,,,"Instances"))="","",INDIRECT(ADDRESS($D88+2,E$2+1,,,"Instances")))</f>
        <v>0</v>
      </c>
      <c r="F88">
        <f>IFERROR(SMALL(E5:E188,ROW()-ROW($F$5)+1),"")</f>
        <v>0</v>
      </c>
      <c r="H88">
        <f>IFERROR(SUM(F5:F88),"")</f>
        <v>0</v>
      </c>
      <c r="J88">
        <v>84</v>
      </c>
      <c r="K88" cm="1">
        <f t="array" ref="K88">_xlfn.SWITCH(Charts!$B$3,"average", AVERAGE(INDIRECT(ADDRESS(83+3,K$2+1,,,"Instances") &amp; ":" &amp; ADDRESS(83+3,K$2+1))),"median", MEDIAN(INDIRECT(ADDRESS(83+3,K$2+1,,,"Instances") &amp; ":" &amp; ADDRESS(83+3,K$2+1))),"min", MIN(INDIRECT(ADDRESS(83+3,K$2+1,,,"Instances") &amp; ":" &amp; ADDRESS(83+3,K$2+1))),"max", MAX(INDIRECT(ADDRESS(83+3,K$2+1,,,"Instances") &amp; ":" &amp; ADDRESS(83+3,K$2+1))),"diff", MAX(INDIRECT(ADDRESS(83+3,K$2+1,,,"Instances") &amp; ":" &amp; ADDRESS(83+3,K$2+1)))-MIN(INDIRECT(ADDRESS(83+3,K$2+1,,,"Instances") &amp; ":" &amp; ADDRESS(83+3,K$2+1))))</f>
        <v>0</v>
      </c>
      <c r="L88">
        <f>IFERROR(SMALL(K5:K188,ROW()-ROW($L$5)+1),"")</f>
        <v>0</v>
      </c>
      <c r="N88">
        <f>IFERROR(SUM(L5:L88),"")</f>
        <v>0</v>
      </c>
      <c r="Q88">
        <f>IF(Charts!$B$3="none",E1015,IF(K1015="",NA(),K1015))</f>
        <v>0</v>
      </c>
      <c r="R88">
        <f>IF(Charts!$B$3="none",F1015,IF(L1015="",NA(),L1015))</f>
        <v>0</v>
      </c>
      <c r="S88">
        <f>IF(Charts!$B$3="none",G1015,IF(M1015="",NA(),M1015))</f>
        <v>0</v>
      </c>
      <c r="T88">
        <f>IF(Charts!$B$3="none",H1015,IF(N1015="",NA(),N1015))</f>
        <v>0</v>
      </c>
    </row>
    <row r="89" spans="4:20">
      <c r="D89">
        <v>85</v>
      </c>
      <c r="E89">
        <f>IF(INDIRECT(ADDRESS($D89+2,E$2+1,,,"Instances"))="","",INDIRECT(ADDRESS($D89+2,E$2+1,,,"Instances")))</f>
        <v>0</v>
      </c>
      <c r="F89">
        <f>IFERROR(SMALL(E5:E188,ROW()-ROW($F$5)+1),"")</f>
        <v>0</v>
      </c>
      <c r="H89">
        <f>IFERROR(SUM(F5:F89),"")</f>
        <v>0</v>
      </c>
      <c r="J89">
        <v>85</v>
      </c>
      <c r="K89" cm="1">
        <f t="array" ref="K89">_xlfn.SWITCH(Charts!$B$3,"average", AVERAGE(INDIRECT(ADDRESS(84+3,K$2+1,,,"Instances") &amp; ":" &amp; ADDRESS(84+3,K$2+1))),"median", MEDIAN(INDIRECT(ADDRESS(84+3,K$2+1,,,"Instances") &amp; ":" &amp; ADDRESS(84+3,K$2+1))),"min", MIN(INDIRECT(ADDRESS(84+3,K$2+1,,,"Instances") &amp; ":" &amp; ADDRESS(84+3,K$2+1))),"max", MAX(INDIRECT(ADDRESS(84+3,K$2+1,,,"Instances") &amp; ":" &amp; ADDRESS(84+3,K$2+1))),"diff", MAX(INDIRECT(ADDRESS(84+3,K$2+1,,,"Instances") &amp; ":" &amp; ADDRESS(84+3,K$2+1)))-MIN(INDIRECT(ADDRESS(84+3,K$2+1,,,"Instances") &amp; ":" &amp; ADDRESS(84+3,K$2+1))))</f>
        <v>0</v>
      </c>
      <c r="L89">
        <f>IFERROR(SMALL(K5:K188,ROW()-ROW($L$5)+1),"")</f>
        <v>0</v>
      </c>
      <c r="N89">
        <f>IFERROR(SUM(L5:L89),"")</f>
        <v>0</v>
      </c>
      <c r="Q89">
        <f>IF(Charts!$B$3="none",E1016,IF(K1016="",NA(),K1016))</f>
        <v>0</v>
      </c>
      <c r="R89">
        <f>IF(Charts!$B$3="none",F1016,IF(L1016="",NA(),L1016))</f>
        <v>0</v>
      </c>
      <c r="S89">
        <f>IF(Charts!$B$3="none",G1016,IF(M1016="",NA(),M1016))</f>
        <v>0</v>
      </c>
      <c r="T89">
        <f>IF(Charts!$B$3="none",H1016,IF(N1016="",NA(),N1016))</f>
        <v>0</v>
      </c>
    </row>
    <row r="90" spans="4:20">
      <c r="D90">
        <v>86</v>
      </c>
      <c r="E90">
        <f>IF(INDIRECT(ADDRESS($D90+2,E$2+1,,,"Instances"))="","",INDIRECT(ADDRESS($D90+2,E$2+1,,,"Instances")))</f>
        <v>0</v>
      </c>
      <c r="F90">
        <f>IFERROR(SMALL(E5:E188,ROW()-ROW($F$5)+1),"")</f>
        <v>0</v>
      </c>
      <c r="H90">
        <f>IFERROR(SUM(F5:F90),"")</f>
        <v>0</v>
      </c>
      <c r="J90">
        <v>86</v>
      </c>
      <c r="K90" cm="1">
        <f t="array" ref="K90">_xlfn.SWITCH(Charts!$B$3,"average", AVERAGE(INDIRECT(ADDRESS(85+3,K$2+1,,,"Instances") &amp; ":" &amp; ADDRESS(85+3,K$2+1))),"median", MEDIAN(INDIRECT(ADDRESS(85+3,K$2+1,,,"Instances") &amp; ":" &amp; ADDRESS(85+3,K$2+1))),"min", MIN(INDIRECT(ADDRESS(85+3,K$2+1,,,"Instances") &amp; ":" &amp; ADDRESS(85+3,K$2+1))),"max", MAX(INDIRECT(ADDRESS(85+3,K$2+1,,,"Instances") &amp; ":" &amp; ADDRESS(85+3,K$2+1))),"diff", MAX(INDIRECT(ADDRESS(85+3,K$2+1,,,"Instances") &amp; ":" &amp; ADDRESS(85+3,K$2+1)))-MIN(INDIRECT(ADDRESS(85+3,K$2+1,,,"Instances") &amp; ":" &amp; ADDRESS(85+3,K$2+1))))</f>
        <v>0</v>
      </c>
      <c r="L90">
        <f>IFERROR(SMALL(K5:K188,ROW()-ROW($L$5)+1),"")</f>
        <v>0</v>
      </c>
      <c r="N90">
        <f>IFERROR(SUM(L5:L90),"")</f>
        <v>0</v>
      </c>
      <c r="Q90">
        <f>IF(Charts!$B$3="none",E1017,IF(K1017="",NA(),K1017))</f>
        <v>0</v>
      </c>
      <c r="R90">
        <f>IF(Charts!$B$3="none",F1017,IF(L1017="",NA(),L1017))</f>
        <v>0</v>
      </c>
      <c r="S90">
        <f>IF(Charts!$B$3="none",G1017,IF(M1017="",NA(),M1017))</f>
        <v>0</v>
      </c>
      <c r="T90">
        <f>IF(Charts!$B$3="none",H1017,IF(N1017="",NA(),N1017))</f>
        <v>0</v>
      </c>
    </row>
    <row r="91" spans="4:20">
      <c r="D91">
        <v>87</v>
      </c>
      <c r="E91">
        <f>IF(INDIRECT(ADDRESS($D91+2,E$2+1,,,"Instances"))="","",INDIRECT(ADDRESS($D91+2,E$2+1,,,"Instances")))</f>
        <v>0</v>
      </c>
      <c r="F91">
        <f>IFERROR(SMALL(E5:E188,ROW()-ROW($F$5)+1),"")</f>
        <v>0</v>
      </c>
      <c r="H91">
        <f>IFERROR(SUM(F5:F91),"")</f>
        <v>0</v>
      </c>
      <c r="J91">
        <v>87</v>
      </c>
      <c r="K91" cm="1">
        <f t="array" ref="K91">_xlfn.SWITCH(Charts!$B$3,"average", AVERAGE(INDIRECT(ADDRESS(86+3,K$2+1,,,"Instances") &amp; ":" &amp; ADDRESS(86+3,K$2+1))),"median", MEDIAN(INDIRECT(ADDRESS(86+3,K$2+1,,,"Instances") &amp; ":" &amp; ADDRESS(86+3,K$2+1))),"min", MIN(INDIRECT(ADDRESS(86+3,K$2+1,,,"Instances") &amp; ":" &amp; ADDRESS(86+3,K$2+1))),"max", MAX(INDIRECT(ADDRESS(86+3,K$2+1,,,"Instances") &amp; ":" &amp; ADDRESS(86+3,K$2+1))),"diff", MAX(INDIRECT(ADDRESS(86+3,K$2+1,,,"Instances") &amp; ":" &amp; ADDRESS(86+3,K$2+1)))-MIN(INDIRECT(ADDRESS(86+3,K$2+1,,,"Instances") &amp; ":" &amp; ADDRESS(86+3,K$2+1))))</f>
        <v>0</v>
      </c>
      <c r="L91">
        <f>IFERROR(SMALL(K5:K188,ROW()-ROW($L$5)+1),"")</f>
        <v>0</v>
      </c>
      <c r="N91">
        <f>IFERROR(SUM(L5:L91),"")</f>
        <v>0</v>
      </c>
      <c r="Q91">
        <f>IF(Charts!$B$3="none",E1018,IF(K1018="",NA(),K1018))</f>
        <v>0</v>
      </c>
      <c r="R91">
        <f>IF(Charts!$B$3="none",F1018,IF(L1018="",NA(),L1018))</f>
        <v>0</v>
      </c>
      <c r="S91">
        <f>IF(Charts!$B$3="none",G1018,IF(M1018="",NA(),M1018))</f>
        <v>0</v>
      </c>
      <c r="T91">
        <f>IF(Charts!$B$3="none",H1018,IF(N1018="",NA(),N1018))</f>
        <v>0</v>
      </c>
    </row>
    <row r="92" spans="4:20">
      <c r="D92">
        <v>88</v>
      </c>
      <c r="E92">
        <f>IF(INDIRECT(ADDRESS($D92+2,E$2+1,,,"Instances"))="","",INDIRECT(ADDRESS($D92+2,E$2+1,,,"Instances")))</f>
        <v>0</v>
      </c>
      <c r="F92">
        <f>IFERROR(SMALL(E5:E188,ROW()-ROW($F$5)+1),"")</f>
        <v>0</v>
      </c>
      <c r="H92">
        <f>IFERROR(SUM(F5:F92),"")</f>
        <v>0</v>
      </c>
      <c r="J92">
        <v>88</v>
      </c>
      <c r="K92" cm="1">
        <f t="array" ref="K92">_xlfn.SWITCH(Charts!$B$3,"average", AVERAGE(INDIRECT(ADDRESS(87+3,K$2+1,,,"Instances") &amp; ":" &amp; ADDRESS(87+3,K$2+1))),"median", MEDIAN(INDIRECT(ADDRESS(87+3,K$2+1,,,"Instances") &amp; ":" &amp; ADDRESS(87+3,K$2+1))),"min", MIN(INDIRECT(ADDRESS(87+3,K$2+1,,,"Instances") &amp; ":" &amp; ADDRESS(87+3,K$2+1))),"max", MAX(INDIRECT(ADDRESS(87+3,K$2+1,,,"Instances") &amp; ":" &amp; ADDRESS(87+3,K$2+1))),"diff", MAX(INDIRECT(ADDRESS(87+3,K$2+1,,,"Instances") &amp; ":" &amp; ADDRESS(87+3,K$2+1)))-MIN(INDIRECT(ADDRESS(87+3,K$2+1,,,"Instances") &amp; ":" &amp; ADDRESS(87+3,K$2+1))))</f>
        <v>0</v>
      </c>
      <c r="L92">
        <f>IFERROR(SMALL(K5:K188,ROW()-ROW($L$5)+1),"")</f>
        <v>0</v>
      </c>
      <c r="N92">
        <f>IFERROR(SUM(L5:L92),"")</f>
        <v>0</v>
      </c>
      <c r="Q92">
        <f>IF(Charts!$B$3="none",E1019,IF(K1019="",NA(),K1019))</f>
        <v>0</v>
      </c>
      <c r="R92">
        <f>IF(Charts!$B$3="none",F1019,IF(L1019="",NA(),L1019))</f>
        <v>0</v>
      </c>
      <c r="S92">
        <f>IF(Charts!$B$3="none",G1019,IF(M1019="",NA(),M1019))</f>
        <v>0</v>
      </c>
      <c r="T92">
        <f>IF(Charts!$B$3="none",H1019,IF(N1019="",NA(),N1019))</f>
        <v>0</v>
      </c>
    </row>
    <row r="93" spans="4:20">
      <c r="D93">
        <v>89</v>
      </c>
      <c r="E93">
        <f>IF(INDIRECT(ADDRESS($D93+2,E$2+1,,,"Instances"))="","",INDIRECT(ADDRESS($D93+2,E$2+1,,,"Instances")))</f>
        <v>0</v>
      </c>
      <c r="F93">
        <f>IFERROR(SMALL(E5:E188,ROW()-ROW($F$5)+1),"")</f>
        <v>0</v>
      </c>
      <c r="H93">
        <f>IFERROR(SUM(F5:F93),"")</f>
        <v>0</v>
      </c>
      <c r="J93">
        <v>89</v>
      </c>
      <c r="K93" cm="1">
        <f t="array" ref="K93">_xlfn.SWITCH(Charts!$B$3,"average", AVERAGE(INDIRECT(ADDRESS(88+3,K$2+1,,,"Instances") &amp; ":" &amp; ADDRESS(88+3,K$2+1))),"median", MEDIAN(INDIRECT(ADDRESS(88+3,K$2+1,,,"Instances") &amp; ":" &amp; ADDRESS(88+3,K$2+1))),"min", MIN(INDIRECT(ADDRESS(88+3,K$2+1,,,"Instances") &amp; ":" &amp; ADDRESS(88+3,K$2+1))),"max", MAX(INDIRECT(ADDRESS(88+3,K$2+1,,,"Instances") &amp; ":" &amp; ADDRESS(88+3,K$2+1))),"diff", MAX(INDIRECT(ADDRESS(88+3,K$2+1,,,"Instances") &amp; ":" &amp; ADDRESS(88+3,K$2+1)))-MIN(INDIRECT(ADDRESS(88+3,K$2+1,,,"Instances") &amp; ":" &amp; ADDRESS(88+3,K$2+1))))</f>
        <v>0</v>
      </c>
      <c r="L93">
        <f>IFERROR(SMALL(K5:K188,ROW()-ROW($L$5)+1),"")</f>
        <v>0</v>
      </c>
      <c r="N93">
        <f>IFERROR(SUM(L5:L93),"")</f>
        <v>0</v>
      </c>
      <c r="Q93">
        <f>IF(Charts!$B$3="none",E1020,IF(K1020="",NA(),K1020))</f>
        <v>0</v>
      </c>
      <c r="R93">
        <f>IF(Charts!$B$3="none",F1020,IF(L1020="",NA(),L1020))</f>
        <v>0</v>
      </c>
      <c r="S93">
        <f>IF(Charts!$B$3="none",G1020,IF(M1020="",NA(),M1020))</f>
        <v>0</v>
      </c>
      <c r="T93">
        <f>IF(Charts!$B$3="none",H1020,IF(N1020="",NA(),N1020))</f>
        <v>0</v>
      </c>
    </row>
    <row r="94" spans="4:20">
      <c r="D94">
        <v>90</v>
      </c>
      <c r="E94">
        <f>IF(INDIRECT(ADDRESS($D94+2,E$2+1,,,"Instances"))="","",INDIRECT(ADDRESS($D94+2,E$2+1,,,"Instances")))</f>
        <v>0</v>
      </c>
      <c r="F94">
        <f>IFERROR(SMALL(E5:E188,ROW()-ROW($F$5)+1),"")</f>
        <v>0</v>
      </c>
      <c r="H94">
        <f>IFERROR(SUM(F5:F94),"")</f>
        <v>0</v>
      </c>
      <c r="J94">
        <v>90</v>
      </c>
      <c r="K94" cm="1">
        <f t="array" ref="K94">_xlfn.SWITCH(Charts!$B$3,"average", AVERAGE(INDIRECT(ADDRESS(89+3,K$2+1,,,"Instances") &amp; ":" &amp; ADDRESS(89+3,K$2+1))),"median", MEDIAN(INDIRECT(ADDRESS(89+3,K$2+1,,,"Instances") &amp; ":" &amp; ADDRESS(89+3,K$2+1))),"min", MIN(INDIRECT(ADDRESS(89+3,K$2+1,,,"Instances") &amp; ":" &amp; ADDRESS(89+3,K$2+1))),"max", MAX(INDIRECT(ADDRESS(89+3,K$2+1,,,"Instances") &amp; ":" &amp; ADDRESS(89+3,K$2+1))),"diff", MAX(INDIRECT(ADDRESS(89+3,K$2+1,,,"Instances") &amp; ":" &amp; ADDRESS(89+3,K$2+1)))-MIN(INDIRECT(ADDRESS(89+3,K$2+1,,,"Instances") &amp; ":" &amp; ADDRESS(89+3,K$2+1))))</f>
        <v>0</v>
      </c>
      <c r="L94">
        <f>IFERROR(SMALL(K5:K188,ROW()-ROW($L$5)+1),"")</f>
        <v>0</v>
      </c>
      <c r="N94">
        <f>IFERROR(SUM(L5:L94),"")</f>
        <v>0</v>
      </c>
      <c r="Q94">
        <f>IF(Charts!$B$3="none",E1021,IF(K1021="",NA(),K1021))</f>
        <v>0</v>
      </c>
      <c r="R94">
        <f>IF(Charts!$B$3="none",F1021,IF(L1021="",NA(),L1021))</f>
        <v>0</v>
      </c>
      <c r="S94">
        <f>IF(Charts!$B$3="none",G1021,IF(M1021="",NA(),M1021))</f>
        <v>0</v>
      </c>
      <c r="T94">
        <f>IF(Charts!$B$3="none",H1021,IF(N1021="",NA(),N1021))</f>
        <v>0</v>
      </c>
    </row>
    <row r="95" spans="4:20">
      <c r="D95">
        <v>91</v>
      </c>
      <c r="E95">
        <f>IF(INDIRECT(ADDRESS($D95+2,E$2+1,,,"Instances"))="","",INDIRECT(ADDRESS($D95+2,E$2+1,,,"Instances")))</f>
        <v>0</v>
      </c>
      <c r="F95">
        <f>IFERROR(SMALL(E5:E188,ROW()-ROW($F$5)+1),"")</f>
        <v>0</v>
      </c>
      <c r="H95">
        <f>IFERROR(SUM(F5:F95),"")</f>
        <v>0</v>
      </c>
      <c r="J95">
        <v>91</v>
      </c>
      <c r="K95" cm="1">
        <f t="array" ref="K95">_xlfn.SWITCH(Charts!$B$3,"average", AVERAGE(INDIRECT(ADDRESS(90+3,K$2+1,,,"Instances") &amp; ":" &amp; ADDRESS(90+3,K$2+1))),"median", MEDIAN(INDIRECT(ADDRESS(90+3,K$2+1,,,"Instances") &amp; ":" &amp; ADDRESS(90+3,K$2+1))),"min", MIN(INDIRECT(ADDRESS(90+3,K$2+1,,,"Instances") &amp; ":" &amp; ADDRESS(90+3,K$2+1))),"max", MAX(INDIRECT(ADDRESS(90+3,K$2+1,,,"Instances") &amp; ":" &amp; ADDRESS(90+3,K$2+1))),"diff", MAX(INDIRECT(ADDRESS(90+3,K$2+1,,,"Instances") &amp; ":" &amp; ADDRESS(90+3,K$2+1)))-MIN(INDIRECT(ADDRESS(90+3,K$2+1,,,"Instances") &amp; ":" &amp; ADDRESS(90+3,K$2+1))))</f>
        <v>0</v>
      </c>
      <c r="L95">
        <f>IFERROR(SMALL(K5:K188,ROW()-ROW($L$5)+1),"")</f>
        <v>0</v>
      </c>
      <c r="N95">
        <f>IFERROR(SUM(L5:L95),"")</f>
        <v>0</v>
      </c>
      <c r="Q95">
        <f>IF(Charts!$B$3="none",E1022,IF(K1022="",NA(),K1022))</f>
        <v>0</v>
      </c>
      <c r="R95">
        <f>IF(Charts!$B$3="none",F1022,IF(L1022="",NA(),L1022))</f>
        <v>0</v>
      </c>
      <c r="S95">
        <f>IF(Charts!$B$3="none",G1022,IF(M1022="",NA(),M1022))</f>
        <v>0</v>
      </c>
      <c r="T95">
        <f>IF(Charts!$B$3="none",H1022,IF(N1022="",NA(),N1022))</f>
        <v>0</v>
      </c>
    </row>
    <row r="96" spans="4:20">
      <c r="D96">
        <v>92</v>
      </c>
      <c r="E96">
        <f>IF(INDIRECT(ADDRESS($D96+2,E$2+1,,,"Instances"))="","",INDIRECT(ADDRESS($D96+2,E$2+1,,,"Instances")))</f>
        <v>0</v>
      </c>
      <c r="F96">
        <f>IFERROR(SMALL(E5:E188,ROW()-ROW($F$5)+1),"")</f>
        <v>0</v>
      </c>
      <c r="H96">
        <f>IFERROR(SUM(F5:F96),"")</f>
        <v>0</v>
      </c>
      <c r="J96">
        <v>92</v>
      </c>
      <c r="K96" cm="1">
        <f t="array" ref="K96">_xlfn.SWITCH(Charts!$B$3,"average", AVERAGE(INDIRECT(ADDRESS(91+3,K$2+1,,,"Instances") &amp; ":" &amp; ADDRESS(91+3,K$2+1))),"median", MEDIAN(INDIRECT(ADDRESS(91+3,K$2+1,,,"Instances") &amp; ":" &amp; ADDRESS(91+3,K$2+1))),"min", MIN(INDIRECT(ADDRESS(91+3,K$2+1,,,"Instances") &amp; ":" &amp; ADDRESS(91+3,K$2+1))),"max", MAX(INDIRECT(ADDRESS(91+3,K$2+1,,,"Instances") &amp; ":" &amp; ADDRESS(91+3,K$2+1))),"diff", MAX(INDIRECT(ADDRESS(91+3,K$2+1,,,"Instances") &amp; ":" &amp; ADDRESS(91+3,K$2+1)))-MIN(INDIRECT(ADDRESS(91+3,K$2+1,,,"Instances") &amp; ":" &amp; ADDRESS(91+3,K$2+1))))</f>
        <v>0</v>
      </c>
      <c r="L96">
        <f>IFERROR(SMALL(K5:K188,ROW()-ROW($L$5)+1),"")</f>
        <v>0</v>
      </c>
      <c r="N96">
        <f>IFERROR(SUM(L5:L96),"")</f>
        <v>0</v>
      </c>
      <c r="Q96">
        <f>IF(Charts!$B$3="none",E1023,IF(K1023="",NA(),K1023))</f>
        <v>0</v>
      </c>
      <c r="R96">
        <f>IF(Charts!$B$3="none",F1023,IF(L1023="",NA(),L1023))</f>
        <v>0</v>
      </c>
      <c r="S96">
        <f>IF(Charts!$B$3="none",G1023,IF(M1023="",NA(),M1023))</f>
        <v>0</v>
      </c>
      <c r="T96">
        <f>IF(Charts!$B$3="none",H1023,IF(N1023="",NA(),N1023))</f>
        <v>0</v>
      </c>
    </row>
    <row r="97" spans="4:20">
      <c r="D97">
        <v>93</v>
      </c>
      <c r="E97">
        <f>IF(INDIRECT(ADDRESS($D97+2,E$2+1,,,"Instances"))="","",INDIRECT(ADDRESS($D97+2,E$2+1,,,"Instances")))</f>
        <v>0</v>
      </c>
      <c r="F97">
        <f>IFERROR(SMALL(E5:E188,ROW()-ROW($F$5)+1),"")</f>
        <v>0</v>
      </c>
      <c r="H97">
        <f>IFERROR(SUM(F5:F97),"")</f>
        <v>0</v>
      </c>
      <c r="J97">
        <v>93</v>
      </c>
      <c r="K97" cm="1">
        <f t="array" ref="K97">_xlfn.SWITCH(Charts!$B$3,"average", AVERAGE(INDIRECT(ADDRESS(92+3,K$2+1,,,"Instances") &amp; ":" &amp; ADDRESS(92+3,K$2+1))),"median", MEDIAN(INDIRECT(ADDRESS(92+3,K$2+1,,,"Instances") &amp; ":" &amp; ADDRESS(92+3,K$2+1))),"min", MIN(INDIRECT(ADDRESS(92+3,K$2+1,,,"Instances") &amp; ":" &amp; ADDRESS(92+3,K$2+1))),"max", MAX(INDIRECT(ADDRESS(92+3,K$2+1,,,"Instances") &amp; ":" &amp; ADDRESS(92+3,K$2+1))),"diff", MAX(INDIRECT(ADDRESS(92+3,K$2+1,,,"Instances") &amp; ":" &amp; ADDRESS(92+3,K$2+1)))-MIN(INDIRECT(ADDRESS(92+3,K$2+1,,,"Instances") &amp; ":" &amp; ADDRESS(92+3,K$2+1))))</f>
        <v>0</v>
      </c>
      <c r="L97">
        <f>IFERROR(SMALL(K5:K188,ROW()-ROW($L$5)+1),"")</f>
        <v>0</v>
      </c>
      <c r="N97">
        <f>IFERROR(SUM(L5:L97),"")</f>
        <v>0</v>
      </c>
      <c r="Q97">
        <f>IF(Charts!$B$3="none",E1024,IF(K1024="",NA(),K1024))</f>
        <v>0</v>
      </c>
      <c r="R97">
        <f>IF(Charts!$B$3="none",F1024,IF(L1024="",NA(),L1024))</f>
        <v>0</v>
      </c>
      <c r="S97">
        <f>IF(Charts!$B$3="none",G1024,IF(M1024="",NA(),M1024))</f>
        <v>0</v>
      </c>
      <c r="T97">
        <f>IF(Charts!$B$3="none",H1024,IF(N1024="",NA(),N1024))</f>
        <v>0</v>
      </c>
    </row>
    <row r="98" spans="4:20">
      <c r="D98">
        <v>94</v>
      </c>
      <c r="E98">
        <f>IF(INDIRECT(ADDRESS($D98+2,E$2+1,,,"Instances"))="","",INDIRECT(ADDRESS($D98+2,E$2+1,,,"Instances")))</f>
        <v>0</v>
      </c>
      <c r="F98">
        <f>IFERROR(SMALL(E5:E188,ROW()-ROW($F$5)+1),"")</f>
        <v>0</v>
      </c>
      <c r="H98">
        <f>IFERROR(SUM(F5:F98),"")</f>
        <v>0</v>
      </c>
      <c r="J98">
        <v>94</v>
      </c>
      <c r="K98" cm="1">
        <f t="array" ref="K98">_xlfn.SWITCH(Charts!$B$3,"average", AVERAGE(INDIRECT(ADDRESS(93+3,K$2+1,,,"Instances") &amp; ":" &amp; ADDRESS(93+3,K$2+1))),"median", MEDIAN(INDIRECT(ADDRESS(93+3,K$2+1,,,"Instances") &amp; ":" &amp; ADDRESS(93+3,K$2+1))),"min", MIN(INDIRECT(ADDRESS(93+3,K$2+1,,,"Instances") &amp; ":" &amp; ADDRESS(93+3,K$2+1))),"max", MAX(INDIRECT(ADDRESS(93+3,K$2+1,,,"Instances") &amp; ":" &amp; ADDRESS(93+3,K$2+1))),"diff", MAX(INDIRECT(ADDRESS(93+3,K$2+1,,,"Instances") &amp; ":" &amp; ADDRESS(93+3,K$2+1)))-MIN(INDIRECT(ADDRESS(93+3,K$2+1,,,"Instances") &amp; ":" &amp; ADDRESS(93+3,K$2+1))))</f>
        <v>0</v>
      </c>
      <c r="L98">
        <f>IFERROR(SMALL(K5:K188,ROW()-ROW($L$5)+1),"")</f>
        <v>0</v>
      </c>
      <c r="N98">
        <f>IFERROR(SUM(L5:L98),"")</f>
        <v>0</v>
      </c>
      <c r="Q98">
        <f>IF(Charts!$B$3="none",E1025,IF(K1025="",NA(),K1025))</f>
        <v>0</v>
      </c>
      <c r="R98">
        <f>IF(Charts!$B$3="none",F1025,IF(L1025="",NA(),L1025))</f>
        <v>0</v>
      </c>
      <c r="S98">
        <f>IF(Charts!$B$3="none",G1025,IF(M1025="",NA(),M1025))</f>
        <v>0</v>
      </c>
      <c r="T98">
        <f>IF(Charts!$B$3="none",H1025,IF(N1025="",NA(),N1025))</f>
        <v>0</v>
      </c>
    </row>
    <row r="99" spans="4:20">
      <c r="D99">
        <v>95</v>
      </c>
      <c r="E99">
        <f>IF(INDIRECT(ADDRESS($D99+2,E$2+1,,,"Instances"))="","",INDIRECT(ADDRESS($D99+2,E$2+1,,,"Instances")))</f>
        <v>0</v>
      </c>
      <c r="F99">
        <f>IFERROR(SMALL(E5:E188,ROW()-ROW($F$5)+1),"")</f>
        <v>0</v>
      </c>
      <c r="H99">
        <f>IFERROR(SUM(F5:F99),"")</f>
        <v>0</v>
      </c>
      <c r="J99">
        <v>95</v>
      </c>
      <c r="K99" cm="1">
        <f t="array" ref="K99">_xlfn.SWITCH(Charts!$B$3,"average", AVERAGE(INDIRECT(ADDRESS(94+3,K$2+1,,,"Instances") &amp; ":" &amp; ADDRESS(94+3,K$2+1))),"median", MEDIAN(INDIRECT(ADDRESS(94+3,K$2+1,,,"Instances") &amp; ":" &amp; ADDRESS(94+3,K$2+1))),"min", MIN(INDIRECT(ADDRESS(94+3,K$2+1,,,"Instances") &amp; ":" &amp; ADDRESS(94+3,K$2+1))),"max", MAX(INDIRECT(ADDRESS(94+3,K$2+1,,,"Instances") &amp; ":" &amp; ADDRESS(94+3,K$2+1))),"diff", MAX(INDIRECT(ADDRESS(94+3,K$2+1,,,"Instances") &amp; ":" &amp; ADDRESS(94+3,K$2+1)))-MIN(INDIRECT(ADDRESS(94+3,K$2+1,,,"Instances") &amp; ":" &amp; ADDRESS(94+3,K$2+1))))</f>
        <v>0</v>
      </c>
      <c r="L99">
        <f>IFERROR(SMALL(K5:K188,ROW()-ROW($L$5)+1),"")</f>
        <v>0</v>
      </c>
      <c r="N99">
        <f>IFERROR(SUM(L5:L99),"")</f>
        <v>0</v>
      </c>
      <c r="Q99">
        <f>IF(Charts!$B$3="none",E1026,IF(K1026="",NA(),K1026))</f>
        <v>0</v>
      </c>
      <c r="R99">
        <f>IF(Charts!$B$3="none",F1026,IF(L1026="",NA(),L1026))</f>
        <v>0</v>
      </c>
      <c r="S99">
        <f>IF(Charts!$B$3="none",G1026,IF(M1026="",NA(),M1026))</f>
        <v>0</v>
      </c>
      <c r="T99">
        <f>IF(Charts!$B$3="none",H1026,IF(N1026="",NA(),N1026))</f>
        <v>0</v>
      </c>
    </row>
    <row r="100" spans="4:20">
      <c r="D100">
        <v>96</v>
      </c>
      <c r="E100">
        <f>IF(INDIRECT(ADDRESS($D100+2,E$2+1,,,"Instances"))="","",INDIRECT(ADDRESS($D100+2,E$2+1,,,"Instances")))</f>
        <v>0</v>
      </c>
      <c r="F100">
        <f>IFERROR(SMALL(E5:E188,ROW()-ROW($F$5)+1),"")</f>
        <v>0</v>
      </c>
      <c r="H100">
        <f>IFERROR(SUM(F5:F100),"")</f>
        <v>0</v>
      </c>
      <c r="J100">
        <v>96</v>
      </c>
      <c r="K100" cm="1">
        <f t="array" ref="K100">_xlfn.SWITCH(Charts!$B$3,"average", AVERAGE(INDIRECT(ADDRESS(95+3,K$2+1,,,"Instances") &amp; ":" &amp; ADDRESS(95+3,K$2+1))),"median", MEDIAN(INDIRECT(ADDRESS(95+3,K$2+1,,,"Instances") &amp; ":" &amp; ADDRESS(95+3,K$2+1))),"min", MIN(INDIRECT(ADDRESS(95+3,K$2+1,,,"Instances") &amp; ":" &amp; ADDRESS(95+3,K$2+1))),"max", MAX(INDIRECT(ADDRESS(95+3,K$2+1,,,"Instances") &amp; ":" &amp; ADDRESS(95+3,K$2+1))),"diff", MAX(INDIRECT(ADDRESS(95+3,K$2+1,,,"Instances") &amp; ":" &amp; ADDRESS(95+3,K$2+1)))-MIN(INDIRECT(ADDRESS(95+3,K$2+1,,,"Instances") &amp; ":" &amp; ADDRESS(95+3,K$2+1))))</f>
        <v>0</v>
      </c>
      <c r="L100">
        <f>IFERROR(SMALL(K5:K188,ROW()-ROW($L$5)+1),"")</f>
        <v>0</v>
      </c>
      <c r="N100">
        <f>IFERROR(SUM(L5:L100),"")</f>
        <v>0</v>
      </c>
      <c r="Q100">
        <f>IF(Charts!$B$3="none",E1027,IF(K1027="",NA(),K1027))</f>
        <v>0</v>
      </c>
      <c r="R100">
        <f>IF(Charts!$B$3="none",F1027,IF(L1027="",NA(),L1027))</f>
        <v>0</v>
      </c>
      <c r="S100">
        <f>IF(Charts!$B$3="none",G1027,IF(M1027="",NA(),M1027))</f>
        <v>0</v>
      </c>
      <c r="T100">
        <f>IF(Charts!$B$3="none",H1027,IF(N1027="",NA(),N1027))</f>
        <v>0</v>
      </c>
    </row>
    <row r="101" spans="4:20">
      <c r="D101">
        <v>97</v>
      </c>
      <c r="E101">
        <f>IF(INDIRECT(ADDRESS($D101+2,E$2+1,,,"Instances"))="","",INDIRECT(ADDRESS($D101+2,E$2+1,,,"Instances")))</f>
        <v>0</v>
      </c>
      <c r="F101">
        <f>IFERROR(SMALL(E5:E188,ROW()-ROW($F$5)+1),"")</f>
        <v>0</v>
      </c>
      <c r="H101">
        <f>IFERROR(SUM(F5:F101),"")</f>
        <v>0</v>
      </c>
      <c r="J101">
        <v>97</v>
      </c>
      <c r="K101" cm="1">
        <f t="array" ref="K101">_xlfn.SWITCH(Charts!$B$3,"average", AVERAGE(INDIRECT(ADDRESS(96+3,K$2+1,,,"Instances") &amp; ":" &amp; ADDRESS(96+3,K$2+1))),"median", MEDIAN(INDIRECT(ADDRESS(96+3,K$2+1,,,"Instances") &amp; ":" &amp; ADDRESS(96+3,K$2+1))),"min", MIN(INDIRECT(ADDRESS(96+3,K$2+1,,,"Instances") &amp; ":" &amp; ADDRESS(96+3,K$2+1))),"max", MAX(INDIRECT(ADDRESS(96+3,K$2+1,,,"Instances") &amp; ":" &amp; ADDRESS(96+3,K$2+1))),"diff", MAX(INDIRECT(ADDRESS(96+3,K$2+1,,,"Instances") &amp; ":" &amp; ADDRESS(96+3,K$2+1)))-MIN(INDIRECT(ADDRESS(96+3,K$2+1,,,"Instances") &amp; ":" &amp; ADDRESS(96+3,K$2+1))))</f>
        <v>0</v>
      </c>
      <c r="L101">
        <f>IFERROR(SMALL(K5:K188,ROW()-ROW($L$5)+1),"")</f>
        <v>0</v>
      </c>
      <c r="N101">
        <f>IFERROR(SUM(L5:L101),"")</f>
        <v>0</v>
      </c>
      <c r="Q101">
        <f>IF(Charts!$B$3="none",E1028,IF(K1028="",NA(),K1028))</f>
        <v>0</v>
      </c>
      <c r="R101">
        <f>IF(Charts!$B$3="none",F1028,IF(L1028="",NA(),L1028))</f>
        <v>0</v>
      </c>
      <c r="S101">
        <f>IF(Charts!$B$3="none",G1028,IF(M1028="",NA(),M1028))</f>
        <v>0</v>
      </c>
      <c r="T101">
        <f>IF(Charts!$B$3="none",H1028,IF(N1028="",NA(),N1028))</f>
        <v>0</v>
      </c>
    </row>
    <row r="102" spans="4:20">
      <c r="D102">
        <v>98</v>
      </c>
      <c r="E102">
        <f>IF(INDIRECT(ADDRESS($D102+2,E$2+1,,,"Instances"))="","",INDIRECT(ADDRESS($D102+2,E$2+1,,,"Instances")))</f>
        <v>0</v>
      </c>
      <c r="F102">
        <f>IFERROR(SMALL(E5:E188,ROW()-ROW($F$5)+1),"")</f>
        <v>0</v>
      </c>
      <c r="H102">
        <f>IFERROR(SUM(F5:F102),"")</f>
        <v>0</v>
      </c>
      <c r="J102">
        <v>98</v>
      </c>
      <c r="K102" cm="1">
        <f t="array" ref="K102">_xlfn.SWITCH(Charts!$B$3,"average", AVERAGE(INDIRECT(ADDRESS(97+3,K$2+1,,,"Instances") &amp; ":" &amp; ADDRESS(97+3,K$2+1))),"median", MEDIAN(INDIRECT(ADDRESS(97+3,K$2+1,,,"Instances") &amp; ":" &amp; ADDRESS(97+3,K$2+1))),"min", MIN(INDIRECT(ADDRESS(97+3,K$2+1,,,"Instances") &amp; ":" &amp; ADDRESS(97+3,K$2+1))),"max", MAX(INDIRECT(ADDRESS(97+3,K$2+1,,,"Instances") &amp; ":" &amp; ADDRESS(97+3,K$2+1))),"diff", MAX(INDIRECT(ADDRESS(97+3,K$2+1,,,"Instances") &amp; ":" &amp; ADDRESS(97+3,K$2+1)))-MIN(INDIRECT(ADDRESS(97+3,K$2+1,,,"Instances") &amp; ":" &amp; ADDRESS(97+3,K$2+1))))</f>
        <v>0</v>
      </c>
      <c r="L102">
        <f>IFERROR(SMALL(K5:K188,ROW()-ROW($L$5)+1),"")</f>
        <v>0</v>
      </c>
      <c r="N102">
        <f>IFERROR(SUM(L5:L102),"")</f>
        <v>0</v>
      </c>
      <c r="Q102">
        <f>IF(Charts!$B$3="none",E1029,IF(K1029="",NA(),K1029))</f>
        <v>0</v>
      </c>
      <c r="R102">
        <f>IF(Charts!$B$3="none",F1029,IF(L1029="",NA(),L1029))</f>
        <v>0</v>
      </c>
      <c r="S102">
        <f>IF(Charts!$B$3="none",G1029,IF(M1029="",NA(),M1029))</f>
        <v>0</v>
      </c>
      <c r="T102">
        <f>IF(Charts!$B$3="none",H1029,IF(N1029="",NA(),N1029))</f>
        <v>0</v>
      </c>
    </row>
    <row r="103" spans="4:20">
      <c r="D103">
        <v>99</v>
      </c>
      <c r="E103">
        <f>IF(INDIRECT(ADDRESS($D103+2,E$2+1,,,"Instances"))="","",INDIRECT(ADDRESS($D103+2,E$2+1,,,"Instances")))</f>
        <v>0</v>
      </c>
      <c r="F103">
        <f>IFERROR(SMALL(E5:E188,ROW()-ROW($F$5)+1),"")</f>
        <v>0</v>
      </c>
      <c r="H103">
        <f>IFERROR(SUM(F5:F103),"")</f>
        <v>0</v>
      </c>
      <c r="J103">
        <v>99</v>
      </c>
      <c r="K103" cm="1">
        <f t="array" ref="K103">_xlfn.SWITCH(Charts!$B$3,"average", AVERAGE(INDIRECT(ADDRESS(98+3,K$2+1,,,"Instances") &amp; ":" &amp; ADDRESS(98+3,K$2+1))),"median", MEDIAN(INDIRECT(ADDRESS(98+3,K$2+1,,,"Instances") &amp; ":" &amp; ADDRESS(98+3,K$2+1))),"min", MIN(INDIRECT(ADDRESS(98+3,K$2+1,,,"Instances") &amp; ":" &amp; ADDRESS(98+3,K$2+1))),"max", MAX(INDIRECT(ADDRESS(98+3,K$2+1,,,"Instances") &amp; ":" &amp; ADDRESS(98+3,K$2+1))),"diff", MAX(INDIRECT(ADDRESS(98+3,K$2+1,,,"Instances") &amp; ":" &amp; ADDRESS(98+3,K$2+1)))-MIN(INDIRECT(ADDRESS(98+3,K$2+1,,,"Instances") &amp; ":" &amp; ADDRESS(98+3,K$2+1))))</f>
        <v>0</v>
      </c>
      <c r="L103">
        <f>IFERROR(SMALL(K5:K188,ROW()-ROW($L$5)+1),"")</f>
        <v>0</v>
      </c>
      <c r="N103">
        <f>IFERROR(SUM(L5:L103),"")</f>
        <v>0</v>
      </c>
      <c r="Q103">
        <f>IF(Charts!$B$3="none",E1030,IF(K1030="",NA(),K1030))</f>
        <v>0</v>
      </c>
      <c r="R103">
        <f>IF(Charts!$B$3="none",F1030,IF(L1030="",NA(),L1030))</f>
        <v>0</v>
      </c>
      <c r="S103">
        <f>IF(Charts!$B$3="none",G1030,IF(M1030="",NA(),M1030))</f>
        <v>0</v>
      </c>
      <c r="T103">
        <f>IF(Charts!$B$3="none",H1030,IF(N1030="",NA(),N1030))</f>
        <v>0</v>
      </c>
    </row>
    <row r="104" spans="4:20">
      <c r="D104">
        <v>100</v>
      </c>
      <c r="E104">
        <f>IF(INDIRECT(ADDRESS($D104+2,E$2+1,,,"Instances"))="","",INDIRECT(ADDRESS($D104+2,E$2+1,,,"Instances")))</f>
        <v>0</v>
      </c>
      <c r="F104">
        <f>IFERROR(SMALL(E5:E188,ROW()-ROW($F$5)+1),"")</f>
        <v>0</v>
      </c>
      <c r="H104">
        <f>IFERROR(SUM(F5:F104),"")</f>
        <v>0</v>
      </c>
      <c r="J104">
        <v>100</v>
      </c>
      <c r="K104" cm="1">
        <f t="array" ref="K104">_xlfn.SWITCH(Charts!$B$3,"average", AVERAGE(INDIRECT(ADDRESS(99+3,K$2+1,,,"Instances") &amp; ":" &amp; ADDRESS(99+3,K$2+1))),"median", MEDIAN(INDIRECT(ADDRESS(99+3,K$2+1,,,"Instances") &amp; ":" &amp; ADDRESS(99+3,K$2+1))),"min", MIN(INDIRECT(ADDRESS(99+3,K$2+1,,,"Instances") &amp; ":" &amp; ADDRESS(99+3,K$2+1))),"max", MAX(INDIRECT(ADDRESS(99+3,K$2+1,,,"Instances") &amp; ":" &amp; ADDRESS(99+3,K$2+1))),"diff", MAX(INDIRECT(ADDRESS(99+3,K$2+1,,,"Instances") &amp; ":" &amp; ADDRESS(99+3,K$2+1)))-MIN(INDIRECT(ADDRESS(99+3,K$2+1,,,"Instances") &amp; ":" &amp; ADDRESS(99+3,K$2+1))))</f>
        <v>0</v>
      </c>
      <c r="L104">
        <f>IFERROR(SMALL(K5:K188,ROW()-ROW($L$5)+1),"")</f>
        <v>0</v>
      </c>
      <c r="N104">
        <f>IFERROR(SUM(L5:L104),"")</f>
        <v>0</v>
      </c>
      <c r="Q104">
        <f>IF(Charts!$B$3="none",E1031,IF(K1031="",NA(),K1031))</f>
        <v>0</v>
      </c>
      <c r="R104">
        <f>IF(Charts!$B$3="none",F1031,IF(L1031="",NA(),L1031))</f>
        <v>0</v>
      </c>
      <c r="S104">
        <f>IF(Charts!$B$3="none",G1031,IF(M1031="",NA(),M1031))</f>
        <v>0</v>
      </c>
      <c r="T104">
        <f>IF(Charts!$B$3="none",H1031,IF(N1031="",NA(),N1031))</f>
        <v>0</v>
      </c>
    </row>
    <row r="105" spans="4:20">
      <c r="D105">
        <v>101</v>
      </c>
      <c r="E105">
        <f>IF(INDIRECT(ADDRESS($D105+2,E$2+1,,,"Instances"))="","",INDIRECT(ADDRESS($D105+2,E$2+1,,,"Instances")))</f>
        <v>0</v>
      </c>
      <c r="F105">
        <f>IFERROR(SMALL(E5:E188,ROW()-ROW($F$5)+1),"")</f>
        <v>0</v>
      </c>
      <c r="H105">
        <f>IFERROR(SUM(F5:F105),"")</f>
        <v>0</v>
      </c>
      <c r="J105">
        <v>101</v>
      </c>
      <c r="K105" cm="1">
        <f t="array" ref="K105">_xlfn.SWITCH(Charts!$B$3,"average", AVERAGE(INDIRECT(ADDRESS(100+3,K$2+1,,,"Instances") &amp; ":" &amp; ADDRESS(100+3,K$2+1))),"median", MEDIAN(INDIRECT(ADDRESS(100+3,K$2+1,,,"Instances") &amp; ":" &amp; ADDRESS(100+3,K$2+1))),"min", MIN(INDIRECT(ADDRESS(100+3,K$2+1,,,"Instances") &amp; ":" &amp; ADDRESS(100+3,K$2+1))),"max", MAX(INDIRECT(ADDRESS(100+3,K$2+1,,,"Instances") &amp; ":" &amp; ADDRESS(100+3,K$2+1))),"diff", MAX(INDIRECT(ADDRESS(100+3,K$2+1,,,"Instances") &amp; ":" &amp; ADDRESS(100+3,K$2+1)))-MIN(INDIRECT(ADDRESS(100+3,K$2+1,,,"Instances") &amp; ":" &amp; ADDRESS(100+3,K$2+1))))</f>
        <v>0</v>
      </c>
      <c r="L105">
        <f>IFERROR(SMALL(K5:K188,ROW()-ROW($L$5)+1),"")</f>
        <v>0</v>
      </c>
      <c r="N105">
        <f>IFERROR(SUM(L5:L105),"")</f>
        <v>0</v>
      </c>
      <c r="Q105">
        <f>IF(Charts!$B$3="none",E1032,IF(K1032="",NA(),K1032))</f>
        <v>0</v>
      </c>
      <c r="R105">
        <f>IF(Charts!$B$3="none",F1032,IF(L1032="",NA(),L1032))</f>
        <v>0</v>
      </c>
      <c r="S105">
        <f>IF(Charts!$B$3="none",G1032,IF(M1032="",NA(),M1032))</f>
        <v>0</v>
      </c>
      <c r="T105">
        <f>IF(Charts!$B$3="none",H1032,IF(N1032="",NA(),N1032))</f>
        <v>0</v>
      </c>
    </row>
    <row r="106" spans="4:20">
      <c r="D106">
        <v>102</v>
      </c>
      <c r="E106">
        <f>IF(INDIRECT(ADDRESS($D106+2,E$2+1,,,"Instances"))="","",INDIRECT(ADDRESS($D106+2,E$2+1,,,"Instances")))</f>
        <v>0</v>
      </c>
      <c r="F106">
        <f>IFERROR(SMALL(E5:E188,ROW()-ROW($F$5)+1),"")</f>
        <v>0</v>
      </c>
      <c r="H106">
        <f>IFERROR(SUM(F5:F106),"")</f>
        <v>0</v>
      </c>
      <c r="J106">
        <v>102</v>
      </c>
      <c r="K106" cm="1">
        <f t="array" ref="K106">_xlfn.SWITCH(Charts!$B$3,"average", AVERAGE(INDIRECT(ADDRESS(101+3,K$2+1,,,"Instances") &amp; ":" &amp; ADDRESS(101+3,K$2+1))),"median", MEDIAN(INDIRECT(ADDRESS(101+3,K$2+1,,,"Instances") &amp; ":" &amp; ADDRESS(101+3,K$2+1))),"min", MIN(INDIRECT(ADDRESS(101+3,K$2+1,,,"Instances") &amp; ":" &amp; ADDRESS(101+3,K$2+1))),"max", MAX(INDIRECT(ADDRESS(101+3,K$2+1,,,"Instances") &amp; ":" &amp; ADDRESS(101+3,K$2+1))),"diff", MAX(INDIRECT(ADDRESS(101+3,K$2+1,,,"Instances") &amp; ":" &amp; ADDRESS(101+3,K$2+1)))-MIN(INDIRECT(ADDRESS(101+3,K$2+1,,,"Instances") &amp; ":" &amp; ADDRESS(101+3,K$2+1))))</f>
        <v>0</v>
      </c>
      <c r="L106">
        <f>IFERROR(SMALL(K5:K188,ROW()-ROW($L$5)+1),"")</f>
        <v>0</v>
      </c>
      <c r="N106">
        <f>IFERROR(SUM(L5:L106),"")</f>
        <v>0</v>
      </c>
      <c r="Q106">
        <f>IF(Charts!$B$3="none",E1033,IF(K1033="",NA(),K1033))</f>
        <v>0</v>
      </c>
      <c r="R106">
        <f>IF(Charts!$B$3="none",F1033,IF(L1033="",NA(),L1033))</f>
        <v>0</v>
      </c>
      <c r="S106">
        <f>IF(Charts!$B$3="none",G1033,IF(M1033="",NA(),M1033))</f>
        <v>0</v>
      </c>
      <c r="T106">
        <f>IF(Charts!$B$3="none",H1033,IF(N1033="",NA(),N1033))</f>
        <v>0</v>
      </c>
    </row>
    <row r="107" spans="4:20">
      <c r="D107">
        <v>103</v>
      </c>
      <c r="E107">
        <f>IF(INDIRECT(ADDRESS($D107+2,E$2+1,,,"Instances"))="","",INDIRECT(ADDRESS($D107+2,E$2+1,,,"Instances")))</f>
        <v>0</v>
      </c>
      <c r="F107">
        <f>IFERROR(SMALL(E5:E188,ROW()-ROW($F$5)+1),"")</f>
        <v>0</v>
      </c>
      <c r="H107">
        <f>IFERROR(SUM(F5:F107),"")</f>
        <v>0</v>
      </c>
      <c r="J107">
        <v>103</v>
      </c>
      <c r="K107" cm="1">
        <f t="array" ref="K107">_xlfn.SWITCH(Charts!$B$3,"average", AVERAGE(INDIRECT(ADDRESS(102+3,K$2+1,,,"Instances") &amp; ":" &amp; ADDRESS(102+3,K$2+1))),"median", MEDIAN(INDIRECT(ADDRESS(102+3,K$2+1,,,"Instances") &amp; ":" &amp; ADDRESS(102+3,K$2+1))),"min", MIN(INDIRECT(ADDRESS(102+3,K$2+1,,,"Instances") &amp; ":" &amp; ADDRESS(102+3,K$2+1))),"max", MAX(INDIRECT(ADDRESS(102+3,K$2+1,,,"Instances") &amp; ":" &amp; ADDRESS(102+3,K$2+1))),"diff", MAX(INDIRECT(ADDRESS(102+3,K$2+1,,,"Instances") &amp; ":" &amp; ADDRESS(102+3,K$2+1)))-MIN(INDIRECT(ADDRESS(102+3,K$2+1,,,"Instances") &amp; ":" &amp; ADDRESS(102+3,K$2+1))))</f>
        <v>0</v>
      </c>
      <c r="L107">
        <f>IFERROR(SMALL(K5:K188,ROW()-ROW($L$5)+1),"")</f>
        <v>0</v>
      </c>
      <c r="N107">
        <f>IFERROR(SUM(L5:L107),"")</f>
        <v>0</v>
      </c>
      <c r="Q107">
        <f>IF(Charts!$B$3="none",E1034,IF(K1034="",NA(),K1034))</f>
        <v>0</v>
      </c>
      <c r="R107">
        <f>IF(Charts!$B$3="none",F1034,IF(L1034="",NA(),L1034))</f>
        <v>0</v>
      </c>
      <c r="S107">
        <f>IF(Charts!$B$3="none",G1034,IF(M1034="",NA(),M1034))</f>
        <v>0</v>
      </c>
      <c r="T107">
        <f>IF(Charts!$B$3="none",H1034,IF(N1034="",NA(),N1034))</f>
        <v>0</v>
      </c>
    </row>
    <row r="108" spans="4:20">
      <c r="D108">
        <v>104</v>
      </c>
      <c r="E108">
        <f>IF(INDIRECT(ADDRESS($D108+2,E$2+1,,,"Instances"))="","",INDIRECT(ADDRESS($D108+2,E$2+1,,,"Instances")))</f>
        <v>0</v>
      </c>
      <c r="F108">
        <f>IFERROR(SMALL(E5:E188,ROW()-ROW($F$5)+1),"")</f>
        <v>0</v>
      </c>
      <c r="H108">
        <f>IFERROR(SUM(F5:F108),"")</f>
        <v>0</v>
      </c>
      <c r="J108">
        <v>104</v>
      </c>
      <c r="K108" cm="1">
        <f t="array" ref="K108">_xlfn.SWITCH(Charts!$B$3,"average", AVERAGE(INDIRECT(ADDRESS(103+3,K$2+1,,,"Instances") &amp; ":" &amp; ADDRESS(103+3,K$2+1))),"median", MEDIAN(INDIRECT(ADDRESS(103+3,K$2+1,,,"Instances") &amp; ":" &amp; ADDRESS(103+3,K$2+1))),"min", MIN(INDIRECT(ADDRESS(103+3,K$2+1,,,"Instances") &amp; ":" &amp; ADDRESS(103+3,K$2+1))),"max", MAX(INDIRECT(ADDRESS(103+3,K$2+1,,,"Instances") &amp; ":" &amp; ADDRESS(103+3,K$2+1))),"diff", MAX(INDIRECT(ADDRESS(103+3,K$2+1,,,"Instances") &amp; ":" &amp; ADDRESS(103+3,K$2+1)))-MIN(INDIRECT(ADDRESS(103+3,K$2+1,,,"Instances") &amp; ":" &amp; ADDRESS(103+3,K$2+1))))</f>
        <v>0</v>
      </c>
      <c r="L108">
        <f>IFERROR(SMALL(K5:K188,ROW()-ROW($L$5)+1),"")</f>
        <v>0</v>
      </c>
      <c r="N108">
        <f>IFERROR(SUM(L5:L108),"")</f>
        <v>0</v>
      </c>
      <c r="Q108">
        <f>IF(Charts!$B$3="none",E1035,IF(K1035="",NA(),K1035))</f>
        <v>0</v>
      </c>
      <c r="R108">
        <f>IF(Charts!$B$3="none",F1035,IF(L1035="",NA(),L1035))</f>
        <v>0</v>
      </c>
      <c r="S108">
        <f>IF(Charts!$B$3="none",G1035,IF(M1035="",NA(),M1035))</f>
        <v>0</v>
      </c>
      <c r="T108">
        <f>IF(Charts!$B$3="none",H1035,IF(N1035="",NA(),N1035))</f>
        <v>0</v>
      </c>
    </row>
    <row r="109" spans="4:20">
      <c r="D109">
        <v>105</v>
      </c>
      <c r="E109">
        <f>IF(INDIRECT(ADDRESS($D109+2,E$2+1,,,"Instances"))="","",INDIRECT(ADDRESS($D109+2,E$2+1,,,"Instances")))</f>
        <v>0</v>
      </c>
      <c r="F109">
        <f>IFERROR(SMALL(E5:E188,ROW()-ROW($F$5)+1),"")</f>
        <v>0</v>
      </c>
      <c r="H109">
        <f>IFERROR(SUM(F5:F109),"")</f>
        <v>0</v>
      </c>
      <c r="J109">
        <v>105</v>
      </c>
      <c r="K109" cm="1">
        <f t="array" ref="K109">_xlfn.SWITCH(Charts!$B$3,"average", AVERAGE(INDIRECT(ADDRESS(104+3,K$2+1,,,"Instances") &amp; ":" &amp; ADDRESS(104+3,K$2+1))),"median", MEDIAN(INDIRECT(ADDRESS(104+3,K$2+1,,,"Instances") &amp; ":" &amp; ADDRESS(104+3,K$2+1))),"min", MIN(INDIRECT(ADDRESS(104+3,K$2+1,,,"Instances") &amp; ":" &amp; ADDRESS(104+3,K$2+1))),"max", MAX(INDIRECT(ADDRESS(104+3,K$2+1,,,"Instances") &amp; ":" &amp; ADDRESS(104+3,K$2+1))),"diff", MAX(INDIRECT(ADDRESS(104+3,K$2+1,,,"Instances") &amp; ":" &amp; ADDRESS(104+3,K$2+1)))-MIN(INDIRECT(ADDRESS(104+3,K$2+1,,,"Instances") &amp; ":" &amp; ADDRESS(104+3,K$2+1))))</f>
        <v>0</v>
      </c>
      <c r="L109">
        <f>IFERROR(SMALL(K5:K188,ROW()-ROW($L$5)+1),"")</f>
        <v>0</v>
      </c>
      <c r="N109">
        <f>IFERROR(SUM(L5:L109),"")</f>
        <v>0</v>
      </c>
      <c r="Q109">
        <f>IF(Charts!$B$3="none",E1036,IF(K1036="",NA(),K1036))</f>
        <v>0</v>
      </c>
      <c r="R109">
        <f>IF(Charts!$B$3="none",F1036,IF(L1036="",NA(),L1036))</f>
        <v>0</v>
      </c>
      <c r="S109">
        <f>IF(Charts!$B$3="none",G1036,IF(M1036="",NA(),M1036))</f>
        <v>0</v>
      </c>
      <c r="T109">
        <f>IF(Charts!$B$3="none",H1036,IF(N1036="",NA(),N1036))</f>
        <v>0</v>
      </c>
    </row>
    <row r="110" spans="4:20">
      <c r="D110">
        <v>106</v>
      </c>
      <c r="E110">
        <f>IF(INDIRECT(ADDRESS($D110+2,E$2+1,,,"Instances"))="","",INDIRECT(ADDRESS($D110+2,E$2+1,,,"Instances")))</f>
        <v>0</v>
      </c>
      <c r="F110">
        <f>IFERROR(SMALL(E5:E188,ROW()-ROW($F$5)+1),"")</f>
        <v>0</v>
      </c>
      <c r="H110">
        <f>IFERROR(SUM(F5:F110),"")</f>
        <v>0</v>
      </c>
      <c r="J110">
        <v>106</v>
      </c>
      <c r="K110" cm="1">
        <f t="array" ref="K110">_xlfn.SWITCH(Charts!$B$3,"average", AVERAGE(INDIRECT(ADDRESS(105+3,K$2+1,,,"Instances") &amp; ":" &amp; ADDRESS(105+3,K$2+1))),"median", MEDIAN(INDIRECT(ADDRESS(105+3,K$2+1,,,"Instances") &amp; ":" &amp; ADDRESS(105+3,K$2+1))),"min", MIN(INDIRECT(ADDRESS(105+3,K$2+1,,,"Instances") &amp; ":" &amp; ADDRESS(105+3,K$2+1))),"max", MAX(INDIRECT(ADDRESS(105+3,K$2+1,,,"Instances") &amp; ":" &amp; ADDRESS(105+3,K$2+1))),"diff", MAX(INDIRECT(ADDRESS(105+3,K$2+1,,,"Instances") &amp; ":" &amp; ADDRESS(105+3,K$2+1)))-MIN(INDIRECT(ADDRESS(105+3,K$2+1,,,"Instances") &amp; ":" &amp; ADDRESS(105+3,K$2+1))))</f>
        <v>0</v>
      </c>
      <c r="L110">
        <f>IFERROR(SMALL(K5:K188,ROW()-ROW($L$5)+1),"")</f>
        <v>0</v>
      </c>
      <c r="N110">
        <f>IFERROR(SUM(L5:L110),"")</f>
        <v>0</v>
      </c>
      <c r="Q110">
        <f>IF(Charts!$B$3="none",E1037,IF(K1037="",NA(),K1037))</f>
        <v>0</v>
      </c>
      <c r="R110">
        <f>IF(Charts!$B$3="none",F1037,IF(L1037="",NA(),L1037))</f>
        <v>0</v>
      </c>
      <c r="S110">
        <f>IF(Charts!$B$3="none",G1037,IF(M1037="",NA(),M1037))</f>
        <v>0</v>
      </c>
      <c r="T110">
        <f>IF(Charts!$B$3="none",H1037,IF(N1037="",NA(),N1037))</f>
        <v>0</v>
      </c>
    </row>
    <row r="111" spans="4:20">
      <c r="D111">
        <v>107</v>
      </c>
      <c r="E111">
        <f>IF(INDIRECT(ADDRESS($D111+2,E$2+1,,,"Instances"))="","",INDIRECT(ADDRESS($D111+2,E$2+1,,,"Instances")))</f>
        <v>0</v>
      </c>
      <c r="F111">
        <f>IFERROR(SMALL(E5:E188,ROW()-ROW($F$5)+1),"")</f>
        <v>0</v>
      </c>
      <c r="H111">
        <f>IFERROR(SUM(F5:F111),"")</f>
        <v>0</v>
      </c>
      <c r="J111">
        <v>107</v>
      </c>
      <c r="K111" cm="1">
        <f t="array" ref="K111">_xlfn.SWITCH(Charts!$B$3,"average", AVERAGE(INDIRECT(ADDRESS(106+3,K$2+1,,,"Instances") &amp; ":" &amp; ADDRESS(106+3,K$2+1))),"median", MEDIAN(INDIRECT(ADDRESS(106+3,K$2+1,,,"Instances") &amp; ":" &amp; ADDRESS(106+3,K$2+1))),"min", MIN(INDIRECT(ADDRESS(106+3,K$2+1,,,"Instances") &amp; ":" &amp; ADDRESS(106+3,K$2+1))),"max", MAX(INDIRECT(ADDRESS(106+3,K$2+1,,,"Instances") &amp; ":" &amp; ADDRESS(106+3,K$2+1))),"diff", MAX(INDIRECT(ADDRESS(106+3,K$2+1,,,"Instances") &amp; ":" &amp; ADDRESS(106+3,K$2+1)))-MIN(INDIRECT(ADDRESS(106+3,K$2+1,,,"Instances") &amp; ":" &amp; ADDRESS(106+3,K$2+1))))</f>
        <v>0</v>
      </c>
      <c r="L111">
        <f>IFERROR(SMALL(K5:K188,ROW()-ROW($L$5)+1),"")</f>
        <v>0</v>
      </c>
      <c r="N111">
        <f>IFERROR(SUM(L5:L111),"")</f>
        <v>0</v>
      </c>
      <c r="Q111">
        <f>IF(Charts!$B$3="none",E1038,IF(K1038="",NA(),K1038))</f>
        <v>0</v>
      </c>
      <c r="R111">
        <f>IF(Charts!$B$3="none",F1038,IF(L1038="",NA(),L1038))</f>
        <v>0</v>
      </c>
      <c r="S111">
        <f>IF(Charts!$B$3="none",G1038,IF(M1038="",NA(),M1038))</f>
        <v>0</v>
      </c>
      <c r="T111">
        <f>IF(Charts!$B$3="none",H1038,IF(N1038="",NA(),N1038))</f>
        <v>0</v>
      </c>
    </row>
    <row r="112" spans="4:20">
      <c r="D112">
        <v>108</v>
      </c>
      <c r="E112">
        <f>IF(INDIRECT(ADDRESS($D112+2,E$2+1,,,"Instances"))="","",INDIRECT(ADDRESS($D112+2,E$2+1,,,"Instances")))</f>
        <v>0</v>
      </c>
      <c r="F112">
        <f>IFERROR(SMALL(E5:E188,ROW()-ROW($F$5)+1),"")</f>
        <v>0</v>
      </c>
      <c r="H112">
        <f>IFERROR(SUM(F5:F112),"")</f>
        <v>0</v>
      </c>
      <c r="J112">
        <v>108</v>
      </c>
      <c r="K112" cm="1">
        <f t="array" ref="K112">_xlfn.SWITCH(Charts!$B$3,"average", AVERAGE(INDIRECT(ADDRESS(107+3,K$2+1,,,"Instances") &amp; ":" &amp; ADDRESS(107+3,K$2+1))),"median", MEDIAN(INDIRECT(ADDRESS(107+3,K$2+1,,,"Instances") &amp; ":" &amp; ADDRESS(107+3,K$2+1))),"min", MIN(INDIRECT(ADDRESS(107+3,K$2+1,,,"Instances") &amp; ":" &amp; ADDRESS(107+3,K$2+1))),"max", MAX(INDIRECT(ADDRESS(107+3,K$2+1,,,"Instances") &amp; ":" &amp; ADDRESS(107+3,K$2+1))),"diff", MAX(INDIRECT(ADDRESS(107+3,K$2+1,,,"Instances") &amp; ":" &amp; ADDRESS(107+3,K$2+1)))-MIN(INDIRECT(ADDRESS(107+3,K$2+1,,,"Instances") &amp; ":" &amp; ADDRESS(107+3,K$2+1))))</f>
        <v>0</v>
      </c>
      <c r="L112">
        <f>IFERROR(SMALL(K5:K188,ROW()-ROW($L$5)+1),"")</f>
        <v>0</v>
      </c>
      <c r="N112">
        <f>IFERROR(SUM(L5:L112),"")</f>
        <v>0</v>
      </c>
      <c r="Q112">
        <f>IF(Charts!$B$3="none",E1039,IF(K1039="",NA(),K1039))</f>
        <v>0</v>
      </c>
      <c r="R112">
        <f>IF(Charts!$B$3="none",F1039,IF(L1039="",NA(),L1039))</f>
        <v>0</v>
      </c>
      <c r="S112">
        <f>IF(Charts!$B$3="none",G1039,IF(M1039="",NA(),M1039))</f>
        <v>0</v>
      </c>
      <c r="T112">
        <f>IF(Charts!$B$3="none",H1039,IF(N1039="",NA(),N1039))</f>
        <v>0</v>
      </c>
    </row>
    <row r="113" spans="4:20">
      <c r="D113">
        <v>109</v>
      </c>
      <c r="E113">
        <f>IF(INDIRECT(ADDRESS($D113+2,E$2+1,,,"Instances"))="","",INDIRECT(ADDRESS($D113+2,E$2+1,,,"Instances")))</f>
        <v>0</v>
      </c>
      <c r="F113">
        <f>IFERROR(SMALL(E5:E188,ROW()-ROW($F$5)+1),"")</f>
        <v>0</v>
      </c>
      <c r="H113">
        <f>IFERROR(SUM(F5:F113),"")</f>
        <v>0</v>
      </c>
      <c r="J113">
        <v>109</v>
      </c>
      <c r="K113" cm="1">
        <f t="array" ref="K113">_xlfn.SWITCH(Charts!$B$3,"average", AVERAGE(INDIRECT(ADDRESS(108+3,K$2+1,,,"Instances") &amp; ":" &amp; ADDRESS(108+3,K$2+1))),"median", MEDIAN(INDIRECT(ADDRESS(108+3,K$2+1,,,"Instances") &amp; ":" &amp; ADDRESS(108+3,K$2+1))),"min", MIN(INDIRECT(ADDRESS(108+3,K$2+1,,,"Instances") &amp; ":" &amp; ADDRESS(108+3,K$2+1))),"max", MAX(INDIRECT(ADDRESS(108+3,K$2+1,,,"Instances") &amp; ":" &amp; ADDRESS(108+3,K$2+1))),"diff", MAX(INDIRECT(ADDRESS(108+3,K$2+1,,,"Instances") &amp; ":" &amp; ADDRESS(108+3,K$2+1)))-MIN(INDIRECT(ADDRESS(108+3,K$2+1,,,"Instances") &amp; ":" &amp; ADDRESS(108+3,K$2+1))))</f>
        <v>0</v>
      </c>
      <c r="L113">
        <f>IFERROR(SMALL(K5:K188,ROW()-ROW($L$5)+1),"")</f>
        <v>0</v>
      </c>
      <c r="N113">
        <f>IFERROR(SUM(L5:L113),"")</f>
        <v>0</v>
      </c>
      <c r="Q113">
        <f>IF(Charts!$B$3="none",E1040,IF(K1040="",NA(),K1040))</f>
        <v>0</v>
      </c>
      <c r="R113">
        <f>IF(Charts!$B$3="none",F1040,IF(L1040="",NA(),L1040))</f>
        <v>0</v>
      </c>
      <c r="S113">
        <f>IF(Charts!$B$3="none",G1040,IF(M1040="",NA(),M1040))</f>
        <v>0</v>
      </c>
      <c r="T113">
        <f>IF(Charts!$B$3="none",H1040,IF(N1040="",NA(),N1040))</f>
        <v>0</v>
      </c>
    </row>
    <row r="114" spans="4:20">
      <c r="D114">
        <v>110</v>
      </c>
      <c r="E114">
        <f>IF(INDIRECT(ADDRESS($D114+2,E$2+1,,,"Instances"))="","",INDIRECT(ADDRESS($D114+2,E$2+1,,,"Instances")))</f>
        <v>0</v>
      </c>
      <c r="F114">
        <f>IFERROR(SMALL(E5:E188,ROW()-ROW($F$5)+1),"")</f>
        <v>0</v>
      </c>
      <c r="H114">
        <f>IFERROR(SUM(F5:F114),"")</f>
        <v>0</v>
      </c>
      <c r="J114">
        <v>110</v>
      </c>
      <c r="K114" cm="1">
        <f t="array" ref="K114">_xlfn.SWITCH(Charts!$B$3,"average", AVERAGE(INDIRECT(ADDRESS(109+3,K$2+1,,,"Instances") &amp; ":" &amp; ADDRESS(109+3,K$2+1))),"median", MEDIAN(INDIRECT(ADDRESS(109+3,K$2+1,,,"Instances") &amp; ":" &amp; ADDRESS(109+3,K$2+1))),"min", MIN(INDIRECT(ADDRESS(109+3,K$2+1,,,"Instances") &amp; ":" &amp; ADDRESS(109+3,K$2+1))),"max", MAX(INDIRECT(ADDRESS(109+3,K$2+1,,,"Instances") &amp; ":" &amp; ADDRESS(109+3,K$2+1))),"diff", MAX(INDIRECT(ADDRESS(109+3,K$2+1,,,"Instances") &amp; ":" &amp; ADDRESS(109+3,K$2+1)))-MIN(INDIRECT(ADDRESS(109+3,K$2+1,,,"Instances") &amp; ":" &amp; ADDRESS(109+3,K$2+1))))</f>
        <v>0</v>
      </c>
      <c r="L114">
        <f>IFERROR(SMALL(K5:K188,ROW()-ROW($L$5)+1),"")</f>
        <v>0</v>
      </c>
      <c r="N114">
        <f>IFERROR(SUM(L5:L114),"")</f>
        <v>0</v>
      </c>
      <c r="Q114">
        <f>IF(Charts!$B$3="none",E1041,IF(K1041="",NA(),K1041))</f>
        <v>0</v>
      </c>
      <c r="R114">
        <f>IF(Charts!$B$3="none",F1041,IF(L1041="",NA(),L1041))</f>
        <v>0</v>
      </c>
      <c r="S114">
        <f>IF(Charts!$B$3="none",G1041,IF(M1041="",NA(),M1041))</f>
        <v>0</v>
      </c>
      <c r="T114">
        <f>IF(Charts!$B$3="none",H1041,IF(N1041="",NA(),N1041))</f>
        <v>0</v>
      </c>
    </row>
    <row r="115" spans="4:20">
      <c r="D115">
        <v>111</v>
      </c>
      <c r="E115">
        <f>IF(INDIRECT(ADDRESS($D115+2,E$2+1,,,"Instances"))="","",INDIRECT(ADDRESS($D115+2,E$2+1,,,"Instances")))</f>
        <v>0</v>
      </c>
      <c r="F115">
        <f>IFERROR(SMALL(E5:E188,ROW()-ROW($F$5)+1),"")</f>
        <v>0</v>
      </c>
      <c r="H115">
        <f>IFERROR(SUM(F5:F115),"")</f>
        <v>0</v>
      </c>
      <c r="J115">
        <v>111</v>
      </c>
      <c r="K115" cm="1">
        <f t="array" ref="K115">_xlfn.SWITCH(Charts!$B$3,"average", AVERAGE(INDIRECT(ADDRESS(110+3,K$2+1,,,"Instances") &amp; ":" &amp; ADDRESS(110+3,K$2+1))),"median", MEDIAN(INDIRECT(ADDRESS(110+3,K$2+1,,,"Instances") &amp; ":" &amp; ADDRESS(110+3,K$2+1))),"min", MIN(INDIRECT(ADDRESS(110+3,K$2+1,,,"Instances") &amp; ":" &amp; ADDRESS(110+3,K$2+1))),"max", MAX(INDIRECT(ADDRESS(110+3,K$2+1,,,"Instances") &amp; ":" &amp; ADDRESS(110+3,K$2+1))),"diff", MAX(INDIRECT(ADDRESS(110+3,K$2+1,,,"Instances") &amp; ":" &amp; ADDRESS(110+3,K$2+1)))-MIN(INDIRECT(ADDRESS(110+3,K$2+1,,,"Instances") &amp; ":" &amp; ADDRESS(110+3,K$2+1))))</f>
        <v>0</v>
      </c>
      <c r="L115">
        <f>IFERROR(SMALL(K5:K188,ROW()-ROW($L$5)+1),"")</f>
        <v>0</v>
      </c>
      <c r="N115">
        <f>IFERROR(SUM(L5:L115),"")</f>
        <v>0</v>
      </c>
      <c r="Q115">
        <f>IF(Charts!$B$3="none",E1042,IF(K1042="",NA(),K1042))</f>
        <v>0</v>
      </c>
      <c r="R115">
        <f>IF(Charts!$B$3="none",F1042,IF(L1042="",NA(),L1042))</f>
        <v>0</v>
      </c>
      <c r="S115">
        <f>IF(Charts!$B$3="none",G1042,IF(M1042="",NA(),M1042))</f>
        <v>0</v>
      </c>
      <c r="T115">
        <f>IF(Charts!$B$3="none",H1042,IF(N1042="",NA(),N1042))</f>
        <v>0</v>
      </c>
    </row>
    <row r="116" spans="4:20">
      <c r="D116">
        <v>112</v>
      </c>
      <c r="E116">
        <f>IF(INDIRECT(ADDRESS($D116+2,E$2+1,,,"Instances"))="","",INDIRECT(ADDRESS($D116+2,E$2+1,,,"Instances")))</f>
        <v>0</v>
      </c>
      <c r="F116">
        <f>IFERROR(SMALL(E5:E188,ROW()-ROW($F$5)+1),"")</f>
        <v>0</v>
      </c>
      <c r="H116">
        <f>IFERROR(SUM(F5:F116),"")</f>
        <v>0</v>
      </c>
      <c r="J116">
        <v>112</v>
      </c>
      <c r="K116" cm="1">
        <f t="array" ref="K116">_xlfn.SWITCH(Charts!$B$3,"average", AVERAGE(INDIRECT(ADDRESS(111+3,K$2+1,,,"Instances") &amp; ":" &amp; ADDRESS(111+3,K$2+1))),"median", MEDIAN(INDIRECT(ADDRESS(111+3,K$2+1,,,"Instances") &amp; ":" &amp; ADDRESS(111+3,K$2+1))),"min", MIN(INDIRECT(ADDRESS(111+3,K$2+1,,,"Instances") &amp; ":" &amp; ADDRESS(111+3,K$2+1))),"max", MAX(INDIRECT(ADDRESS(111+3,K$2+1,,,"Instances") &amp; ":" &amp; ADDRESS(111+3,K$2+1))),"diff", MAX(INDIRECT(ADDRESS(111+3,K$2+1,,,"Instances") &amp; ":" &amp; ADDRESS(111+3,K$2+1)))-MIN(INDIRECT(ADDRESS(111+3,K$2+1,,,"Instances") &amp; ":" &amp; ADDRESS(111+3,K$2+1))))</f>
        <v>0</v>
      </c>
      <c r="L116">
        <f>IFERROR(SMALL(K5:K188,ROW()-ROW($L$5)+1),"")</f>
        <v>0</v>
      </c>
      <c r="N116">
        <f>IFERROR(SUM(L5:L116),"")</f>
        <v>0</v>
      </c>
      <c r="Q116">
        <f>IF(Charts!$B$3="none",E1043,IF(K1043="",NA(),K1043))</f>
        <v>0</v>
      </c>
      <c r="R116">
        <f>IF(Charts!$B$3="none",F1043,IF(L1043="",NA(),L1043))</f>
        <v>0</v>
      </c>
      <c r="S116">
        <f>IF(Charts!$B$3="none",G1043,IF(M1043="",NA(),M1043))</f>
        <v>0</v>
      </c>
      <c r="T116">
        <f>IF(Charts!$B$3="none",H1043,IF(N1043="",NA(),N1043))</f>
        <v>0</v>
      </c>
    </row>
    <row r="117" spans="4:20">
      <c r="D117">
        <v>113</v>
      </c>
      <c r="E117">
        <f>IF(INDIRECT(ADDRESS($D117+2,E$2+1,,,"Instances"))="","",INDIRECT(ADDRESS($D117+2,E$2+1,,,"Instances")))</f>
        <v>0</v>
      </c>
      <c r="F117">
        <f>IFERROR(SMALL(E5:E188,ROW()-ROW($F$5)+1),"")</f>
        <v>0</v>
      </c>
      <c r="H117">
        <f>IFERROR(SUM(F5:F117),"")</f>
        <v>0</v>
      </c>
      <c r="J117">
        <v>113</v>
      </c>
      <c r="K117" cm="1">
        <f t="array" ref="K117">_xlfn.SWITCH(Charts!$B$3,"average", AVERAGE(INDIRECT(ADDRESS(112+3,K$2+1,,,"Instances") &amp; ":" &amp; ADDRESS(112+3,K$2+1))),"median", MEDIAN(INDIRECT(ADDRESS(112+3,K$2+1,,,"Instances") &amp; ":" &amp; ADDRESS(112+3,K$2+1))),"min", MIN(INDIRECT(ADDRESS(112+3,K$2+1,,,"Instances") &amp; ":" &amp; ADDRESS(112+3,K$2+1))),"max", MAX(INDIRECT(ADDRESS(112+3,K$2+1,,,"Instances") &amp; ":" &amp; ADDRESS(112+3,K$2+1))),"diff", MAX(INDIRECT(ADDRESS(112+3,K$2+1,,,"Instances") &amp; ":" &amp; ADDRESS(112+3,K$2+1)))-MIN(INDIRECT(ADDRESS(112+3,K$2+1,,,"Instances") &amp; ":" &amp; ADDRESS(112+3,K$2+1))))</f>
        <v>0</v>
      </c>
      <c r="L117">
        <f>IFERROR(SMALL(K5:K188,ROW()-ROW($L$5)+1),"")</f>
        <v>0</v>
      </c>
      <c r="N117">
        <f>IFERROR(SUM(L5:L117),"")</f>
        <v>0</v>
      </c>
      <c r="Q117">
        <f>IF(Charts!$B$3="none",E1044,IF(K1044="",NA(),K1044))</f>
        <v>0</v>
      </c>
      <c r="R117">
        <f>IF(Charts!$B$3="none",F1044,IF(L1044="",NA(),L1044))</f>
        <v>0</v>
      </c>
      <c r="S117">
        <f>IF(Charts!$B$3="none",G1044,IF(M1044="",NA(),M1044))</f>
        <v>0</v>
      </c>
      <c r="T117">
        <f>IF(Charts!$B$3="none",H1044,IF(N1044="",NA(),N1044))</f>
        <v>0</v>
      </c>
    </row>
    <row r="118" spans="4:20">
      <c r="D118">
        <v>114</v>
      </c>
      <c r="E118">
        <f>IF(INDIRECT(ADDRESS($D118+2,E$2+1,,,"Instances"))="","",INDIRECT(ADDRESS($D118+2,E$2+1,,,"Instances")))</f>
        <v>0</v>
      </c>
      <c r="F118">
        <f>IFERROR(SMALL(E5:E188,ROW()-ROW($F$5)+1),"")</f>
        <v>0</v>
      </c>
      <c r="H118">
        <f>IFERROR(SUM(F5:F118),"")</f>
        <v>0</v>
      </c>
      <c r="J118">
        <v>114</v>
      </c>
      <c r="K118" cm="1">
        <f t="array" ref="K118">_xlfn.SWITCH(Charts!$B$3,"average", AVERAGE(INDIRECT(ADDRESS(113+3,K$2+1,,,"Instances") &amp; ":" &amp; ADDRESS(113+3,K$2+1))),"median", MEDIAN(INDIRECT(ADDRESS(113+3,K$2+1,,,"Instances") &amp; ":" &amp; ADDRESS(113+3,K$2+1))),"min", MIN(INDIRECT(ADDRESS(113+3,K$2+1,,,"Instances") &amp; ":" &amp; ADDRESS(113+3,K$2+1))),"max", MAX(INDIRECT(ADDRESS(113+3,K$2+1,,,"Instances") &amp; ":" &amp; ADDRESS(113+3,K$2+1))),"diff", MAX(INDIRECT(ADDRESS(113+3,K$2+1,,,"Instances") &amp; ":" &amp; ADDRESS(113+3,K$2+1)))-MIN(INDIRECT(ADDRESS(113+3,K$2+1,,,"Instances") &amp; ":" &amp; ADDRESS(113+3,K$2+1))))</f>
        <v>0</v>
      </c>
      <c r="L118">
        <f>IFERROR(SMALL(K5:K188,ROW()-ROW($L$5)+1),"")</f>
        <v>0</v>
      </c>
      <c r="N118">
        <f>IFERROR(SUM(L5:L118),"")</f>
        <v>0</v>
      </c>
      <c r="Q118">
        <f>IF(Charts!$B$3="none",E1045,IF(K1045="",NA(),K1045))</f>
        <v>0</v>
      </c>
      <c r="R118">
        <f>IF(Charts!$B$3="none",F1045,IF(L1045="",NA(),L1045))</f>
        <v>0</v>
      </c>
      <c r="S118">
        <f>IF(Charts!$B$3="none",G1045,IF(M1045="",NA(),M1045))</f>
        <v>0</v>
      </c>
      <c r="T118">
        <f>IF(Charts!$B$3="none",H1045,IF(N1045="",NA(),N1045))</f>
        <v>0</v>
      </c>
    </row>
    <row r="119" spans="4:20">
      <c r="D119">
        <v>115</v>
      </c>
      <c r="E119">
        <f>IF(INDIRECT(ADDRESS($D119+2,E$2+1,,,"Instances"))="","",INDIRECT(ADDRESS($D119+2,E$2+1,,,"Instances")))</f>
        <v>0</v>
      </c>
      <c r="F119">
        <f>IFERROR(SMALL(E5:E188,ROW()-ROW($F$5)+1),"")</f>
        <v>0</v>
      </c>
      <c r="H119">
        <f>IFERROR(SUM(F5:F119),"")</f>
        <v>0</v>
      </c>
      <c r="J119">
        <v>115</v>
      </c>
      <c r="K119" cm="1">
        <f t="array" ref="K119">_xlfn.SWITCH(Charts!$B$3,"average", AVERAGE(INDIRECT(ADDRESS(114+3,K$2+1,,,"Instances") &amp; ":" &amp; ADDRESS(114+3,K$2+1))),"median", MEDIAN(INDIRECT(ADDRESS(114+3,K$2+1,,,"Instances") &amp; ":" &amp; ADDRESS(114+3,K$2+1))),"min", MIN(INDIRECT(ADDRESS(114+3,K$2+1,,,"Instances") &amp; ":" &amp; ADDRESS(114+3,K$2+1))),"max", MAX(INDIRECT(ADDRESS(114+3,K$2+1,,,"Instances") &amp; ":" &amp; ADDRESS(114+3,K$2+1))),"diff", MAX(INDIRECT(ADDRESS(114+3,K$2+1,,,"Instances") &amp; ":" &amp; ADDRESS(114+3,K$2+1)))-MIN(INDIRECT(ADDRESS(114+3,K$2+1,,,"Instances") &amp; ":" &amp; ADDRESS(114+3,K$2+1))))</f>
        <v>0</v>
      </c>
      <c r="L119">
        <f>IFERROR(SMALL(K5:K188,ROW()-ROW($L$5)+1),"")</f>
        <v>0</v>
      </c>
      <c r="N119">
        <f>IFERROR(SUM(L5:L119),"")</f>
        <v>0</v>
      </c>
      <c r="Q119">
        <f>IF(Charts!$B$3="none",E1046,IF(K1046="",NA(),K1046))</f>
        <v>0</v>
      </c>
      <c r="R119">
        <f>IF(Charts!$B$3="none",F1046,IF(L1046="",NA(),L1046))</f>
        <v>0</v>
      </c>
      <c r="S119">
        <f>IF(Charts!$B$3="none",G1046,IF(M1046="",NA(),M1046))</f>
        <v>0</v>
      </c>
      <c r="T119">
        <f>IF(Charts!$B$3="none",H1046,IF(N1046="",NA(),N1046))</f>
        <v>0</v>
      </c>
    </row>
    <row r="120" spans="4:20">
      <c r="D120">
        <v>116</v>
      </c>
      <c r="E120">
        <f>IF(INDIRECT(ADDRESS($D120+2,E$2+1,,,"Instances"))="","",INDIRECT(ADDRESS($D120+2,E$2+1,,,"Instances")))</f>
        <v>0</v>
      </c>
      <c r="F120">
        <f>IFERROR(SMALL(E5:E188,ROW()-ROW($F$5)+1),"")</f>
        <v>0</v>
      </c>
      <c r="H120">
        <f>IFERROR(SUM(F5:F120),"")</f>
        <v>0</v>
      </c>
      <c r="J120">
        <v>116</v>
      </c>
      <c r="K120" cm="1">
        <f t="array" ref="K120">_xlfn.SWITCH(Charts!$B$3,"average", AVERAGE(INDIRECT(ADDRESS(115+3,K$2+1,,,"Instances") &amp; ":" &amp; ADDRESS(115+3,K$2+1))),"median", MEDIAN(INDIRECT(ADDRESS(115+3,K$2+1,,,"Instances") &amp; ":" &amp; ADDRESS(115+3,K$2+1))),"min", MIN(INDIRECT(ADDRESS(115+3,K$2+1,,,"Instances") &amp; ":" &amp; ADDRESS(115+3,K$2+1))),"max", MAX(INDIRECT(ADDRESS(115+3,K$2+1,,,"Instances") &amp; ":" &amp; ADDRESS(115+3,K$2+1))),"diff", MAX(INDIRECT(ADDRESS(115+3,K$2+1,,,"Instances") &amp; ":" &amp; ADDRESS(115+3,K$2+1)))-MIN(INDIRECT(ADDRESS(115+3,K$2+1,,,"Instances") &amp; ":" &amp; ADDRESS(115+3,K$2+1))))</f>
        <v>0</v>
      </c>
      <c r="L120">
        <f>IFERROR(SMALL(K5:K188,ROW()-ROW($L$5)+1),"")</f>
        <v>0</v>
      </c>
      <c r="N120">
        <f>IFERROR(SUM(L5:L120),"")</f>
        <v>0</v>
      </c>
      <c r="Q120">
        <f>IF(Charts!$B$3="none",E1047,IF(K1047="",NA(),K1047))</f>
        <v>0</v>
      </c>
      <c r="R120">
        <f>IF(Charts!$B$3="none",F1047,IF(L1047="",NA(),L1047))</f>
        <v>0</v>
      </c>
      <c r="S120">
        <f>IF(Charts!$B$3="none",G1047,IF(M1047="",NA(),M1047))</f>
        <v>0</v>
      </c>
      <c r="T120">
        <f>IF(Charts!$B$3="none",H1047,IF(N1047="",NA(),N1047))</f>
        <v>0</v>
      </c>
    </row>
    <row r="121" spans="4:20">
      <c r="D121">
        <v>117</v>
      </c>
      <c r="E121">
        <f>IF(INDIRECT(ADDRESS($D121+2,E$2+1,,,"Instances"))="","",INDIRECT(ADDRESS($D121+2,E$2+1,,,"Instances")))</f>
        <v>0</v>
      </c>
      <c r="F121">
        <f>IFERROR(SMALL(E5:E188,ROW()-ROW($F$5)+1),"")</f>
        <v>0</v>
      </c>
      <c r="H121">
        <f>IFERROR(SUM(F5:F121),"")</f>
        <v>0</v>
      </c>
      <c r="J121">
        <v>117</v>
      </c>
      <c r="K121" cm="1">
        <f t="array" ref="K121">_xlfn.SWITCH(Charts!$B$3,"average", AVERAGE(INDIRECT(ADDRESS(116+3,K$2+1,,,"Instances") &amp; ":" &amp; ADDRESS(116+3,K$2+1))),"median", MEDIAN(INDIRECT(ADDRESS(116+3,K$2+1,,,"Instances") &amp; ":" &amp; ADDRESS(116+3,K$2+1))),"min", MIN(INDIRECT(ADDRESS(116+3,K$2+1,,,"Instances") &amp; ":" &amp; ADDRESS(116+3,K$2+1))),"max", MAX(INDIRECT(ADDRESS(116+3,K$2+1,,,"Instances") &amp; ":" &amp; ADDRESS(116+3,K$2+1))),"diff", MAX(INDIRECT(ADDRESS(116+3,K$2+1,,,"Instances") &amp; ":" &amp; ADDRESS(116+3,K$2+1)))-MIN(INDIRECT(ADDRESS(116+3,K$2+1,,,"Instances") &amp; ":" &amp; ADDRESS(116+3,K$2+1))))</f>
        <v>0</v>
      </c>
      <c r="L121">
        <f>IFERROR(SMALL(K5:K188,ROW()-ROW($L$5)+1),"")</f>
        <v>0</v>
      </c>
      <c r="N121">
        <f>IFERROR(SUM(L5:L121),"")</f>
        <v>0</v>
      </c>
      <c r="Q121">
        <f>IF(Charts!$B$3="none",E1048,IF(K1048="",NA(),K1048))</f>
        <v>0</v>
      </c>
      <c r="R121">
        <f>IF(Charts!$B$3="none",F1048,IF(L1048="",NA(),L1048))</f>
        <v>0</v>
      </c>
      <c r="S121">
        <f>IF(Charts!$B$3="none",G1048,IF(M1048="",NA(),M1048))</f>
        <v>0</v>
      </c>
      <c r="T121">
        <f>IF(Charts!$B$3="none",H1048,IF(N1048="",NA(),N1048))</f>
        <v>0</v>
      </c>
    </row>
    <row r="122" spans="4:20">
      <c r="D122">
        <v>118</v>
      </c>
      <c r="E122">
        <f>IF(INDIRECT(ADDRESS($D122+2,E$2+1,,,"Instances"))="","",INDIRECT(ADDRESS($D122+2,E$2+1,,,"Instances")))</f>
        <v>0</v>
      </c>
      <c r="F122">
        <f>IFERROR(SMALL(E5:E188,ROW()-ROW($F$5)+1),"")</f>
        <v>0</v>
      </c>
      <c r="H122">
        <f>IFERROR(SUM(F5:F122),"")</f>
        <v>0</v>
      </c>
      <c r="J122">
        <v>118</v>
      </c>
      <c r="K122" cm="1">
        <f t="array" ref="K122">_xlfn.SWITCH(Charts!$B$3,"average", AVERAGE(INDIRECT(ADDRESS(117+3,K$2+1,,,"Instances") &amp; ":" &amp; ADDRESS(117+3,K$2+1))),"median", MEDIAN(INDIRECT(ADDRESS(117+3,K$2+1,,,"Instances") &amp; ":" &amp; ADDRESS(117+3,K$2+1))),"min", MIN(INDIRECT(ADDRESS(117+3,K$2+1,,,"Instances") &amp; ":" &amp; ADDRESS(117+3,K$2+1))),"max", MAX(INDIRECT(ADDRESS(117+3,K$2+1,,,"Instances") &amp; ":" &amp; ADDRESS(117+3,K$2+1))),"diff", MAX(INDIRECT(ADDRESS(117+3,K$2+1,,,"Instances") &amp; ":" &amp; ADDRESS(117+3,K$2+1)))-MIN(INDIRECT(ADDRESS(117+3,K$2+1,,,"Instances") &amp; ":" &amp; ADDRESS(117+3,K$2+1))))</f>
        <v>0</v>
      </c>
      <c r="L122">
        <f>IFERROR(SMALL(K5:K188,ROW()-ROW($L$5)+1),"")</f>
        <v>0</v>
      </c>
      <c r="N122">
        <f>IFERROR(SUM(L5:L122),"")</f>
        <v>0</v>
      </c>
      <c r="Q122">
        <f>IF(Charts!$B$3="none",E1049,IF(K1049="",NA(),K1049))</f>
        <v>0</v>
      </c>
      <c r="R122">
        <f>IF(Charts!$B$3="none",F1049,IF(L1049="",NA(),L1049))</f>
        <v>0</v>
      </c>
      <c r="S122">
        <f>IF(Charts!$B$3="none",G1049,IF(M1049="",NA(),M1049))</f>
        <v>0</v>
      </c>
      <c r="T122">
        <f>IF(Charts!$B$3="none",H1049,IF(N1049="",NA(),N1049))</f>
        <v>0</v>
      </c>
    </row>
    <row r="123" spans="4:20">
      <c r="D123">
        <v>119</v>
      </c>
      <c r="E123">
        <f>IF(INDIRECT(ADDRESS($D123+2,E$2+1,,,"Instances"))="","",INDIRECT(ADDRESS($D123+2,E$2+1,,,"Instances")))</f>
        <v>0</v>
      </c>
      <c r="F123">
        <f>IFERROR(SMALL(E5:E188,ROW()-ROW($F$5)+1),"")</f>
        <v>0</v>
      </c>
      <c r="H123">
        <f>IFERROR(SUM(F5:F123),"")</f>
        <v>0</v>
      </c>
      <c r="J123">
        <v>119</v>
      </c>
      <c r="K123" cm="1">
        <f t="array" ref="K123">_xlfn.SWITCH(Charts!$B$3,"average", AVERAGE(INDIRECT(ADDRESS(118+3,K$2+1,,,"Instances") &amp; ":" &amp; ADDRESS(118+3,K$2+1))),"median", MEDIAN(INDIRECT(ADDRESS(118+3,K$2+1,,,"Instances") &amp; ":" &amp; ADDRESS(118+3,K$2+1))),"min", MIN(INDIRECT(ADDRESS(118+3,K$2+1,,,"Instances") &amp; ":" &amp; ADDRESS(118+3,K$2+1))),"max", MAX(INDIRECT(ADDRESS(118+3,K$2+1,,,"Instances") &amp; ":" &amp; ADDRESS(118+3,K$2+1))),"diff", MAX(INDIRECT(ADDRESS(118+3,K$2+1,,,"Instances") &amp; ":" &amp; ADDRESS(118+3,K$2+1)))-MIN(INDIRECT(ADDRESS(118+3,K$2+1,,,"Instances") &amp; ":" &amp; ADDRESS(118+3,K$2+1))))</f>
        <v>0</v>
      </c>
      <c r="L123">
        <f>IFERROR(SMALL(K5:K188,ROW()-ROW($L$5)+1),"")</f>
        <v>0</v>
      </c>
      <c r="N123">
        <f>IFERROR(SUM(L5:L123),"")</f>
        <v>0</v>
      </c>
      <c r="Q123">
        <f>IF(Charts!$B$3="none",E1050,IF(K1050="",NA(),K1050))</f>
        <v>0</v>
      </c>
      <c r="R123">
        <f>IF(Charts!$B$3="none",F1050,IF(L1050="",NA(),L1050))</f>
        <v>0</v>
      </c>
      <c r="S123">
        <f>IF(Charts!$B$3="none",G1050,IF(M1050="",NA(),M1050))</f>
        <v>0</v>
      </c>
      <c r="T123">
        <f>IF(Charts!$B$3="none",H1050,IF(N1050="",NA(),N1050))</f>
        <v>0</v>
      </c>
    </row>
    <row r="124" spans="4:20">
      <c r="D124">
        <v>120</v>
      </c>
      <c r="E124">
        <f>IF(INDIRECT(ADDRESS($D124+2,E$2+1,,,"Instances"))="","",INDIRECT(ADDRESS($D124+2,E$2+1,,,"Instances")))</f>
        <v>0</v>
      </c>
      <c r="F124">
        <f>IFERROR(SMALL(E5:E188,ROW()-ROW($F$5)+1),"")</f>
        <v>0</v>
      </c>
      <c r="H124">
        <f>IFERROR(SUM(F5:F124),"")</f>
        <v>0</v>
      </c>
      <c r="J124">
        <v>120</v>
      </c>
      <c r="K124" cm="1">
        <f t="array" ref="K124">_xlfn.SWITCH(Charts!$B$3,"average", AVERAGE(INDIRECT(ADDRESS(119+3,K$2+1,,,"Instances") &amp; ":" &amp; ADDRESS(119+3,K$2+1))),"median", MEDIAN(INDIRECT(ADDRESS(119+3,K$2+1,,,"Instances") &amp; ":" &amp; ADDRESS(119+3,K$2+1))),"min", MIN(INDIRECT(ADDRESS(119+3,K$2+1,,,"Instances") &amp; ":" &amp; ADDRESS(119+3,K$2+1))),"max", MAX(INDIRECT(ADDRESS(119+3,K$2+1,,,"Instances") &amp; ":" &amp; ADDRESS(119+3,K$2+1))),"diff", MAX(INDIRECT(ADDRESS(119+3,K$2+1,,,"Instances") &amp; ":" &amp; ADDRESS(119+3,K$2+1)))-MIN(INDIRECT(ADDRESS(119+3,K$2+1,,,"Instances") &amp; ":" &amp; ADDRESS(119+3,K$2+1))))</f>
        <v>0</v>
      </c>
      <c r="L124">
        <f>IFERROR(SMALL(K5:K188,ROW()-ROW($L$5)+1),"")</f>
        <v>0</v>
      </c>
      <c r="N124">
        <f>IFERROR(SUM(L5:L124),"")</f>
        <v>0</v>
      </c>
      <c r="Q124">
        <f>IF(Charts!$B$3="none",E1051,IF(K1051="",NA(),K1051))</f>
        <v>0</v>
      </c>
      <c r="R124">
        <f>IF(Charts!$B$3="none",F1051,IF(L1051="",NA(),L1051))</f>
        <v>0</v>
      </c>
      <c r="S124">
        <f>IF(Charts!$B$3="none",G1051,IF(M1051="",NA(),M1051))</f>
        <v>0</v>
      </c>
      <c r="T124">
        <f>IF(Charts!$B$3="none",H1051,IF(N1051="",NA(),N1051))</f>
        <v>0</v>
      </c>
    </row>
    <row r="125" spans="4:20">
      <c r="D125">
        <v>121</v>
      </c>
      <c r="E125">
        <f>IF(INDIRECT(ADDRESS($D125+2,E$2+1,,,"Instances"))="","",INDIRECT(ADDRESS($D125+2,E$2+1,,,"Instances")))</f>
        <v>0</v>
      </c>
      <c r="F125">
        <f>IFERROR(SMALL(E5:E188,ROW()-ROW($F$5)+1),"")</f>
        <v>0</v>
      </c>
      <c r="H125">
        <f>IFERROR(SUM(F5:F125),"")</f>
        <v>0</v>
      </c>
      <c r="J125">
        <v>121</v>
      </c>
      <c r="K125" cm="1">
        <f t="array" ref="K125">_xlfn.SWITCH(Charts!$B$3,"average", AVERAGE(INDIRECT(ADDRESS(120+3,K$2+1,,,"Instances") &amp; ":" &amp; ADDRESS(120+3,K$2+1))),"median", MEDIAN(INDIRECT(ADDRESS(120+3,K$2+1,,,"Instances") &amp; ":" &amp; ADDRESS(120+3,K$2+1))),"min", MIN(INDIRECT(ADDRESS(120+3,K$2+1,,,"Instances") &amp; ":" &amp; ADDRESS(120+3,K$2+1))),"max", MAX(INDIRECT(ADDRESS(120+3,K$2+1,,,"Instances") &amp; ":" &amp; ADDRESS(120+3,K$2+1))),"diff", MAX(INDIRECT(ADDRESS(120+3,K$2+1,,,"Instances") &amp; ":" &amp; ADDRESS(120+3,K$2+1)))-MIN(INDIRECT(ADDRESS(120+3,K$2+1,,,"Instances") &amp; ":" &amp; ADDRESS(120+3,K$2+1))))</f>
        <v>0</v>
      </c>
      <c r="L125">
        <f>IFERROR(SMALL(K5:K188,ROW()-ROW($L$5)+1),"")</f>
        <v>0</v>
      </c>
      <c r="N125">
        <f>IFERROR(SUM(L5:L125),"")</f>
        <v>0</v>
      </c>
      <c r="Q125">
        <f>IF(Charts!$B$3="none",E1052,IF(K1052="",NA(),K1052))</f>
        <v>0</v>
      </c>
      <c r="R125">
        <f>IF(Charts!$B$3="none",F1052,IF(L1052="",NA(),L1052))</f>
        <v>0</v>
      </c>
      <c r="S125">
        <f>IF(Charts!$B$3="none",G1052,IF(M1052="",NA(),M1052))</f>
        <v>0</v>
      </c>
      <c r="T125">
        <f>IF(Charts!$B$3="none",H1052,IF(N1052="",NA(),N1052))</f>
        <v>0</v>
      </c>
    </row>
    <row r="126" spans="4:20">
      <c r="D126">
        <v>122</v>
      </c>
      <c r="E126">
        <f>IF(INDIRECT(ADDRESS($D126+2,E$2+1,,,"Instances"))="","",INDIRECT(ADDRESS($D126+2,E$2+1,,,"Instances")))</f>
        <v>0</v>
      </c>
      <c r="F126">
        <f>IFERROR(SMALL(E5:E188,ROW()-ROW($F$5)+1),"")</f>
        <v>0</v>
      </c>
      <c r="H126">
        <f>IFERROR(SUM(F5:F126),"")</f>
        <v>0</v>
      </c>
      <c r="J126">
        <v>122</v>
      </c>
      <c r="K126" cm="1">
        <f t="array" ref="K126">_xlfn.SWITCH(Charts!$B$3,"average", AVERAGE(INDIRECT(ADDRESS(121+3,K$2+1,,,"Instances") &amp; ":" &amp; ADDRESS(121+3,K$2+1))),"median", MEDIAN(INDIRECT(ADDRESS(121+3,K$2+1,,,"Instances") &amp; ":" &amp; ADDRESS(121+3,K$2+1))),"min", MIN(INDIRECT(ADDRESS(121+3,K$2+1,,,"Instances") &amp; ":" &amp; ADDRESS(121+3,K$2+1))),"max", MAX(INDIRECT(ADDRESS(121+3,K$2+1,,,"Instances") &amp; ":" &amp; ADDRESS(121+3,K$2+1))),"diff", MAX(INDIRECT(ADDRESS(121+3,K$2+1,,,"Instances") &amp; ":" &amp; ADDRESS(121+3,K$2+1)))-MIN(INDIRECT(ADDRESS(121+3,K$2+1,,,"Instances") &amp; ":" &amp; ADDRESS(121+3,K$2+1))))</f>
        <v>0</v>
      </c>
      <c r="L126">
        <f>IFERROR(SMALL(K5:K188,ROW()-ROW($L$5)+1),"")</f>
        <v>0</v>
      </c>
      <c r="N126">
        <f>IFERROR(SUM(L5:L126),"")</f>
        <v>0</v>
      </c>
      <c r="Q126">
        <f>IF(Charts!$B$3="none",E1053,IF(K1053="",NA(),K1053))</f>
        <v>0</v>
      </c>
      <c r="R126">
        <f>IF(Charts!$B$3="none",F1053,IF(L1053="",NA(),L1053))</f>
        <v>0</v>
      </c>
      <c r="S126">
        <f>IF(Charts!$B$3="none",G1053,IF(M1053="",NA(),M1053))</f>
        <v>0</v>
      </c>
      <c r="T126">
        <f>IF(Charts!$B$3="none",H1053,IF(N1053="",NA(),N1053))</f>
        <v>0</v>
      </c>
    </row>
    <row r="127" spans="4:20">
      <c r="D127">
        <v>123</v>
      </c>
      <c r="E127">
        <f>IF(INDIRECT(ADDRESS($D127+2,E$2+1,,,"Instances"))="","",INDIRECT(ADDRESS($D127+2,E$2+1,,,"Instances")))</f>
        <v>0</v>
      </c>
      <c r="F127">
        <f>IFERROR(SMALL(E5:E188,ROW()-ROW($F$5)+1),"")</f>
        <v>0</v>
      </c>
      <c r="H127">
        <f>IFERROR(SUM(F5:F127),"")</f>
        <v>0</v>
      </c>
      <c r="J127">
        <v>123</v>
      </c>
      <c r="K127" cm="1">
        <f t="array" ref="K127">_xlfn.SWITCH(Charts!$B$3,"average", AVERAGE(INDIRECT(ADDRESS(122+3,K$2+1,,,"Instances") &amp; ":" &amp; ADDRESS(122+3,K$2+1))),"median", MEDIAN(INDIRECT(ADDRESS(122+3,K$2+1,,,"Instances") &amp; ":" &amp; ADDRESS(122+3,K$2+1))),"min", MIN(INDIRECT(ADDRESS(122+3,K$2+1,,,"Instances") &amp; ":" &amp; ADDRESS(122+3,K$2+1))),"max", MAX(INDIRECT(ADDRESS(122+3,K$2+1,,,"Instances") &amp; ":" &amp; ADDRESS(122+3,K$2+1))),"diff", MAX(INDIRECT(ADDRESS(122+3,K$2+1,,,"Instances") &amp; ":" &amp; ADDRESS(122+3,K$2+1)))-MIN(INDIRECT(ADDRESS(122+3,K$2+1,,,"Instances") &amp; ":" &amp; ADDRESS(122+3,K$2+1))))</f>
        <v>0</v>
      </c>
      <c r="L127">
        <f>IFERROR(SMALL(K5:K188,ROW()-ROW($L$5)+1),"")</f>
        <v>0</v>
      </c>
      <c r="N127">
        <f>IFERROR(SUM(L5:L127),"")</f>
        <v>0</v>
      </c>
      <c r="Q127">
        <f>IF(Charts!$B$3="none",E1054,IF(K1054="",NA(),K1054))</f>
        <v>0</v>
      </c>
      <c r="R127">
        <f>IF(Charts!$B$3="none",F1054,IF(L1054="",NA(),L1054))</f>
        <v>0</v>
      </c>
      <c r="S127">
        <f>IF(Charts!$B$3="none",G1054,IF(M1054="",NA(),M1054))</f>
        <v>0</v>
      </c>
      <c r="T127">
        <f>IF(Charts!$B$3="none",H1054,IF(N1054="",NA(),N1054))</f>
        <v>0</v>
      </c>
    </row>
    <row r="128" spans="4:20">
      <c r="D128">
        <v>124</v>
      </c>
      <c r="E128">
        <f>IF(INDIRECT(ADDRESS($D128+2,E$2+1,,,"Instances"))="","",INDIRECT(ADDRESS($D128+2,E$2+1,,,"Instances")))</f>
        <v>0</v>
      </c>
      <c r="F128">
        <f>IFERROR(SMALL(E5:E188,ROW()-ROW($F$5)+1),"")</f>
        <v>0</v>
      </c>
      <c r="H128">
        <f>IFERROR(SUM(F5:F128),"")</f>
        <v>0</v>
      </c>
      <c r="J128">
        <v>124</v>
      </c>
      <c r="K128" cm="1">
        <f t="array" ref="K128">_xlfn.SWITCH(Charts!$B$3,"average", AVERAGE(INDIRECT(ADDRESS(123+3,K$2+1,,,"Instances") &amp; ":" &amp; ADDRESS(123+3,K$2+1))),"median", MEDIAN(INDIRECT(ADDRESS(123+3,K$2+1,,,"Instances") &amp; ":" &amp; ADDRESS(123+3,K$2+1))),"min", MIN(INDIRECT(ADDRESS(123+3,K$2+1,,,"Instances") &amp; ":" &amp; ADDRESS(123+3,K$2+1))),"max", MAX(INDIRECT(ADDRESS(123+3,K$2+1,,,"Instances") &amp; ":" &amp; ADDRESS(123+3,K$2+1))),"diff", MAX(INDIRECT(ADDRESS(123+3,K$2+1,,,"Instances") &amp; ":" &amp; ADDRESS(123+3,K$2+1)))-MIN(INDIRECT(ADDRESS(123+3,K$2+1,,,"Instances") &amp; ":" &amp; ADDRESS(123+3,K$2+1))))</f>
        <v>0</v>
      </c>
      <c r="L128">
        <f>IFERROR(SMALL(K5:K188,ROW()-ROW($L$5)+1),"")</f>
        <v>0</v>
      </c>
      <c r="N128">
        <f>IFERROR(SUM(L5:L128),"")</f>
        <v>0</v>
      </c>
      <c r="Q128">
        <f>IF(Charts!$B$3="none",E1055,IF(K1055="",NA(),K1055))</f>
        <v>0</v>
      </c>
      <c r="R128">
        <f>IF(Charts!$B$3="none",F1055,IF(L1055="",NA(),L1055))</f>
        <v>0</v>
      </c>
      <c r="S128">
        <f>IF(Charts!$B$3="none",G1055,IF(M1055="",NA(),M1055))</f>
        <v>0</v>
      </c>
      <c r="T128">
        <f>IF(Charts!$B$3="none",H1055,IF(N1055="",NA(),N1055))</f>
        <v>0</v>
      </c>
    </row>
    <row r="129" spans="4:20">
      <c r="D129">
        <v>125</v>
      </c>
      <c r="E129">
        <f>IF(INDIRECT(ADDRESS($D129+2,E$2+1,,,"Instances"))="","",INDIRECT(ADDRESS($D129+2,E$2+1,,,"Instances")))</f>
        <v>0</v>
      </c>
      <c r="F129">
        <f>IFERROR(SMALL(E5:E188,ROW()-ROW($F$5)+1),"")</f>
        <v>0</v>
      </c>
      <c r="H129">
        <f>IFERROR(SUM(F5:F129),"")</f>
        <v>0</v>
      </c>
      <c r="J129">
        <v>125</v>
      </c>
      <c r="K129" cm="1">
        <f t="array" ref="K129">_xlfn.SWITCH(Charts!$B$3,"average", AVERAGE(INDIRECT(ADDRESS(124+3,K$2+1,,,"Instances") &amp; ":" &amp; ADDRESS(124+3,K$2+1))),"median", MEDIAN(INDIRECT(ADDRESS(124+3,K$2+1,,,"Instances") &amp; ":" &amp; ADDRESS(124+3,K$2+1))),"min", MIN(INDIRECT(ADDRESS(124+3,K$2+1,,,"Instances") &amp; ":" &amp; ADDRESS(124+3,K$2+1))),"max", MAX(INDIRECT(ADDRESS(124+3,K$2+1,,,"Instances") &amp; ":" &amp; ADDRESS(124+3,K$2+1))),"diff", MAX(INDIRECT(ADDRESS(124+3,K$2+1,,,"Instances") &amp; ":" &amp; ADDRESS(124+3,K$2+1)))-MIN(INDIRECT(ADDRESS(124+3,K$2+1,,,"Instances") &amp; ":" &amp; ADDRESS(124+3,K$2+1))))</f>
        <v>0</v>
      </c>
      <c r="L129">
        <f>IFERROR(SMALL(K5:K188,ROW()-ROW($L$5)+1),"")</f>
        <v>0</v>
      </c>
      <c r="N129">
        <f>IFERROR(SUM(L5:L129),"")</f>
        <v>0</v>
      </c>
      <c r="Q129">
        <f>IF(Charts!$B$3="none",E1056,IF(K1056="",NA(),K1056))</f>
        <v>0</v>
      </c>
      <c r="R129">
        <f>IF(Charts!$B$3="none",F1056,IF(L1056="",NA(),L1056))</f>
        <v>0</v>
      </c>
      <c r="S129">
        <f>IF(Charts!$B$3="none",G1056,IF(M1056="",NA(),M1056))</f>
        <v>0</v>
      </c>
      <c r="T129">
        <f>IF(Charts!$B$3="none",H1056,IF(N1056="",NA(),N1056))</f>
        <v>0</v>
      </c>
    </row>
    <row r="130" spans="4:20">
      <c r="D130">
        <v>126</v>
      </c>
      <c r="E130">
        <f>IF(INDIRECT(ADDRESS($D130+2,E$2+1,,,"Instances"))="","",INDIRECT(ADDRESS($D130+2,E$2+1,,,"Instances")))</f>
        <v>0</v>
      </c>
      <c r="F130">
        <f>IFERROR(SMALL(E5:E188,ROW()-ROW($F$5)+1),"")</f>
        <v>0</v>
      </c>
      <c r="H130">
        <f>IFERROR(SUM(F5:F130),"")</f>
        <v>0</v>
      </c>
      <c r="J130">
        <v>126</v>
      </c>
      <c r="K130" cm="1">
        <f t="array" ref="K130">_xlfn.SWITCH(Charts!$B$3,"average", AVERAGE(INDIRECT(ADDRESS(125+3,K$2+1,,,"Instances") &amp; ":" &amp; ADDRESS(125+3,K$2+1))),"median", MEDIAN(INDIRECT(ADDRESS(125+3,K$2+1,,,"Instances") &amp; ":" &amp; ADDRESS(125+3,K$2+1))),"min", MIN(INDIRECT(ADDRESS(125+3,K$2+1,,,"Instances") &amp; ":" &amp; ADDRESS(125+3,K$2+1))),"max", MAX(INDIRECT(ADDRESS(125+3,K$2+1,,,"Instances") &amp; ":" &amp; ADDRESS(125+3,K$2+1))),"diff", MAX(INDIRECT(ADDRESS(125+3,K$2+1,,,"Instances") &amp; ":" &amp; ADDRESS(125+3,K$2+1)))-MIN(INDIRECT(ADDRESS(125+3,K$2+1,,,"Instances") &amp; ":" &amp; ADDRESS(125+3,K$2+1))))</f>
        <v>0</v>
      </c>
      <c r="L130">
        <f>IFERROR(SMALL(K5:K188,ROW()-ROW($L$5)+1),"")</f>
        <v>0</v>
      </c>
      <c r="N130">
        <f>IFERROR(SUM(L5:L130),"")</f>
        <v>0</v>
      </c>
      <c r="Q130">
        <f>IF(Charts!$B$3="none",E1057,IF(K1057="",NA(),K1057))</f>
        <v>0</v>
      </c>
      <c r="R130">
        <f>IF(Charts!$B$3="none",F1057,IF(L1057="",NA(),L1057))</f>
        <v>0</v>
      </c>
      <c r="S130">
        <f>IF(Charts!$B$3="none",G1057,IF(M1057="",NA(),M1057))</f>
        <v>0</v>
      </c>
      <c r="T130">
        <f>IF(Charts!$B$3="none",H1057,IF(N1057="",NA(),N1057))</f>
        <v>0</v>
      </c>
    </row>
    <row r="131" spans="4:20">
      <c r="D131">
        <v>127</v>
      </c>
      <c r="E131">
        <f>IF(INDIRECT(ADDRESS($D131+2,E$2+1,,,"Instances"))="","",INDIRECT(ADDRESS($D131+2,E$2+1,,,"Instances")))</f>
        <v>0</v>
      </c>
      <c r="F131">
        <f>IFERROR(SMALL(E5:E188,ROW()-ROW($F$5)+1),"")</f>
        <v>0</v>
      </c>
      <c r="H131">
        <f>IFERROR(SUM(F5:F131),"")</f>
        <v>0</v>
      </c>
      <c r="J131">
        <v>127</v>
      </c>
      <c r="K131" cm="1">
        <f t="array" ref="K131">_xlfn.SWITCH(Charts!$B$3,"average", AVERAGE(INDIRECT(ADDRESS(126+3,K$2+1,,,"Instances") &amp; ":" &amp; ADDRESS(126+3,K$2+1))),"median", MEDIAN(INDIRECT(ADDRESS(126+3,K$2+1,,,"Instances") &amp; ":" &amp; ADDRESS(126+3,K$2+1))),"min", MIN(INDIRECT(ADDRESS(126+3,K$2+1,,,"Instances") &amp; ":" &amp; ADDRESS(126+3,K$2+1))),"max", MAX(INDIRECT(ADDRESS(126+3,K$2+1,,,"Instances") &amp; ":" &amp; ADDRESS(126+3,K$2+1))),"diff", MAX(INDIRECT(ADDRESS(126+3,K$2+1,,,"Instances") &amp; ":" &amp; ADDRESS(126+3,K$2+1)))-MIN(INDIRECT(ADDRESS(126+3,K$2+1,,,"Instances") &amp; ":" &amp; ADDRESS(126+3,K$2+1))))</f>
        <v>0</v>
      </c>
      <c r="L131">
        <f>IFERROR(SMALL(K5:K188,ROW()-ROW($L$5)+1),"")</f>
        <v>0</v>
      </c>
      <c r="N131">
        <f>IFERROR(SUM(L5:L131),"")</f>
        <v>0</v>
      </c>
      <c r="Q131">
        <f>IF(Charts!$B$3="none",E1058,IF(K1058="",NA(),K1058))</f>
        <v>0</v>
      </c>
      <c r="R131">
        <f>IF(Charts!$B$3="none",F1058,IF(L1058="",NA(),L1058))</f>
        <v>0</v>
      </c>
      <c r="S131">
        <f>IF(Charts!$B$3="none",G1058,IF(M1058="",NA(),M1058))</f>
        <v>0</v>
      </c>
      <c r="T131">
        <f>IF(Charts!$B$3="none",H1058,IF(N1058="",NA(),N1058))</f>
        <v>0</v>
      </c>
    </row>
    <row r="132" spans="4:20">
      <c r="D132">
        <v>128</v>
      </c>
      <c r="E132">
        <f>IF(INDIRECT(ADDRESS($D132+2,E$2+1,,,"Instances"))="","",INDIRECT(ADDRESS($D132+2,E$2+1,,,"Instances")))</f>
        <v>0</v>
      </c>
      <c r="F132">
        <f>IFERROR(SMALL(E5:E188,ROW()-ROW($F$5)+1),"")</f>
        <v>0</v>
      </c>
      <c r="H132">
        <f>IFERROR(SUM(F5:F132),"")</f>
        <v>0</v>
      </c>
      <c r="J132">
        <v>128</v>
      </c>
      <c r="K132" cm="1">
        <f t="array" ref="K132">_xlfn.SWITCH(Charts!$B$3,"average", AVERAGE(INDIRECT(ADDRESS(127+3,K$2+1,,,"Instances") &amp; ":" &amp; ADDRESS(127+3,K$2+1))),"median", MEDIAN(INDIRECT(ADDRESS(127+3,K$2+1,,,"Instances") &amp; ":" &amp; ADDRESS(127+3,K$2+1))),"min", MIN(INDIRECT(ADDRESS(127+3,K$2+1,,,"Instances") &amp; ":" &amp; ADDRESS(127+3,K$2+1))),"max", MAX(INDIRECT(ADDRESS(127+3,K$2+1,,,"Instances") &amp; ":" &amp; ADDRESS(127+3,K$2+1))),"diff", MAX(INDIRECT(ADDRESS(127+3,K$2+1,,,"Instances") &amp; ":" &amp; ADDRESS(127+3,K$2+1)))-MIN(INDIRECT(ADDRESS(127+3,K$2+1,,,"Instances") &amp; ":" &amp; ADDRESS(127+3,K$2+1))))</f>
        <v>0</v>
      </c>
      <c r="L132">
        <f>IFERROR(SMALL(K5:K188,ROW()-ROW($L$5)+1),"")</f>
        <v>0</v>
      </c>
      <c r="N132">
        <f>IFERROR(SUM(L5:L132),"")</f>
        <v>0</v>
      </c>
      <c r="Q132">
        <f>IF(Charts!$B$3="none",E1059,IF(K1059="",NA(),K1059))</f>
        <v>0</v>
      </c>
      <c r="R132">
        <f>IF(Charts!$B$3="none",F1059,IF(L1059="",NA(),L1059))</f>
        <v>0</v>
      </c>
      <c r="S132">
        <f>IF(Charts!$B$3="none",G1059,IF(M1059="",NA(),M1059))</f>
        <v>0</v>
      </c>
      <c r="T132">
        <f>IF(Charts!$B$3="none",H1059,IF(N1059="",NA(),N1059))</f>
        <v>0</v>
      </c>
    </row>
    <row r="133" spans="4:20">
      <c r="D133">
        <v>129</v>
      </c>
      <c r="E133">
        <f>IF(INDIRECT(ADDRESS($D133+2,E$2+1,,,"Instances"))="","",INDIRECT(ADDRESS($D133+2,E$2+1,,,"Instances")))</f>
        <v>0</v>
      </c>
      <c r="F133">
        <f>IFERROR(SMALL(E5:E188,ROW()-ROW($F$5)+1),"")</f>
        <v>0</v>
      </c>
      <c r="H133">
        <f>IFERROR(SUM(F5:F133),"")</f>
        <v>0</v>
      </c>
      <c r="J133">
        <v>129</v>
      </c>
      <c r="K133" cm="1">
        <f t="array" ref="K133">_xlfn.SWITCH(Charts!$B$3,"average", AVERAGE(INDIRECT(ADDRESS(128+3,K$2+1,,,"Instances") &amp; ":" &amp; ADDRESS(128+3,K$2+1))),"median", MEDIAN(INDIRECT(ADDRESS(128+3,K$2+1,,,"Instances") &amp; ":" &amp; ADDRESS(128+3,K$2+1))),"min", MIN(INDIRECT(ADDRESS(128+3,K$2+1,,,"Instances") &amp; ":" &amp; ADDRESS(128+3,K$2+1))),"max", MAX(INDIRECT(ADDRESS(128+3,K$2+1,,,"Instances") &amp; ":" &amp; ADDRESS(128+3,K$2+1))),"diff", MAX(INDIRECT(ADDRESS(128+3,K$2+1,,,"Instances") &amp; ":" &amp; ADDRESS(128+3,K$2+1)))-MIN(INDIRECT(ADDRESS(128+3,K$2+1,,,"Instances") &amp; ":" &amp; ADDRESS(128+3,K$2+1))))</f>
        <v>0</v>
      </c>
      <c r="L133">
        <f>IFERROR(SMALL(K5:K188,ROW()-ROW($L$5)+1),"")</f>
        <v>0</v>
      </c>
      <c r="N133">
        <f>IFERROR(SUM(L5:L133),"")</f>
        <v>0</v>
      </c>
      <c r="Q133">
        <f>IF(Charts!$B$3="none",E1060,IF(K1060="",NA(),K1060))</f>
        <v>0</v>
      </c>
      <c r="R133">
        <f>IF(Charts!$B$3="none",F1060,IF(L1060="",NA(),L1060))</f>
        <v>0</v>
      </c>
      <c r="S133">
        <f>IF(Charts!$B$3="none",G1060,IF(M1060="",NA(),M1060))</f>
        <v>0</v>
      </c>
      <c r="T133">
        <f>IF(Charts!$B$3="none",H1060,IF(N1060="",NA(),N1060))</f>
        <v>0</v>
      </c>
    </row>
    <row r="134" spans="4:20">
      <c r="D134">
        <v>130</v>
      </c>
      <c r="E134">
        <f>IF(INDIRECT(ADDRESS($D134+2,E$2+1,,,"Instances"))="","",INDIRECT(ADDRESS($D134+2,E$2+1,,,"Instances")))</f>
        <v>0</v>
      </c>
      <c r="F134">
        <f>IFERROR(SMALL(E5:E188,ROW()-ROW($F$5)+1),"")</f>
        <v>0</v>
      </c>
      <c r="H134">
        <f>IFERROR(SUM(F5:F134),"")</f>
        <v>0</v>
      </c>
      <c r="J134">
        <v>130</v>
      </c>
      <c r="K134" cm="1">
        <f t="array" ref="K134">_xlfn.SWITCH(Charts!$B$3,"average", AVERAGE(INDIRECT(ADDRESS(129+3,K$2+1,,,"Instances") &amp; ":" &amp; ADDRESS(129+3,K$2+1))),"median", MEDIAN(INDIRECT(ADDRESS(129+3,K$2+1,,,"Instances") &amp; ":" &amp; ADDRESS(129+3,K$2+1))),"min", MIN(INDIRECT(ADDRESS(129+3,K$2+1,,,"Instances") &amp; ":" &amp; ADDRESS(129+3,K$2+1))),"max", MAX(INDIRECT(ADDRESS(129+3,K$2+1,,,"Instances") &amp; ":" &amp; ADDRESS(129+3,K$2+1))),"diff", MAX(INDIRECT(ADDRESS(129+3,K$2+1,,,"Instances") &amp; ":" &amp; ADDRESS(129+3,K$2+1)))-MIN(INDIRECT(ADDRESS(129+3,K$2+1,,,"Instances") &amp; ":" &amp; ADDRESS(129+3,K$2+1))))</f>
        <v>0</v>
      </c>
      <c r="L134">
        <f>IFERROR(SMALL(K5:K188,ROW()-ROW($L$5)+1),"")</f>
        <v>0</v>
      </c>
      <c r="N134">
        <f>IFERROR(SUM(L5:L134),"")</f>
        <v>0</v>
      </c>
      <c r="Q134">
        <f>IF(Charts!$B$3="none",E1061,IF(K1061="",NA(),K1061))</f>
        <v>0</v>
      </c>
      <c r="R134">
        <f>IF(Charts!$B$3="none",F1061,IF(L1061="",NA(),L1061))</f>
        <v>0</v>
      </c>
      <c r="S134">
        <f>IF(Charts!$B$3="none",G1061,IF(M1061="",NA(),M1061))</f>
        <v>0</v>
      </c>
      <c r="T134">
        <f>IF(Charts!$B$3="none",H1061,IF(N1061="",NA(),N1061))</f>
        <v>0</v>
      </c>
    </row>
    <row r="135" spans="4:20">
      <c r="D135">
        <v>131</v>
      </c>
      <c r="E135">
        <f>IF(INDIRECT(ADDRESS($D135+2,E$2+1,,,"Instances"))="","",INDIRECT(ADDRESS($D135+2,E$2+1,,,"Instances")))</f>
        <v>0</v>
      </c>
      <c r="F135">
        <f>IFERROR(SMALL(E5:E188,ROW()-ROW($F$5)+1),"")</f>
        <v>0</v>
      </c>
      <c r="H135">
        <f>IFERROR(SUM(F5:F135),"")</f>
        <v>0</v>
      </c>
      <c r="J135">
        <v>131</v>
      </c>
      <c r="K135" cm="1">
        <f t="array" ref="K135">_xlfn.SWITCH(Charts!$B$3,"average", AVERAGE(INDIRECT(ADDRESS(130+3,K$2+1,,,"Instances") &amp; ":" &amp; ADDRESS(130+3,K$2+1))),"median", MEDIAN(INDIRECT(ADDRESS(130+3,K$2+1,,,"Instances") &amp; ":" &amp; ADDRESS(130+3,K$2+1))),"min", MIN(INDIRECT(ADDRESS(130+3,K$2+1,,,"Instances") &amp; ":" &amp; ADDRESS(130+3,K$2+1))),"max", MAX(INDIRECT(ADDRESS(130+3,K$2+1,,,"Instances") &amp; ":" &amp; ADDRESS(130+3,K$2+1))),"diff", MAX(INDIRECT(ADDRESS(130+3,K$2+1,,,"Instances") &amp; ":" &amp; ADDRESS(130+3,K$2+1)))-MIN(INDIRECT(ADDRESS(130+3,K$2+1,,,"Instances") &amp; ":" &amp; ADDRESS(130+3,K$2+1))))</f>
        <v>0</v>
      </c>
      <c r="L135">
        <f>IFERROR(SMALL(K5:K188,ROW()-ROW($L$5)+1),"")</f>
        <v>0</v>
      </c>
      <c r="N135">
        <f>IFERROR(SUM(L5:L135),"")</f>
        <v>0</v>
      </c>
      <c r="Q135">
        <f>IF(Charts!$B$3="none",E1062,IF(K1062="",NA(),K1062))</f>
        <v>0</v>
      </c>
      <c r="R135">
        <f>IF(Charts!$B$3="none",F1062,IF(L1062="",NA(),L1062))</f>
        <v>0</v>
      </c>
      <c r="S135">
        <f>IF(Charts!$B$3="none",G1062,IF(M1062="",NA(),M1062))</f>
        <v>0</v>
      </c>
      <c r="T135">
        <f>IF(Charts!$B$3="none",H1062,IF(N1062="",NA(),N1062))</f>
        <v>0</v>
      </c>
    </row>
    <row r="136" spans="4:20">
      <c r="D136">
        <v>132</v>
      </c>
      <c r="E136">
        <f>IF(INDIRECT(ADDRESS($D136+2,E$2+1,,,"Instances"))="","",INDIRECT(ADDRESS($D136+2,E$2+1,,,"Instances")))</f>
        <v>0</v>
      </c>
      <c r="F136">
        <f>IFERROR(SMALL(E5:E188,ROW()-ROW($F$5)+1),"")</f>
        <v>0</v>
      </c>
      <c r="H136">
        <f>IFERROR(SUM(F5:F136),"")</f>
        <v>0</v>
      </c>
      <c r="J136">
        <v>132</v>
      </c>
      <c r="K136" cm="1">
        <f t="array" ref="K136">_xlfn.SWITCH(Charts!$B$3,"average", AVERAGE(INDIRECT(ADDRESS(131+3,K$2+1,,,"Instances") &amp; ":" &amp; ADDRESS(131+3,K$2+1))),"median", MEDIAN(INDIRECT(ADDRESS(131+3,K$2+1,,,"Instances") &amp; ":" &amp; ADDRESS(131+3,K$2+1))),"min", MIN(INDIRECT(ADDRESS(131+3,K$2+1,,,"Instances") &amp; ":" &amp; ADDRESS(131+3,K$2+1))),"max", MAX(INDIRECT(ADDRESS(131+3,K$2+1,,,"Instances") &amp; ":" &amp; ADDRESS(131+3,K$2+1))),"diff", MAX(INDIRECT(ADDRESS(131+3,K$2+1,,,"Instances") &amp; ":" &amp; ADDRESS(131+3,K$2+1)))-MIN(INDIRECT(ADDRESS(131+3,K$2+1,,,"Instances") &amp; ":" &amp; ADDRESS(131+3,K$2+1))))</f>
        <v>0</v>
      </c>
      <c r="L136">
        <f>IFERROR(SMALL(K5:K188,ROW()-ROW($L$5)+1),"")</f>
        <v>0</v>
      </c>
      <c r="N136">
        <f>IFERROR(SUM(L5:L136),"")</f>
        <v>0</v>
      </c>
      <c r="Q136">
        <f>IF(Charts!$B$3="none",E1063,IF(K1063="",NA(),K1063))</f>
        <v>0</v>
      </c>
      <c r="R136">
        <f>IF(Charts!$B$3="none",F1063,IF(L1063="",NA(),L1063))</f>
        <v>0</v>
      </c>
      <c r="S136">
        <f>IF(Charts!$B$3="none",G1063,IF(M1063="",NA(),M1063))</f>
        <v>0</v>
      </c>
      <c r="T136">
        <f>IF(Charts!$B$3="none",H1063,IF(N1063="",NA(),N1063))</f>
        <v>0</v>
      </c>
    </row>
    <row r="137" spans="4:20">
      <c r="D137">
        <v>133</v>
      </c>
      <c r="E137">
        <f>IF(INDIRECT(ADDRESS($D137+2,E$2+1,,,"Instances"))="","",INDIRECT(ADDRESS($D137+2,E$2+1,,,"Instances")))</f>
        <v>0</v>
      </c>
      <c r="F137">
        <f>IFERROR(SMALL(E5:E188,ROW()-ROW($F$5)+1),"")</f>
        <v>0</v>
      </c>
      <c r="H137">
        <f>IFERROR(SUM(F5:F137),"")</f>
        <v>0</v>
      </c>
      <c r="J137">
        <v>133</v>
      </c>
      <c r="K137" cm="1">
        <f t="array" ref="K137">_xlfn.SWITCH(Charts!$B$3,"average", AVERAGE(INDIRECT(ADDRESS(132+3,K$2+1,,,"Instances") &amp; ":" &amp; ADDRESS(132+3,K$2+1))),"median", MEDIAN(INDIRECT(ADDRESS(132+3,K$2+1,,,"Instances") &amp; ":" &amp; ADDRESS(132+3,K$2+1))),"min", MIN(INDIRECT(ADDRESS(132+3,K$2+1,,,"Instances") &amp; ":" &amp; ADDRESS(132+3,K$2+1))),"max", MAX(INDIRECT(ADDRESS(132+3,K$2+1,,,"Instances") &amp; ":" &amp; ADDRESS(132+3,K$2+1))),"diff", MAX(INDIRECT(ADDRESS(132+3,K$2+1,,,"Instances") &amp; ":" &amp; ADDRESS(132+3,K$2+1)))-MIN(INDIRECT(ADDRESS(132+3,K$2+1,,,"Instances") &amp; ":" &amp; ADDRESS(132+3,K$2+1))))</f>
        <v>0</v>
      </c>
      <c r="L137">
        <f>IFERROR(SMALL(K5:K188,ROW()-ROW($L$5)+1),"")</f>
        <v>0</v>
      </c>
      <c r="N137">
        <f>IFERROR(SUM(L5:L137),"")</f>
        <v>0</v>
      </c>
      <c r="Q137">
        <f>IF(Charts!$B$3="none",E1064,IF(K1064="",NA(),K1064))</f>
        <v>0</v>
      </c>
      <c r="R137">
        <f>IF(Charts!$B$3="none",F1064,IF(L1064="",NA(),L1064))</f>
        <v>0</v>
      </c>
      <c r="S137">
        <f>IF(Charts!$B$3="none",G1064,IF(M1064="",NA(),M1064))</f>
        <v>0</v>
      </c>
      <c r="T137">
        <f>IF(Charts!$B$3="none",H1064,IF(N1064="",NA(),N1064))</f>
        <v>0</v>
      </c>
    </row>
    <row r="138" spans="4:20">
      <c r="D138">
        <v>134</v>
      </c>
      <c r="E138">
        <f>IF(INDIRECT(ADDRESS($D138+2,E$2+1,,,"Instances"))="","",INDIRECT(ADDRESS($D138+2,E$2+1,,,"Instances")))</f>
        <v>0</v>
      </c>
      <c r="F138">
        <f>IFERROR(SMALL(E5:E188,ROW()-ROW($F$5)+1),"")</f>
        <v>0</v>
      </c>
      <c r="H138">
        <f>IFERROR(SUM(F5:F138),"")</f>
        <v>0</v>
      </c>
      <c r="J138">
        <v>134</v>
      </c>
      <c r="K138" cm="1">
        <f t="array" ref="K138">_xlfn.SWITCH(Charts!$B$3,"average", AVERAGE(INDIRECT(ADDRESS(133+3,K$2+1,,,"Instances") &amp; ":" &amp; ADDRESS(133+3,K$2+1))),"median", MEDIAN(INDIRECT(ADDRESS(133+3,K$2+1,,,"Instances") &amp; ":" &amp; ADDRESS(133+3,K$2+1))),"min", MIN(INDIRECT(ADDRESS(133+3,K$2+1,,,"Instances") &amp; ":" &amp; ADDRESS(133+3,K$2+1))),"max", MAX(INDIRECT(ADDRESS(133+3,K$2+1,,,"Instances") &amp; ":" &amp; ADDRESS(133+3,K$2+1))),"diff", MAX(INDIRECT(ADDRESS(133+3,K$2+1,,,"Instances") &amp; ":" &amp; ADDRESS(133+3,K$2+1)))-MIN(INDIRECT(ADDRESS(133+3,K$2+1,,,"Instances") &amp; ":" &amp; ADDRESS(133+3,K$2+1))))</f>
        <v>0</v>
      </c>
      <c r="L138">
        <f>IFERROR(SMALL(K5:K188,ROW()-ROW($L$5)+1),"")</f>
        <v>0</v>
      </c>
      <c r="N138">
        <f>IFERROR(SUM(L5:L138),"")</f>
        <v>0</v>
      </c>
      <c r="Q138">
        <f>IF(Charts!$B$3="none",E1065,IF(K1065="",NA(),K1065))</f>
        <v>0</v>
      </c>
      <c r="R138">
        <f>IF(Charts!$B$3="none",F1065,IF(L1065="",NA(),L1065))</f>
        <v>0</v>
      </c>
      <c r="S138">
        <f>IF(Charts!$B$3="none",G1065,IF(M1065="",NA(),M1065))</f>
        <v>0</v>
      </c>
      <c r="T138">
        <f>IF(Charts!$B$3="none",H1065,IF(N1065="",NA(),N1065))</f>
        <v>0</v>
      </c>
    </row>
    <row r="139" spans="4:20">
      <c r="D139">
        <v>135</v>
      </c>
      <c r="E139">
        <f>IF(INDIRECT(ADDRESS($D139+2,E$2+1,,,"Instances"))="","",INDIRECT(ADDRESS($D139+2,E$2+1,,,"Instances")))</f>
        <v>0</v>
      </c>
      <c r="F139">
        <f>IFERROR(SMALL(E5:E188,ROW()-ROW($F$5)+1),"")</f>
        <v>0</v>
      </c>
      <c r="H139">
        <f>IFERROR(SUM(F5:F139),"")</f>
        <v>0</v>
      </c>
      <c r="J139">
        <v>135</v>
      </c>
      <c r="K139" cm="1">
        <f t="array" ref="K139">_xlfn.SWITCH(Charts!$B$3,"average", AVERAGE(INDIRECT(ADDRESS(134+3,K$2+1,,,"Instances") &amp; ":" &amp; ADDRESS(134+3,K$2+1))),"median", MEDIAN(INDIRECT(ADDRESS(134+3,K$2+1,,,"Instances") &amp; ":" &amp; ADDRESS(134+3,K$2+1))),"min", MIN(INDIRECT(ADDRESS(134+3,K$2+1,,,"Instances") &amp; ":" &amp; ADDRESS(134+3,K$2+1))),"max", MAX(INDIRECT(ADDRESS(134+3,K$2+1,,,"Instances") &amp; ":" &amp; ADDRESS(134+3,K$2+1))),"diff", MAX(INDIRECT(ADDRESS(134+3,K$2+1,,,"Instances") &amp; ":" &amp; ADDRESS(134+3,K$2+1)))-MIN(INDIRECT(ADDRESS(134+3,K$2+1,,,"Instances") &amp; ":" &amp; ADDRESS(134+3,K$2+1))))</f>
        <v>0</v>
      </c>
      <c r="L139">
        <f>IFERROR(SMALL(K5:K188,ROW()-ROW($L$5)+1),"")</f>
        <v>0</v>
      </c>
      <c r="N139">
        <f>IFERROR(SUM(L5:L139),"")</f>
        <v>0</v>
      </c>
      <c r="Q139">
        <f>IF(Charts!$B$3="none",E1066,IF(K1066="",NA(),K1066))</f>
        <v>0</v>
      </c>
      <c r="R139">
        <f>IF(Charts!$B$3="none",F1066,IF(L1066="",NA(),L1066))</f>
        <v>0</v>
      </c>
      <c r="S139">
        <f>IF(Charts!$B$3="none",G1066,IF(M1066="",NA(),M1066))</f>
        <v>0</v>
      </c>
      <c r="T139">
        <f>IF(Charts!$B$3="none",H1066,IF(N1066="",NA(),N1066))</f>
        <v>0</v>
      </c>
    </row>
    <row r="140" spans="4:20">
      <c r="D140">
        <v>136</v>
      </c>
      <c r="E140">
        <f>IF(INDIRECT(ADDRESS($D140+2,E$2+1,,,"Instances"))="","",INDIRECT(ADDRESS($D140+2,E$2+1,,,"Instances")))</f>
        <v>0</v>
      </c>
      <c r="F140">
        <f>IFERROR(SMALL(E5:E188,ROW()-ROW($F$5)+1),"")</f>
        <v>0</v>
      </c>
      <c r="H140">
        <f>IFERROR(SUM(F5:F140),"")</f>
        <v>0</v>
      </c>
      <c r="J140">
        <v>136</v>
      </c>
      <c r="K140" cm="1">
        <f t="array" ref="K140">_xlfn.SWITCH(Charts!$B$3,"average", AVERAGE(INDIRECT(ADDRESS(135+3,K$2+1,,,"Instances") &amp; ":" &amp; ADDRESS(135+3,K$2+1))),"median", MEDIAN(INDIRECT(ADDRESS(135+3,K$2+1,,,"Instances") &amp; ":" &amp; ADDRESS(135+3,K$2+1))),"min", MIN(INDIRECT(ADDRESS(135+3,K$2+1,,,"Instances") &amp; ":" &amp; ADDRESS(135+3,K$2+1))),"max", MAX(INDIRECT(ADDRESS(135+3,K$2+1,,,"Instances") &amp; ":" &amp; ADDRESS(135+3,K$2+1))),"diff", MAX(INDIRECT(ADDRESS(135+3,K$2+1,,,"Instances") &amp; ":" &amp; ADDRESS(135+3,K$2+1)))-MIN(INDIRECT(ADDRESS(135+3,K$2+1,,,"Instances") &amp; ":" &amp; ADDRESS(135+3,K$2+1))))</f>
        <v>0</v>
      </c>
      <c r="L140">
        <f>IFERROR(SMALL(K5:K188,ROW()-ROW($L$5)+1),"")</f>
        <v>0</v>
      </c>
      <c r="N140">
        <f>IFERROR(SUM(L5:L140),"")</f>
        <v>0</v>
      </c>
      <c r="Q140">
        <f>IF(Charts!$B$3="none",E1067,IF(K1067="",NA(),K1067))</f>
        <v>0</v>
      </c>
      <c r="R140">
        <f>IF(Charts!$B$3="none",F1067,IF(L1067="",NA(),L1067))</f>
        <v>0</v>
      </c>
      <c r="S140">
        <f>IF(Charts!$B$3="none",G1067,IF(M1067="",NA(),M1067))</f>
        <v>0</v>
      </c>
      <c r="T140">
        <f>IF(Charts!$B$3="none",H1067,IF(N1067="",NA(),N1067))</f>
        <v>0</v>
      </c>
    </row>
    <row r="141" spans="4:20">
      <c r="D141">
        <v>137</v>
      </c>
      <c r="E141">
        <f>IF(INDIRECT(ADDRESS($D141+2,E$2+1,,,"Instances"))="","",INDIRECT(ADDRESS($D141+2,E$2+1,,,"Instances")))</f>
        <v>0</v>
      </c>
      <c r="F141">
        <f>IFERROR(SMALL(E5:E188,ROW()-ROW($F$5)+1),"")</f>
        <v>0</v>
      </c>
      <c r="H141">
        <f>IFERROR(SUM(F5:F141),"")</f>
        <v>0</v>
      </c>
      <c r="J141">
        <v>137</v>
      </c>
      <c r="K141" cm="1">
        <f t="array" ref="K141">_xlfn.SWITCH(Charts!$B$3,"average", AVERAGE(INDIRECT(ADDRESS(136+3,K$2+1,,,"Instances") &amp; ":" &amp; ADDRESS(136+3,K$2+1))),"median", MEDIAN(INDIRECT(ADDRESS(136+3,K$2+1,,,"Instances") &amp; ":" &amp; ADDRESS(136+3,K$2+1))),"min", MIN(INDIRECT(ADDRESS(136+3,K$2+1,,,"Instances") &amp; ":" &amp; ADDRESS(136+3,K$2+1))),"max", MAX(INDIRECT(ADDRESS(136+3,K$2+1,,,"Instances") &amp; ":" &amp; ADDRESS(136+3,K$2+1))),"diff", MAX(INDIRECT(ADDRESS(136+3,K$2+1,,,"Instances") &amp; ":" &amp; ADDRESS(136+3,K$2+1)))-MIN(INDIRECT(ADDRESS(136+3,K$2+1,,,"Instances") &amp; ":" &amp; ADDRESS(136+3,K$2+1))))</f>
        <v>0</v>
      </c>
      <c r="L141">
        <f>IFERROR(SMALL(K5:K188,ROW()-ROW($L$5)+1),"")</f>
        <v>0</v>
      </c>
      <c r="N141">
        <f>IFERROR(SUM(L5:L141),"")</f>
        <v>0</v>
      </c>
      <c r="Q141">
        <f>IF(Charts!$B$3="none",E1068,IF(K1068="",NA(),K1068))</f>
        <v>0</v>
      </c>
      <c r="R141">
        <f>IF(Charts!$B$3="none",F1068,IF(L1068="",NA(),L1068))</f>
        <v>0</v>
      </c>
      <c r="S141">
        <f>IF(Charts!$B$3="none",G1068,IF(M1068="",NA(),M1068))</f>
        <v>0</v>
      </c>
      <c r="T141">
        <f>IF(Charts!$B$3="none",H1068,IF(N1068="",NA(),N1068))</f>
        <v>0</v>
      </c>
    </row>
    <row r="142" spans="4:20">
      <c r="D142">
        <v>138</v>
      </c>
      <c r="E142">
        <f>IF(INDIRECT(ADDRESS($D142+2,E$2+1,,,"Instances"))="","",INDIRECT(ADDRESS($D142+2,E$2+1,,,"Instances")))</f>
        <v>0</v>
      </c>
      <c r="F142">
        <f>IFERROR(SMALL(E5:E188,ROW()-ROW($F$5)+1),"")</f>
        <v>0</v>
      </c>
      <c r="H142">
        <f>IFERROR(SUM(F5:F142),"")</f>
        <v>0</v>
      </c>
      <c r="J142">
        <v>138</v>
      </c>
      <c r="K142" cm="1">
        <f t="array" ref="K142">_xlfn.SWITCH(Charts!$B$3,"average", AVERAGE(INDIRECT(ADDRESS(137+3,K$2+1,,,"Instances") &amp; ":" &amp; ADDRESS(137+3,K$2+1))),"median", MEDIAN(INDIRECT(ADDRESS(137+3,K$2+1,,,"Instances") &amp; ":" &amp; ADDRESS(137+3,K$2+1))),"min", MIN(INDIRECT(ADDRESS(137+3,K$2+1,,,"Instances") &amp; ":" &amp; ADDRESS(137+3,K$2+1))),"max", MAX(INDIRECT(ADDRESS(137+3,K$2+1,,,"Instances") &amp; ":" &amp; ADDRESS(137+3,K$2+1))),"diff", MAX(INDIRECT(ADDRESS(137+3,K$2+1,,,"Instances") &amp; ":" &amp; ADDRESS(137+3,K$2+1)))-MIN(INDIRECT(ADDRESS(137+3,K$2+1,,,"Instances") &amp; ":" &amp; ADDRESS(137+3,K$2+1))))</f>
        <v>0</v>
      </c>
      <c r="L142">
        <f>IFERROR(SMALL(K5:K188,ROW()-ROW($L$5)+1),"")</f>
        <v>0</v>
      </c>
      <c r="N142">
        <f>IFERROR(SUM(L5:L142),"")</f>
        <v>0</v>
      </c>
      <c r="Q142">
        <f>IF(Charts!$B$3="none",E1069,IF(K1069="",NA(),K1069))</f>
        <v>0</v>
      </c>
      <c r="R142">
        <f>IF(Charts!$B$3="none",F1069,IF(L1069="",NA(),L1069))</f>
        <v>0</v>
      </c>
      <c r="S142">
        <f>IF(Charts!$B$3="none",G1069,IF(M1069="",NA(),M1069))</f>
        <v>0</v>
      </c>
      <c r="T142">
        <f>IF(Charts!$B$3="none",H1069,IF(N1069="",NA(),N1069))</f>
        <v>0</v>
      </c>
    </row>
    <row r="143" spans="4:20">
      <c r="D143">
        <v>139</v>
      </c>
      <c r="E143">
        <f>IF(INDIRECT(ADDRESS($D143+2,E$2+1,,,"Instances"))="","",INDIRECT(ADDRESS($D143+2,E$2+1,,,"Instances")))</f>
        <v>0</v>
      </c>
      <c r="F143">
        <f>IFERROR(SMALL(E5:E188,ROW()-ROW($F$5)+1),"")</f>
        <v>0</v>
      </c>
      <c r="H143">
        <f>IFERROR(SUM(F5:F143),"")</f>
        <v>0</v>
      </c>
      <c r="J143">
        <v>139</v>
      </c>
      <c r="K143" cm="1">
        <f t="array" ref="K143">_xlfn.SWITCH(Charts!$B$3,"average", AVERAGE(INDIRECT(ADDRESS(138+3,K$2+1,,,"Instances") &amp; ":" &amp; ADDRESS(138+3,K$2+1))),"median", MEDIAN(INDIRECT(ADDRESS(138+3,K$2+1,,,"Instances") &amp; ":" &amp; ADDRESS(138+3,K$2+1))),"min", MIN(INDIRECT(ADDRESS(138+3,K$2+1,,,"Instances") &amp; ":" &amp; ADDRESS(138+3,K$2+1))),"max", MAX(INDIRECT(ADDRESS(138+3,K$2+1,,,"Instances") &amp; ":" &amp; ADDRESS(138+3,K$2+1))),"diff", MAX(INDIRECT(ADDRESS(138+3,K$2+1,,,"Instances") &amp; ":" &amp; ADDRESS(138+3,K$2+1)))-MIN(INDIRECT(ADDRESS(138+3,K$2+1,,,"Instances") &amp; ":" &amp; ADDRESS(138+3,K$2+1))))</f>
        <v>0</v>
      </c>
      <c r="L143">
        <f>IFERROR(SMALL(K5:K188,ROW()-ROW($L$5)+1),"")</f>
        <v>0</v>
      </c>
      <c r="N143">
        <f>IFERROR(SUM(L5:L143),"")</f>
        <v>0</v>
      </c>
      <c r="Q143">
        <f>IF(Charts!$B$3="none",E1070,IF(K1070="",NA(),K1070))</f>
        <v>0</v>
      </c>
      <c r="R143">
        <f>IF(Charts!$B$3="none",F1070,IF(L1070="",NA(),L1070))</f>
        <v>0</v>
      </c>
      <c r="S143">
        <f>IF(Charts!$B$3="none",G1070,IF(M1070="",NA(),M1070))</f>
        <v>0</v>
      </c>
      <c r="T143">
        <f>IF(Charts!$B$3="none",H1070,IF(N1070="",NA(),N1070))</f>
        <v>0</v>
      </c>
    </row>
    <row r="144" spans="4:20">
      <c r="D144">
        <v>140</v>
      </c>
      <c r="E144">
        <f>IF(INDIRECT(ADDRESS($D144+2,E$2+1,,,"Instances"))="","",INDIRECT(ADDRESS($D144+2,E$2+1,,,"Instances")))</f>
        <v>0</v>
      </c>
      <c r="F144">
        <f>IFERROR(SMALL(E5:E188,ROW()-ROW($F$5)+1),"")</f>
        <v>0</v>
      </c>
      <c r="H144">
        <f>IFERROR(SUM(F5:F144),"")</f>
        <v>0</v>
      </c>
      <c r="J144">
        <v>140</v>
      </c>
      <c r="K144" cm="1">
        <f t="array" ref="K144">_xlfn.SWITCH(Charts!$B$3,"average", AVERAGE(INDIRECT(ADDRESS(139+3,K$2+1,,,"Instances") &amp; ":" &amp; ADDRESS(139+3,K$2+1))),"median", MEDIAN(INDIRECT(ADDRESS(139+3,K$2+1,,,"Instances") &amp; ":" &amp; ADDRESS(139+3,K$2+1))),"min", MIN(INDIRECT(ADDRESS(139+3,K$2+1,,,"Instances") &amp; ":" &amp; ADDRESS(139+3,K$2+1))),"max", MAX(INDIRECT(ADDRESS(139+3,K$2+1,,,"Instances") &amp; ":" &amp; ADDRESS(139+3,K$2+1))),"diff", MAX(INDIRECT(ADDRESS(139+3,K$2+1,,,"Instances") &amp; ":" &amp; ADDRESS(139+3,K$2+1)))-MIN(INDIRECT(ADDRESS(139+3,K$2+1,,,"Instances") &amp; ":" &amp; ADDRESS(139+3,K$2+1))))</f>
        <v>0</v>
      </c>
      <c r="L144">
        <f>IFERROR(SMALL(K5:K188,ROW()-ROW($L$5)+1),"")</f>
        <v>0</v>
      </c>
      <c r="N144">
        <f>IFERROR(SUM(L5:L144),"")</f>
        <v>0</v>
      </c>
      <c r="Q144">
        <f>IF(Charts!$B$3="none",E1071,IF(K1071="",NA(),K1071))</f>
        <v>0</v>
      </c>
      <c r="R144">
        <f>IF(Charts!$B$3="none",F1071,IF(L1071="",NA(),L1071))</f>
        <v>0</v>
      </c>
      <c r="S144">
        <f>IF(Charts!$B$3="none",G1071,IF(M1071="",NA(),M1071))</f>
        <v>0</v>
      </c>
      <c r="T144">
        <f>IF(Charts!$B$3="none",H1071,IF(N1071="",NA(),N1071))</f>
        <v>0</v>
      </c>
    </row>
    <row r="145" spans="4:20">
      <c r="D145">
        <v>141</v>
      </c>
      <c r="E145">
        <f>IF(INDIRECT(ADDRESS($D145+2,E$2+1,,,"Instances"))="","",INDIRECT(ADDRESS($D145+2,E$2+1,,,"Instances")))</f>
        <v>0</v>
      </c>
      <c r="F145">
        <f>IFERROR(SMALL(E5:E188,ROW()-ROW($F$5)+1),"")</f>
        <v>0</v>
      </c>
      <c r="H145">
        <f>IFERROR(SUM(F5:F145),"")</f>
        <v>0</v>
      </c>
      <c r="J145">
        <v>141</v>
      </c>
      <c r="K145" cm="1">
        <f t="array" ref="K145">_xlfn.SWITCH(Charts!$B$3,"average", AVERAGE(INDIRECT(ADDRESS(140+3,K$2+1,,,"Instances") &amp; ":" &amp; ADDRESS(140+3,K$2+1))),"median", MEDIAN(INDIRECT(ADDRESS(140+3,K$2+1,,,"Instances") &amp; ":" &amp; ADDRESS(140+3,K$2+1))),"min", MIN(INDIRECT(ADDRESS(140+3,K$2+1,,,"Instances") &amp; ":" &amp; ADDRESS(140+3,K$2+1))),"max", MAX(INDIRECT(ADDRESS(140+3,K$2+1,,,"Instances") &amp; ":" &amp; ADDRESS(140+3,K$2+1))),"diff", MAX(INDIRECT(ADDRESS(140+3,K$2+1,,,"Instances") &amp; ":" &amp; ADDRESS(140+3,K$2+1)))-MIN(INDIRECT(ADDRESS(140+3,K$2+1,,,"Instances") &amp; ":" &amp; ADDRESS(140+3,K$2+1))))</f>
        <v>0</v>
      </c>
      <c r="L145">
        <f>IFERROR(SMALL(K5:K188,ROW()-ROW($L$5)+1),"")</f>
        <v>0</v>
      </c>
      <c r="N145">
        <f>IFERROR(SUM(L5:L145),"")</f>
        <v>0</v>
      </c>
      <c r="Q145">
        <f>IF(Charts!$B$3="none",E1072,IF(K1072="",NA(),K1072))</f>
        <v>0</v>
      </c>
      <c r="R145">
        <f>IF(Charts!$B$3="none",F1072,IF(L1072="",NA(),L1072))</f>
        <v>0</v>
      </c>
      <c r="S145">
        <f>IF(Charts!$B$3="none",G1072,IF(M1072="",NA(),M1072))</f>
        <v>0</v>
      </c>
      <c r="T145">
        <f>IF(Charts!$B$3="none",H1072,IF(N1072="",NA(),N1072))</f>
        <v>0</v>
      </c>
    </row>
    <row r="146" spans="4:20">
      <c r="D146">
        <v>142</v>
      </c>
      <c r="E146">
        <f>IF(INDIRECT(ADDRESS($D146+2,E$2+1,,,"Instances"))="","",INDIRECT(ADDRESS($D146+2,E$2+1,,,"Instances")))</f>
        <v>0</v>
      </c>
      <c r="F146">
        <f>IFERROR(SMALL(E5:E188,ROW()-ROW($F$5)+1),"")</f>
        <v>0</v>
      </c>
      <c r="H146">
        <f>IFERROR(SUM(F5:F146),"")</f>
        <v>0</v>
      </c>
      <c r="J146">
        <v>142</v>
      </c>
      <c r="K146" cm="1">
        <f t="array" ref="K146">_xlfn.SWITCH(Charts!$B$3,"average", AVERAGE(INDIRECT(ADDRESS(141+3,K$2+1,,,"Instances") &amp; ":" &amp; ADDRESS(141+3,K$2+1))),"median", MEDIAN(INDIRECT(ADDRESS(141+3,K$2+1,,,"Instances") &amp; ":" &amp; ADDRESS(141+3,K$2+1))),"min", MIN(INDIRECT(ADDRESS(141+3,K$2+1,,,"Instances") &amp; ":" &amp; ADDRESS(141+3,K$2+1))),"max", MAX(INDIRECT(ADDRESS(141+3,K$2+1,,,"Instances") &amp; ":" &amp; ADDRESS(141+3,K$2+1))),"diff", MAX(INDIRECT(ADDRESS(141+3,K$2+1,,,"Instances") &amp; ":" &amp; ADDRESS(141+3,K$2+1)))-MIN(INDIRECT(ADDRESS(141+3,K$2+1,,,"Instances") &amp; ":" &amp; ADDRESS(141+3,K$2+1))))</f>
        <v>0</v>
      </c>
      <c r="L146">
        <f>IFERROR(SMALL(K5:K188,ROW()-ROW($L$5)+1),"")</f>
        <v>0</v>
      </c>
      <c r="N146">
        <f>IFERROR(SUM(L5:L146),"")</f>
        <v>0</v>
      </c>
      <c r="Q146">
        <f>IF(Charts!$B$3="none",E1073,IF(K1073="",NA(),K1073))</f>
        <v>0</v>
      </c>
      <c r="R146">
        <f>IF(Charts!$B$3="none",F1073,IF(L1073="",NA(),L1073))</f>
        <v>0</v>
      </c>
      <c r="S146">
        <f>IF(Charts!$B$3="none",G1073,IF(M1073="",NA(),M1073))</f>
        <v>0</v>
      </c>
      <c r="T146">
        <f>IF(Charts!$B$3="none",H1073,IF(N1073="",NA(),N1073))</f>
        <v>0</v>
      </c>
    </row>
    <row r="147" spans="4:20">
      <c r="D147">
        <v>143</v>
      </c>
      <c r="E147">
        <f>IF(INDIRECT(ADDRESS($D147+2,E$2+1,,,"Instances"))="","",INDIRECT(ADDRESS($D147+2,E$2+1,,,"Instances")))</f>
        <v>0</v>
      </c>
      <c r="F147">
        <f>IFERROR(SMALL(E5:E188,ROW()-ROW($F$5)+1),"")</f>
        <v>0</v>
      </c>
      <c r="H147">
        <f>IFERROR(SUM(F5:F147),"")</f>
        <v>0</v>
      </c>
      <c r="J147">
        <v>143</v>
      </c>
      <c r="K147" cm="1">
        <f t="array" ref="K147">_xlfn.SWITCH(Charts!$B$3,"average", AVERAGE(INDIRECT(ADDRESS(142+3,K$2+1,,,"Instances") &amp; ":" &amp; ADDRESS(142+3,K$2+1))),"median", MEDIAN(INDIRECT(ADDRESS(142+3,K$2+1,,,"Instances") &amp; ":" &amp; ADDRESS(142+3,K$2+1))),"min", MIN(INDIRECT(ADDRESS(142+3,K$2+1,,,"Instances") &amp; ":" &amp; ADDRESS(142+3,K$2+1))),"max", MAX(INDIRECT(ADDRESS(142+3,K$2+1,,,"Instances") &amp; ":" &amp; ADDRESS(142+3,K$2+1))),"diff", MAX(INDIRECT(ADDRESS(142+3,K$2+1,,,"Instances") &amp; ":" &amp; ADDRESS(142+3,K$2+1)))-MIN(INDIRECT(ADDRESS(142+3,K$2+1,,,"Instances") &amp; ":" &amp; ADDRESS(142+3,K$2+1))))</f>
        <v>0</v>
      </c>
      <c r="L147">
        <f>IFERROR(SMALL(K5:K188,ROW()-ROW($L$5)+1),"")</f>
        <v>0</v>
      </c>
      <c r="N147">
        <f>IFERROR(SUM(L5:L147),"")</f>
        <v>0</v>
      </c>
      <c r="Q147">
        <f>IF(Charts!$B$3="none",E1074,IF(K1074="",NA(),K1074))</f>
        <v>0</v>
      </c>
      <c r="R147">
        <f>IF(Charts!$B$3="none",F1074,IF(L1074="",NA(),L1074))</f>
        <v>0</v>
      </c>
      <c r="S147">
        <f>IF(Charts!$B$3="none",G1074,IF(M1074="",NA(),M1074))</f>
        <v>0</v>
      </c>
      <c r="T147">
        <f>IF(Charts!$B$3="none",H1074,IF(N1074="",NA(),N1074))</f>
        <v>0</v>
      </c>
    </row>
    <row r="148" spans="4:20">
      <c r="D148">
        <v>144</v>
      </c>
      <c r="E148">
        <f>IF(INDIRECT(ADDRESS($D148+2,E$2+1,,,"Instances"))="","",INDIRECT(ADDRESS($D148+2,E$2+1,,,"Instances")))</f>
        <v>0</v>
      </c>
      <c r="F148">
        <f>IFERROR(SMALL(E5:E188,ROW()-ROW($F$5)+1),"")</f>
        <v>0</v>
      </c>
      <c r="H148">
        <f>IFERROR(SUM(F5:F148),"")</f>
        <v>0</v>
      </c>
      <c r="J148">
        <v>144</v>
      </c>
      <c r="K148" cm="1">
        <f t="array" ref="K148">_xlfn.SWITCH(Charts!$B$3,"average", AVERAGE(INDIRECT(ADDRESS(143+3,K$2+1,,,"Instances") &amp; ":" &amp; ADDRESS(143+3,K$2+1))),"median", MEDIAN(INDIRECT(ADDRESS(143+3,K$2+1,,,"Instances") &amp; ":" &amp; ADDRESS(143+3,K$2+1))),"min", MIN(INDIRECT(ADDRESS(143+3,K$2+1,,,"Instances") &amp; ":" &amp; ADDRESS(143+3,K$2+1))),"max", MAX(INDIRECT(ADDRESS(143+3,K$2+1,,,"Instances") &amp; ":" &amp; ADDRESS(143+3,K$2+1))),"diff", MAX(INDIRECT(ADDRESS(143+3,K$2+1,,,"Instances") &amp; ":" &amp; ADDRESS(143+3,K$2+1)))-MIN(INDIRECT(ADDRESS(143+3,K$2+1,,,"Instances") &amp; ":" &amp; ADDRESS(143+3,K$2+1))))</f>
        <v>0</v>
      </c>
      <c r="L148">
        <f>IFERROR(SMALL(K5:K188,ROW()-ROW($L$5)+1),"")</f>
        <v>0</v>
      </c>
      <c r="N148">
        <f>IFERROR(SUM(L5:L148),"")</f>
        <v>0</v>
      </c>
      <c r="Q148">
        <f>IF(Charts!$B$3="none",E1075,IF(K1075="",NA(),K1075))</f>
        <v>0</v>
      </c>
      <c r="R148">
        <f>IF(Charts!$B$3="none",F1075,IF(L1075="",NA(),L1075))</f>
        <v>0</v>
      </c>
      <c r="S148">
        <f>IF(Charts!$B$3="none",G1075,IF(M1075="",NA(),M1075))</f>
        <v>0</v>
      </c>
      <c r="T148">
        <f>IF(Charts!$B$3="none",H1075,IF(N1075="",NA(),N1075))</f>
        <v>0</v>
      </c>
    </row>
    <row r="149" spans="4:20">
      <c r="D149">
        <v>145</v>
      </c>
      <c r="E149">
        <f>IF(INDIRECT(ADDRESS($D149+2,E$2+1,,,"Instances"))="","",INDIRECT(ADDRESS($D149+2,E$2+1,,,"Instances")))</f>
        <v>0</v>
      </c>
      <c r="F149">
        <f>IFERROR(SMALL(E5:E188,ROW()-ROW($F$5)+1),"")</f>
        <v>0</v>
      </c>
      <c r="H149">
        <f>IFERROR(SUM(F5:F149),"")</f>
        <v>0</v>
      </c>
      <c r="J149">
        <v>145</v>
      </c>
      <c r="K149" cm="1">
        <f t="array" ref="K149">_xlfn.SWITCH(Charts!$B$3,"average", AVERAGE(INDIRECT(ADDRESS(144+3,K$2+1,,,"Instances") &amp; ":" &amp; ADDRESS(144+3,K$2+1))),"median", MEDIAN(INDIRECT(ADDRESS(144+3,K$2+1,,,"Instances") &amp; ":" &amp; ADDRESS(144+3,K$2+1))),"min", MIN(INDIRECT(ADDRESS(144+3,K$2+1,,,"Instances") &amp; ":" &amp; ADDRESS(144+3,K$2+1))),"max", MAX(INDIRECT(ADDRESS(144+3,K$2+1,,,"Instances") &amp; ":" &amp; ADDRESS(144+3,K$2+1))),"diff", MAX(INDIRECT(ADDRESS(144+3,K$2+1,,,"Instances") &amp; ":" &amp; ADDRESS(144+3,K$2+1)))-MIN(INDIRECT(ADDRESS(144+3,K$2+1,,,"Instances") &amp; ":" &amp; ADDRESS(144+3,K$2+1))))</f>
        <v>0</v>
      </c>
      <c r="L149">
        <f>IFERROR(SMALL(K5:K188,ROW()-ROW($L$5)+1),"")</f>
        <v>0</v>
      </c>
      <c r="N149">
        <f>IFERROR(SUM(L5:L149),"")</f>
        <v>0</v>
      </c>
      <c r="Q149">
        <f>IF(Charts!$B$3="none",E1076,IF(K1076="",NA(),K1076))</f>
        <v>0</v>
      </c>
      <c r="R149">
        <f>IF(Charts!$B$3="none",F1076,IF(L1076="",NA(),L1076))</f>
        <v>0</v>
      </c>
      <c r="S149">
        <f>IF(Charts!$B$3="none",G1076,IF(M1076="",NA(),M1076))</f>
        <v>0</v>
      </c>
      <c r="T149">
        <f>IF(Charts!$B$3="none",H1076,IF(N1076="",NA(),N1076))</f>
        <v>0</v>
      </c>
    </row>
    <row r="150" spans="4:20">
      <c r="D150">
        <v>146</v>
      </c>
      <c r="E150">
        <f>IF(INDIRECT(ADDRESS($D150+2,E$2+1,,,"Instances"))="","",INDIRECT(ADDRESS($D150+2,E$2+1,,,"Instances")))</f>
        <v>0</v>
      </c>
      <c r="F150">
        <f>IFERROR(SMALL(E5:E188,ROW()-ROW($F$5)+1),"")</f>
        <v>0</v>
      </c>
      <c r="H150">
        <f>IFERROR(SUM(F5:F150),"")</f>
        <v>0</v>
      </c>
      <c r="J150">
        <v>146</v>
      </c>
      <c r="K150" cm="1">
        <f t="array" ref="K150">_xlfn.SWITCH(Charts!$B$3,"average", AVERAGE(INDIRECT(ADDRESS(145+3,K$2+1,,,"Instances") &amp; ":" &amp; ADDRESS(145+3,K$2+1))),"median", MEDIAN(INDIRECT(ADDRESS(145+3,K$2+1,,,"Instances") &amp; ":" &amp; ADDRESS(145+3,K$2+1))),"min", MIN(INDIRECT(ADDRESS(145+3,K$2+1,,,"Instances") &amp; ":" &amp; ADDRESS(145+3,K$2+1))),"max", MAX(INDIRECT(ADDRESS(145+3,K$2+1,,,"Instances") &amp; ":" &amp; ADDRESS(145+3,K$2+1))),"diff", MAX(INDIRECT(ADDRESS(145+3,K$2+1,,,"Instances") &amp; ":" &amp; ADDRESS(145+3,K$2+1)))-MIN(INDIRECT(ADDRESS(145+3,K$2+1,,,"Instances") &amp; ":" &amp; ADDRESS(145+3,K$2+1))))</f>
        <v>0</v>
      </c>
      <c r="L150">
        <f>IFERROR(SMALL(K5:K188,ROW()-ROW($L$5)+1),"")</f>
        <v>0</v>
      </c>
      <c r="N150">
        <f>IFERROR(SUM(L5:L150),"")</f>
        <v>0</v>
      </c>
      <c r="Q150">
        <f>IF(Charts!$B$3="none",E1077,IF(K1077="",NA(),K1077))</f>
        <v>0</v>
      </c>
      <c r="R150">
        <f>IF(Charts!$B$3="none",F1077,IF(L1077="",NA(),L1077))</f>
        <v>0</v>
      </c>
      <c r="S150">
        <f>IF(Charts!$B$3="none",G1077,IF(M1077="",NA(),M1077))</f>
        <v>0</v>
      </c>
      <c r="T150">
        <f>IF(Charts!$B$3="none",H1077,IF(N1077="",NA(),N1077))</f>
        <v>0</v>
      </c>
    </row>
    <row r="151" spans="4:20">
      <c r="D151">
        <v>147</v>
      </c>
      <c r="E151">
        <f>IF(INDIRECT(ADDRESS($D151+2,E$2+1,,,"Instances"))="","",INDIRECT(ADDRESS($D151+2,E$2+1,,,"Instances")))</f>
        <v>0</v>
      </c>
      <c r="F151">
        <f>IFERROR(SMALL(E5:E188,ROW()-ROW($F$5)+1),"")</f>
        <v>0</v>
      </c>
      <c r="H151">
        <f>IFERROR(SUM(F5:F151),"")</f>
        <v>0</v>
      </c>
      <c r="J151">
        <v>147</v>
      </c>
      <c r="K151" cm="1">
        <f t="array" ref="K151">_xlfn.SWITCH(Charts!$B$3,"average", AVERAGE(INDIRECT(ADDRESS(146+3,K$2+1,,,"Instances") &amp; ":" &amp; ADDRESS(146+3,K$2+1))),"median", MEDIAN(INDIRECT(ADDRESS(146+3,K$2+1,,,"Instances") &amp; ":" &amp; ADDRESS(146+3,K$2+1))),"min", MIN(INDIRECT(ADDRESS(146+3,K$2+1,,,"Instances") &amp; ":" &amp; ADDRESS(146+3,K$2+1))),"max", MAX(INDIRECT(ADDRESS(146+3,K$2+1,,,"Instances") &amp; ":" &amp; ADDRESS(146+3,K$2+1))),"diff", MAX(INDIRECT(ADDRESS(146+3,K$2+1,,,"Instances") &amp; ":" &amp; ADDRESS(146+3,K$2+1)))-MIN(INDIRECT(ADDRESS(146+3,K$2+1,,,"Instances") &amp; ":" &amp; ADDRESS(146+3,K$2+1))))</f>
        <v>0</v>
      </c>
      <c r="L151">
        <f>IFERROR(SMALL(K5:K188,ROW()-ROW($L$5)+1),"")</f>
        <v>0</v>
      </c>
      <c r="N151">
        <f>IFERROR(SUM(L5:L151),"")</f>
        <v>0</v>
      </c>
      <c r="Q151">
        <f>IF(Charts!$B$3="none",E1078,IF(K1078="",NA(),K1078))</f>
        <v>0</v>
      </c>
      <c r="R151">
        <f>IF(Charts!$B$3="none",F1078,IF(L1078="",NA(),L1078))</f>
        <v>0</v>
      </c>
      <c r="S151">
        <f>IF(Charts!$B$3="none",G1078,IF(M1078="",NA(),M1078))</f>
        <v>0</v>
      </c>
      <c r="T151">
        <f>IF(Charts!$B$3="none",H1078,IF(N1078="",NA(),N1078))</f>
        <v>0</v>
      </c>
    </row>
    <row r="152" spans="4:20">
      <c r="D152">
        <v>148</v>
      </c>
      <c r="E152">
        <f>IF(INDIRECT(ADDRESS($D152+2,E$2+1,,,"Instances"))="","",INDIRECT(ADDRESS($D152+2,E$2+1,,,"Instances")))</f>
        <v>0</v>
      </c>
      <c r="F152">
        <f>IFERROR(SMALL(E5:E188,ROW()-ROW($F$5)+1),"")</f>
        <v>0</v>
      </c>
      <c r="H152">
        <f>IFERROR(SUM(F5:F152),"")</f>
        <v>0</v>
      </c>
      <c r="J152">
        <v>148</v>
      </c>
      <c r="K152" cm="1">
        <f t="array" ref="K152">_xlfn.SWITCH(Charts!$B$3,"average", AVERAGE(INDIRECT(ADDRESS(147+3,K$2+1,,,"Instances") &amp; ":" &amp; ADDRESS(147+3,K$2+1))),"median", MEDIAN(INDIRECT(ADDRESS(147+3,K$2+1,,,"Instances") &amp; ":" &amp; ADDRESS(147+3,K$2+1))),"min", MIN(INDIRECT(ADDRESS(147+3,K$2+1,,,"Instances") &amp; ":" &amp; ADDRESS(147+3,K$2+1))),"max", MAX(INDIRECT(ADDRESS(147+3,K$2+1,,,"Instances") &amp; ":" &amp; ADDRESS(147+3,K$2+1))),"diff", MAX(INDIRECT(ADDRESS(147+3,K$2+1,,,"Instances") &amp; ":" &amp; ADDRESS(147+3,K$2+1)))-MIN(INDIRECT(ADDRESS(147+3,K$2+1,,,"Instances") &amp; ":" &amp; ADDRESS(147+3,K$2+1))))</f>
        <v>0</v>
      </c>
      <c r="L152">
        <f>IFERROR(SMALL(K5:K188,ROW()-ROW($L$5)+1),"")</f>
        <v>0</v>
      </c>
      <c r="N152">
        <f>IFERROR(SUM(L5:L152),"")</f>
        <v>0</v>
      </c>
      <c r="Q152">
        <f>IF(Charts!$B$3="none",E1079,IF(K1079="",NA(),K1079))</f>
        <v>0</v>
      </c>
      <c r="R152">
        <f>IF(Charts!$B$3="none",F1079,IF(L1079="",NA(),L1079))</f>
        <v>0</v>
      </c>
      <c r="S152">
        <f>IF(Charts!$B$3="none",G1079,IF(M1079="",NA(),M1079))</f>
        <v>0</v>
      </c>
      <c r="T152">
        <f>IF(Charts!$B$3="none",H1079,IF(N1079="",NA(),N1079))</f>
        <v>0</v>
      </c>
    </row>
    <row r="153" spans="4:20">
      <c r="D153">
        <v>149</v>
      </c>
      <c r="E153">
        <f>IF(INDIRECT(ADDRESS($D153+2,E$2+1,,,"Instances"))="","",INDIRECT(ADDRESS($D153+2,E$2+1,,,"Instances")))</f>
        <v>0</v>
      </c>
      <c r="F153">
        <f>IFERROR(SMALL(E5:E188,ROW()-ROW($F$5)+1),"")</f>
        <v>0</v>
      </c>
      <c r="H153">
        <f>IFERROR(SUM(F5:F153),"")</f>
        <v>0</v>
      </c>
      <c r="J153">
        <v>149</v>
      </c>
      <c r="K153" cm="1">
        <f t="array" ref="K153">_xlfn.SWITCH(Charts!$B$3,"average", AVERAGE(INDIRECT(ADDRESS(148+3,K$2+1,,,"Instances") &amp; ":" &amp; ADDRESS(148+3,K$2+1))),"median", MEDIAN(INDIRECT(ADDRESS(148+3,K$2+1,,,"Instances") &amp; ":" &amp; ADDRESS(148+3,K$2+1))),"min", MIN(INDIRECT(ADDRESS(148+3,K$2+1,,,"Instances") &amp; ":" &amp; ADDRESS(148+3,K$2+1))),"max", MAX(INDIRECT(ADDRESS(148+3,K$2+1,,,"Instances") &amp; ":" &amp; ADDRESS(148+3,K$2+1))),"diff", MAX(INDIRECT(ADDRESS(148+3,K$2+1,,,"Instances") &amp; ":" &amp; ADDRESS(148+3,K$2+1)))-MIN(INDIRECT(ADDRESS(148+3,K$2+1,,,"Instances") &amp; ":" &amp; ADDRESS(148+3,K$2+1))))</f>
        <v>0</v>
      </c>
      <c r="L153">
        <f>IFERROR(SMALL(K5:K188,ROW()-ROW($L$5)+1),"")</f>
        <v>0</v>
      </c>
      <c r="N153">
        <f>IFERROR(SUM(L5:L153),"")</f>
        <v>0</v>
      </c>
      <c r="Q153">
        <f>IF(Charts!$B$3="none",E1080,IF(K1080="",NA(),K1080))</f>
        <v>0</v>
      </c>
      <c r="R153">
        <f>IF(Charts!$B$3="none",F1080,IF(L1080="",NA(),L1080))</f>
        <v>0</v>
      </c>
      <c r="S153">
        <f>IF(Charts!$B$3="none",G1080,IF(M1080="",NA(),M1080))</f>
        <v>0</v>
      </c>
      <c r="T153">
        <f>IF(Charts!$B$3="none",H1080,IF(N1080="",NA(),N1080))</f>
        <v>0</v>
      </c>
    </row>
    <row r="154" spans="4:20">
      <c r="D154">
        <v>150</v>
      </c>
      <c r="E154">
        <f>IF(INDIRECT(ADDRESS($D154+2,E$2+1,,,"Instances"))="","",INDIRECT(ADDRESS($D154+2,E$2+1,,,"Instances")))</f>
        <v>0</v>
      </c>
      <c r="F154">
        <f>IFERROR(SMALL(E5:E188,ROW()-ROW($F$5)+1),"")</f>
        <v>0</v>
      </c>
      <c r="H154">
        <f>IFERROR(SUM(F5:F154),"")</f>
        <v>0</v>
      </c>
      <c r="J154">
        <v>150</v>
      </c>
      <c r="K154" cm="1">
        <f t="array" ref="K154">_xlfn.SWITCH(Charts!$B$3,"average", AVERAGE(INDIRECT(ADDRESS(149+3,K$2+1,,,"Instances") &amp; ":" &amp; ADDRESS(149+3,K$2+1))),"median", MEDIAN(INDIRECT(ADDRESS(149+3,K$2+1,,,"Instances") &amp; ":" &amp; ADDRESS(149+3,K$2+1))),"min", MIN(INDIRECT(ADDRESS(149+3,K$2+1,,,"Instances") &amp; ":" &amp; ADDRESS(149+3,K$2+1))),"max", MAX(INDIRECT(ADDRESS(149+3,K$2+1,,,"Instances") &amp; ":" &amp; ADDRESS(149+3,K$2+1))),"diff", MAX(INDIRECT(ADDRESS(149+3,K$2+1,,,"Instances") &amp; ":" &amp; ADDRESS(149+3,K$2+1)))-MIN(INDIRECT(ADDRESS(149+3,K$2+1,,,"Instances") &amp; ":" &amp; ADDRESS(149+3,K$2+1))))</f>
        <v>0</v>
      </c>
      <c r="L154">
        <f>IFERROR(SMALL(K5:K188,ROW()-ROW($L$5)+1),"")</f>
        <v>0</v>
      </c>
      <c r="N154">
        <f>IFERROR(SUM(L5:L154),"")</f>
        <v>0</v>
      </c>
      <c r="Q154">
        <f>IF(Charts!$B$3="none",E1081,IF(K1081="",NA(),K1081))</f>
        <v>0</v>
      </c>
      <c r="R154">
        <f>IF(Charts!$B$3="none",F1081,IF(L1081="",NA(),L1081))</f>
        <v>0</v>
      </c>
      <c r="S154">
        <f>IF(Charts!$B$3="none",G1081,IF(M1081="",NA(),M1081))</f>
        <v>0</v>
      </c>
      <c r="T154">
        <f>IF(Charts!$B$3="none",H1081,IF(N1081="",NA(),N1081))</f>
        <v>0</v>
      </c>
    </row>
    <row r="155" spans="4:20">
      <c r="D155">
        <v>151</v>
      </c>
      <c r="E155">
        <f>IF(INDIRECT(ADDRESS($D155+2,E$2+1,,,"Instances"))="","",INDIRECT(ADDRESS($D155+2,E$2+1,,,"Instances")))</f>
        <v>0</v>
      </c>
      <c r="F155">
        <f>IFERROR(SMALL(E5:E188,ROW()-ROW($F$5)+1),"")</f>
        <v>0</v>
      </c>
      <c r="H155">
        <f>IFERROR(SUM(F5:F155),"")</f>
        <v>0</v>
      </c>
      <c r="J155">
        <v>151</v>
      </c>
      <c r="K155" cm="1">
        <f t="array" ref="K155">_xlfn.SWITCH(Charts!$B$3,"average", AVERAGE(INDIRECT(ADDRESS(150+3,K$2+1,,,"Instances") &amp; ":" &amp; ADDRESS(150+3,K$2+1))),"median", MEDIAN(INDIRECT(ADDRESS(150+3,K$2+1,,,"Instances") &amp; ":" &amp; ADDRESS(150+3,K$2+1))),"min", MIN(INDIRECT(ADDRESS(150+3,K$2+1,,,"Instances") &amp; ":" &amp; ADDRESS(150+3,K$2+1))),"max", MAX(INDIRECT(ADDRESS(150+3,K$2+1,,,"Instances") &amp; ":" &amp; ADDRESS(150+3,K$2+1))),"diff", MAX(INDIRECT(ADDRESS(150+3,K$2+1,,,"Instances") &amp; ":" &amp; ADDRESS(150+3,K$2+1)))-MIN(INDIRECT(ADDRESS(150+3,K$2+1,,,"Instances") &amp; ":" &amp; ADDRESS(150+3,K$2+1))))</f>
        <v>0</v>
      </c>
      <c r="L155">
        <f>IFERROR(SMALL(K5:K188,ROW()-ROW($L$5)+1),"")</f>
        <v>0</v>
      </c>
      <c r="N155">
        <f>IFERROR(SUM(L5:L155),"")</f>
        <v>0</v>
      </c>
      <c r="Q155">
        <f>IF(Charts!$B$3="none",E1082,IF(K1082="",NA(),K1082))</f>
        <v>0</v>
      </c>
      <c r="R155">
        <f>IF(Charts!$B$3="none",F1082,IF(L1082="",NA(),L1082))</f>
        <v>0</v>
      </c>
      <c r="S155">
        <f>IF(Charts!$B$3="none",G1082,IF(M1082="",NA(),M1082))</f>
        <v>0</v>
      </c>
      <c r="T155">
        <f>IF(Charts!$B$3="none",H1082,IF(N1082="",NA(),N1082))</f>
        <v>0</v>
      </c>
    </row>
    <row r="156" spans="4:20">
      <c r="D156">
        <v>152</v>
      </c>
      <c r="E156">
        <f>IF(INDIRECT(ADDRESS($D156+2,E$2+1,,,"Instances"))="","",INDIRECT(ADDRESS($D156+2,E$2+1,,,"Instances")))</f>
        <v>0</v>
      </c>
      <c r="F156">
        <f>IFERROR(SMALL(E5:E188,ROW()-ROW($F$5)+1),"")</f>
        <v>0</v>
      </c>
      <c r="H156">
        <f>IFERROR(SUM(F5:F156),"")</f>
        <v>0</v>
      </c>
      <c r="J156">
        <v>152</v>
      </c>
      <c r="K156" cm="1">
        <f t="array" ref="K156">_xlfn.SWITCH(Charts!$B$3,"average", AVERAGE(INDIRECT(ADDRESS(151+3,K$2+1,,,"Instances") &amp; ":" &amp; ADDRESS(151+3,K$2+1))),"median", MEDIAN(INDIRECT(ADDRESS(151+3,K$2+1,,,"Instances") &amp; ":" &amp; ADDRESS(151+3,K$2+1))),"min", MIN(INDIRECT(ADDRESS(151+3,K$2+1,,,"Instances") &amp; ":" &amp; ADDRESS(151+3,K$2+1))),"max", MAX(INDIRECT(ADDRESS(151+3,K$2+1,,,"Instances") &amp; ":" &amp; ADDRESS(151+3,K$2+1))),"diff", MAX(INDIRECT(ADDRESS(151+3,K$2+1,,,"Instances") &amp; ":" &amp; ADDRESS(151+3,K$2+1)))-MIN(INDIRECT(ADDRESS(151+3,K$2+1,,,"Instances") &amp; ":" &amp; ADDRESS(151+3,K$2+1))))</f>
        <v>0</v>
      </c>
      <c r="L156">
        <f>IFERROR(SMALL(K5:K188,ROW()-ROW($L$5)+1),"")</f>
        <v>0</v>
      </c>
      <c r="N156">
        <f>IFERROR(SUM(L5:L156),"")</f>
        <v>0</v>
      </c>
      <c r="Q156">
        <f>IF(Charts!$B$3="none",E1083,IF(K1083="",NA(),K1083))</f>
        <v>0</v>
      </c>
      <c r="R156">
        <f>IF(Charts!$B$3="none",F1083,IF(L1083="",NA(),L1083))</f>
        <v>0</v>
      </c>
      <c r="S156">
        <f>IF(Charts!$B$3="none",G1083,IF(M1083="",NA(),M1083))</f>
        <v>0</v>
      </c>
      <c r="T156">
        <f>IF(Charts!$B$3="none",H1083,IF(N1083="",NA(),N1083))</f>
        <v>0</v>
      </c>
    </row>
    <row r="157" spans="4:20">
      <c r="D157">
        <v>153</v>
      </c>
      <c r="E157">
        <f>IF(INDIRECT(ADDRESS($D157+2,E$2+1,,,"Instances"))="","",INDIRECT(ADDRESS($D157+2,E$2+1,,,"Instances")))</f>
        <v>0</v>
      </c>
      <c r="F157">
        <f>IFERROR(SMALL(E5:E188,ROW()-ROW($F$5)+1),"")</f>
        <v>0</v>
      </c>
      <c r="H157">
        <f>IFERROR(SUM(F5:F157),"")</f>
        <v>0</v>
      </c>
      <c r="J157">
        <v>153</v>
      </c>
      <c r="K157" cm="1">
        <f t="array" ref="K157">_xlfn.SWITCH(Charts!$B$3,"average", AVERAGE(INDIRECT(ADDRESS(152+3,K$2+1,,,"Instances") &amp; ":" &amp; ADDRESS(152+3,K$2+1))),"median", MEDIAN(INDIRECT(ADDRESS(152+3,K$2+1,,,"Instances") &amp; ":" &amp; ADDRESS(152+3,K$2+1))),"min", MIN(INDIRECT(ADDRESS(152+3,K$2+1,,,"Instances") &amp; ":" &amp; ADDRESS(152+3,K$2+1))),"max", MAX(INDIRECT(ADDRESS(152+3,K$2+1,,,"Instances") &amp; ":" &amp; ADDRESS(152+3,K$2+1))),"diff", MAX(INDIRECT(ADDRESS(152+3,K$2+1,,,"Instances") &amp; ":" &amp; ADDRESS(152+3,K$2+1)))-MIN(INDIRECT(ADDRESS(152+3,K$2+1,,,"Instances") &amp; ":" &amp; ADDRESS(152+3,K$2+1))))</f>
        <v>0</v>
      </c>
      <c r="L157">
        <f>IFERROR(SMALL(K5:K188,ROW()-ROW($L$5)+1),"")</f>
        <v>0</v>
      </c>
      <c r="N157">
        <f>IFERROR(SUM(L5:L157),"")</f>
        <v>0</v>
      </c>
      <c r="Q157">
        <f>IF(Charts!$B$3="none",E1084,IF(K1084="",NA(),K1084))</f>
        <v>0</v>
      </c>
      <c r="R157">
        <f>IF(Charts!$B$3="none",F1084,IF(L1084="",NA(),L1084))</f>
        <v>0</v>
      </c>
      <c r="S157">
        <f>IF(Charts!$B$3="none",G1084,IF(M1084="",NA(),M1084))</f>
        <v>0</v>
      </c>
      <c r="T157">
        <f>IF(Charts!$B$3="none",H1084,IF(N1084="",NA(),N1084))</f>
        <v>0</v>
      </c>
    </row>
    <row r="158" spans="4:20">
      <c r="D158">
        <v>154</v>
      </c>
      <c r="E158">
        <f>IF(INDIRECT(ADDRESS($D158+2,E$2+1,,,"Instances"))="","",INDIRECT(ADDRESS($D158+2,E$2+1,,,"Instances")))</f>
        <v>0</v>
      </c>
      <c r="F158">
        <f>IFERROR(SMALL(E5:E188,ROW()-ROW($F$5)+1),"")</f>
        <v>0</v>
      </c>
      <c r="H158">
        <f>IFERROR(SUM(F5:F158),"")</f>
        <v>0</v>
      </c>
      <c r="J158">
        <v>154</v>
      </c>
      <c r="K158" cm="1">
        <f t="array" ref="K158">_xlfn.SWITCH(Charts!$B$3,"average", AVERAGE(INDIRECT(ADDRESS(153+3,K$2+1,,,"Instances") &amp; ":" &amp; ADDRESS(153+3,K$2+1))),"median", MEDIAN(INDIRECT(ADDRESS(153+3,K$2+1,,,"Instances") &amp; ":" &amp; ADDRESS(153+3,K$2+1))),"min", MIN(INDIRECT(ADDRESS(153+3,K$2+1,,,"Instances") &amp; ":" &amp; ADDRESS(153+3,K$2+1))),"max", MAX(INDIRECT(ADDRESS(153+3,K$2+1,,,"Instances") &amp; ":" &amp; ADDRESS(153+3,K$2+1))),"diff", MAX(INDIRECT(ADDRESS(153+3,K$2+1,,,"Instances") &amp; ":" &amp; ADDRESS(153+3,K$2+1)))-MIN(INDIRECT(ADDRESS(153+3,K$2+1,,,"Instances") &amp; ":" &amp; ADDRESS(153+3,K$2+1))))</f>
        <v>0</v>
      </c>
      <c r="L158">
        <f>IFERROR(SMALL(K5:K188,ROW()-ROW($L$5)+1),"")</f>
        <v>0</v>
      </c>
      <c r="N158">
        <f>IFERROR(SUM(L5:L158),"")</f>
        <v>0</v>
      </c>
      <c r="Q158">
        <f>IF(Charts!$B$3="none",E1085,IF(K1085="",NA(),K1085))</f>
        <v>0</v>
      </c>
      <c r="R158">
        <f>IF(Charts!$B$3="none",F1085,IF(L1085="",NA(),L1085))</f>
        <v>0</v>
      </c>
      <c r="S158">
        <f>IF(Charts!$B$3="none",G1085,IF(M1085="",NA(),M1085))</f>
        <v>0</v>
      </c>
      <c r="T158">
        <f>IF(Charts!$B$3="none",H1085,IF(N1085="",NA(),N1085))</f>
        <v>0</v>
      </c>
    </row>
    <row r="159" spans="4:20">
      <c r="D159">
        <v>155</v>
      </c>
      <c r="E159">
        <f>IF(INDIRECT(ADDRESS($D159+2,E$2+1,,,"Instances"))="","",INDIRECT(ADDRESS($D159+2,E$2+1,,,"Instances")))</f>
        <v>0</v>
      </c>
      <c r="F159">
        <f>IFERROR(SMALL(E5:E188,ROW()-ROW($F$5)+1),"")</f>
        <v>0</v>
      </c>
      <c r="H159">
        <f>IFERROR(SUM(F5:F159),"")</f>
        <v>0</v>
      </c>
      <c r="J159">
        <v>155</v>
      </c>
      <c r="K159" cm="1">
        <f t="array" ref="K159">_xlfn.SWITCH(Charts!$B$3,"average", AVERAGE(INDIRECT(ADDRESS(154+3,K$2+1,,,"Instances") &amp; ":" &amp; ADDRESS(154+3,K$2+1))),"median", MEDIAN(INDIRECT(ADDRESS(154+3,K$2+1,,,"Instances") &amp; ":" &amp; ADDRESS(154+3,K$2+1))),"min", MIN(INDIRECT(ADDRESS(154+3,K$2+1,,,"Instances") &amp; ":" &amp; ADDRESS(154+3,K$2+1))),"max", MAX(INDIRECT(ADDRESS(154+3,K$2+1,,,"Instances") &amp; ":" &amp; ADDRESS(154+3,K$2+1))),"diff", MAX(INDIRECT(ADDRESS(154+3,K$2+1,,,"Instances") &amp; ":" &amp; ADDRESS(154+3,K$2+1)))-MIN(INDIRECT(ADDRESS(154+3,K$2+1,,,"Instances") &amp; ":" &amp; ADDRESS(154+3,K$2+1))))</f>
        <v>0</v>
      </c>
      <c r="L159">
        <f>IFERROR(SMALL(K5:K188,ROW()-ROW($L$5)+1),"")</f>
        <v>0</v>
      </c>
      <c r="N159">
        <f>IFERROR(SUM(L5:L159),"")</f>
        <v>0</v>
      </c>
      <c r="Q159">
        <f>IF(Charts!$B$3="none",E1086,IF(K1086="",NA(),K1086))</f>
        <v>0</v>
      </c>
      <c r="R159">
        <f>IF(Charts!$B$3="none",F1086,IF(L1086="",NA(),L1086))</f>
        <v>0</v>
      </c>
      <c r="S159">
        <f>IF(Charts!$B$3="none",G1086,IF(M1086="",NA(),M1086))</f>
        <v>0</v>
      </c>
      <c r="T159">
        <f>IF(Charts!$B$3="none",H1086,IF(N1086="",NA(),N1086))</f>
        <v>0</v>
      </c>
    </row>
    <row r="160" spans="4:20">
      <c r="D160">
        <v>156</v>
      </c>
      <c r="E160">
        <f>IF(INDIRECT(ADDRESS($D160+2,E$2+1,,,"Instances"))="","",INDIRECT(ADDRESS($D160+2,E$2+1,,,"Instances")))</f>
        <v>0</v>
      </c>
      <c r="F160">
        <f>IFERROR(SMALL(E5:E188,ROW()-ROW($F$5)+1),"")</f>
        <v>0</v>
      </c>
      <c r="H160">
        <f>IFERROR(SUM(F5:F160),"")</f>
        <v>0</v>
      </c>
      <c r="J160">
        <v>156</v>
      </c>
      <c r="K160" cm="1">
        <f t="array" ref="K160">_xlfn.SWITCH(Charts!$B$3,"average", AVERAGE(INDIRECT(ADDRESS(155+3,K$2+1,,,"Instances") &amp; ":" &amp; ADDRESS(155+3,K$2+1))),"median", MEDIAN(INDIRECT(ADDRESS(155+3,K$2+1,,,"Instances") &amp; ":" &amp; ADDRESS(155+3,K$2+1))),"min", MIN(INDIRECT(ADDRESS(155+3,K$2+1,,,"Instances") &amp; ":" &amp; ADDRESS(155+3,K$2+1))),"max", MAX(INDIRECT(ADDRESS(155+3,K$2+1,,,"Instances") &amp; ":" &amp; ADDRESS(155+3,K$2+1))),"diff", MAX(INDIRECT(ADDRESS(155+3,K$2+1,,,"Instances") &amp; ":" &amp; ADDRESS(155+3,K$2+1)))-MIN(INDIRECT(ADDRESS(155+3,K$2+1,,,"Instances") &amp; ":" &amp; ADDRESS(155+3,K$2+1))))</f>
        <v>0</v>
      </c>
      <c r="L160">
        <f>IFERROR(SMALL(K5:K188,ROW()-ROW($L$5)+1),"")</f>
        <v>0</v>
      </c>
      <c r="N160">
        <f>IFERROR(SUM(L5:L160),"")</f>
        <v>0</v>
      </c>
      <c r="Q160">
        <f>IF(Charts!$B$3="none",E1087,IF(K1087="",NA(),K1087))</f>
        <v>0</v>
      </c>
      <c r="R160">
        <f>IF(Charts!$B$3="none",F1087,IF(L1087="",NA(),L1087))</f>
        <v>0</v>
      </c>
      <c r="S160">
        <f>IF(Charts!$B$3="none",G1087,IF(M1087="",NA(),M1087))</f>
        <v>0</v>
      </c>
      <c r="T160">
        <f>IF(Charts!$B$3="none",H1087,IF(N1087="",NA(),N1087))</f>
        <v>0</v>
      </c>
    </row>
    <row r="161" spans="4:20">
      <c r="D161">
        <v>157</v>
      </c>
      <c r="E161">
        <f>IF(INDIRECT(ADDRESS($D161+2,E$2+1,,,"Instances"))="","",INDIRECT(ADDRESS($D161+2,E$2+1,,,"Instances")))</f>
        <v>0</v>
      </c>
      <c r="F161">
        <f>IFERROR(SMALL(E5:E188,ROW()-ROW($F$5)+1),"")</f>
        <v>0</v>
      </c>
      <c r="H161">
        <f>IFERROR(SUM(F5:F161),"")</f>
        <v>0</v>
      </c>
      <c r="J161">
        <v>157</v>
      </c>
      <c r="K161" cm="1">
        <f t="array" ref="K161">_xlfn.SWITCH(Charts!$B$3,"average", AVERAGE(INDIRECT(ADDRESS(156+3,K$2+1,,,"Instances") &amp; ":" &amp; ADDRESS(156+3,K$2+1))),"median", MEDIAN(INDIRECT(ADDRESS(156+3,K$2+1,,,"Instances") &amp; ":" &amp; ADDRESS(156+3,K$2+1))),"min", MIN(INDIRECT(ADDRESS(156+3,K$2+1,,,"Instances") &amp; ":" &amp; ADDRESS(156+3,K$2+1))),"max", MAX(INDIRECT(ADDRESS(156+3,K$2+1,,,"Instances") &amp; ":" &amp; ADDRESS(156+3,K$2+1))),"diff", MAX(INDIRECT(ADDRESS(156+3,K$2+1,,,"Instances") &amp; ":" &amp; ADDRESS(156+3,K$2+1)))-MIN(INDIRECT(ADDRESS(156+3,K$2+1,,,"Instances") &amp; ":" &amp; ADDRESS(156+3,K$2+1))))</f>
        <v>0</v>
      </c>
      <c r="L161">
        <f>IFERROR(SMALL(K5:K188,ROW()-ROW($L$5)+1),"")</f>
        <v>0</v>
      </c>
      <c r="N161">
        <f>IFERROR(SUM(L5:L161),"")</f>
        <v>0</v>
      </c>
      <c r="Q161">
        <f>IF(Charts!$B$3="none",E1088,IF(K1088="",NA(),K1088))</f>
        <v>0</v>
      </c>
      <c r="R161">
        <f>IF(Charts!$B$3="none",F1088,IF(L1088="",NA(),L1088))</f>
        <v>0</v>
      </c>
      <c r="S161">
        <f>IF(Charts!$B$3="none",G1088,IF(M1088="",NA(),M1088))</f>
        <v>0</v>
      </c>
      <c r="T161">
        <f>IF(Charts!$B$3="none",H1088,IF(N1088="",NA(),N1088))</f>
        <v>0</v>
      </c>
    </row>
    <row r="162" spans="4:20">
      <c r="D162">
        <v>158</v>
      </c>
      <c r="E162">
        <f>IF(INDIRECT(ADDRESS($D162+2,E$2+1,,,"Instances"))="","",INDIRECT(ADDRESS($D162+2,E$2+1,,,"Instances")))</f>
        <v>0</v>
      </c>
      <c r="F162">
        <f>IFERROR(SMALL(E5:E188,ROW()-ROW($F$5)+1),"")</f>
        <v>0</v>
      </c>
      <c r="H162">
        <f>IFERROR(SUM(F5:F162),"")</f>
        <v>0</v>
      </c>
      <c r="J162">
        <v>158</v>
      </c>
      <c r="K162" cm="1">
        <f t="array" ref="K162">_xlfn.SWITCH(Charts!$B$3,"average", AVERAGE(INDIRECT(ADDRESS(157+3,K$2+1,,,"Instances") &amp; ":" &amp; ADDRESS(157+3,K$2+1))),"median", MEDIAN(INDIRECT(ADDRESS(157+3,K$2+1,,,"Instances") &amp; ":" &amp; ADDRESS(157+3,K$2+1))),"min", MIN(INDIRECT(ADDRESS(157+3,K$2+1,,,"Instances") &amp; ":" &amp; ADDRESS(157+3,K$2+1))),"max", MAX(INDIRECT(ADDRESS(157+3,K$2+1,,,"Instances") &amp; ":" &amp; ADDRESS(157+3,K$2+1))),"diff", MAX(INDIRECT(ADDRESS(157+3,K$2+1,,,"Instances") &amp; ":" &amp; ADDRESS(157+3,K$2+1)))-MIN(INDIRECT(ADDRESS(157+3,K$2+1,,,"Instances") &amp; ":" &amp; ADDRESS(157+3,K$2+1))))</f>
        <v>0</v>
      </c>
      <c r="L162">
        <f>IFERROR(SMALL(K5:K188,ROW()-ROW($L$5)+1),"")</f>
        <v>0</v>
      </c>
      <c r="N162">
        <f>IFERROR(SUM(L5:L162),"")</f>
        <v>0</v>
      </c>
      <c r="Q162">
        <f>IF(Charts!$B$3="none",E1089,IF(K1089="",NA(),K1089))</f>
        <v>0</v>
      </c>
      <c r="R162">
        <f>IF(Charts!$B$3="none",F1089,IF(L1089="",NA(),L1089))</f>
        <v>0</v>
      </c>
      <c r="S162">
        <f>IF(Charts!$B$3="none",G1089,IF(M1089="",NA(),M1089))</f>
        <v>0</v>
      </c>
      <c r="T162">
        <f>IF(Charts!$B$3="none",H1089,IF(N1089="",NA(),N1089))</f>
        <v>0</v>
      </c>
    </row>
    <row r="163" spans="4:20">
      <c r="D163">
        <v>159</v>
      </c>
      <c r="E163">
        <f>IF(INDIRECT(ADDRESS($D163+2,E$2+1,,,"Instances"))="","",INDIRECT(ADDRESS($D163+2,E$2+1,,,"Instances")))</f>
        <v>0</v>
      </c>
      <c r="F163">
        <f>IFERROR(SMALL(E5:E188,ROW()-ROW($F$5)+1),"")</f>
        <v>0</v>
      </c>
      <c r="H163">
        <f>IFERROR(SUM(F5:F163),"")</f>
        <v>0</v>
      </c>
      <c r="J163">
        <v>159</v>
      </c>
      <c r="K163" cm="1">
        <f t="array" ref="K163">_xlfn.SWITCH(Charts!$B$3,"average", AVERAGE(INDIRECT(ADDRESS(158+3,K$2+1,,,"Instances") &amp; ":" &amp; ADDRESS(158+3,K$2+1))),"median", MEDIAN(INDIRECT(ADDRESS(158+3,K$2+1,,,"Instances") &amp; ":" &amp; ADDRESS(158+3,K$2+1))),"min", MIN(INDIRECT(ADDRESS(158+3,K$2+1,,,"Instances") &amp; ":" &amp; ADDRESS(158+3,K$2+1))),"max", MAX(INDIRECT(ADDRESS(158+3,K$2+1,,,"Instances") &amp; ":" &amp; ADDRESS(158+3,K$2+1))),"diff", MAX(INDIRECT(ADDRESS(158+3,K$2+1,,,"Instances") &amp; ":" &amp; ADDRESS(158+3,K$2+1)))-MIN(INDIRECT(ADDRESS(158+3,K$2+1,,,"Instances") &amp; ":" &amp; ADDRESS(158+3,K$2+1))))</f>
        <v>0</v>
      </c>
      <c r="L163">
        <f>IFERROR(SMALL(K5:K188,ROW()-ROW($L$5)+1),"")</f>
        <v>0</v>
      </c>
      <c r="N163">
        <f>IFERROR(SUM(L5:L163),"")</f>
        <v>0</v>
      </c>
      <c r="Q163">
        <f>IF(Charts!$B$3="none",E1090,IF(K1090="",NA(),K1090))</f>
        <v>0</v>
      </c>
      <c r="R163">
        <f>IF(Charts!$B$3="none",F1090,IF(L1090="",NA(),L1090))</f>
        <v>0</v>
      </c>
      <c r="S163">
        <f>IF(Charts!$B$3="none",G1090,IF(M1090="",NA(),M1090))</f>
        <v>0</v>
      </c>
      <c r="T163">
        <f>IF(Charts!$B$3="none",H1090,IF(N1090="",NA(),N1090))</f>
        <v>0</v>
      </c>
    </row>
    <row r="164" spans="4:20">
      <c r="D164">
        <v>160</v>
      </c>
      <c r="E164">
        <f>IF(INDIRECT(ADDRESS($D164+2,E$2+1,,,"Instances"))="","",INDIRECT(ADDRESS($D164+2,E$2+1,,,"Instances")))</f>
        <v>0</v>
      </c>
      <c r="F164">
        <f>IFERROR(SMALL(E5:E188,ROW()-ROW($F$5)+1),"")</f>
        <v>0</v>
      </c>
      <c r="H164">
        <f>IFERROR(SUM(F5:F164),"")</f>
        <v>0</v>
      </c>
      <c r="J164">
        <v>160</v>
      </c>
      <c r="K164" cm="1">
        <f t="array" ref="K164">_xlfn.SWITCH(Charts!$B$3,"average", AVERAGE(INDIRECT(ADDRESS(159+3,K$2+1,,,"Instances") &amp; ":" &amp; ADDRESS(159+3,K$2+1))),"median", MEDIAN(INDIRECT(ADDRESS(159+3,K$2+1,,,"Instances") &amp; ":" &amp; ADDRESS(159+3,K$2+1))),"min", MIN(INDIRECT(ADDRESS(159+3,K$2+1,,,"Instances") &amp; ":" &amp; ADDRESS(159+3,K$2+1))),"max", MAX(INDIRECT(ADDRESS(159+3,K$2+1,,,"Instances") &amp; ":" &amp; ADDRESS(159+3,K$2+1))),"diff", MAX(INDIRECT(ADDRESS(159+3,K$2+1,,,"Instances") &amp; ":" &amp; ADDRESS(159+3,K$2+1)))-MIN(INDIRECT(ADDRESS(159+3,K$2+1,,,"Instances") &amp; ":" &amp; ADDRESS(159+3,K$2+1))))</f>
        <v>0</v>
      </c>
      <c r="L164">
        <f>IFERROR(SMALL(K5:K188,ROW()-ROW($L$5)+1),"")</f>
        <v>0</v>
      </c>
      <c r="N164">
        <f>IFERROR(SUM(L5:L164),"")</f>
        <v>0</v>
      </c>
      <c r="Q164">
        <f>IF(Charts!$B$3="none",E1091,IF(K1091="",NA(),K1091))</f>
        <v>0</v>
      </c>
      <c r="R164">
        <f>IF(Charts!$B$3="none",F1091,IF(L1091="",NA(),L1091))</f>
        <v>0</v>
      </c>
      <c r="S164">
        <f>IF(Charts!$B$3="none",G1091,IF(M1091="",NA(),M1091))</f>
        <v>0</v>
      </c>
      <c r="T164">
        <f>IF(Charts!$B$3="none",H1091,IF(N1091="",NA(),N1091))</f>
        <v>0</v>
      </c>
    </row>
    <row r="165" spans="4:20">
      <c r="D165">
        <v>161</v>
      </c>
      <c r="E165">
        <f>IF(INDIRECT(ADDRESS($D165+2,E$2+1,,,"Instances"))="","",INDIRECT(ADDRESS($D165+2,E$2+1,,,"Instances")))</f>
        <v>0</v>
      </c>
      <c r="F165">
        <f>IFERROR(SMALL(E5:E188,ROW()-ROW($F$5)+1),"")</f>
        <v>0</v>
      </c>
      <c r="H165">
        <f>IFERROR(SUM(F5:F165),"")</f>
        <v>0</v>
      </c>
      <c r="J165">
        <v>161</v>
      </c>
      <c r="K165" cm="1">
        <f t="array" ref="K165">_xlfn.SWITCH(Charts!$B$3,"average", AVERAGE(INDIRECT(ADDRESS(160+3,K$2+1,,,"Instances") &amp; ":" &amp; ADDRESS(160+3,K$2+1))),"median", MEDIAN(INDIRECT(ADDRESS(160+3,K$2+1,,,"Instances") &amp; ":" &amp; ADDRESS(160+3,K$2+1))),"min", MIN(INDIRECT(ADDRESS(160+3,K$2+1,,,"Instances") &amp; ":" &amp; ADDRESS(160+3,K$2+1))),"max", MAX(INDIRECT(ADDRESS(160+3,K$2+1,,,"Instances") &amp; ":" &amp; ADDRESS(160+3,K$2+1))),"diff", MAX(INDIRECT(ADDRESS(160+3,K$2+1,,,"Instances") &amp; ":" &amp; ADDRESS(160+3,K$2+1)))-MIN(INDIRECT(ADDRESS(160+3,K$2+1,,,"Instances") &amp; ":" &amp; ADDRESS(160+3,K$2+1))))</f>
        <v>0</v>
      </c>
      <c r="L165">
        <f>IFERROR(SMALL(K5:K188,ROW()-ROW($L$5)+1),"")</f>
        <v>0</v>
      </c>
      <c r="N165">
        <f>IFERROR(SUM(L5:L165),"")</f>
        <v>0</v>
      </c>
      <c r="Q165">
        <f>IF(Charts!$B$3="none",E1092,IF(K1092="",NA(),K1092))</f>
        <v>0</v>
      </c>
      <c r="R165">
        <f>IF(Charts!$B$3="none",F1092,IF(L1092="",NA(),L1092))</f>
        <v>0</v>
      </c>
      <c r="S165">
        <f>IF(Charts!$B$3="none",G1092,IF(M1092="",NA(),M1092))</f>
        <v>0</v>
      </c>
      <c r="T165">
        <f>IF(Charts!$B$3="none",H1092,IF(N1092="",NA(),N1092))</f>
        <v>0</v>
      </c>
    </row>
    <row r="166" spans="4:20">
      <c r="D166">
        <v>162</v>
      </c>
      <c r="E166">
        <f>IF(INDIRECT(ADDRESS($D166+2,E$2+1,,,"Instances"))="","",INDIRECT(ADDRESS($D166+2,E$2+1,,,"Instances")))</f>
        <v>0</v>
      </c>
      <c r="F166">
        <f>IFERROR(SMALL(E5:E188,ROW()-ROW($F$5)+1),"")</f>
        <v>0</v>
      </c>
      <c r="H166">
        <f>IFERROR(SUM(F5:F166),"")</f>
        <v>0</v>
      </c>
      <c r="J166">
        <v>162</v>
      </c>
      <c r="K166" cm="1">
        <f t="array" ref="K166">_xlfn.SWITCH(Charts!$B$3,"average", AVERAGE(INDIRECT(ADDRESS(161+3,K$2+1,,,"Instances") &amp; ":" &amp; ADDRESS(161+3,K$2+1))),"median", MEDIAN(INDIRECT(ADDRESS(161+3,K$2+1,,,"Instances") &amp; ":" &amp; ADDRESS(161+3,K$2+1))),"min", MIN(INDIRECT(ADDRESS(161+3,K$2+1,,,"Instances") &amp; ":" &amp; ADDRESS(161+3,K$2+1))),"max", MAX(INDIRECT(ADDRESS(161+3,K$2+1,,,"Instances") &amp; ":" &amp; ADDRESS(161+3,K$2+1))),"diff", MAX(INDIRECT(ADDRESS(161+3,K$2+1,,,"Instances") &amp; ":" &amp; ADDRESS(161+3,K$2+1)))-MIN(INDIRECT(ADDRESS(161+3,K$2+1,,,"Instances") &amp; ":" &amp; ADDRESS(161+3,K$2+1))))</f>
        <v>0</v>
      </c>
      <c r="L166">
        <f>IFERROR(SMALL(K5:K188,ROW()-ROW($L$5)+1),"")</f>
        <v>0</v>
      </c>
      <c r="N166">
        <f>IFERROR(SUM(L5:L166),"")</f>
        <v>0</v>
      </c>
      <c r="Q166">
        <f>IF(Charts!$B$3="none",E1093,IF(K1093="",NA(),K1093))</f>
        <v>0</v>
      </c>
      <c r="R166">
        <f>IF(Charts!$B$3="none",F1093,IF(L1093="",NA(),L1093))</f>
        <v>0</v>
      </c>
      <c r="S166">
        <f>IF(Charts!$B$3="none",G1093,IF(M1093="",NA(),M1093))</f>
        <v>0</v>
      </c>
      <c r="T166">
        <f>IF(Charts!$B$3="none",H1093,IF(N1093="",NA(),N1093))</f>
        <v>0</v>
      </c>
    </row>
    <row r="167" spans="4:20">
      <c r="D167">
        <v>163</v>
      </c>
      <c r="E167">
        <f>IF(INDIRECT(ADDRESS($D167+2,E$2+1,,,"Instances"))="","",INDIRECT(ADDRESS($D167+2,E$2+1,,,"Instances")))</f>
        <v>0</v>
      </c>
      <c r="F167">
        <f>IFERROR(SMALL(E5:E188,ROW()-ROW($F$5)+1),"")</f>
        <v>0</v>
      </c>
      <c r="H167">
        <f>IFERROR(SUM(F5:F167),"")</f>
        <v>0</v>
      </c>
      <c r="J167">
        <v>163</v>
      </c>
      <c r="K167" cm="1">
        <f t="array" ref="K167">_xlfn.SWITCH(Charts!$B$3,"average", AVERAGE(INDIRECT(ADDRESS(162+3,K$2+1,,,"Instances") &amp; ":" &amp; ADDRESS(162+3,K$2+1))),"median", MEDIAN(INDIRECT(ADDRESS(162+3,K$2+1,,,"Instances") &amp; ":" &amp; ADDRESS(162+3,K$2+1))),"min", MIN(INDIRECT(ADDRESS(162+3,K$2+1,,,"Instances") &amp; ":" &amp; ADDRESS(162+3,K$2+1))),"max", MAX(INDIRECT(ADDRESS(162+3,K$2+1,,,"Instances") &amp; ":" &amp; ADDRESS(162+3,K$2+1))),"diff", MAX(INDIRECT(ADDRESS(162+3,K$2+1,,,"Instances") &amp; ":" &amp; ADDRESS(162+3,K$2+1)))-MIN(INDIRECT(ADDRESS(162+3,K$2+1,,,"Instances") &amp; ":" &amp; ADDRESS(162+3,K$2+1))))</f>
        <v>0</v>
      </c>
      <c r="L167">
        <f>IFERROR(SMALL(K5:K188,ROW()-ROW($L$5)+1),"")</f>
        <v>0</v>
      </c>
      <c r="N167">
        <f>IFERROR(SUM(L5:L167),"")</f>
        <v>0</v>
      </c>
      <c r="Q167">
        <f>IF(Charts!$B$3="none",E1094,IF(K1094="",NA(),K1094))</f>
        <v>0</v>
      </c>
      <c r="R167">
        <f>IF(Charts!$B$3="none",F1094,IF(L1094="",NA(),L1094))</f>
        <v>0</v>
      </c>
      <c r="S167">
        <f>IF(Charts!$B$3="none",G1094,IF(M1094="",NA(),M1094))</f>
        <v>0</v>
      </c>
      <c r="T167">
        <f>IF(Charts!$B$3="none",H1094,IF(N1094="",NA(),N1094))</f>
        <v>0</v>
      </c>
    </row>
    <row r="168" spans="4:20">
      <c r="D168">
        <v>164</v>
      </c>
      <c r="E168">
        <f>IF(INDIRECT(ADDRESS($D168+2,E$2+1,,,"Instances"))="","",INDIRECT(ADDRESS($D168+2,E$2+1,,,"Instances")))</f>
        <v>0</v>
      </c>
      <c r="F168">
        <f>IFERROR(SMALL(E5:E188,ROW()-ROW($F$5)+1),"")</f>
        <v>0</v>
      </c>
      <c r="H168">
        <f>IFERROR(SUM(F5:F168),"")</f>
        <v>0</v>
      </c>
      <c r="J168">
        <v>164</v>
      </c>
      <c r="K168" cm="1">
        <f t="array" ref="K168">_xlfn.SWITCH(Charts!$B$3,"average", AVERAGE(INDIRECT(ADDRESS(163+3,K$2+1,,,"Instances") &amp; ":" &amp; ADDRESS(163+3,K$2+1))),"median", MEDIAN(INDIRECT(ADDRESS(163+3,K$2+1,,,"Instances") &amp; ":" &amp; ADDRESS(163+3,K$2+1))),"min", MIN(INDIRECT(ADDRESS(163+3,K$2+1,,,"Instances") &amp; ":" &amp; ADDRESS(163+3,K$2+1))),"max", MAX(INDIRECT(ADDRESS(163+3,K$2+1,,,"Instances") &amp; ":" &amp; ADDRESS(163+3,K$2+1))),"diff", MAX(INDIRECT(ADDRESS(163+3,K$2+1,,,"Instances") &amp; ":" &amp; ADDRESS(163+3,K$2+1)))-MIN(INDIRECT(ADDRESS(163+3,K$2+1,,,"Instances") &amp; ":" &amp; ADDRESS(163+3,K$2+1))))</f>
        <v>0</v>
      </c>
      <c r="L168">
        <f>IFERROR(SMALL(K5:K188,ROW()-ROW($L$5)+1),"")</f>
        <v>0</v>
      </c>
      <c r="N168">
        <f>IFERROR(SUM(L5:L168),"")</f>
        <v>0</v>
      </c>
      <c r="Q168">
        <f>IF(Charts!$B$3="none",E1095,IF(K1095="",NA(),K1095))</f>
        <v>0</v>
      </c>
      <c r="R168">
        <f>IF(Charts!$B$3="none",F1095,IF(L1095="",NA(),L1095))</f>
        <v>0</v>
      </c>
      <c r="S168">
        <f>IF(Charts!$B$3="none",G1095,IF(M1095="",NA(),M1095))</f>
        <v>0</v>
      </c>
      <c r="T168">
        <f>IF(Charts!$B$3="none",H1095,IF(N1095="",NA(),N1095))</f>
        <v>0</v>
      </c>
    </row>
    <row r="169" spans="4:20">
      <c r="D169">
        <v>165</v>
      </c>
      <c r="E169">
        <f>IF(INDIRECT(ADDRESS($D169+2,E$2+1,,,"Instances"))="","",INDIRECT(ADDRESS($D169+2,E$2+1,,,"Instances")))</f>
        <v>0</v>
      </c>
      <c r="F169">
        <f>IFERROR(SMALL(E5:E188,ROW()-ROW($F$5)+1),"")</f>
        <v>0</v>
      </c>
      <c r="H169">
        <f>IFERROR(SUM(F5:F169),"")</f>
        <v>0</v>
      </c>
      <c r="J169">
        <v>165</v>
      </c>
      <c r="K169" cm="1">
        <f t="array" ref="K169">_xlfn.SWITCH(Charts!$B$3,"average", AVERAGE(INDIRECT(ADDRESS(164+3,K$2+1,,,"Instances") &amp; ":" &amp; ADDRESS(164+3,K$2+1))),"median", MEDIAN(INDIRECT(ADDRESS(164+3,K$2+1,,,"Instances") &amp; ":" &amp; ADDRESS(164+3,K$2+1))),"min", MIN(INDIRECT(ADDRESS(164+3,K$2+1,,,"Instances") &amp; ":" &amp; ADDRESS(164+3,K$2+1))),"max", MAX(INDIRECT(ADDRESS(164+3,K$2+1,,,"Instances") &amp; ":" &amp; ADDRESS(164+3,K$2+1))),"diff", MAX(INDIRECT(ADDRESS(164+3,K$2+1,,,"Instances") &amp; ":" &amp; ADDRESS(164+3,K$2+1)))-MIN(INDIRECT(ADDRESS(164+3,K$2+1,,,"Instances") &amp; ":" &amp; ADDRESS(164+3,K$2+1))))</f>
        <v>0</v>
      </c>
      <c r="L169">
        <f>IFERROR(SMALL(K5:K188,ROW()-ROW($L$5)+1),"")</f>
        <v>0</v>
      </c>
      <c r="N169">
        <f>IFERROR(SUM(L5:L169),"")</f>
        <v>0</v>
      </c>
      <c r="Q169">
        <f>IF(Charts!$B$3="none",E1096,IF(K1096="",NA(),K1096))</f>
        <v>0</v>
      </c>
      <c r="R169">
        <f>IF(Charts!$B$3="none",F1096,IF(L1096="",NA(),L1096))</f>
        <v>0</v>
      </c>
      <c r="S169">
        <f>IF(Charts!$B$3="none",G1096,IF(M1096="",NA(),M1096))</f>
        <v>0</v>
      </c>
      <c r="T169">
        <f>IF(Charts!$B$3="none",H1096,IF(N1096="",NA(),N1096))</f>
        <v>0</v>
      </c>
    </row>
    <row r="170" spans="4:20">
      <c r="D170">
        <v>166</v>
      </c>
      <c r="E170">
        <f>IF(INDIRECT(ADDRESS($D170+2,E$2+1,,,"Instances"))="","",INDIRECT(ADDRESS($D170+2,E$2+1,,,"Instances")))</f>
        <v>0</v>
      </c>
      <c r="F170">
        <f>IFERROR(SMALL(E5:E188,ROW()-ROW($F$5)+1),"")</f>
        <v>0</v>
      </c>
      <c r="H170">
        <f>IFERROR(SUM(F5:F170),"")</f>
        <v>0</v>
      </c>
      <c r="J170">
        <v>166</v>
      </c>
      <c r="K170" cm="1">
        <f t="array" ref="K170">_xlfn.SWITCH(Charts!$B$3,"average", AVERAGE(INDIRECT(ADDRESS(165+3,K$2+1,,,"Instances") &amp; ":" &amp; ADDRESS(165+3,K$2+1))),"median", MEDIAN(INDIRECT(ADDRESS(165+3,K$2+1,,,"Instances") &amp; ":" &amp; ADDRESS(165+3,K$2+1))),"min", MIN(INDIRECT(ADDRESS(165+3,K$2+1,,,"Instances") &amp; ":" &amp; ADDRESS(165+3,K$2+1))),"max", MAX(INDIRECT(ADDRESS(165+3,K$2+1,,,"Instances") &amp; ":" &amp; ADDRESS(165+3,K$2+1))),"diff", MAX(INDIRECT(ADDRESS(165+3,K$2+1,,,"Instances") &amp; ":" &amp; ADDRESS(165+3,K$2+1)))-MIN(INDIRECT(ADDRESS(165+3,K$2+1,,,"Instances") &amp; ":" &amp; ADDRESS(165+3,K$2+1))))</f>
        <v>0</v>
      </c>
      <c r="L170">
        <f>IFERROR(SMALL(K5:K188,ROW()-ROW($L$5)+1),"")</f>
        <v>0</v>
      </c>
      <c r="N170">
        <f>IFERROR(SUM(L5:L170),"")</f>
        <v>0</v>
      </c>
      <c r="Q170">
        <f>IF(Charts!$B$3="none",E1097,IF(K1097="",NA(),K1097))</f>
        <v>0</v>
      </c>
      <c r="R170">
        <f>IF(Charts!$B$3="none",F1097,IF(L1097="",NA(),L1097))</f>
        <v>0</v>
      </c>
      <c r="S170">
        <f>IF(Charts!$B$3="none",G1097,IF(M1097="",NA(),M1097))</f>
        <v>0</v>
      </c>
      <c r="T170">
        <f>IF(Charts!$B$3="none",H1097,IF(N1097="",NA(),N1097))</f>
        <v>0</v>
      </c>
    </row>
    <row r="171" spans="4:20">
      <c r="D171">
        <v>167</v>
      </c>
      <c r="E171">
        <f>IF(INDIRECT(ADDRESS($D171+2,E$2+1,,,"Instances"))="","",INDIRECT(ADDRESS($D171+2,E$2+1,,,"Instances")))</f>
        <v>0</v>
      </c>
      <c r="F171">
        <f>IFERROR(SMALL(E5:E188,ROW()-ROW($F$5)+1),"")</f>
        <v>0</v>
      </c>
      <c r="H171">
        <f>IFERROR(SUM(F5:F171),"")</f>
        <v>0</v>
      </c>
      <c r="J171">
        <v>167</v>
      </c>
      <c r="K171" cm="1">
        <f t="array" ref="K171">_xlfn.SWITCH(Charts!$B$3,"average", AVERAGE(INDIRECT(ADDRESS(166+3,K$2+1,,,"Instances") &amp; ":" &amp; ADDRESS(166+3,K$2+1))),"median", MEDIAN(INDIRECT(ADDRESS(166+3,K$2+1,,,"Instances") &amp; ":" &amp; ADDRESS(166+3,K$2+1))),"min", MIN(INDIRECT(ADDRESS(166+3,K$2+1,,,"Instances") &amp; ":" &amp; ADDRESS(166+3,K$2+1))),"max", MAX(INDIRECT(ADDRESS(166+3,K$2+1,,,"Instances") &amp; ":" &amp; ADDRESS(166+3,K$2+1))),"diff", MAX(INDIRECT(ADDRESS(166+3,K$2+1,,,"Instances") &amp; ":" &amp; ADDRESS(166+3,K$2+1)))-MIN(INDIRECT(ADDRESS(166+3,K$2+1,,,"Instances") &amp; ":" &amp; ADDRESS(166+3,K$2+1))))</f>
        <v>0</v>
      </c>
      <c r="L171">
        <f>IFERROR(SMALL(K5:K188,ROW()-ROW($L$5)+1),"")</f>
        <v>0</v>
      </c>
      <c r="N171">
        <f>IFERROR(SUM(L5:L171),"")</f>
        <v>0</v>
      </c>
      <c r="Q171">
        <f>IF(Charts!$B$3="none",E1098,IF(K1098="",NA(),K1098))</f>
        <v>0</v>
      </c>
      <c r="R171">
        <f>IF(Charts!$B$3="none",F1098,IF(L1098="",NA(),L1098))</f>
        <v>0</v>
      </c>
      <c r="S171">
        <f>IF(Charts!$B$3="none",G1098,IF(M1098="",NA(),M1098))</f>
        <v>0</v>
      </c>
      <c r="T171">
        <f>IF(Charts!$B$3="none",H1098,IF(N1098="",NA(),N1098))</f>
        <v>0</v>
      </c>
    </row>
    <row r="172" spans="4:20">
      <c r="D172">
        <v>168</v>
      </c>
      <c r="E172">
        <f>IF(INDIRECT(ADDRESS($D172+2,E$2+1,,,"Instances"))="","",INDIRECT(ADDRESS($D172+2,E$2+1,,,"Instances")))</f>
        <v>0</v>
      </c>
      <c r="F172">
        <f>IFERROR(SMALL(E5:E188,ROW()-ROW($F$5)+1),"")</f>
        <v>0</v>
      </c>
      <c r="H172">
        <f>IFERROR(SUM(F5:F172),"")</f>
        <v>0</v>
      </c>
      <c r="J172">
        <v>168</v>
      </c>
      <c r="K172" cm="1">
        <f t="array" ref="K172">_xlfn.SWITCH(Charts!$B$3,"average", AVERAGE(INDIRECT(ADDRESS(167+3,K$2+1,,,"Instances") &amp; ":" &amp; ADDRESS(167+3,K$2+1))),"median", MEDIAN(INDIRECT(ADDRESS(167+3,K$2+1,,,"Instances") &amp; ":" &amp; ADDRESS(167+3,K$2+1))),"min", MIN(INDIRECT(ADDRESS(167+3,K$2+1,,,"Instances") &amp; ":" &amp; ADDRESS(167+3,K$2+1))),"max", MAX(INDIRECT(ADDRESS(167+3,K$2+1,,,"Instances") &amp; ":" &amp; ADDRESS(167+3,K$2+1))),"diff", MAX(INDIRECT(ADDRESS(167+3,K$2+1,,,"Instances") &amp; ":" &amp; ADDRESS(167+3,K$2+1)))-MIN(INDIRECT(ADDRESS(167+3,K$2+1,,,"Instances") &amp; ":" &amp; ADDRESS(167+3,K$2+1))))</f>
        <v>0</v>
      </c>
      <c r="L172">
        <f>IFERROR(SMALL(K5:K188,ROW()-ROW($L$5)+1),"")</f>
        <v>0</v>
      </c>
      <c r="N172">
        <f>IFERROR(SUM(L5:L172),"")</f>
        <v>0</v>
      </c>
      <c r="Q172">
        <f>IF(Charts!$B$3="none",E1099,IF(K1099="",NA(),K1099))</f>
        <v>0</v>
      </c>
      <c r="R172">
        <f>IF(Charts!$B$3="none",F1099,IF(L1099="",NA(),L1099))</f>
        <v>0</v>
      </c>
      <c r="S172">
        <f>IF(Charts!$B$3="none",G1099,IF(M1099="",NA(),M1099))</f>
        <v>0</v>
      </c>
      <c r="T172">
        <f>IF(Charts!$B$3="none",H1099,IF(N1099="",NA(),N1099))</f>
        <v>0</v>
      </c>
    </row>
    <row r="173" spans="4:20">
      <c r="D173">
        <v>169</v>
      </c>
      <c r="E173">
        <f>IF(INDIRECT(ADDRESS($D173+2,E$2+1,,,"Instances"))="","",INDIRECT(ADDRESS($D173+2,E$2+1,,,"Instances")))</f>
        <v>0</v>
      </c>
      <c r="F173">
        <f>IFERROR(SMALL(E5:E188,ROW()-ROW($F$5)+1),"")</f>
        <v>0</v>
      </c>
      <c r="H173">
        <f>IFERROR(SUM(F5:F173),"")</f>
        <v>0</v>
      </c>
      <c r="J173">
        <v>169</v>
      </c>
      <c r="K173" cm="1">
        <f t="array" ref="K173">_xlfn.SWITCH(Charts!$B$3,"average", AVERAGE(INDIRECT(ADDRESS(168+3,K$2+1,,,"Instances") &amp; ":" &amp; ADDRESS(168+3,K$2+1))),"median", MEDIAN(INDIRECT(ADDRESS(168+3,K$2+1,,,"Instances") &amp; ":" &amp; ADDRESS(168+3,K$2+1))),"min", MIN(INDIRECT(ADDRESS(168+3,K$2+1,,,"Instances") &amp; ":" &amp; ADDRESS(168+3,K$2+1))),"max", MAX(INDIRECT(ADDRESS(168+3,K$2+1,,,"Instances") &amp; ":" &amp; ADDRESS(168+3,K$2+1))),"diff", MAX(INDIRECT(ADDRESS(168+3,K$2+1,,,"Instances") &amp; ":" &amp; ADDRESS(168+3,K$2+1)))-MIN(INDIRECT(ADDRESS(168+3,K$2+1,,,"Instances") &amp; ":" &amp; ADDRESS(168+3,K$2+1))))</f>
        <v>0</v>
      </c>
      <c r="L173">
        <f>IFERROR(SMALL(K5:K188,ROW()-ROW($L$5)+1),"")</f>
        <v>0</v>
      </c>
      <c r="N173">
        <f>IFERROR(SUM(L5:L173),"")</f>
        <v>0</v>
      </c>
      <c r="Q173">
        <f>IF(Charts!$B$3="none",E1100,IF(K1100="",NA(),K1100))</f>
        <v>0</v>
      </c>
      <c r="R173">
        <f>IF(Charts!$B$3="none",F1100,IF(L1100="",NA(),L1100))</f>
        <v>0</v>
      </c>
      <c r="S173">
        <f>IF(Charts!$B$3="none",G1100,IF(M1100="",NA(),M1100))</f>
        <v>0</v>
      </c>
      <c r="T173">
        <f>IF(Charts!$B$3="none",H1100,IF(N1100="",NA(),N1100))</f>
        <v>0</v>
      </c>
    </row>
    <row r="174" spans="4:20">
      <c r="D174">
        <v>170</v>
      </c>
      <c r="E174">
        <f>IF(INDIRECT(ADDRESS($D174+2,E$2+1,,,"Instances"))="","",INDIRECT(ADDRESS($D174+2,E$2+1,,,"Instances")))</f>
        <v>0</v>
      </c>
      <c r="F174">
        <f>IFERROR(SMALL(E5:E188,ROW()-ROW($F$5)+1),"")</f>
        <v>0</v>
      </c>
      <c r="H174">
        <f>IFERROR(SUM(F5:F174),"")</f>
        <v>0</v>
      </c>
      <c r="J174">
        <v>170</v>
      </c>
      <c r="K174" cm="1">
        <f t="array" ref="K174">_xlfn.SWITCH(Charts!$B$3,"average", AVERAGE(INDIRECT(ADDRESS(169+3,K$2+1,,,"Instances") &amp; ":" &amp; ADDRESS(169+3,K$2+1))),"median", MEDIAN(INDIRECT(ADDRESS(169+3,K$2+1,,,"Instances") &amp; ":" &amp; ADDRESS(169+3,K$2+1))),"min", MIN(INDIRECT(ADDRESS(169+3,K$2+1,,,"Instances") &amp; ":" &amp; ADDRESS(169+3,K$2+1))),"max", MAX(INDIRECT(ADDRESS(169+3,K$2+1,,,"Instances") &amp; ":" &amp; ADDRESS(169+3,K$2+1))),"diff", MAX(INDIRECT(ADDRESS(169+3,K$2+1,,,"Instances") &amp; ":" &amp; ADDRESS(169+3,K$2+1)))-MIN(INDIRECT(ADDRESS(169+3,K$2+1,,,"Instances") &amp; ":" &amp; ADDRESS(169+3,K$2+1))))</f>
        <v>0</v>
      </c>
      <c r="L174">
        <f>IFERROR(SMALL(K5:K188,ROW()-ROW($L$5)+1),"")</f>
        <v>0</v>
      </c>
      <c r="N174">
        <f>IFERROR(SUM(L5:L174),"")</f>
        <v>0</v>
      </c>
      <c r="Q174">
        <f>IF(Charts!$B$3="none",E1101,IF(K1101="",NA(),K1101))</f>
        <v>0</v>
      </c>
      <c r="R174">
        <f>IF(Charts!$B$3="none",F1101,IF(L1101="",NA(),L1101))</f>
        <v>0</v>
      </c>
      <c r="S174">
        <f>IF(Charts!$B$3="none",G1101,IF(M1101="",NA(),M1101))</f>
        <v>0</v>
      </c>
      <c r="T174">
        <f>IF(Charts!$B$3="none",H1101,IF(N1101="",NA(),N1101))</f>
        <v>0</v>
      </c>
    </row>
    <row r="175" spans="4:20">
      <c r="D175">
        <v>171</v>
      </c>
      <c r="E175">
        <f>IF(INDIRECT(ADDRESS($D175+2,E$2+1,,,"Instances"))="","",INDIRECT(ADDRESS($D175+2,E$2+1,,,"Instances")))</f>
        <v>0</v>
      </c>
      <c r="F175">
        <f>IFERROR(SMALL(E5:E188,ROW()-ROW($F$5)+1),"")</f>
        <v>0</v>
      </c>
      <c r="H175">
        <f>IFERROR(SUM(F5:F175),"")</f>
        <v>0</v>
      </c>
      <c r="J175">
        <v>171</v>
      </c>
      <c r="K175" cm="1">
        <f t="array" ref="K175">_xlfn.SWITCH(Charts!$B$3,"average", AVERAGE(INDIRECT(ADDRESS(170+3,K$2+1,,,"Instances") &amp; ":" &amp; ADDRESS(170+3,K$2+1))),"median", MEDIAN(INDIRECT(ADDRESS(170+3,K$2+1,,,"Instances") &amp; ":" &amp; ADDRESS(170+3,K$2+1))),"min", MIN(INDIRECT(ADDRESS(170+3,K$2+1,,,"Instances") &amp; ":" &amp; ADDRESS(170+3,K$2+1))),"max", MAX(INDIRECT(ADDRESS(170+3,K$2+1,,,"Instances") &amp; ":" &amp; ADDRESS(170+3,K$2+1))),"diff", MAX(INDIRECT(ADDRESS(170+3,K$2+1,,,"Instances") &amp; ":" &amp; ADDRESS(170+3,K$2+1)))-MIN(INDIRECT(ADDRESS(170+3,K$2+1,,,"Instances") &amp; ":" &amp; ADDRESS(170+3,K$2+1))))</f>
        <v>0</v>
      </c>
      <c r="L175">
        <f>IFERROR(SMALL(K5:K188,ROW()-ROW($L$5)+1),"")</f>
        <v>0</v>
      </c>
      <c r="N175">
        <f>IFERROR(SUM(L5:L175),"")</f>
        <v>0</v>
      </c>
      <c r="Q175">
        <f>IF(Charts!$B$3="none",E1102,IF(K1102="",NA(),K1102))</f>
        <v>0</v>
      </c>
      <c r="R175">
        <f>IF(Charts!$B$3="none",F1102,IF(L1102="",NA(),L1102))</f>
        <v>0</v>
      </c>
      <c r="S175">
        <f>IF(Charts!$B$3="none",G1102,IF(M1102="",NA(),M1102))</f>
        <v>0</v>
      </c>
      <c r="T175">
        <f>IF(Charts!$B$3="none",H1102,IF(N1102="",NA(),N1102))</f>
        <v>0</v>
      </c>
    </row>
    <row r="176" spans="4:20">
      <c r="D176">
        <v>172</v>
      </c>
      <c r="E176">
        <f>IF(INDIRECT(ADDRESS($D176+2,E$2+1,,,"Instances"))="","",INDIRECT(ADDRESS($D176+2,E$2+1,,,"Instances")))</f>
        <v>0</v>
      </c>
      <c r="F176">
        <f>IFERROR(SMALL(E5:E188,ROW()-ROW($F$5)+1),"")</f>
        <v>0</v>
      </c>
      <c r="H176">
        <f>IFERROR(SUM(F5:F176),"")</f>
        <v>0</v>
      </c>
      <c r="J176">
        <v>172</v>
      </c>
      <c r="K176" cm="1">
        <f t="array" ref="K176">_xlfn.SWITCH(Charts!$B$3,"average", AVERAGE(INDIRECT(ADDRESS(171+3,K$2+1,,,"Instances") &amp; ":" &amp; ADDRESS(171+3,K$2+1))),"median", MEDIAN(INDIRECT(ADDRESS(171+3,K$2+1,,,"Instances") &amp; ":" &amp; ADDRESS(171+3,K$2+1))),"min", MIN(INDIRECT(ADDRESS(171+3,K$2+1,,,"Instances") &amp; ":" &amp; ADDRESS(171+3,K$2+1))),"max", MAX(INDIRECT(ADDRESS(171+3,K$2+1,,,"Instances") &amp; ":" &amp; ADDRESS(171+3,K$2+1))),"diff", MAX(INDIRECT(ADDRESS(171+3,K$2+1,,,"Instances") &amp; ":" &amp; ADDRESS(171+3,K$2+1)))-MIN(INDIRECT(ADDRESS(171+3,K$2+1,,,"Instances") &amp; ":" &amp; ADDRESS(171+3,K$2+1))))</f>
        <v>0</v>
      </c>
      <c r="L176">
        <f>IFERROR(SMALL(K5:K188,ROW()-ROW($L$5)+1),"")</f>
        <v>0</v>
      </c>
      <c r="N176">
        <f>IFERROR(SUM(L5:L176),"")</f>
        <v>0</v>
      </c>
      <c r="Q176">
        <f>IF(Charts!$B$3="none",E1103,IF(K1103="",NA(),K1103))</f>
        <v>0</v>
      </c>
      <c r="R176">
        <f>IF(Charts!$B$3="none",F1103,IF(L1103="",NA(),L1103))</f>
        <v>0</v>
      </c>
      <c r="S176">
        <f>IF(Charts!$B$3="none",G1103,IF(M1103="",NA(),M1103))</f>
        <v>0</v>
      </c>
      <c r="T176">
        <f>IF(Charts!$B$3="none",H1103,IF(N1103="",NA(),N1103))</f>
        <v>0</v>
      </c>
    </row>
    <row r="177" spans="4:20">
      <c r="D177">
        <v>173</v>
      </c>
      <c r="E177">
        <f>IF(INDIRECT(ADDRESS($D177+2,E$2+1,,,"Instances"))="","",INDIRECT(ADDRESS($D177+2,E$2+1,,,"Instances")))</f>
        <v>0</v>
      </c>
      <c r="F177">
        <f>IFERROR(SMALL(E5:E188,ROW()-ROW($F$5)+1),"")</f>
        <v>0</v>
      </c>
      <c r="H177">
        <f>IFERROR(SUM(F5:F177),"")</f>
        <v>0</v>
      </c>
      <c r="J177">
        <v>173</v>
      </c>
      <c r="K177" cm="1">
        <f t="array" ref="K177">_xlfn.SWITCH(Charts!$B$3,"average", AVERAGE(INDIRECT(ADDRESS(172+3,K$2+1,,,"Instances") &amp; ":" &amp; ADDRESS(172+3,K$2+1))),"median", MEDIAN(INDIRECT(ADDRESS(172+3,K$2+1,,,"Instances") &amp; ":" &amp; ADDRESS(172+3,K$2+1))),"min", MIN(INDIRECT(ADDRESS(172+3,K$2+1,,,"Instances") &amp; ":" &amp; ADDRESS(172+3,K$2+1))),"max", MAX(INDIRECT(ADDRESS(172+3,K$2+1,,,"Instances") &amp; ":" &amp; ADDRESS(172+3,K$2+1))),"diff", MAX(INDIRECT(ADDRESS(172+3,K$2+1,,,"Instances") &amp; ":" &amp; ADDRESS(172+3,K$2+1)))-MIN(INDIRECT(ADDRESS(172+3,K$2+1,,,"Instances") &amp; ":" &amp; ADDRESS(172+3,K$2+1))))</f>
        <v>0</v>
      </c>
      <c r="L177">
        <f>IFERROR(SMALL(K5:K188,ROW()-ROW($L$5)+1),"")</f>
        <v>0</v>
      </c>
      <c r="N177">
        <f>IFERROR(SUM(L5:L177),"")</f>
        <v>0</v>
      </c>
      <c r="Q177">
        <f>IF(Charts!$B$3="none",E1104,IF(K1104="",NA(),K1104))</f>
        <v>0</v>
      </c>
      <c r="R177">
        <f>IF(Charts!$B$3="none",F1104,IF(L1104="",NA(),L1104))</f>
        <v>0</v>
      </c>
      <c r="S177">
        <f>IF(Charts!$B$3="none",G1104,IF(M1104="",NA(),M1104))</f>
        <v>0</v>
      </c>
      <c r="T177">
        <f>IF(Charts!$B$3="none",H1104,IF(N1104="",NA(),N1104))</f>
        <v>0</v>
      </c>
    </row>
    <row r="178" spans="4:20">
      <c r="D178">
        <v>174</v>
      </c>
      <c r="E178">
        <f>IF(INDIRECT(ADDRESS($D178+2,E$2+1,,,"Instances"))="","",INDIRECT(ADDRESS($D178+2,E$2+1,,,"Instances")))</f>
        <v>0</v>
      </c>
      <c r="F178">
        <f>IFERROR(SMALL(E5:E188,ROW()-ROW($F$5)+1),"")</f>
        <v>0</v>
      </c>
      <c r="H178">
        <f>IFERROR(SUM(F5:F178),"")</f>
        <v>0</v>
      </c>
      <c r="J178">
        <v>174</v>
      </c>
      <c r="K178" cm="1">
        <f t="array" ref="K178">_xlfn.SWITCH(Charts!$B$3,"average", AVERAGE(INDIRECT(ADDRESS(173+3,K$2+1,,,"Instances") &amp; ":" &amp; ADDRESS(173+3,K$2+1))),"median", MEDIAN(INDIRECT(ADDRESS(173+3,K$2+1,,,"Instances") &amp; ":" &amp; ADDRESS(173+3,K$2+1))),"min", MIN(INDIRECT(ADDRESS(173+3,K$2+1,,,"Instances") &amp; ":" &amp; ADDRESS(173+3,K$2+1))),"max", MAX(INDIRECT(ADDRESS(173+3,K$2+1,,,"Instances") &amp; ":" &amp; ADDRESS(173+3,K$2+1))),"diff", MAX(INDIRECT(ADDRESS(173+3,K$2+1,,,"Instances") &amp; ":" &amp; ADDRESS(173+3,K$2+1)))-MIN(INDIRECT(ADDRESS(173+3,K$2+1,,,"Instances") &amp; ":" &amp; ADDRESS(173+3,K$2+1))))</f>
        <v>0</v>
      </c>
      <c r="L178">
        <f>IFERROR(SMALL(K5:K188,ROW()-ROW($L$5)+1),"")</f>
        <v>0</v>
      </c>
      <c r="N178">
        <f>IFERROR(SUM(L5:L178),"")</f>
        <v>0</v>
      </c>
      <c r="Q178">
        <f>IF(Charts!$B$3="none",E1105,IF(K1105="",NA(),K1105))</f>
        <v>0</v>
      </c>
      <c r="R178">
        <f>IF(Charts!$B$3="none",F1105,IF(L1105="",NA(),L1105))</f>
        <v>0</v>
      </c>
      <c r="S178">
        <f>IF(Charts!$B$3="none",G1105,IF(M1105="",NA(),M1105))</f>
        <v>0</v>
      </c>
      <c r="T178">
        <f>IF(Charts!$B$3="none",H1105,IF(N1105="",NA(),N1105))</f>
        <v>0</v>
      </c>
    </row>
    <row r="179" spans="4:20">
      <c r="D179">
        <v>175</v>
      </c>
      <c r="E179">
        <f>IF(INDIRECT(ADDRESS($D179+2,E$2+1,,,"Instances"))="","",INDIRECT(ADDRESS($D179+2,E$2+1,,,"Instances")))</f>
        <v>0</v>
      </c>
      <c r="F179">
        <f>IFERROR(SMALL(E5:E188,ROW()-ROW($F$5)+1),"")</f>
        <v>0</v>
      </c>
      <c r="H179">
        <f>IFERROR(SUM(F5:F179),"")</f>
        <v>0</v>
      </c>
      <c r="J179">
        <v>175</v>
      </c>
      <c r="K179" cm="1">
        <f t="array" ref="K179">_xlfn.SWITCH(Charts!$B$3,"average", AVERAGE(INDIRECT(ADDRESS(174+3,K$2+1,,,"Instances") &amp; ":" &amp; ADDRESS(174+3,K$2+1))),"median", MEDIAN(INDIRECT(ADDRESS(174+3,K$2+1,,,"Instances") &amp; ":" &amp; ADDRESS(174+3,K$2+1))),"min", MIN(INDIRECT(ADDRESS(174+3,K$2+1,,,"Instances") &amp; ":" &amp; ADDRESS(174+3,K$2+1))),"max", MAX(INDIRECT(ADDRESS(174+3,K$2+1,,,"Instances") &amp; ":" &amp; ADDRESS(174+3,K$2+1))),"diff", MAX(INDIRECT(ADDRESS(174+3,K$2+1,,,"Instances") &amp; ":" &amp; ADDRESS(174+3,K$2+1)))-MIN(INDIRECT(ADDRESS(174+3,K$2+1,,,"Instances") &amp; ":" &amp; ADDRESS(174+3,K$2+1))))</f>
        <v>0</v>
      </c>
      <c r="L179">
        <f>IFERROR(SMALL(K5:K188,ROW()-ROW($L$5)+1),"")</f>
        <v>0</v>
      </c>
      <c r="N179">
        <f>IFERROR(SUM(L5:L179),"")</f>
        <v>0</v>
      </c>
      <c r="Q179">
        <f>IF(Charts!$B$3="none",E1106,IF(K1106="",NA(),K1106))</f>
        <v>0</v>
      </c>
      <c r="R179">
        <f>IF(Charts!$B$3="none",F1106,IF(L1106="",NA(),L1106))</f>
        <v>0</v>
      </c>
      <c r="S179">
        <f>IF(Charts!$B$3="none",G1106,IF(M1106="",NA(),M1106))</f>
        <v>0</v>
      </c>
      <c r="T179">
        <f>IF(Charts!$B$3="none",H1106,IF(N1106="",NA(),N1106))</f>
        <v>0</v>
      </c>
    </row>
    <row r="180" spans="4:20">
      <c r="D180">
        <v>176</v>
      </c>
      <c r="E180">
        <f>IF(INDIRECT(ADDRESS($D180+2,E$2+1,,,"Instances"))="","",INDIRECT(ADDRESS($D180+2,E$2+1,,,"Instances")))</f>
        <v>0</v>
      </c>
      <c r="F180">
        <f>IFERROR(SMALL(E5:E188,ROW()-ROW($F$5)+1),"")</f>
        <v>0</v>
      </c>
      <c r="H180">
        <f>IFERROR(SUM(F5:F180),"")</f>
        <v>0</v>
      </c>
      <c r="J180">
        <v>176</v>
      </c>
      <c r="K180" cm="1">
        <f t="array" ref="K180">_xlfn.SWITCH(Charts!$B$3,"average", AVERAGE(INDIRECT(ADDRESS(175+3,K$2+1,,,"Instances") &amp; ":" &amp; ADDRESS(175+3,K$2+1))),"median", MEDIAN(INDIRECT(ADDRESS(175+3,K$2+1,,,"Instances") &amp; ":" &amp; ADDRESS(175+3,K$2+1))),"min", MIN(INDIRECT(ADDRESS(175+3,K$2+1,,,"Instances") &amp; ":" &amp; ADDRESS(175+3,K$2+1))),"max", MAX(INDIRECT(ADDRESS(175+3,K$2+1,,,"Instances") &amp; ":" &amp; ADDRESS(175+3,K$2+1))),"diff", MAX(INDIRECT(ADDRESS(175+3,K$2+1,,,"Instances") &amp; ":" &amp; ADDRESS(175+3,K$2+1)))-MIN(INDIRECT(ADDRESS(175+3,K$2+1,,,"Instances") &amp; ":" &amp; ADDRESS(175+3,K$2+1))))</f>
        <v>0</v>
      </c>
      <c r="L180">
        <f>IFERROR(SMALL(K5:K188,ROW()-ROW($L$5)+1),"")</f>
        <v>0</v>
      </c>
      <c r="N180">
        <f>IFERROR(SUM(L5:L180),"")</f>
        <v>0</v>
      </c>
      <c r="Q180">
        <f>IF(Charts!$B$3="none",E1107,IF(K1107="",NA(),K1107))</f>
        <v>0</v>
      </c>
      <c r="R180">
        <f>IF(Charts!$B$3="none",F1107,IF(L1107="",NA(),L1107))</f>
        <v>0</v>
      </c>
      <c r="S180">
        <f>IF(Charts!$B$3="none",G1107,IF(M1107="",NA(),M1107))</f>
        <v>0</v>
      </c>
      <c r="T180">
        <f>IF(Charts!$B$3="none",H1107,IF(N1107="",NA(),N1107))</f>
        <v>0</v>
      </c>
    </row>
    <row r="181" spans="4:20">
      <c r="D181">
        <v>177</v>
      </c>
      <c r="E181">
        <f>IF(INDIRECT(ADDRESS($D181+2,E$2+1,,,"Instances"))="","",INDIRECT(ADDRESS($D181+2,E$2+1,,,"Instances")))</f>
        <v>0</v>
      </c>
      <c r="F181">
        <f>IFERROR(SMALL(E5:E188,ROW()-ROW($F$5)+1),"")</f>
        <v>0</v>
      </c>
      <c r="H181">
        <f>IFERROR(SUM(F5:F181),"")</f>
        <v>0</v>
      </c>
      <c r="J181">
        <v>177</v>
      </c>
      <c r="K181" cm="1">
        <f t="array" ref="K181">_xlfn.SWITCH(Charts!$B$3,"average", AVERAGE(INDIRECT(ADDRESS(176+3,K$2+1,,,"Instances") &amp; ":" &amp; ADDRESS(176+3,K$2+1))),"median", MEDIAN(INDIRECT(ADDRESS(176+3,K$2+1,,,"Instances") &amp; ":" &amp; ADDRESS(176+3,K$2+1))),"min", MIN(INDIRECT(ADDRESS(176+3,K$2+1,,,"Instances") &amp; ":" &amp; ADDRESS(176+3,K$2+1))),"max", MAX(INDIRECT(ADDRESS(176+3,K$2+1,,,"Instances") &amp; ":" &amp; ADDRESS(176+3,K$2+1))),"diff", MAX(INDIRECT(ADDRESS(176+3,K$2+1,,,"Instances") &amp; ":" &amp; ADDRESS(176+3,K$2+1)))-MIN(INDIRECT(ADDRESS(176+3,K$2+1,,,"Instances") &amp; ":" &amp; ADDRESS(176+3,K$2+1))))</f>
        <v>0</v>
      </c>
      <c r="L181">
        <f>IFERROR(SMALL(K5:K188,ROW()-ROW($L$5)+1),"")</f>
        <v>0</v>
      </c>
      <c r="N181">
        <f>IFERROR(SUM(L5:L181),"")</f>
        <v>0</v>
      </c>
      <c r="Q181">
        <f>IF(Charts!$B$3="none",E1108,IF(K1108="",NA(),K1108))</f>
        <v>0</v>
      </c>
      <c r="R181">
        <f>IF(Charts!$B$3="none",F1108,IF(L1108="",NA(),L1108))</f>
        <v>0</v>
      </c>
      <c r="S181">
        <f>IF(Charts!$B$3="none",G1108,IF(M1108="",NA(),M1108))</f>
        <v>0</v>
      </c>
      <c r="T181">
        <f>IF(Charts!$B$3="none",H1108,IF(N1108="",NA(),N1108))</f>
        <v>0</v>
      </c>
    </row>
    <row r="182" spans="4:20">
      <c r="D182">
        <v>178</v>
      </c>
      <c r="E182">
        <f>IF(INDIRECT(ADDRESS($D182+2,E$2+1,,,"Instances"))="","",INDIRECT(ADDRESS($D182+2,E$2+1,,,"Instances")))</f>
        <v>0</v>
      </c>
      <c r="F182">
        <f>IFERROR(SMALL(E5:E188,ROW()-ROW($F$5)+1),"")</f>
        <v>0</v>
      </c>
      <c r="H182">
        <f>IFERROR(SUM(F5:F182),"")</f>
        <v>0</v>
      </c>
      <c r="J182">
        <v>178</v>
      </c>
      <c r="K182" cm="1">
        <f t="array" ref="K182">_xlfn.SWITCH(Charts!$B$3,"average", AVERAGE(INDIRECT(ADDRESS(177+3,K$2+1,,,"Instances") &amp; ":" &amp; ADDRESS(177+3,K$2+1))),"median", MEDIAN(INDIRECT(ADDRESS(177+3,K$2+1,,,"Instances") &amp; ":" &amp; ADDRESS(177+3,K$2+1))),"min", MIN(INDIRECT(ADDRESS(177+3,K$2+1,,,"Instances") &amp; ":" &amp; ADDRESS(177+3,K$2+1))),"max", MAX(INDIRECT(ADDRESS(177+3,K$2+1,,,"Instances") &amp; ":" &amp; ADDRESS(177+3,K$2+1))),"diff", MAX(INDIRECT(ADDRESS(177+3,K$2+1,,,"Instances") &amp; ":" &amp; ADDRESS(177+3,K$2+1)))-MIN(INDIRECT(ADDRESS(177+3,K$2+1,,,"Instances") &amp; ":" &amp; ADDRESS(177+3,K$2+1))))</f>
        <v>0</v>
      </c>
      <c r="L182">
        <f>IFERROR(SMALL(K5:K188,ROW()-ROW($L$5)+1),"")</f>
        <v>0</v>
      </c>
      <c r="N182">
        <f>IFERROR(SUM(L5:L182),"")</f>
        <v>0</v>
      </c>
      <c r="Q182">
        <f>IF(Charts!$B$3="none",E1109,IF(K1109="",NA(),K1109))</f>
        <v>0</v>
      </c>
      <c r="R182">
        <f>IF(Charts!$B$3="none",F1109,IF(L1109="",NA(),L1109))</f>
        <v>0</v>
      </c>
      <c r="S182">
        <f>IF(Charts!$B$3="none",G1109,IF(M1109="",NA(),M1109))</f>
        <v>0</v>
      </c>
      <c r="T182">
        <f>IF(Charts!$B$3="none",H1109,IF(N1109="",NA(),N1109))</f>
        <v>0</v>
      </c>
    </row>
    <row r="183" spans="4:20">
      <c r="D183">
        <v>179</v>
      </c>
      <c r="E183">
        <f>IF(INDIRECT(ADDRESS($D183+2,E$2+1,,,"Instances"))="","",INDIRECT(ADDRESS($D183+2,E$2+1,,,"Instances")))</f>
        <v>0</v>
      </c>
      <c r="F183">
        <f>IFERROR(SMALL(E5:E188,ROW()-ROW($F$5)+1),"")</f>
        <v>0</v>
      </c>
      <c r="H183">
        <f>IFERROR(SUM(F5:F183),"")</f>
        <v>0</v>
      </c>
      <c r="J183">
        <v>179</v>
      </c>
      <c r="K183" cm="1">
        <f t="array" ref="K183">_xlfn.SWITCH(Charts!$B$3,"average", AVERAGE(INDIRECT(ADDRESS(178+3,K$2+1,,,"Instances") &amp; ":" &amp; ADDRESS(178+3,K$2+1))),"median", MEDIAN(INDIRECT(ADDRESS(178+3,K$2+1,,,"Instances") &amp; ":" &amp; ADDRESS(178+3,K$2+1))),"min", MIN(INDIRECT(ADDRESS(178+3,K$2+1,,,"Instances") &amp; ":" &amp; ADDRESS(178+3,K$2+1))),"max", MAX(INDIRECT(ADDRESS(178+3,K$2+1,,,"Instances") &amp; ":" &amp; ADDRESS(178+3,K$2+1))),"diff", MAX(INDIRECT(ADDRESS(178+3,K$2+1,,,"Instances") &amp; ":" &amp; ADDRESS(178+3,K$2+1)))-MIN(INDIRECT(ADDRESS(178+3,K$2+1,,,"Instances") &amp; ":" &amp; ADDRESS(178+3,K$2+1))))</f>
        <v>0</v>
      </c>
      <c r="L183">
        <f>IFERROR(SMALL(K5:K188,ROW()-ROW($L$5)+1),"")</f>
        <v>0</v>
      </c>
      <c r="N183">
        <f>IFERROR(SUM(L5:L183),"")</f>
        <v>0</v>
      </c>
      <c r="Q183">
        <f>IF(Charts!$B$3="none",E1110,IF(K1110="",NA(),K1110))</f>
        <v>0</v>
      </c>
      <c r="R183">
        <f>IF(Charts!$B$3="none",F1110,IF(L1110="",NA(),L1110))</f>
        <v>0</v>
      </c>
      <c r="S183">
        <f>IF(Charts!$B$3="none",G1110,IF(M1110="",NA(),M1110))</f>
        <v>0</v>
      </c>
      <c r="T183">
        <f>IF(Charts!$B$3="none",H1110,IF(N1110="",NA(),N1110))</f>
        <v>0</v>
      </c>
    </row>
    <row r="184" spans="4:20">
      <c r="D184">
        <v>180</v>
      </c>
      <c r="E184">
        <f>IF(INDIRECT(ADDRESS($D184+2,E$2+1,,,"Instances"))="","",INDIRECT(ADDRESS($D184+2,E$2+1,,,"Instances")))</f>
        <v>0</v>
      </c>
      <c r="F184">
        <f>IFERROR(SMALL(E5:E188,ROW()-ROW($F$5)+1),"")</f>
        <v>0</v>
      </c>
      <c r="H184">
        <f>IFERROR(SUM(F5:F184),"")</f>
        <v>0</v>
      </c>
      <c r="J184">
        <v>180</v>
      </c>
      <c r="K184" cm="1">
        <f t="array" ref="K184">_xlfn.SWITCH(Charts!$B$3,"average", AVERAGE(INDIRECT(ADDRESS(179+3,K$2+1,,,"Instances") &amp; ":" &amp; ADDRESS(179+3,K$2+1))),"median", MEDIAN(INDIRECT(ADDRESS(179+3,K$2+1,,,"Instances") &amp; ":" &amp; ADDRESS(179+3,K$2+1))),"min", MIN(INDIRECT(ADDRESS(179+3,K$2+1,,,"Instances") &amp; ":" &amp; ADDRESS(179+3,K$2+1))),"max", MAX(INDIRECT(ADDRESS(179+3,K$2+1,,,"Instances") &amp; ":" &amp; ADDRESS(179+3,K$2+1))),"diff", MAX(INDIRECT(ADDRESS(179+3,K$2+1,,,"Instances") &amp; ":" &amp; ADDRESS(179+3,K$2+1)))-MIN(INDIRECT(ADDRESS(179+3,K$2+1,,,"Instances") &amp; ":" &amp; ADDRESS(179+3,K$2+1))))</f>
        <v>0</v>
      </c>
      <c r="L184">
        <f>IFERROR(SMALL(K5:K188,ROW()-ROW($L$5)+1),"")</f>
        <v>0</v>
      </c>
      <c r="N184">
        <f>IFERROR(SUM(L5:L184),"")</f>
        <v>0</v>
      </c>
      <c r="Q184">
        <f>IF(Charts!$B$3="none",E1111,IF(K1111="",NA(),K1111))</f>
        <v>0</v>
      </c>
      <c r="R184">
        <f>IF(Charts!$B$3="none",F1111,IF(L1111="",NA(),L1111))</f>
        <v>0</v>
      </c>
      <c r="S184">
        <f>IF(Charts!$B$3="none",G1111,IF(M1111="",NA(),M1111))</f>
        <v>0</v>
      </c>
      <c r="T184">
        <f>IF(Charts!$B$3="none",H1111,IF(N1111="",NA(),N1111))</f>
        <v>0</v>
      </c>
    </row>
    <row r="185" spans="4:20">
      <c r="D185">
        <v>181</v>
      </c>
      <c r="E185">
        <f>IF(INDIRECT(ADDRESS($D185+2,E$2+1,,,"Instances"))="","",INDIRECT(ADDRESS($D185+2,E$2+1,,,"Instances")))</f>
        <v>0</v>
      </c>
      <c r="F185">
        <f>IFERROR(SMALL(E5:E188,ROW()-ROW($F$5)+1),"")</f>
        <v>0</v>
      </c>
      <c r="H185">
        <f>IFERROR(SUM(F5:F185),"")</f>
        <v>0</v>
      </c>
      <c r="J185">
        <v>181</v>
      </c>
      <c r="K185" cm="1">
        <f t="array" ref="K185">_xlfn.SWITCH(Charts!$B$3,"average", AVERAGE(INDIRECT(ADDRESS(180+3,K$2+1,,,"Instances") &amp; ":" &amp; ADDRESS(180+3,K$2+1))),"median", MEDIAN(INDIRECT(ADDRESS(180+3,K$2+1,,,"Instances") &amp; ":" &amp; ADDRESS(180+3,K$2+1))),"min", MIN(INDIRECT(ADDRESS(180+3,K$2+1,,,"Instances") &amp; ":" &amp; ADDRESS(180+3,K$2+1))),"max", MAX(INDIRECT(ADDRESS(180+3,K$2+1,,,"Instances") &amp; ":" &amp; ADDRESS(180+3,K$2+1))),"diff", MAX(INDIRECT(ADDRESS(180+3,K$2+1,,,"Instances") &amp; ":" &amp; ADDRESS(180+3,K$2+1)))-MIN(INDIRECT(ADDRESS(180+3,K$2+1,,,"Instances") &amp; ":" &amp; ADDRESS(180+3,K$2+1))))</f>
        <v>0</v>
      </c>
      <c r="L185">
        <f>IFERROR(SMALL(K5:K188,ROW()-ROW($L$5)+1),"")</f>
        <v>0</v>
      </c>
      <c r="N185">
        <f>IFERROR(SUM(L5:L185),"")</f>
        <v>0</v>
      </c>
      <c r="Q185">
        <f>IF(Charts!$B$3="none",E1112,IF(K1112="",NA(),K1112))</f>
        <v>0</v>
      </c>
      <c r="R185">
        <f>IF(Charts!$B$3="none",F1112,IF(L1112="",NA(),L1112))</f>
        <v>0</v>
      </c>
      <c r="S185">
        <f>IF(Charts!$B$3="none",G1112,IF(M1112="",NA(),M1112))</f>
        <v>0</v>
      </c>
      <c r="T185">
        <f>IF(Charts!$B$3="none",H1112,IF(N1112="",NA(),N1112))</f>
        <v>0</v>
      </c>
    </row>
    <row r="186" spans="4:20">
      <c r="D186">
        <v>182</v>
      </c>
      <c r="E186">
        <f>IF(INDIRECT(ADDRESS($D186+2,E$2+1,,,"Instances"))="","",INDIRECT(ADDRESS($D186+2,E$2+1,,,"Instances")))</f>
        <v>0</v>
      </c>
      <c r="F186">
        <f>IFERROR(SMALL(E5:E188,ROW()-ROW($F$5)+1),"")</f>
        <v>0</v>
      </c>
      <c r="H186">
        <f>IFERROR(SUM(F5:F186),"")</f>
        <v>0</v>
      </c>
      <c r="J186">
        <v>182</v>
      </c>
      <c r="K186" cm="1">
        <f t="array" ref="K186">_xlfn.SWITCH(Charts!$B$3,"average", AVERAGE(INDIRECT(ADDRESS(181+3,K$2+1,,,"Instances") &amp; ":" &amp; ADDRESS(181+3,K$2+1))),"median", MEDIAN(INDIRECT(ADDRESS(181+3,K$2+1,,,"Instances") &amp; ":" &amp; ADDRESS(181+3,K$2+1))),"min", MIN(INDIRECT(ADDRESS(181+3,K$2+1,,,"Instances") &amp; ":" &amp; ADDRESS(181+3,K$2+1))),"max", MAX(INDIRECT(ADDRESS(181+3,K$2+1,,,"Instances") &amp; ":" &amp; ADDRESS(181+3,K$2+1))),"diff", MAX(INDIRECT(ADDRESS(181+3,K$2+1,,,"Instances") &amp; ":" &amp; ADDRESS(181+3,K$2+1)))-MIN(INDIRECT(ADDRESS(181+3,K$2+1,,,"Instances") &amp; ":" &amp; ADDRESS(181+3,K$2+1))))</f>
        <v>0</v>
      </c>
      <c r="L186">
        <f>IFERROR(SMALL(K5:K188,ROW()-ROW($L$5)+1),"")</f>
        <v>0</v>
      </c>
      <c r="N186">
        <f>IFERROR(SUM(L5:L186),"")</f>
        <v>0</v>
      </c>
      <c r="Q186">
        <f>IF(Charts!$B$3="none",E1113,IF(K1113="",NA(),K1113))</f>
        <v>0</v>
      </c>
      <c r="R186">
        <f>IF(Charts!$B$3="none",F1113,IF(L1113="",NA(),L1113))</f>
        <v>0</v>
      </c>
      <c r="S186">
        <f>IF(Charts!$B$3="none",G1113,IF(M1113="",NA(),M1113))</f>
        <v>0</v>
      </c>
      <c r="T186">
        <f>IF(Charts!$B$3="none",H1113,IF(N1113="",NA(),N1113))</f>
        <v>0</v>
      </c>
    </row>
    <row r="187" spans="4:20">
      <c r="D187">
        <v>183</v>
      </c>
      <c r="E187">
        <f>IF(INDIRECT(ADDRESS($D187+2,E$2+1,,,"Instances"))="","",INDIRECT(ADDRESS($D187+2,E$2+1,,,"Instances")))</f>
        <v>0</v>
      </c>
      <c r="F187">
        <f>IFERROR(SMALL(E5:E188,ROW()-ROW($F$5)+1),"")</f>
        <v>0</v>
      </c>
      <c r="H187">
        <f>IFERROR(SUM(F5:F187),"")</f>
        <v>0</v>
      </c>
      <c r="J187">
        <v>183</v>
      </c>
      <c r="K187" cm="1">
        <f t="array" ref="K187">_xlfn.SWITCH(Charts!$B$3,"average", AVERAGE(INDIRECT(ADDRESS(182+3,K$2+1,,,"Instances") &amp; ":" &amp; ADDRESS(182+3,K$2+1))),"median", MEDIAN(INDIRECT(ADDRESS(182+3,K$2+1,,,"Instances") &amp; ":" &amp; ADDRESS(182+3,K$2+1))),"min", MIN(INDIRECT(ADDRESS(182+3,K$2+1,,,"Instances") &amp; ":" &amp; ADDRESS(182+3,K$2+1))),"max", MAX(INDIRECT(ADDRESS(182+3,K$2+1,,,"Instances") &amp; ":" &amp; ADDRESS(182+3,K$2+1))),"diff", MAX(INDIRECT(ADDRESS(182+3,K$2+1,,,"Instances") &amp; ":" &amp; ADDRESS(182+3,K$2+1)))-MIN(INDIRECT(ADDRESS(182+3,K$2+1,,,"Instances") &amp; ":" &amp; ADDRESS(182+3,K$2+1))))</f>
        <v>0</v>
      </c>
      <c r="L187">
        <f>IFERROR(SMALL(K5:K188,ROW()-ROW($L$5)+1),"")</f>
        <v>0</v>
      </c>
      <c r="N187">
        <f>IFERROR(SUM(L5:L187),"")</f>
        <v>0</v>
      </c>
      <c r="Q187">
        <f>IF(Charts!$B$3="none",E1114,IF(K1114="",NA(),K1114))</f>
        <v>0</v>
      </c>
      <c r="R187">
        <f>IF(Charts!$B$3="none",F1114,IF(L1114="",NA(),L1114))</f>
        <v>0</v>
      </c>
      <c r="S187">
        <f>IF(Charts!$B$3="none",G1114,IF(M1114="",NA(),M1114))</f>
        <v>0</v>
      </c>
      <c r="T187">
        <f>IF(Charts!$B$3="none",H1114,IF(N1114="",NA(),N1114))</f>
        <v>0</v>
      </c>
    </row>
    <row r="188" spans="4:20">
      <c r="D188">
        <v>184</v>
      </c>
      <c r="E188">
        <f>IF(INDIRECT(ADDRESS($D188+2,E$2+1,,,"Instances"))="","",INDIRECT(ADDRESS($D188+2,E$2+1,,,"Instances")))</f>
        <v>0</v>
      </c>
      <c r="F188">
        <f>IFERROR(SMALL(E5:E188,ROW()-ROW($F$5)+1),"")</f>
        <v>0</v>
      </c>
      <c r="H188">
        <f>IFERROR(SUM(F5:F188),"")</f>
        <v>0</v>
      </c>
      <c r="J188">
        <v>184</v>
      </c>
      <c r="K188" cm="1">
        <f t="array" ref="K188">_xlfn.SWITCH(Charts!$B$3,"average", AVERAGE(INDIRECT(ADDRESS(183+3,K$2+1,,,"Instances") &amp; ":" &amp; ADDRESS(183+3,K$2+1))),"median", MEDIAN(INDIRECT(ADDRESS(183+3,K$2+1,,,"Instances") &amp; ":" &amp; ADDRESS(183+3,K$2+1))),"min", MIN(INDIRECT(ADDRESS(183+3,K$2+1,,,"Instances") &amp; ":" &amp; ADDRESS(183+3,K$2+1))),"max", MAX(INDIRECT(ADDRESS(183+3,K$2+1,,,"Instances") &amp; ":" &amp; ADDRESS(183+3,K$2+1))),"diff", MAX(INDIRECT(ADDRESS(183+3,K$2+1,,,"Instances") &amp; ":" &amp; ADDRESS(183+3,K$2+1)))-MIN(INDIRECT(ADDRESS(183+3,K$2+1,,,"Instances") &amp; ":" &amp; ADDRESS(183+3,K$2+1))))</f>
        <v>0</v>
      </c>
      <c r="L188">
        <f>IFERROR(SMALL(K5:K188,ROW()-ROW($L$5)+1),"")</f>
        <v>0</v>
      </c>
      <c r="N188">
        <f>IFERROR(SUM(L5:L188),"")</f>
        <v>0</v>
      </c>
      <c r="Q188">
        <f>IF(Charts!$B$3="none",E1115,IF(K1115="",NA(),K1115))</f>
        <v>0</v>
      </c>
      <c r="R188">
        <f>IF(Charts!$B$3="none",F1115,IF(L1115="",NA(),L1115))</f>
        <v>0</v>
      </c>
      <c r="S188">
        <f>IF(Charts!$B$3="none",G1115,IF(M1115="",NA(),M1115))</f>
        <v>0</v>
      </c>
      <c r="T188">
        <f>IF(Charts!$B$3="none",H1115,IF(N1115="",NA(),N1115))</f>
        <v>0</v>
      </c>
    </row>
    <row r="189" spans="4:20">
      <c r="Q189">
        <f>IF(Charts!$B$3="none",E1116,IF(K1116="",NA(),K1116))</f>
        <v>0</v>
      </c>
      <c r="R189">
        <f>IF(Charts!$B$3="none",F1116,IF(L1116="",NA(),L1116))</f>
        <v>0</v>
      </c>
      <c r="S189">
        <f>IF(Charts!$B$3="none",G1116,IF(M1116="",NA(),M1116))</f>
        <v>0</v>
      </c>
      <c r="T189">
        <f>IF(Charts!$B$3="none",H1116,IF(N1116="",NA(),N1116))</f>
        <v>0</v>
      </c>
    </row>
    <row r="190" spans="4:20">
      <c r="D190" t="s">
        <v>221</v>
      </c>
      <c r="E190" t="s">
        <v>220</v>
      </c>
      <c r="F190" t="s">
        <v>225</v>
      </c>
      <c r="G190" t="s">
        <v>220</v>
      </c>
      <c r="H190" t="s">
        <v>226</v>
      </c>
      <c r="J190" t="s">
        <v>221</v>
      </c>
      <c r="K190" t="s">
        <v>220</v>
      </c>
      <c r="L190" t="s">
        <v>225</v>
      </c>
      <c r="M190" t="s">
        <v>220</v>
      </c>
      <c r="N190" t="s">
        <v>226</v>
      </c>
      <c r="Q190">
        <f>IF(Charts!$B$3="none",E1117,IF(K1117="",NA(),K1117))</f>
        <v>0</v>
      </c>
      <c r="R190">
        <f>IF(Charts!$B$3="none",F1117,IF(L1117="",NA(),L1117))</f>
        <v>0</v>
      </c>
      <c r="S190">
        <f>IF(Charts!$B$3="none",G1117,IF(M1117="",NA(),M1117))</f>
        <v>0</v>
      </c>
      <c r="T190">
        <f>IF(Charts!$B$3="none",H1117,IF(N1117="",NA(),N1117))</f>
        <v>0</v>
      </c>
    </row>
    <row r="191" spans="4:20">
      <c r="E191">
        <v>1</v>
      </c>
      <c r="F191">
        <f>F5</f>
        <v>0</v>
      </c>
      <c r="G191">
        <v>1</v>
      </c>
      <c r="H191">
        <f>H5</f>
        <v>0</v>
      </c>
      <c r="K191">
        <v>1</v>
      </c>
      <c r="L191">
        <f>L5</f>
        <v>0</v>
      </c>
      <c r="M191">
        <v>1</v>
      </c>
      <c r="N191">
        <f>N5</f>
        <v>0</v>
      </c>
      <c r="Q191">
        <f>IF(Charts!$B$3="none",E1118,IF(K1118="",NA(),K1118))</f>
        <v>0</v>
      </c>
      <c r="R191">
        <f>IF(Charts!$B$3="none",F1118,IF(L1118="",NA(),L1118))</f>
        <v>0</v>
      </c>
      <c r="S191">
        <f>IF(Charts!$B$3="none",G1118,IF(M1118="",NA(),M1118))</f>
        <v>0</v>
      </c>
      <c r="T191">
        <f>IF(Charts!$B$3="none",H1118,IF(N1118="",NA(),N1118))</f>
        <v>0</v>
      </c>
    </row>
    <row r="192" spans="4:20">
      <c r="E192">
        <v>2</v>
      </c>
      <c r="F192">
        <f>F6</f>
        <v>0</v>
      </c>
      <c r="G192">
        <v>2</v>
      </c>
      <c r="H192">
        <f>H6</f>
        <v>0</v>
      </c>
      <c r="K192">
        <v>2</v>
      </c>
      <c r="L192">
        <f>L6</f>
        <v>0</v>
      </c>
      <c r="M192">
        <v>2</v>
      </c>
      <c r="N192">
        <f>N6</f>
        <v>0</v>
      </c>
      <c r="Q192">
        <f>IF(Charts!$B$3="none",E1119,IF(K1119="",NA(),K1119))</f>
        <v>0</v>
      </c>
      <c r="R192">
        <f>IF(Charts!$B$3="none",F1119,IF(L1119="",NA(),L1119))</f>
        <v>0</v>
      </c>
      <c r="S192">
        <f>IF(Charts!$B$3="none",G1119,IF(M1119="",NA(),M1119))</f>
        <v>0</v>
      </c>
      <c r="T192">
        <f>IF(Charts!$B$3="none",H1119,IF(N1119="",NA(),N1119))</f>
        <v>0</v>
      </c>
    </row>
    <row r="193" spans="5:20">
      <c r="E193">
        <v>3</v>
      </c>
      <c r="F193">
        <f>F7</f>
        <v>0</v>
      </c>
      <c r="G193">
        <v>3</v>
      </c>
      <c r="H193">
        <f>H7</f>
        <v>0</v>
      </c>
      <c r="K193">
        <v>3</v>
      </c>
      <c r="L193">
        <f>L7</f>
        <v>0</v>
      </c>
      <c r="M193">
        <v>3</v>
      </c>
      <c r="N193">
        <f>N7</f>
        <v>0</v>
      </c>
      <c r="Q193">
        <f>IF(Charts!$B$3="none",E1120,IF(K1120="",NA(),K1120))</f>
        <v>0</v>
      </c>
      <c r="R193">
        <f>IF(Charts!$B$3="none",F1120,IF(L1120="",NA(),L1120))</f>
        <v>0</v>
      </c>
      <c r="S193">
        <f>IF(Charts!$B$3="none",G1120,IF(M1120="",NA(),M1120))</f>
        <v>0</v>
      </c>
      <c r="T193">
        <f>IF(Charts!$B$3="none",H1120,IF(N1120="",NA(),N1120))</f>
        <v>0</v>
      </c>
    </row>
    <row r="194" spans="5:20">
      <c r="E194">
        <v>4</v>
      </c>
      <c r="F194">
        <f>F8</f>
        <v>0</v>
      </c>
      <c r="G194">
        <v>4</v>
      </c>
      <c r="H194">
        <f>H8</f>
        <v>0</v>
      </c>
      <c r="K194">
        <v>4</v>
      </c>
      <c r="L194">
        <f>L8</f>
        <v>0</v>
      </c>
      <c r="M194">
        <v>4</v>
      </c>
      <c r="N194">
        <f>N8</f>
        <v>0</v>
      </c>
      <c r="Q194">
        <f>IF(Charts!$B$3="none",E1121,IF(K1121="",NA(),K1121))</f>
        <v>0</v>
      </c>
      <c r="R194">
        <f>IF(Charts!$B$3="none",F1121,IF(L1121="",NA(),L1121))</f>
        <v>0</v>
      </c>
      <c r="S194">
        <f>IF(Charts!$B$3="none",G1121,IF(M1121="",NA(),M1121))</f>
        <v>0</v>
      </c>
      <c r="T194">
        <f>IF(Charts!$B$3="none",H1121,IF(N1121="",NA(),N1121))</f>
        <v>0</v>
      </c>
    </row>
    <row r="195" spans="5:20">
      <c r="E195">
        <v>5</v>
      </c>
      <c r="F195">
        <f>F9</f>
        <v>0</v>
      </c>
      <c r="G195">
        <v>5</v>
      </c>
      <c r="H195">
        <f>H9</f>
        <v>0</v>
      </c>
      <c r="K195">
        <v>5</v>
      </c>
      <c r="L195">
        <f>L9</f>
        <v>0</v>
      </c>
      <c r="M195">
        <v>5</v>
      </c>
      <c r="N195">
        <f>N9</f>
        <v>0</v>
      </c>
      <c r="Q195">
        <f>IF(Charts!$B$3="none",E1122,IF(K1122="",NA(),K1122))</f>
        <v>0</v>
      </c>
      <c r="R195">
        <f>IF(Charts!$B$3="none",F1122,IF(L1122="",NA(),L1122))</f>
        <v>0</v>
      </c>
      <c r="S195">
        <f>IF(Charts!$B$3="none",G1122,IF(M1122="",NA(),M1122))</f>
        <v>0</v>
      </c>
      <c r="T195">
        <f>IF(Charts!$B$3="none",H1122,IF(N1122="",NA(),N1122))</f>
        <v>0</v>
      </c>
    </row>
    <row r="196" spans="5:20">
      <c r="E196">
        <v>6</v>
      </c>
      <c r="F196">
        <f>F10</f>
        <v>0</v>
      </c>
      <c r="G196">
        <v>6</v>
      </c>
      <c r="H196">
        <f>H10</f>
        <v>0</v>
      </c>
      <c r="K196">
        <v>6</v>
      </c>
      <c r="L196">
        <f>L10</f>
        <v>0</v>
      </c>
      <c r="M196">
        <v>6</v>
      </c>
      <c r="N196">
        <f>N10</f>
        <v>0</v>
      </c>
      <c r="Q196">
        <f>IF(Charts!$B$3="none",E1123,IF(K1123="",NA(),K1123))</f>
        <v>0</v>
      </c>
      <c r="R196">
        <f>IF(Charts!$B$3="none",F1123,IF(L1123="",NA(),L1123))</f>
        <v>0</v>
      </c>
      <c r="S196">
        <f>IF(Charts!$B$3="none",G1123,IF(M1123="",NA(),M1123))</f>
        <v>0</v>
      </c>
      <c r="T196">
        <f>IF(Charts!$B$3="none",H1123,IF(N1123="",NA(),N1123))</f>
        <v>0</v>
      </c>
    </row>
    <row r="197" spans="5:20">
      <c r="E197">
        <v>7</v>
      </c>
      <c r="F197">
        <f>F11</f>
        <v>0</v>
      </c>
      <c r="G197">
        <v>7</v>
      </c>
      <c r="H197">
        <f>H11</f>
        <v>0</v>
      </c>
      <c r="K197">
        <v>7</v>
      </c>
      <c r="L197">
        <f>L11</f>
        <v>0</v>
      </c>
      <c r="M197">
        <v>7</v>
      </c>
      <c r="N197">
        <f>N11</f>
        <v>0</v>
      </c>
      <c r="Q197">
        <f>IF(Charts!$B$3="none",E1124,IF(K1124="",NA(),K1124))</f>
        <v>0</v>
      </c>
      <c r="R197">
        <f>IF(Charts!$B$3="none",F1124,IF(L1124="",NA(),L1124))</f>
        <v>0</v>
      </c>
      <c r="S197">
        <f>IF(Charts!$B$3="none",G1124,IF(M1124="",NA(),M1124))</f>
        <v>0</v>
      </c>
      <c r="T197">
        <f>IF(Charts!$B$3="none",H1124,IF(N1124="",NA(),N1124))</f>
        <v>0</v>
      </c>
    </row>
    <row r="198" spans="5:20">
      <c r="E198">
        <v>8</v>
      </c>
      <c r="F198">
        <f>F12</f>
        <v>0</v>
      </c>
      <c r="G198">
        <v>8</v>
      </c>
      <c r="H198">
        <f>H12</f>
        <v>0</v>
      </c>
      <c r="K198">
        <v>8</v>
      </c>
      <c r="L198">
        <f>L12</f>
        <v>0</v>
      </c>
      <c r="M198">
        <v>8</v>
      </c>
      <c r="N198">
        <f>N12</f>
        <v>0</v>
      </c>
      <c r="Q198">
        <f>IF(Charts!$B$3="none",E1125,IF(K1125="",NA(),K1125))</f>
        <v>0</v>
      </c>
      <c r="R198">
        <f>IF(Charts!$B$3="none",F1125,IF(L1125="",NA(),L1125))</f>
        <v>0</v>
      </c>
      <c r="S198">
        <f>IF(Charts!$B$3="none",G1125,IF(M1125="",NA(),M1125))</f>
        <v>0</v>
      </c>
      <c r="T198">
        <f>IF(Charts!$B$3="none",H1125,IF(N1125="",NA(),N1125))</f>
        <v>0</v>
      </c>
    </row>
    <row r="199" spans="5:20">
      <c r="E199">
        <v>9</v>
      </c>
      <c r="F199">
        <f>F13</f>
        <v>0</v>
      </c>
      <c r="G199">
        <v>9</v>
      </c>
      <c r="H199">
        <f>H13</f>
        <v>0</v>
      </c>
      <c r="K199">
        <v>9</v>
      </c>
      <c r="L199">
        <f>L13</f>
        <v>0</v>
      </c>
      <c r="M199">
        <v>9</v>
      </c>
      <c r="N199">
        <f>N13</f>
        <v>0</v>
      </c>
      <c r="Q199">
        <f>IF(Charts!$B$3="none",E1126,IF(K1126="",NA(),K1126))</f>
        <v>0</v>
      </c>
      <c r="R199">
        <f>IF(Charts!$B$3="none",F1126,IF(L1126="",NA(),L1126))</f>
        <v>0</v>
      </c>
      <c r="S199">
        <f>IF(Charts!$B$3="none",G1126,IF(M1126="",NA(),M1126))</f>
        <v>0</v>
      </c>
      <c r="T199">
        <f>IF(Charts!$B$3="none",H1126,IF(N1126="",NA(),N1126))</f>
        <v>0</v>
      </c>
    </row>
    <row r="200" spans="5:20">
      <c r="E200">
        <v>10</v>
      </c>
      <c r="F200">
        <f>F14</f>
        <v>0</v>
      </c>
      <c r="G200">
        <v>10</v>
      </c>
      <c r="H200">
        <f>H14</f>
        <v>0</v>
      </c>
      <c r="K200">
        <v>10</v>
      </c>
      <c r="L200">
        <f>L14</f>
        <v>0</v>
      </c>
      <c r="M200">
        <v>10</v>
      </c>
      <c r="N200">
        <f>N14</f>
        <v>0</v>
      </c>
      <c r="Q200">
        <f>IF(Charts!$B$3="none",E1127,IF(K1127="",NA(),K1127))</f>
        <v>0</v>
      </c>
      <c r="R200">
        <f>IF(Charts!$B$3="none",F1127,IF(L1127="",NA(),L1127))</f>
        <v>0</v>
      </c>
      <c r="S200">
        <f>IF(Charts!$B$3="none",G1127,IF(M1127="",NA(),M1127))</f>
        <v>0</v>
      </c>
      <c r="T200">
        <f>IF(Charts!$B$3="none",H1127,IF(N1127="",NA(),N1127))</f>
        <v>0</v>
      </c>
    </row>
    <row r="201" spans="5:20">
      <c r="E201">
        <v>11</v>
      </c>
      <c r="F201">
        <f>F15</f>
        <v>0</v>
      </c>
      <c r="G201">
        <v>11</v>
      </c>
      <c r="H201">
        <f>H15</f>
        <v>0</v>
      </c>
      <c r="K201">
        <v>11</v>
      </c>
      <c r="L201">
        <f>L15</f>
        <v>0</v>
      </c>
      <c r="M201">
        <v>11</v>
      </c>
      <c r="N201">
        <f>N15</f>
        <v>0</v>
      </c>
      <c r="Q201">
        <f>IF(Charts!$B$3="none",E1128,IF(K1128="",NA(),K1128))</f>
        <v>0</v>
      </c>
      <c r="R201">
        <f>IF(Charts!$B$3="none",F1128,IF(L1128="",NA(),L1128))</f>
        <v>0</v>
      </c>
      <c r="S201">
        <f>IF(Charts!$B$3="none",G1128,IF(M1128="",NA(),M1128))</f>
        <v>0</v>
      </c>
      <c r="T201">
        <f>IF(Charts!$B$3="none",H1128,IF(N1128="",NA(),N1128))</f>
        <v>0</v>
      </c>
    </row>
    <row r="202" spans="5:20">
      <c r="E202">
        <v>12</v>
      </c>
      <c r="F202">
        <f>F16</f>
        <v>0</v>
      </c>
      <c r="G202">
        <v>12</v>
      </c>
      <c r="H202">
        <f>H16</f>
        <v>0</v>
      </c>
      <c r="K202">
        <v>12</v>
      </c>
      <c r="L202">
        <f>L16</f>
        <v>0</v>
      </c>
      <c r="M202">
        <v>12</v>
      </c>
      <c r="N202">
        <f>N16</f>
        <v>0</v>
      </c>
      <c r="Q202">
        <f>IF(Charts!$B$3="none",E1129,IF(K1129="",NA(),K1129))</f>
        <v>0</v>
      </c>
      <c r="R202">
        <f>IF(Charts!$B$3="none",F1129,IF(L1129="",NA(),L1129))</f>
        <v>0</v>
      </c>
      <c r="S202">
        <f>IF(Charts!$B$3="none",G1129,IF(M1129="",NA(),M1129))</f>
        <v>0</v>
      </c>
      <c r="T202">
        <f>IF(Charts!$B$3="none",H1129,IF(N1129="",NA(),N1129))</f>
        <v>0</v>
      </c>
    </row>
    <row r="203" spans="5:20">
      <c r="E203">
        <v>13</v>
      </c>
      <c r="F203">
        <f>F17</f>
        <v>0</v>
      </c>
      <c r="G203">
        <v>13</v>
      </c>
      <c r="H203">
        <f>H17</f>
        <v>0</v>
      </c>
      <c r="K203">
        <v>13</v>
      </c>
      <c r="L203">
        <f>L17</f>
        <v>0</v>
      </c>
      <c r="M203">
        <v>13</v>
      </c>
      <c r="N203">
        <f>N17</f>
        <v>0</v>
      </c>
      <c r="Q203">
        <f>IF(Charts!$B$3="none",E1130,IF(K1130="",NA(),K1130))</f>
        <v>0</v>
      </c>
      <c r="R203">
        <f>IF(Charts!$B$3="none",F1130,IF(L1130="",NA(),L1130))</f>
        <v>0</v>
      </c>
      <c r="S203">
        <f>IF(Charts!$B$3="none",G1130,IF(M1130="",NA(),M1130))</f>
        <v>0</v>
      </c>
      <c r="T203">
        <f>IF(Charts!$B$3="none",H1130,IF(N1130="",NA(),N1130))</f>
        <v>0</v>
      </c>
    </row>
    <row r="204" spans="5:20">
      <c r="E204">
        <v>14</v>
      </c>
      <c r="F204">
        <f>F18</f>
        <v>0</v>
      </c>
      <c r="G204">
        <v>14</v>
      </c>
      <c r="H204">
        <f>H18</f>
        <v>0</v>
      </c>
      <c r="K204">
        <v>14</v>
      </c>
      <c r="L204">
        <f>L18</f>
        <v>0</v>
      </c>
      <c r="M204">
        <v>14</v>
      </c>
      <c r="N204">
        <f>N18</f>
        <v>0</v>
      </c>
      <c r="Q204">
        <f>IF(Charts!$B$3="none",E1131,IF(K1131="",NA(),K1131))</f>
        <v>0</v>
      </c>
      <c r="R204">
        <f>IF(Charts!$B$3="none",F1131,IF(L1131="",NA(),L1131))</f>
        <v>0</v>
      </c>
      <c r="S204">
        <f>IF(Charts!$B$3="none",G1131,IF(M1131="",NA(),M1131))</f>
        <v>0</v>
      </c>
      <c r="T204">
        <f>IF(Charts!$B$3="none",H1131,IF(N1131="",NA(),N1131))</f>
        <v>0</v>
      </c>
    </row>
    <row r="205" spans="5:20">
      <c r="E205">
        <v>15</v>
      </c>
      <c r="F205">
        <f>F19</f>
        <v>0</v>
      </c>
      <c r="G205">
        <v>15</v>
      </c>
      <c r="H205">
        <f>H19</f>
        <v>0</v>
      </c>
      <c r="K205">
        <v>15</v>
      </c>
      <c r="L205">
        <f>L19</f>
        <v>0</v>
      </c>
      <c r="M205">
        <v>15</v>
      </c>
      <c r="N205">
        <f>N19</f>
        <v>0</v>
      </c>
      <c r="Q205">
        <f>IF(Charts!$B$3="none",E1132,IF(K1132="",NA(),K1132))</f>
        <v>0</v>
      </c>
      <c r="R205">
        <f>IF(Charts!$B$3="none",F1132,IF(L1132="",NA(),L1132))</f>
        <v>0</v>
      </c>
      <c r="S205">
        <f>IF(Charts!$B$3="none",G1132,IF(M1132="",NA(),M1132))</f>
        <v>0</v>
      </c>
      <c r="T205">
        <f>IF(Charts!$B$3="none",H1132,IF(N1132="",NA(),N1132))</f>
        <v>0</v>
      </c>
    </row>
    <row r="206" spans="5:20">
      <c r="E206">
        <v>16</v>
      </c>
      <c r="F206">
        <f>F20</f>
        <v>0</v>
      </c>
      <c r="G206">
        <v>16</v>
      </c>
      <c r="H206">
        <f>H20</f>
        <v>0</v>
      </c>
      <c r="K206">
        <v>16</v>
      </c>
      <c r="L206">
        <f>L20</f>
        <v>0</v>
      </c>
      <c r="M206">
        <v>16</v>
      </c>
      <c r="N206">
        <f>N20</f>
        <v>0</v>
      </c>
      <c r="Q206">
        <f>IF(Charts!$B$3="none",E1133,IF(K1133="",NA(),K1133))</f>
        <v>0</v>
      </c>
      <c r="R206">
        <f>IF(Charts!$B$3="none",F1133,IF(L1133="",NA(),L1133))</f>
        <v>0</v>
      </c>
      <c r="S206">
        <f>IF(Charts!$B$3="none",G1133,IF(M1133="",NA(),M1133))</f>
        <v>0</v>
      </c>
      <c r="T206">
        <f>IF(Charts!$B$3="none",H1133,IF(N1133="",NA(),N1133))</f>
        <v>0</v>
      </c>
    </row>
    <row r="207" spans="5:20">
      <c r="E207">
        <v>17</v>
      </c>
      <c r="F207">
        <f>F21</f>
        <v>0</v>
      </c>
      <c r="G207">
        <v>17</v>
      </c>
      <c r="H207">
        <f>H21</f>
        <v>0</v>
      </c>
      <c r="K207">
        <v>17</v>
      </c>
      <c r="L207">
        <f>L21</f>
        <v>0</v>
      </c>
      <c r="M207">
        <v>17</v>
      </c>
      <c r="N207">
        <f>N21</f>
        <v>0</v>
      </c>
      <c r="Q207">
        <f>IF(Charts!$B$3="none",E1134,IF(K1134="",NA(),K1134))</f>
        <v>0</v>
      </c>
      <c r="R207">
        <f>IF(Charts!$B$3="none",F1134,IF(L1134="",NA(),L1134))</f>
        <v>0</v>
      </c>
      <c r="S207">
        <f>IF(Charts!$B$3="none",G1134,IF(M1134="",NA(),M1134))</f>
        <v>0</v>
      </c>
      <c r="T207">
        <f>IF(Charts!$B$3="none",H1134,IF(N1134="",NA(),N1134))</f>
        <v>0</v>
      </c>
    </row>
    <row r="208" spans="5:20">
      <c r="E208">
        <v>18</v>
      </c>
      <c r="F208">
        <f>F22</f>
        <v>0</v>
      </c>
      <c r="G208">
        <v>18</v>
      </c>
      <c r="H208">
        <f>H22</f>
        <v>0</v>
      </c>
      <c r="K208">
        <v>18</v>
      </c>
      <c r="L208">
        <f>L22</f>
        <v>0</v>
      </c>
      <c r="M208">
        <v>18</v>
      </c>
      <c r="N208">
        <f>N22</f>
        <v>0</v>
      </c>
      <c r="Q208">
        <f>IF(Charts!$B$3="none",E1135,IF(K1135="",NA(),K1135))</f>
        <v>0</v>
      </c>
      <c r="R208">
        <f>IF(Charts!$B$3="none",F1135,IF(L1135="",NA(),L1135))</f>
        <v>0</v>
      </c>
      <c r="S208">
        <f>IF(Charts!$B$3="none",G1135,IF(M1135="",NA(),M1135))</f>
        <v>0</v>
      </c>
      <c r="T208">
        <f>IF(Charts!$B$3="none",H1135,IF(N1135="",NA(),N1135))</f>
        <v>0</v>
      </c>
    </row>
    <row r="209" spans="5:20">
      <c r="E209">
        <v>19</v>
      </c>
      <c r="F209">
        <f>F23</f>
        <v>0</v>
      </c>
      <c r="G209">
        <v>19</v>
      </c>
      <c r="H209">
        <f>H23</f>
        <v>0</v>
      </c>
      <c r="K209">
        <v>19</v>
      </c>
      <c r="L209">
        <f>L23</f>
        <v>0</v>
      </c>
      <c r="M209">
        <v>19</v>
      </c>
      <c r="N209">
        <f>N23</f>
        <v>0</v>
      </c>
      <c r="Q209">
        <f>IF(Charts!$B$3="none",E1136,IF(K1136="",NA(),K1136))</f>
        <v>0</v>
      </c>
      <c r="R209">
        <f>IF(Charts!$B$3="none",F1136,IF(L1136="",NA(),L1136))</f>
        <v>0</v>
      </c>
      <c r="S209">
        <f>IF(Charts!$B$3="none",G1136,IF(M1136="",NA(),M1136))</f>
        <v>0</v>
      </c>
      <c r="T209">
        <f>IF(Charts!$B$3="none",H1136,IF(N1136="",NA(),N1136))</f>
        <v>0</v>
      </c>
    </row>
    <row r="210" spans="5:20">
      <c r="E210">
        <v>20</v>
      </c>
      <c r="F210">
        <f>F24</f>
        <v>0</v>
      </c>
      <c r="G210">
        <v>20</v>
      </c>
      <c r="H210">
        <f>H24</f>
        <v>0</v>
      </c>
      <c r="K210">
        <v>20</v>
      </c>
      <c r="L210">
        <f>L24</f>
        <v>0</v>
      </c>
      <c r="M210">
        <v>20</v>
      </c>
      <c r="N210">
        <f>N24</f>
        <v>0</v>
      </c>
      <c r="Q210">
        <f>IF(Charts!$B$3="none",E1137,IF(K1137="",NA(),K1137))</f>
        <v>0</v>
      </c>
      <c r="R210">
        <f>IF(Charts!$B$3="none",F1137,IF(L1137="",NA(),L1137))</f>
        <v>0</v>
      </c>
      <c r="S210">
        <f>IF(Charts!$B$3="none",G1137,IF(M1137="",NA(),M1137))</f>
        <v>0</v>
      </c>
      <c r="T210">
        <f>IF(Charts!$B$3="none",H1137,IF(N1137="",NA(),N1137))</f>
        <v>0</v>
      </c>
    </row>
    <row r="211" spans="5:20">
      <c r="E211">
        <v>21</v>
      </c>
      <c r="F211">
        <f>F25</f>
        <v>0</v>
      </c>
      <c r="G211">
        <v>21</v>
      </c>
      <c r="H211">
        <f>H25</f>
        <v>0</v>
      </c>
      <c r="K211">
        <v>21</v>
      </c>
      <c r="L211">
        <f>L25</f>
        <v>0</v>
      </c>
      <c r="M211">
        <v>21</v>
      </c>
      <c r="N211">
        <f>N25</f>
        <v>0</v>
      </c>
      <c r="Q211">
        <f>IF(Charts!$B$3="none",E1138,IF(K1138="",NA(),K1138))</f>
        <v>0</v>
      </c>
      <c r="R211">
        <f>IF(Charts!$B$3="none",F1138,IF(L1138="",NA(),L1138))</f>
        <v>0</v>
      </c>
      <c r="S211">
        <f>IF(Charts!$B$3="none",G1138,IF(M1138="",NA(),M1138))</f>
        <v>0</v>
      </c>
      <c r="T211">
        <f>IF(Charts!$B$3="none",H1138,IF(N1138="",NA(),N1138))</f>
        <v>0</v>
      </c>
    </row>
    <row r="212" spans="5:20">
      <c r="E212">
        <v>22</v>
      </c>
      <c r="F212">
        <f>F26</f>
        <v>0</v>
      </c>
      <c r="G212">
        <v>22</v>
      </c>
      <c r="H212">
        <f>H26</f>
        <v>0</v>
      </c>
      <c r="K212">
        <v>22</v>
      </c>
      <c r="L212">
        <f>L26</f>
        <v>0</v>
      </c>
      <c r="M212">
        <v>22</v>
      </c>
      <c r="N212">
        <f>N26</f>
        <v>0</v>
      </c>
      <c r="Q212">
        <f>IF(Charts!$B$3="none",E1139,IF(K1139="",NA(),K1139))</f>
        <v>0</v>
      </c>
      <c r="R212">
        <f>IF(Charts!$B$3="none",F1139,IF(L1139="",NA(),L1139))</f>
        <v>0</v>
      </c>
      <c r="S212">
        <f>IF(Charts!$B$3="none",G1139,IF(M1139="",NA(),M1139))</f>
        <v>0</v>
      </c>
      <c r="T212">
        <f>IF(Charts!$B$3="none",H1139,IF(N1139="",NA(),N1139))</f>
        <v>0</v>
      </c>
    </row>
    <row r="213" spans="5:20">
      <c r="E213">
        <v>23</v>
      </c>
      <c r="F213">
        <f>F27</f>
        <v>0</v>
      </c>
      <c r="G213">
        <v>23</v>
      </c>
      <c r="H213">
        <f>H27</f>
        <v>0</v>
      </c>
      <c r="K213">
        <v>23</v>
      </c>
      <c r="L213">
        <f>L27</f>
        <v>0</v>
      </c>
      <c r="M213">
        <v>23</v>
      </c>
      <c r="N213">
        <f>N27</f>
        <v>0</v>
      </c>
      <c r="Q213">
        <f>IF(Charts!$B$3="none",E1140,IF(K1140="",NA(),K1140))</f>
        <v>0</v>
      </c>
      <c r="R213">
        <f>IF(Charts!$B$3="none",F1140,IF(L1140="",NA(),L1140))</f>
        <v>0</v>
      </c>
      <c r="S213">
        <f>IF(Charts!$B$3="none",G1140,IF(M1140="",NA(),M1140))</f>
        <v>0</v>
      </c>
      <c r="T213">
        <f>IF(Charts!$B$3="none",H1140,IF(N1140="",NA(),N1140))</f>
        <v>0</v>
      </c>
    </row>
    <row r="214" spans="5:20">
      <c r="E214">
        <v>24</v>
      </c>
      <c r="F214">
        <f>F28</f>
        <v>0</v>
      </c>
      <c r="G214">
        <v>24</v>
      </c>
      <c r="H214">
        <f>H28</f>
        <v>0</v>
      </c>
      <c r="K214">
        <v>24</v>
      </c>
      <c r="L214">
        <f>L28</f>
        <v>0</v>
      </c>
      <c r="M214">
        <v>24</v>
      </c>
      <c r="N214">
        <f>N28</f>
        <v>0</v>
      </c>
      <c r="Q214">
        <f>IF(Charts!$B$3="none",E1141,IF(K1141="",NA(),K1141))</f>
        <v>0</v>
      </c>
      <c r="R214">
        <f>IF(Charts!$B$3="none",F1141,IF(L1141="",NA(),L1141))</f>
        <v>0</v>
      </c>
      <c r="S214">
        <f>IF(Charts!$B$3="none",G1141,IF(M1141="",NA(),M1141))</f>
        <v>0</v>
      </c>
      <c r="T214">
        <f>IF(Charts!$B$3="none",H1141,IF(N1141="",NA(),N1141))</f>
        <v>0</v>
      </c>
    </row>
    <row r="215" spans="5:20">
      <c r="E215">
        <v>25</v>
      </c>
      <c r="F215">
        <f>F29</f>
        <v>0</v>
      </c>
      <c r="G215">
        <v>25</v>
      </c>
      <c r="H215">
        <f>H29</f>
        <v>0</v>
      </c>
      <c r="K215">
        <v>25</v>
      </c>
      <c r="L215">
        <f>L29</f>
        <v>0</v>
      </c>
      <c r="M215">
        <v>25</v>
      </c>
      <c r="N215">
        <f>N29</f>
        <v>0</v>
      </c>
      <c r="Q215">
        <f>IF(Charts!$B$3="none",E1142,IF(K1142="",NA(),K1142))</f>
        <v>0</v>
      </c>
      <c r="R215">
        <f>IF(Charts!$B$3="none",F1142,IF(L1142="",NA(),L1142))</f>
        <v>0</v>
      </c>
      <c r="S215">
        <f>IF(Charts!$B$3="none",G1142,IF(M1142="",NA(),M1142))</f>
        <v>0</v>
      </c>
      <c r="T215">
        <f>IF(Charts!$B$3="none",H1142,IF(N1142="",NA(),N1142))</f>
        <v>0</v>
      </c>
    </row>
    <row r="216" spans="5:20">
      <c r="E216">
        <v>26</v>
      </c>
      <c r="F216">
        <f>F30</f>
        <v>0</v>
      </c>
      <c r="G216">
        <v>26</v>
      </c>
      <c r="H216">
        <f>H30</f>
        <v>0</v>
      </c>
      <c r="K216">
        <v>26</v>
      </c>
      <c r="L216">
        <f>L30</f>
        <v>0</v>
      </c>
      <c r="M216">
        <v>26</v>
      </c>
      <c r="N216">
        <f>N30</f>
        <v>0</v>
      </c>
      <c r="Q216">
        <f>IF(Charts!$B$3="none",E1143,IF(K1143="",NA(),K1143))</f>
        <v>0</v>
      </c>
      <c r="R216">
        <f>IF(Charts!$B$3="none",F1143,IF(L1143="",NA(),L1143))</f>
        <v>0</v>
      </c>
      <c r="S216">
        <f>IF(Charts!$B$3="none",G1143,IF(M1143="",NA(),M1143))</f>
        <v>0</v>
      </c>
      <c r="T216">
        <f>IF(Charts!$B$3="none",H1143,IF(N1143="",NA(),N1143))</f>
        <v>0</v>
      </c>
    </row>
    <row r="217" spans="5:20">
      <c r="E217">
        <v>27</v>
      </c>
      <c r="F217">
        <f>F31</f>
        <v>0</v>
      </c>
      <c r="G217">
        <v>27</v>
      </c>
      <c r="H217">
        <f>H31</f>
        <v>0</v>
      </c>
      <c r="K217">
        <v>27</v>
      </c>
      <c r="L217">
        <f>L31</f>
        <v>0</v>
      </c>
      <c r="M217">
        <v>27</v>
      </c>
      <c r="N217">
        <f>N31</f>
        <v>0</v>
      </c>
      <c r="Q217">
        <f>IF(Charts!$B$3="none",E1144,IF(K1144="",NA(),K1144))</f>
        <v>0</v>
      </c>
      <c r="R217">
        <f>IF(Charts!$B$3="none",F1144,IF(L1144="",NA(),L1144))</f>
        <v>0</v>
      </c>
      <c r="S217">
        <f>IF(Charts!$B$3="none",G1144,IF(M1144="",NA(),M1144))</f>
        <v>0</v>
      </c>
      <c r="T217">
        <f>IF(Charts!$B$3="none",H1144,IF(N1144="",NA(),N1144))</f>
        <v>0</v>
      </c>
    </row>
    <row r="218" spans="5:20">
      <c r="E218">
        <v>28</v>
      </c>
      <c r="F218">
        <f>F32</f>
        <v>0</v>
      </c>
      <c r="G218">
        <v>28</v>
      </c>
      <c r="H218">
        <f>H32</f>
        <v>0</v>
      </c>
      <c r="K218">
        <v>28</v>
      </c>
      <c r="L218">
        <f>L32</f>
        <v>0</v>
      </c>
      <c r="M218">
        <v>28</v>
      </c>
      <c r="N218">
        <f>N32</f>
        <v>0</v>
      </c>
      <c r="Q218">
        <f>IF(Charts!$B$3="none",E1145,IF(K1145="",NA(),K1145))</f>
        <v>0</v>
      </c>
      <c r="R218">
        <f>IF(Charts!$B$3="none",F1145,IF(L1145="",NA(),L1145))</f>
        <v>0</v>
      </c>
      <c r="S218">
        <f>IF(Charts!$B$3="none",G1145,IF(M1145="",NA(),M1145))</f>
        <v>0</v>
      </c>
      <c r="T218">
        <f>IF(Charts!$B$3="none",H1145,IF(N1145="",NA(),N1145))</f>
        <v>0</v>
      </c>
    </row>
    <row r="219" spans="5:20">
      <c r="E219">
        <v>29</v>
      </c>
      <c r="F219">
        <f>F33</f>
        <v>0</v>
      </c>
      <c r="G219">
        <v>29</v>
      </c>
      <c r="H219">
        <f>H33</f>
        <v>0</v>
      </c>
      <c r="K219">
        <v>29</v>
      </c>
      <c r="L219">
        <f>L33</f>
        <v>0</v>
      </c>
      <c r="M219">
        <v>29</v>
      </c>
      <c r="N219">
        <f>N33</f>
        <v>0</v>
      </c>
      <c r="Q219">
        <f>IF(Charts!$B$3="none",E1146,IF(K1146="",NA(),K1146))</f>
        <v>0</v>
      </c>
      <c r="R219">
        <f>IF(Charts!$B$3="none",F1146,IF(L1146="",NA(),L1146))</f>
        <v>0</v>
      </c>
      <c r="S219">
        <f>IF(Charts!$B$3="none",G1146,IF(M1146="",NA(),M1146))</f>
        <v>0</v>
      </c>
      <c r="T219">
        <f>IF(Charts!$B$3="none",H1146,IF(N1146="",NA(),N1146))</f>
        <v>0</v>
      </c>
    </row>
    <row r="220" spans="5:20">
      <c r="E220">
        <v>30</v>
      </c>
      <c r="F220">
        <f>F34</f>
        <v>0</v>
      </c>
      <c r="G220">
        <v>30</v>
      </c>
      <c r="H220">
        <f>H34</f>
        <v>0</v>
      </c>
      <c r="K220">
        <v>30</v>
      </c>
      <c r="L220">
        <f>L34</f>
        <v>0</v>
      </c>
      <c r="M220">
        <v>30</v>
      </c>
      <c r="N220">
        <f>N34</f>
        <v>0</v>
      </c>
      <c r="Q220">
        <f>IF(Charts!$B$3="none",E1147,IF(K1147="",NA(),K1147))</f>
        <v>0</v>
      </c>
      <c r="R220">
        <f>IF(Charts!$B$3="none",F1147,IF(L1147="",NA(),L1147))</f>
        <v>0</v>
      </c>
      <c r="S220">
        <f>IF(Charts!$B$3="none",G1147,IF(M1147="",NA(),M1147))</f>
        <v>0</v>
      </c>
      <c r="T220">
        <f>IF(Charts!$B$3="none",H1147,IF(N1147="",NA(),N1147))</f>
        <v>0</v>
      </c>
    </row>
    <row r="221" spans="5:20">
      <c r="E221">
        <v>31</v>
      </c>
      <c r="F221">
        <f>F35</f>
        <v>0</v>
      </c>
      <c r="G221">
        <v>31</v>
      </c>
      <c r="H221">
        <f>H35</f>
        <v>0</v>
      </c>
      <c r="K221">
        <v>31</v>
      </c>
      <c r="L221">
        <f>L35</f>
        <v>0</v>
      </c>
      <c r="M221">
        <v>31</v>
      </c>
      <c r="N221">
        <f>N35</f>
        <v>0</v>
      </c>
      <c r="Q221">
        <f>IF(Charts!$B$3="none",E1148,IF(K1148="",NA(),K1148))</f>
        <v>0</v>
      </c>
      <c r="R221">
        <f>IF(Charts!$B$3="none",F1148,IF(L1148="",NA(),L1148))</f>
        <v>0</v>
      </c>
      <c r="S221">
        <f>IF(Charts!$B$3="none",G1148,IF(M1148="",NA(),M1148))</f>
        <v>0</v>
      </c>
      <c r="T221">
        <f>IF(Charts!$B$3="none",H1148,IF(N1148="",NA(),N1148))</f>
        <v>0</v>
      </c>
    </row>
    <row r="222" spans="5:20">
      <c r="E222">
        <v>32</v>
      </c>
      <c r="F222">
        <f>F36</f>
        <v>0</v>
      </c>
      <c r="G222">
        <v>32</v>
      </c>
      <c r="H222">
        <f>H36</f>
        <v>0</v>
      </c>
      <c r="K222">
        <v>32</v>
      </c>
      <c r="L222">
        <f>L36</f>
        <v>0</v>
      </c>
      <c r="M222">
        <v>32</v>
      </c>
      <c r="N222">
        <f>N36</f>
        <v>0</v>
      </c>
      <c r="Q222">
        <f>IF(Charts!$B$3="none",E1149,IF(K1149="",NA(),K1149))</f>
        <v>0</v>
      </c>
      <c r="R222">
        <f>IF(Charts!$B$3="none",F1149,IF(L1149="",NA(),L1149))</f>
        <v>0</v>
      </c>
      <c r="S222">
        <f>IF(Charts!$B$3="none",G1149,IF(M1149="",NA(),M1149))</f>
        <v>0</v>
      </c>
      <c r="T222">
        <f>IF(Charts!$B$3="none",H1149,IF(N1149="",NA(),N1149))</f>
        <v>0</v>
      </c>
    </row>
    <row r="223" spans="5:20">
      <c r="E223">
        <v>33</v>
      </c>
      <c r="F223">
        <f>F37</f>
        <v>0</v>
      </c>
      <c r="G223">
        <v>33</v>
      </c>
      <c r="H223">
        <f>H37</f>
        <v>0</v>
      </c>
      <c r="K223">
        <v>33</v>
      </c>
      <c r="L223">
        <f>L37</f>
        <v>0</v>
      </c>
      <c r="M223">
        <v>33</v>
      </c>
      <c r="N223">
        <f>N37</f>
        <v>0</v>
      </c>
      <c r="Q223">
        <f>IF(Charts!$B$3="none",E1150,IF(K1150="",NA(),K1150))</f>
        <v>0</v>
      </c>
      <c r="R223">
        <f>IF(Charts!$B$3="none",F1150,IF(L1150="",NA(),L1150))</f>
        <v>0</v>
      </c>
      <c r="S223">
        <f>IF(Charts!$B$3="none",G1150,IF(M1150="",NA(),M1150))</f>
        <v>0</v>
      </c>
      <c r="T223">
        <f>IF(Charts!$B$3="none",H1150,IF(N1150="",NA(),N1150))</f>
        <v>0</v>
      </c>
    </row>
    <row r="224" spans="5:20">
      <c r="E224">
        <v>34</v>
      </c>
      <c r="F224">
        <f>F38</f>
        <v>0</v>
      </c>
      <c r="G224">
        <v>34</v>
      </c>
      <c r="H224">
        <f>H38</f>
        <v>0</v>
      </c>
      <c r="K224">
        <v>34</v>
      </c>
      <c r="L224">
        <f>L38</f>
        <v>0</v>
      </c>
      <c r="M224">
        <v>34</v>
      </c>
      <c r="N224">
        <f>N38</f>
        <v>0</v>
      </c>
      <c r="Q224">
        <f>IF(Charts!$B$3="none",E1151,IF(K1151="",NA(),K1151))</f>
        <v>0</v>
      </c>
      <c r="R224">
        <f>IF(Charts!$B$3="none",F1151,IF(L1151="",NA(),L1151))</f>
        <v>0</v>
      </c>
      <c r="S224">
        <f>IF(Charts!$B$3="none",G1151,IF(M1151="",NA(),M1151))</f>
        <v>0</v>
      </c>
      <c r="T224">
        <f>IF(Charts!$B$3="none",H1151,IF(N1151="",NA(),N1151))</f>
        <v>0</v>
      </c>
    </row>
    <row r="225" spans="5:20">
      <c r="E225">
        <v>35</v>
      </c>
      <c r="F225">
        <f>F39</f>
        <v>0</v>
      </c>
      <c r="G225">
        <v>35</v>
      </c>
      <c r="H225">
        <f>H39</f>
        <v>0</v>
      </c>
      <c r="K225">
        <v>35</v>
      </c>
      <c r="L225">
        <f>L39</f>
        <v>0</v>
      </c>
      <c r="M225">
        <v>35</v>
      </c>
      <c r="N225">
        <f>N39</f>
        <v>0</v>
      </c>
      <c r="Q225">
        <f>IF(Charts!$B$3="none",E1152,IF(K1152="",NA(),K1152))</f>
        <v>0</v>
      </c>
      <c r="R225">
        <f>IF(Charts!$B$3="none",F1152,IF(L1152="",NA(),L1152))</f>
        <v>0</v>
      </c>
      <c r="S225">
        <f>IF(Charts!$B$3="none",G1152,IF(M1152="",NA(),M1152))</f>
        <v>0</v>
      </c>
      <c r="T225">
        <f>IF(Charts!$B$3="none",H1152,IF(N1152="",NA(),N1152))</f>
        <v>0</v>
      </c>
    </row>
    <row r="226" spans="5:20">
      <c r="E226">
        <v>36</v>
      </c>
      <c r="F226">
        <f>F40</f>
        <v>0</v>
      </c>
      <c r="G226">
        <v>36</v>
      </c>
      <c r="H226">
        <f>H40</f>
        <v>0</v>
      </c>
      <c r="K226">
        <v>36</v>
      </c>
      <c r="L226">
        <f>L40</f>
        <v>0</v>
      </c>
      <c r="M226">
        <v>36</v>
      </c>
      <c r="N226">
        <f>N40</f>
        <v>0</v>
      </c>
      <c r="Q226">
        <f>IF(Charts!$B$3="none",E1153,IF(K1153="",NA(),K1153))</f>
        <v>0</v>
      </c>
      <c r="R226">
        <f>IF(Charts!$B$3="none",F1153,IF(L1153="",NA(),L1153))</f>
        <v>0</v>
      </c>
      <c r="S226">
        <f>IF(Charts!$B$3="none",G1153,IF(M1153="",NA(),M1153))</f>
        <v>0</v>
      </c>
      <c r="T226">
        <f>IF(Charts!$B$3="none",H1153,IF(N1153="",NA(),N1153))</f>
        <v>0</v>
      </c>
    </row>
    <row r="227" spans="5:20">
      <c r="E227">
        <v>37</v>
      </c>
      <c r="F227">
        <f>F41</f>
        <v>0</v>
      </c>
      <c r="G227">
        <v>37</v>
      </c>
      <c r="H227">
        <f>H41</f>
        <v>0</v>
      </c>
      <c r="K227">
        <v>37</v>
      </c>
      <c r="L227">
        <f>L41</f>
        <v>0</v>
      </c>
      <c r="M227">
        <v>37</v>
      </c>
      <c r="N227">
        <f>N41</f>
        <v>0</v>
      </c>
      <c r="Q227">
        <f>IF(Charts!$B$3="none",E1154,IF(K1154="",NA(),K1154))</f>
        <v>0</v>
      </c>
      <c r="R227">
        <f>IF(Charts!$B$3="none",F1154,IF(L1154="",NA(),L1154))</f>
        <v>0</v>
      </c>
      <c r="S227">
        <f>IF(Charts!$B$3="none",G1154,IF(M1154="",NA(),M1154))</f>
        <v>0</v>
      </c>
      <c r="T227">
        <f>IF(Charts!$B$3="none",H1154,IF(N1154="",NA(),N1154))</f>
        <v>0</v>
      </c>
    </row>
    <row r="228" spans="5:20">
      <c r="E228">
        <v>38</v>
      </c>
      <c r="F228">
        <f>F42</f>
        <v>0</v>
      </c>
      <c r="G228">
        <v>38</v>
      </c>
      <c r="H228">
        <f>H42</f>
        <v>0</v>
      </c>
      <c r="K228">
        <v>38</v>
      </c>
      <c r="L228">
        <f>L42</f>
        <v>0</v>
      </c>
      <c r="M228">
        <v>38</v>
      </c>
      <c r="N228">
        <f>N42</f>
        <v>0</v>
      </c>
      <c r="Q228">
        <f>IF(Charts!$B$3="none",E1155,IF(K1155="",NA(),K1155))</f>
        <v>0</v>
      </c>
      <c r="R228">
        <f>IF(Charts!$B$3="none",F1155,IF(L1155="",NA(),L1155))</f>
        <v>0</v>
      </c>
      <c r="S228">
        <f>IF(Charts!$B$3="none",G1155,IF(M1155="",NA(),M1155))</f>
        <v>0</v>
      </c>
      <c r="T228">
        <f>IF(Charts!$B$3="none",H1155,IF(N1155="",NA(),N1155))</f>
        <v>0</v>
      </c>
    </row>
    <row r="229" spans="5:20">
      <c r="E229">
        <v>39</v>
      </c>
      <c r="F229">
        <f>F43</f>
        <v>0</v>
      </c>
      <c r="G229">
        <v>39</v>
      </c>
      <c r="H229">
        <f>H43</f>
        <v>0</v>
      </c>
      <c r="K229">
        <v>39</v>
      </c>
      <c r="L229">
        <f>L43</f>
        <v>0</v>
      </c>
      <c r="M229">
        <v>39</v>
      </c>
      <c r="N229">
        <f>N43</f>
        <v>0</v>
      </c>
      <c r="Q229">
        <f>IF(Charts!$B$3="none",E1156,IF(K1156="",NA(),K1156))</f>
        <v>0</v>
      </c>
      <c r="R229">
        <f>IF(Charts!$B$3="none",F1156,IF(L1156="",NA(),L1156))</f>
        <v>0</v>
      </c>
      <c r="S229">
        <f>IF(Charts!$B$3="none",G1156,IF(M1156="",NA(),M1156))</f>
        <v>0</v>
      </c>
      <c r="T229">
        <f>IF(Charts!$B$3="none",H1156,IF(N1156="",NA(),N1156))</f>
        <v>0</v>
      </c>
    </row>
    <row r="230" spans="5:20">
      <c r="E230">
        <v>40</v>
      </c>
      <c r="F230">
        <f>F44</f>
        <v>0</v>
      </c>
      <c r="G230">
        <v>40</v>
      </c>
      <c r="H230">
        <f>H44</f>
        <v>0</v>
      </c>
      <c r="K230">
        <v>40</v>
      </c>
      <c r="L230">
        <f>L44</f>
        <v>0</v>
      </c>
      <c r="M230">
        <v>40</v>
      </c>
      <c r="N230">
        <f>N44</f>
        <v>0</v>
      </c>
      <c r="Q230">
        <f>IF(Charts!$B$3="none",E1157,IF(K1157="",NA(),K1157))</f>
        <v>0</v>
      </c>
      <c r="R230">
        <f>IF(Charts!$B$3="none",F1157,IF(L1157="",NA(),L1157))</f>
        <v>0</v>
      </c>
      <c r="S230">
        <f>IF(Charts!$B$3="none",G1157,IF(M1157="",NA(),M1157))</f>
        <v>0</v>
      </c>
      <c r="T230">
        <f>IF(Charts!$B$3="none",H1157,IF(N1157="",NA(),N1157))</f>
        <v>0</v>
      </c>
    </row>
    <row r="231" spans="5:20">
      <c r="E231">
        <v>41</v>
      </c>
      <c r="F231">
        <f>F45</f>
        <v>0</v>
      </c>
      <c r="G231">
        <v>41</v>
      </c>
      <c r="H231">
        <f>H45</f>
        <v>0</v>
      </c>
      <c r="K231">
        <v>41</v>
      </c>
      <c r="L231">
        <f>L45</f>
        <v>0</v>
      </c>
      <c r="M231">
        <v>41</v>
      </c>
      <c r="N231">
        <f>N45</f>
        <v>0</v>
      </c>
      <c r="Q231">
        <f>IF(Charts!$B$3="none",E1158,IF(K1158="",NA(),K1158))</f>
        <v>0</v>
      </c>
      <c r="R231">
        <f>IF(Charts!$B$3="none",F1158,IF(L1158="",NA(),L1158))</f>
        <v>0</v>
      </c>
      <c r="S231">
        <f>IF(Charts!$B$3="none",G1158,IF(M1158="",NA(),M1158))</f>
        <v>0</v>
      </c>
      <c r="T231">
        <f>IF(Charts!$B$3="none",H1158,IF(N1158="",NA(),N1158))</f>
        <v>0</v>
      </c>
    </row>
    <row r="232" spans="5:20">
      <c r="E232">
        <v>42</v>
      </c>
      <c r="F232">
        <f>F46</f>
        <v>0</v>
      </c>
      <c r="G232">
        <v>42</v>
      </c>
      <c r="H232">
        <f>H46</f>
        <v>0</v>
      </c>
      <c r="K232">
        <v>42</v>
      </c>
      <c r="L232">
        <f>L46</f>
        <v>0</v>
      </c>
      <c r="M232">
        <v>42</v>
      </c>
      <c r="N232">
        <f>N46</f>
        <v>0</v>
      </c>
      <c r="Q232">
        <f>IF(Charts!$B$3="none",E1159,IF(K1159="",NA(),K1159))</f>
        <v>0</v>
      </c>
      <c r="R232">
        <f>IF(Charts!$B$3="none",F1159,IF(L1159="",NA(),L1159))</f>
        <v>0</v>
      </c>
      <c r="S232">
        <f>IF(Charts!$B$3="none",G1159,IF(M1159="",NA(),M1159))</f>
        <v>0</v>
      </c>
      <c r="T232">
        <f>IF(Charts!$B$3="none",H1159,IF(N1159="",NA(),N1159))</f>
        <v>0</v>
      </c>
    </row>
    <row r="233" spans="5:20">
      <c r="E233">
        <v>43</v>
      </c>
      <c r="F233">
        <f>F47</f>
        <v>0</v>
      </c>
      <c r="G233">
        <v>43</v>
      </c>
      <c r="H233">
        <f>H47</f>
        <v>0</v>
      </c>
      <c r="K233">
        <v>43</v>
      </c>
      <c r="L233">
        <f>L47</f>
        <v>0</v>
      </c>
      <c r="M233">
        <v>43</v>
      </c>
      <c r="N233">
        <f>N47</f>
        <v>0</v>
      </c>
      <c r="Q233">
        <f>IF(Charts!$B$3="none",E1160,IF(K1160="",NA(),K1160))</f>
        <v>0</v>
      </c>
      <c r="R233">
        <f>IF(Charts!$B$3="none",F1160,IF(L1160="",NA(),L1160))</f>
        <v>0</v>
      </c>
      <c r="S233">
        <f>IF(Charts!$B$3="none",G1160,IF(M1160="",NA(),M1160))</f>
        <v>0</v>
      </c>
      <c r="T233">
        <f>IF(Charts!$B$3="none",H1160,IF(N1160="",NA(),N1160))</f>
        <v>0</v>
      </c>
    </row>
    <row r="234" spans="5:20">
      <c r="E234">
        <v>44</v>
      </c>
      <c r="F234">
        <f>F48</f>
        <v>0</v>
      </c>
      <c r="G234">
        <v>44</v>
      </c>
      <c r="H234">
        <f>H48</f>
        <v>0</v>
      </c>
      <c r="K234">
        <v>44</v>
      </c>
      <c r="L234">
        <f>L48</f>
        <v>0</v>
      </c>
      <c r="M234">
        <v>44</v>
      </c>
      <c r="N234">
        <f>N48</f>
        <v>0</v>
      </c>
      <c r="Q234">
        <f>IF(Charts!$B$3="none",E1161,IF(K1161="",NA(),K1161))</f>
        <v>0</v>
      </c>
      <c r="R234">
        <f>IF(Charts!$B$3="none",F1161,IF(L1161="",NA(),L1161))</f>
        <v>0</v>
      </c>
      <c r="S234">
        <f>IF(Charts!$B$3="none",G1161,IF(M1161="",NA(),M1161))</f>
        <v>0</v>
      </c>
      <c r="T234">
        <f>IF(Charts!$B$3="none",H1161,IF(N1161="",NA(),N1161))</f>
        <v>0</v>
      </c>
    </row>
    <row r="235" spans="5:20">
      <c r="E235">
        <v>45</v>
      </c>
      <c r="F235">
        <f>F49</f>
        <v>0</v>
      </c>
      <c r="G235">
        <v>45</v>
      </c>
      <c r="H235">
        <f>H49</f>
        <v>0</v>
      </c>
      <c r="K235">
        <v>45</v>
      </c>
      <c r="L235">
        <f>L49</f>
        <v>0</v>
      </c>
      <c r="M235">
        <v>45</v>
      </c>
      <c r="N235">
        <f>N49</f>
        <v>0</v>
      </c>
      <c r="Q235">
        <f>IF(Charts!$B$3="none",E1162,IF(K1162="",NA(),K1162))</f>
        <v>0</v>
      </c>
      <c r="R235">
        <f>IF(Charts!$B$3="none",F1162,IF(L1162="",NA(),L1162))</f>
        <v>0</v>
      </c>
      <c r="S235">
        <f>IF(Charts!$B$3="none",G1162,IF(M1162="",NA(),M1162))</f>
        <v>0</v>
      </c>
      <c r="T235">
        <f>IF(Charts!$B$3="none",H1162,IF(N1162="",NA(),N1162))</f>
        <v>0</v>
      </c>
    </row>
    <row r="236" spans="5:20">
      <c r="E236">
        <v>46</v>
      </c>
      <c r="F236">
        <f>F50</f>
        <v>0</v>
      </c>
      <c r="G236">
        <v>46</v>
      </c>
      <c r="H236">
        <f>H50</f>
        <v>0</v>
      </c>
      <c r="K236">
        <v>46</v>
      </c>
      <c r="L236">
        <f>L50</f>
        <v>0</v>
      </c>
      <c r="M236">
        <v>46</v>
      </c>
      <c r="N236">
        <f>N50</f>
        <v>0</v>
      </c>
      <c r="Q236">
        <f>IF(Charts!$B$3="none",E1163,IF(K1163="",NA(),K1163))</f>
        <v>0</v>
      </c>
      <c r="R236">
        <f>IF(Charts!$B$3="none",F1163,IF(L1163="",NA(),L1163))</f>
        <v>0</v>
      </c>
      <c r="S236">
        <f>IF(Charts!$B$3="none",G1163,IF(M1163="",NA(),M1163))</f>
        <v>0</v>
      </c>
      <c r="T236">
        <f>IF(Charts!$B$3="none",H1163,IF(N1163="",NA(),N1163))</f>
        <v>0</v>
      </c>
    </row>
    <row r="237" spans="5:20">
      <c r="E237">
        <v>47</v>
      </c>
      <c r="F237">
        <f>F51</f>
        <v>0</v>
      </c>
      <c r="G237">
        <v>47</v>
      </c>
      <c r="H237">
        <f>H51</f>
        <v>0</v>
      </c>
      <c r="K237">
        <v>47</v>
      </c>
      <c r="L237">
        <f>L51</f>
        <v>0</v>
      </c>
      <c r="M237">
        <v>47</v>
      </c>
      <c r="N237">
        <f>N51</f>
        <v>0</v>
      </c>
      <c r="Q237">
        <f>IF(Charts!$B$3="none",E1164,IF(K1164="",NA(),K1164))</f>
        <v>0</v>
      </c>
      <c r="R237">
        <f>IF(Charts!$B$3="none",F1164,IF(L1164="",NA(),L1164))</f>
        <v>0</v>
      </c>
      <c r="S237">
        <f>IF(Charts!$B$3="none",G1164,IF(M1164="",NA(),M1164))</f>
        <v>0</v>
      </c>
      <c r="T237">
        <f>IF(Charts!$B$3="none",H1164,IF(N1164="",NA(),N1164))</f>
        <v>0</v>
      </c>
    </row>
    <row r="238" spans="5:20">
      <c r="E238">
        <v>48</v>
      </c>
      <c r="F238">
        <f>F52</f>
        <v>0</v>
      </c>
      <c r="G238">
        <v>48</v>
      </c>
      <c r="H238">
        <f>H52</f>
        <v>0</v>
      </c>
      <c r="K238">
        <v>48</v>
      </c>
      <c r="L238">
        <f>L52</f>
        <v>0</v>
      </c>
      <c r="M238">
        <v>48</v>
      </c>
      <c r="N238">
        <f>N52</f>
        <v>0</v>
      </c>
      <c r="Q238">
        <f>IF(Charts!$B$3="none",E1165,IF(K1165="",NA(),K1165))</f>
        <v>0</v>
      </c>
      <c r="R238">
        <f>IF(Charts!$B$3="none",F1165,IF(L1165="",NA(),L1165))</f>
        <v>0</v>
      </c>
      <c r="S238">
        <f>IF(Charts!$B$3="none",G1165,IF(M1165="",NA(),M1165))</f>
        <v>0</v>
      </c>
      <c r="T238">
        <f>IF(Charts!$B$3="none",H1165,IF(N1165="",NA(),N1165))</f>
        <v>0</v>
      </c>
    </row>
    <row r="239" spans="5:20">
      <c r="E239">
        <v>49</v>
      </c>
      <c r="F239">
        <f>F53</f>
        <v>0</v>
      </c>
      <c r="G239">
        <v>49</v>
      </c>
      <c r="H239">
        <f>H53</f>
        <v>0</v>
      </c>
      <c r="K239">
        <v>49</v>
      </c>
      <c r="L239">
        <f>L53</f>
        <v>0</v>
      </c>
      <c r="M239">
        <v>49</v>
      </c>
      <c r="N239">
        <f>N53</f>
        <v>0</v>
      </c>
      <c r="Q239">
        <f>IF(Charts!$B$3="none",E1166,IF(K1166="",NA(),K1166))</f>
        <v>0</v>
      </c>
      <c r="R239">
        <f>IF(Charts!$B$3="none",F1166,IF(L1166="",NA(),L1166))</f>
        <v>0</v>
      </c>
      <c r="S239">
        <f>IF(Charts!$B$3="none",G1166,IF(M1166="",NA(),M1166))</f>
        <v>0</v>
      </c>
      <c r="T239">
        <f>IF(Charts!$B$3="none",H1166,IF(N1166="",NA(),N1166))</f>
        <v>0</v>
      </c>
    </row>
    <row r="240" spans="5:20">
      <c r="E240">
        <v>50</v>
      </c>
      <c r="F240">
        <f>F54</f>
        <v>0</v>
      </c>
      <c r="G240">
        <v>50</v>
      </c>
      <c r="H240">
        <f>H54</f>
        <v>0</v>
      </c>
      <c r="K240">
        <v>50</v>
      </c>
      <c r="L240">
        <f>L54</f>
        <v>0</v>
      </c>
      <c r="M240">
        <v>50</v>
      </c>
      <c r="N240">
        <f>N54</f>
        <v>0</v>
      </c>
      <c r="Q240">
        <f>IF(Charts!$B$3="none",E1167,IF(K1167="",NA(),K1167))</f>
        <v>0</v>
      </c>
      <c r="R240">
        <f>IF(Charts!$B$3="none",F1167,IF(L1167="",NA(),L1167))</f>
        <v>0</v>
      </c>
      <c r="S240">
        <f>IF(Charts!$B$3="none",G1167,IF(M1167="",NA(),M1167))</f>
        <v>0</v>
      </c>
      <c r="T240">
        <f>IF(Charts!$B$3="none",H1167,IF(N1167="",NA(),N1167))</f>
        <v>0</v>
      </c>
    </row>
    <row r="241" spans="5:20">
      <c r="E241">
        <v>51</v>
      </c>
      <c r="F241">
        <f>F55</f>
        <v>0</v>
      </c>
      <c r="G241">
        <v>51</v>
      </c>
      <c r="H241">
        <f>H55</f>
        <v>0</v>
      </c>
      <c r="K241">
        <v>51</v>
      </c>
      <c r="L241">
        <f>L55</f>
        <v>0</v>
      </c>
      <c r="M241">
        <v>51</v>
      </c>
      <c r="N241">
        <f>N55</f>
        <v>0</v>
      </c>
      <c r="Q241">
        <f>IF(Charts!$B$3="none",E1168,IF(K1168="",NA(),K1168))</f>
        <v>0</v>
      </c>
      <c r="R241">
        <f>IF(Charts!$B$3="none",F1168,IF(L1168="",NA(),L1168))</f>
        <v>0</v>
      </c>
      <c r="S241">
        <f>IF(Charts!$B$3="none",G1168,IF(M1168="",NA(),M1168))</f>
        <v>0</v>
      </c>
      <c r="T241">
        <f>IF(Charts!$B$3="none",H1168,IF(N1168="",NA(),N1168))</f>
        <v>0</v>
      </c>
    </row>
    <row r="242" spans="5:20">
      <c r="E242">
        <v>52</v>
      </c>
      <c r="F242">
        <f>F56</f>
        <v>0</v>
      </c>
      <c r="G242">
        <v>52</v>
      </c>
      <c r="H242">
        <f>H56</f>
        <v>0</v>
      </c>
      <c r="K242">
        <v>52</v>
      </c>
      <c r="L242">
        <f>L56</f>
        <v>0</v>
      </c>
      <c r="M242">
        <v>52</v>
      </c>
      <c r="N242">
        <f>N56</f>
        <v>0</v>
      </c>
      <c r="Q242">
        <f>IF(Charts!$B$3="none",E1169,IF(K1169="",NA(),K1169))</f>
        <v>0</v>
      </c>
      <c r="R242">
        <f>IF(Charts!$B$3="none",F1169,IF(L1169="",NA(),L1169))</f>
        <v>0</v>
      </c>
      <c r="S242">
        <f>IF(Charts!$B$3="none",G1169,IF(M1169="",NA(),M1169))</f>
        <v>0</v>
      </c>
      <c r="T242">
        <f>IF(Charts!$B$3="none",H1169,IF(N1169="",NA(),N1169))</f>
        <v>0</v>
      </c>
    </row>
    <row r="243" spans="5:20">
      <c r="E243">
        <v>53</v>
      </c>
      <c r="F243">
        <f>F57</f>
        <v>0</v>
      </c>
      <c r="G243">
        <v>53</v>
      </c>
      <c r="H243">
        <f>H57</f>
        <v>0</v>
      </c>
      <c r="K243">
        <v>53</v>
      </c>
      <c r="L243">
        <f>L57</f>
        <v>0</v>
      </c>
      <c r="M243">
        <v>53</v>
      </c>
      <c r="N243">
        <f>N57</f>
        <v>0</v>
      </c>
      <c r="Q243">
        <f>IF(Charts!$B$3="none",E1170,IF(K1170="",NA(),K1170))</f>
        <v>0</v>
      </c>
      <c r="R243">
        <f>IF(Charts!$B$3="none",F1170,IF(L1170="",NA(),L1170))</f>
        <v>0</v>
      </c>
      <c r="S243">
        <f>IF(Charts!$B$3="none",G1170,IF(M1170="",NA(),M1170))</f>
        <v>0</v>
      </c>
      <c r="T243">
        <f>IF(Charts!$B$3="none",H1170,IF(N1170="",NA(),N1170))</f>
        <v>0</v>
      </c>
    </row>
    <row r="244" spans="5:20">
      <c r="E244">
        <v>54</v>
      </c>
      <c r="F244">
        <f>F58</f>
        <v>0</v>
      </c>
      <c r="G244">
        <v>54</v>
      </c>
      <c r="H244">
        <f>H58</f>
        <v>0</v>
      </c>
      <c r="K244">
        <v>54</v>
      </c>
      <c r="L244">
        <f>L58</f>
        <v>0</v>
      </c>
      <c r="M244">
        <v>54</v>
      </c>
      <c r="N244">
        <f>N58</f>
        <v>0</v>
      </c>
      <c r="Q244">
        <f>IF(Charts!$B$3="none",E1171,IF(K1171="",NA(),K1171))</f>
        <v>0</v>
      </c>
      <c r="R244">
        <f>IF(Charts!$B$3="none",F1171,IF(L1171="",NA(),L1171))</f>
        <v>0</v>
      </c>
      <c r="S244">
        <f>IF(Charts!$B$3="none",G1171,IF(M1171="",NA(),M1171))</f>
        <v>0</v>
      </c>
      <c r="T244">
        <f>IF(Charts!$B$3="none",H1171,IF(N1171="",NA(),N1171))</f>
        <v>0</v>
      </c>
    </row>
    <row r="245" spans="5:20">
      <c r="E245">
        <v>55</v>
      </c>
      <c r="F245">
        <f>F59</f>
        <v>0</v>
      </c>
      <c r="G245">
        <v>55</v>
      </c>
      <c r="H245">
        <f>H59</f>
        <v>0</v>
      </c>
      <c r="K245">
        <v>55</v>
      </c>
      <c r="L245">
        <f>L59</f>
        <v>0</v>
      </c>
      <c r="M245">
        <v>55</v>
      </c>
      <c r="N245">
        <f>N59</f>
        <v>0</v>
      </c>
      <c r="Q245">
        <f>IF(Charts!$B$3="none",E1172,IF(K1172="",NA(),K1172))</f>
        <v>0</v>
      </c>
      <c r="R245">
        <f>IF(Charts!$B$3="none",F1172,IF(L1172="",NA(),L1172))</f>
        <v>0</v>
      </c>
      <c r="S245">
        <f>IF(Charts!$B$3="none",G1172,IF(M1172="",NA(),M1172))</f>
        <v>0</v>
      </c>
      <c r="T245">
        <f>IF(Charts!$B$3="none",H1172,IF(N1172="",NA(),N1172))</f>
        <v>0</v>
      </c>
    </row>
    <row r="246" spans="5:20">
      <c r="E246">
        <v>56</v>
      </c>
      <c r="F246">
        <f>F60</f>
        <v>0</v>
      </c>
      <c r="G246">
        <v>56</v>
      </c>
      <c r="H246">
        <f>H60</f>
        <v>0</v>
      </c>
      <c r="K246">
        <v>56</v>
      </c>
      <c r="L246">
        <f>L60</f>
        <v>0</v>
      </c>
      <c r="M246">
        <v>56</v>
      </c>
      <c r="N246">
        <f>N60</f>
        <v>0</v>
      </c>
      <c r="Q246">
        <f>IF(Charts!$B$3="none",E1173,IF(K1173="",NA(),K1173))</f>
        <v>0</v>
      </c>
      <c r="R246">
        <f>IF(Charts!$B$3="none",F1173,IF(L1173="",NA(),L1173))</f>
        <v>0</v>
      </c>
      <c r="S246">
        <f>IF(Charts!$B$3="none",G1173,IF(M1173="",NA(),M1173))</f>
        <v>0</v>
      </c>
      <c r="T246">
        <f>IF(Charts!$B$3="none",H1173,IF(N1173="",NA(),N1173))</f>
        <v>0</v>
      </c>
    </row>
    <row r="247" spans="5:20">
      <c r="E247">
        <v>57</v>
      </c>
      <c r="F247">
        <f>F61</f>
        <v>0</v>
      </c>
      <c r="G247">
        <v>57</v>
      </c>
      <c r="H247">
        <f>H61</f>
        <v>0</v>
      </c>
      <c r="K247">
        <v>57</v>
      </c>
      <c r="L247">
        <f>L61</f>
        <v>0</v>
      </c>
      <c r="M247">
        <v>57</v>
      </c>
      <c r="N247">
        <f>N61</f>
        <v>0</v>
      </c>
      <c r="Q247">
        <f>IF(Charts!$B$3="none",E1174,IF(K1174="",NA(),K1174))</f>
        <v>0</v>
      </c>
      <c r="R247">
        <f>IF(Charts!$B$3="none",F1174,IF(L1174="",NA(),L1174))</f>
        <v>0</v>
      </c>
      <c r="S247">
        <f>IF(Charts!$B$3="none",G1174,IF(M1174="",NA(),M1174))</f>
        <v>0</v>
      </c>
      <c r="T247">
        <f>IF(Charts!$B$3="none",H1174,IF(N1174="",NA(),N1174))</f>
        <v>0</v>
      </c>
    </row>
    <row r="248" spans="5:20">
      <c r="E248">
        <v>58</v>
      </c>
      <c r="F248">
        <f>F62</f>
        <v>0</v>
      </c>
      <c r="G248">
        <v>58</v>
      </c>
      <c r="H248">
        <f>H62</f>
        <v>0</v>
      </c>
      <c r="K248">
        <v>58</v>
      </c>
      <c r="L248">
        <f>L62</f>
        <v>0</v>
      </c>
      <c r="M248">
        <v>58</v>
      </c>
      <c r="N248">
        <f>N62</f>
        <v>0</v>
      </c>
      <c r="Q248">
        <f>IF(Charts!$B$3="none",E1175,IF(K1175="",NA(),K1175))</f>
        <v>0</v>
      </c>
      <c r="R248">
        <f>IF(Charts!$B$3="none",F1175,IF(L1175="",NA(),L1175))</f>
        <v>0</v>
      </c>
      <c r="S248">
        <f>IF(Charts!$B$3="none",G1175,IF(M1175="",NA(),M1175))</f>
        <v>0</v>
      </c>
      <c r="T248">
        <f>IF(Charts!$B$3="none",H1175,IF(N1175="",NA(),N1175))</f>
        <v>0</v>
      </c>
    </row>
    <row r="249" spans="5:20">
      <c r="E249">
        <v>59</v>
      </c>
      <c r="F249">
        <f>F63</f>
        <v>0</v>
      </c>
      <c r="G249">
        <v>59</v>
      </c>
      <c r="H249">
        <f>H63</f>
        <v>0</v>
      </c>
      <c r="K249">
        <v>59</v>
      </c>
      <c r="L249">
        <f>L63</f>
        <v>0</v>
      </c>
      <c r="M249">
        <v>59</v>
      </c>
      <c r="N249">
        <f>N63</f>
        <v>0</v>
      </c>
      <c r="Q249">
        <f>IF(Charts!$B$3="none",E1176,IF(K1176="",NA(),K1176))</f>
        <v>0</v>
      </c>
      <c r="R249">
        <f>IF(Charts!$B$3="none",F1176,IF(L1176="",NA(),L1176))</f>
        <v>0</v>
      </c>
      <c r="S249">
        <f>IF(Charts!$B$3="none",G1176,IF(M1176="",NA(),M1176))</f>
        <v>0</v>
      </c>
      <c r="T249">
        <f>IF(Charts!$B$3="none",H1176,IF(N1176="",NA(),N1176))</f>
        <v>0</v>
      </c>
    </row>
    <row r="250" spans="5:20">
      <c r="E250">
        <v>60</v>
      </c>
      <c r="F250">
        <f>F64</f>
        <v>0</v>
      </c>
      <c r="G250">
        <v>60</v>
      </c>
      <c r="H250">
        <f>H64</f>
        <v>0</v>
      </c>
      <c r="K250">
        <v>60</v>
      </c>
      <c r="L250">
        <f>L64</f>
        <v>0</v>
      </c>
      <c r="M250">
        <v>60</v>
      </c>
      <c r="N250">
        <f>N64</f>
        <v>0</v>
      </c>
      <c r="Q250">
        <f>IF(Charts!$B$3="none",E1177,IF(K1177="",NA(),K1177))</f>
        <v>0</v>
      </c>
      <c r="R250">
        <f>IF(Charts!$B$3="none",F1177,IF(L1177="",NA(),L1177))</f>
        <v>0</v>
      </c>
      <c r="S250">
        <f>IF(Charts!$B$3="none",G1177,IF(M1177="",NA(),M1177))</f>
        <v>0</v>
      </c>
      <c r="T250">
        <f>IF(Charts!$B$3="none",H1177,IF(N1177="",NA(),N1177))</f>
        <v>0</v>
      </c>
    </row>
    <row r="251" spans="5:20">
      <c r="E251">
        <v>61</v>
      </c>
      <c r="F251">
        <f>F65</f>
        <v>0</v>
      </c>
      <c r="G251">
        <v>61</v>
      </c>
      <c r="H251">
        <f>H65</f>
        <v>0</v>
      </c>
      <c r="K251">
        <v>61</v>
      </c>
      <c r="L251">
        <f>L65</f>
        <v>0</v>
      </c>
      <c r="M251">
        <v>61</v>
      </c>
      <c r="N251">
        <f>N65</f>
        <v>0</v>
      </c>
      <c r="Q251">
        <f>IF(Charts!$B$3="none",E1178,IF(K1178="",NA(),K1178))</f>
        <v>0</v>
      </c>
      <c r="R251">
        <f>IF(Charts!$B$3="none",F1178,IF(L1178="",NA(),L1178))</f>
        <v>0</v>
      </c>
      <c r="S251">
        <f>IF(Charts!$B$3="none",G1178,IF(M1178="",NA(),M1178))</f>
        <v>0</v>
      </c>
      <c r="T251">
        <f>IF(Charts!$B$3="none",H1178,IF(N1178="",NA(),N1178))</f>
        <v>0</v>
      </c>
    </row>
    <row r="252" spans="5:20">
      <c r="E252">
        <v>62</v>
      </c>
      <c r="F252">
        <f>F66</f>
        <v>0</v>
      </c>
      <c r="G252">
        <v>62</v>
      </c>
      <c r="H252">
        <f>H66</f>
        <v>0</v>
      </c>
      <c r="K252">
        <v>62</v>
      </c>
      <c r="L252">
        <f>L66</f>
        <v>0</v>
      </c>
      <c r="M252">
        <v>62</v>
      </c>
      <c r="N252">
        <f>N66</f>
        <v>0</v>
      </c>
      <c r="Q252">
        <f>IF(Charts!$B$3="none",E1179,IF(K1179="",NA(),K1179))</f>
        <v>0</v>
      </c>
      <c r="R252">
        <f>IF(Charts!$B$3="none",F1179,IF(L1179="",NA(),L1179))</f>
        <v>0</v>
      </c>
      <c r="S252">
        <f>IF(Charts!$B$3="none",G1179,IF(M1179="",NA(),M1179))</f>
        <v>0</v>
      </c>
      <c r="T252">
        <f>IF(Charts!$B$3="none",H1179,IF(N1179="",NA(),N1179))</f>
        <v>0</v>
      </c>
    </row>
    <row r="253" spans="5:20">
      <c r="E253">
        <v>63</v>
      </c>
      <c r="F253">
        <f>F67</f>
        <v>0</v>
      </c>
      <c r="G253">
        <v>63</v>
      </c>
      <c r="H253">
        <f>H67</f>
        <v>0</v>
      </c>
      <c r="K253">
        <v>63</v>
      </c>
      <c r="L253">
        <f>L67</f>
        <v>0</v>
      </c>
      <c r="M253">
        <v>63</v>
      </c>
      <c r="N253">
        <f>N67</f>
        <v>0</v>
      </c>
      <c r="Q253">
        <f>IF(Charts!$B$3="none",E1180,IF(K1180="",NA(),K1180))</f>
        <v>0</v>
      </c>
      <c r="R253">
        <f>IF(Charts!$B$3="none",F1180,IF(L1180="",NA(),L1180))</f>
        <v>0</v>
      </c>
      <c r="S253">
        <f>IF(Charts!$B$3="none",G1180,IF(M1180="",NA(),M1180))</f>
        <v>0</v>
      </c>
      <c r="T253">
        <f>IF(Charts!$B$3="none",H1180,IF(N1180="",NA(),N1180))</f>
        <v>0</v>
      </c>
    </row>
    <row r="254" spans="5:20">
      <c r="E254">
        <v>64</v>
      </c>
      <c r="F254">
        <f>F68</f>
        <v>0</v>
      </c>
      <c r="G254">
        <v>64</v>
      </c>
      <c r="H254">
        <f>H68</f>
        <v>0</v>
      </c>
      <c r="K254">
        <v>64</v>
      </c>
      <c r="L254">
        <f>L68</f>
        <v>0</v>
      </c>
      <c r="M254">
        <v>64</v>
      </c>
      <c r="N254">
        <f>N68</f>
        <v>0</v>
      </c>
      <c r="Q254">
        <f>IF(Charts!$B$3="none",E1181,IF(K1181="",NA(),K1181))</f>
        <v>0</v>
      </c>
      <c r="R254">
        <f>IF(Charts!$B$3="none",F1181,IF(L1181="",NA(),L1181))</f>
        <v>0</v>
      </c>
      <c r="S254">
        <f>IF(Charts!$B$3="none",G1181,IF(M1181="",NA(),M1181))</f>
        <v>0</v>
      </c>
      <c r="T254">
        <f>IF(Charts!$B$3="none",H1181,IF(N1181="",NA(),N1181))</f>
        <v>0</v>
      </c>
    </row>
    <row r="255" spans="5:20">
      <c r="E255">
        <v>65</v>
      </c>
      <c r="F255">
        <f>F69</f>
        <v>0</v>
      </c>
      <c r="G255">
        <v>65</v>
      </c>
      <c r="H255">
        <f>H69</f>
        <v>0</v>
      </c>
      <c r="K255">
        <v>65</v>
      </c>
      <c r="L255">
        <f>L69</f>
        <v>0</v>
      </c>
      <c r="M255">
        <v>65</v>
      </c>
      <c r="N255">
        <f>N69</f>
        <v>0</v>
      </c>
      <c r="Q255">
        <f>IF(Charts!$B$3="none",E1182,IF(K1182="",NA(),K1182))</f>
        <v>0</v>
      </c>
      <c r="R255">
        <f>IF(Charts!$B$3="none",F1182,IF(L1182="",NA(),L1182))</f>
        <v>0</v>
      </c>
      <c r="S255">
        <f>IF(Charts!$B$3="none",G1182,IF(M1182="",NA(),M1182))</f>
        <v>0</v>
      </c>
      <c r="T255">
        <f>IF(Charts!$B$3="none",H1182,IF(N1182="",NA(),N1182))</f>
        <v>0</v>
      </c>
    </row>
    <row r="256" spans="5:20">
      <c r="E256">
        <v>66</v>
      </c>
      <c r="F256">
        <f>F70</f>
        <v>0</v>
      </c>
      <c r="G256">
        <v>66</v>
      </c>
      <c r="H256">
        <f>H70</f>
        <v>0</v>
      </c>
      <c r="K256">
        <v>66</v>
      </c>
      <c r="L256">
        <f>L70</f>
        <v>0</v>
      </c>
      <c r="M256">
        <v>66</v>
      </c>
      <c r="N256">
        <f>N70</f>
        <v>0</v>
      </c>
      <c r="Q256">
        <f>IF(Charts!$B$3="none",E1183,IF(K1183="",NA(),K1183))</f>
        <v>0</v>
      </c>
      <c r="R256">
        <f>IF(Charts!$B$3="none",F1183,IF(L1183="",NA(),L1183))</f>
        <v>0</v>
      </c>
      <c r="S256">
        <f>IF(Charts!$B$3="none",G1183,IF(M1183="",NA(),M1183))</f>
        <v>0</v>
      </c>
      <c r="T256">
        <f>IF(Charts!$B$3="none",H1183,IF(N1183="",NA(),N1183))</f>
        <v>0</v>
      </c>
    </row>
    <row r="257" spans="5:20">
      <c r="E257">
        <v>67</v>
      </c>
      <c r="F257">
        <f>F71</f>
        <v>0</v>
      </c>
      <c r="G257">
        <v>67</v>
      </c>
      <c r="H257">
        <f>H71</f>
        <v>0</v>
      </c>
      <c r="K257">
        <v>67</v>
      </c>
      <c r="L257">
        <f>L71</f>
        <v>0</v>
      </c>
      <c r="M257">
        <v>67</v>
      </c>
      <c r="N257">
        <f>N71</f>
        <v>0</v>
      </c>
      <c r="Q257">
        <f>IF(Charts!$B$3="none",E1184,IF(K1184="",NA(),K1184))</f>
        <v>0</v>
      </c>
      <c r="R257">
        <f>IF(Charts!$B$3="none",F1184,IF(L1184="",NA(),L1184))</f>
        <v>0</v>
      </c>
      <c r="S257">
        <f>IF(Charts!$B$3="none",G1184,IF(M1184="",NA(),M1184))</f>
        <v>0</v>
      </c>
      <c r="T257">
        <f>IF(Charts!$B$3="none",H1184,IF(N1184="",NA(),N1184))</f>
        <v>0</v>
      </c>
    </row>
    <row r="258" spans="5:20">
      <c r="E258">
        <v>68</v>
      </c>
      <c r="F258">
        <f>F72</f>
        <v>0</v>
      </c>
      <c r="G258">
        <v>68</v>
      </c>
      <c r="H258">
        <f>H72</f>
        <v>0</v>
      </c>
      <c r="K258">
        <v>68</v>
      </c>
      <c r="L258">
        <f>L72</f>
        <v>0</v>
      </c>
      <c r="M258">
        <v>68</v>
      </c>
      <c r="N258">
        <f>N72</f>
        <v>0</v>
      </c>
      <c r="Q258">
        <f>IF(Charts!$B$3="none",E1185,IF(K1185="",NA(),K1185))</f>
        <v>0</v>
      </c>
      <c r="R258">
        <f>IF(Charts!$B$3="none",F1185,IF(L1185="",NA(),L1185))</f>
        <v>0</v>
      </c>
      <c r="S258">
        <f>IF(Charts!$B$3="none",G1185,IF(M1185="",NA(),M1185))</f>
        <v>0</v>
      </c>
      <c r="T258">
        <f>IF(Charts!$B$3="none",H1185,IF(N1185="",NA(),N1185))</f>
        <v>0</v>
      </c>
    </row>
    <row r="259" spans="5:20">
      <c r="E259">
        <v>69</v>
      </c>
      <c r="F259">
        <f>F73</f>
        <v>0</v>
      </c>
      <c r="G259">
        <v>69</v>
      </c>
      <c r="H259">
        <f>H73</f>
        <v>0</v>
      </c>
      <c r="K259">
        <v>69</v>
      </c>
      <c r="L259">
        <f>L73</f>
        <v>0</v>
      </c>
      <c r="M259">
        <v>69</v>
      </c>
      <c r="N259">
        <f>N73</f>
        <v>0</v>
      </c>
      <c r="Q259">
        <f>IF(Charts!$B$3="none",E1186,IF(K1186="",NA(),K1186))</f>
        <v>0</v>
      </c>
      <c r="R259">
        <f>IF(Charts!$B$3="none",F1186,IF(L1186="",NA(),L1186))</f>
        <v>0</v>
      </c>
      <c r="S259">
        <f>IF(Charts!$B$3="none",G1186,IF(M1186="",NA(),M1186))</f>
        <v>0</v>
      </c>
      <c r="T259">
        <f>IF(Charts!$B$3="none",H1186,IF(N1186="",NA(),N1186))</f>
        <v>0</v>
      </c>
    </row>
    <row r="260" spans="5:20">
      <c r="E260">
        <v>70</v>
      </c>
      <c r="F260">
        <f>F74</f>
        <v>0</v>
      </c>
      <c r="G260">
        <v>70</v>
      </c>
      <c r="H260">
        <f>H74</f>
        <v>0</v>
      </c>
      <c r="K260">
        <v>70</v>
      </c>
      <c r="L260">
        <f>L74</f>
        <v>0</v>
      </c>
      <c r="M260">
        <v>70</v>
      </c>
      <c r="N260">
        <f>N74</f>
        <v>0</v>
      </c>
      <c r="Q260">
        <f>IF(Charts!$B$3="none",E1187,IF(K1187="",NA(),K1187))</f>
        <v>0</v>
      </c>
      <c r="R260">
        <f>IF(Charts!$B$3="none",F1187,IF(L1187="",NA(),L1187))</f>
        <v>0</v>
      </c>
      <c r="S260">
        <f>IF(Charts!$B$3="none",G1187,IF(M1187="",NA(),M1187))</f>
        <v>0</v>
      </c>
      <c r="T260">
        <f>IF(Charts!$B$3="none",H1187,IF(N1187="",NA(),N1187))</f>
        <v>0</v>
      </c>
    </row>
    <row r="261" spans="5:20">
      <c r="E261">
        <v>71</v>
      </c>
      <c r="F261">
        <f>F75</f>
        <v>0</v>
      </c>
      <c r="G261">
        <v>71</v>
      </c>
      <c r="H261">
        <f>H75</f>
        <v>0</v>
      </c>
      <c r="K261">
        <v>71</v>
      </c>
      <c r="L261">
        <f>L75</f>
        <v>0</v>
      </c>
      <c r="M261">
        <v>71</v>
      </c>
      <c r="N261">
        <f>N75</f>
        <v>0</v>
      </c>
      <c r="Q261">
        <f>IF(Charts!$B$3="none",E1188,IF(K1188="",NA(),K1188))</f>
        <v>0</v>
      </c>
      <c r="R261">
        <f>IF(Charts!$B$3="none",F1188,IF(L1188="",NA(),L1188))</f>
        <v>0</v>
      </c>
      <c r="S261">
        <f>IF(Charts!$B$3="none",G1188,IF(M1188="",NA(),M1188))</f>
        <v>0</v>
      </c>
      <c r="T261">
        <f>IF(Charts!$B$3="none",H1188,IF(N1188="",NA(),N1188))</f>
        <v>0</v>
      </c>
    </row>
    <row r="262" spans="5:20">
      <c r="E262">
        <v>72</v>
      </c>
      <c r="F262">
        <f>F76</f>
        <v>0</v>
      </c>
      <c r="G262">
        <v>72</v>
      </c>
      <c r="H262">
        <f>H76</f>
        <v>0</v>
      </c>
      <c r="K262">
        <v>72</v>
      </c>
      <c r="L262">
        <f>L76</f>
        <v>0</v>
      </c>
      <c r="M262">
        <v>72</v>
      </c>
      <c r="N262">
        <f>N76</f>
        <v>0</v>
      </c>
      <c r="Q262">
        <f>IF(Charts!$B$3="none",E1189,IF(K1189="",NA(),K1189))</f>
        <v>0</v>
      </c>
      <c r="R262">
        <f>IF(Charts!$B$3="none",F1189,IF(L1189="",NA(),L1189))</f>
        <v>0</v>
      </c>
      <c r="S262">
        <f>IF(Charts!$B$3="none",G1189,IF(M1189="",NA(),M1189))</f>
        <v>0</v>
      </c>
      <c r="T262">
        <f>IF(Charts!$B$3="none",H1189,IF(N1189="",NA(),N1189))</f>
        <v>0</v>
      </c>
    </row>
    <row r="263" spans="5:20">
      <c r="E263">
        <v>73</v>
      </c>
      <c r="F263">
        <f>F77</f>
        <v>0</v>
      </c>
      <c r="G263">
        <v>73</v>
      </c>
      <c r="H263">
        <f>H77</f>
        <v>0</v>
      </c>
      <c r="K263">
        <v>73</v>
      </c>
      <c r="L263">
        <f>L77</f>
        <v>0</v>
      </c>
      <c r="M263">
        <v>73</v>
      </c>
      <c r="N263">
        <f>N77</f>
        <v>0</v>
      </c>
      <c r="Q263">
        <f>IF(Charts!$B$3="none",E1190,IF(K1190="",NA(),K1190))</f>
        <v>0</v>
      </c>
      <c r="R263">
        <f>IF(Charts!$B$3="none",F1190,IF(L1190="",NA(),L1190))</f>
        <v>0</v>
      </c>
      <c r="S263">
        <f>IF(Charts!$B$3="none",G1190,IF(M1190="",NA(),M1190))</f>
        <v>0</v>
      </c>
      <c r="T263">
        <f>IF(Charts!$B$3="none",H1190,IF(N1190="",NA(),N1190))</f>
        <v>0</v>
      </c>
    </row>
    <row r="264" spans="5:20">
      <c r="E264">
        <v>74</v>
      </c>
      <c r="F264">
        <f>F78</f>
        <v>0</v>
      </c>
      <c r="G264">
        <v>74</v>
      </c>
      <c r="H264">
        <f>H78</f>
        <v>0</v>
      </c>
      <c r="K264">
        <v>74</v>
      </c>
      <c r="L264">
        <f>L78</f>
        <v>0</v>
      </c>
      <c r="M264">
        <v>74</v>
      </c>
      <c r="N264">
        <f>N78</f>
        <v>0</v>
      </c>
      <c r="Q264">
        <f>IF(Charts!$B$3="none",E1191,IF(K1191="",NA(),K1191))</f>
        <v>0</v>
      </c>
      <c r="R264">
        <f>IF(Charts!$B$3="none",F1191,IF(L1191="",NA(),L1191))</f>
        <v>0</v>
      </c>
      <c r="S264">
        <f>IF(Charts!$B$3="none",G1191,IF(M1191="",NA(),M1191))</f>
        <v>0</v>
      </c>
      <c r="T264">
        <f>IF(Charts!$B$3="none",H1191,IF(N1191="",NA(),N1191))</f>
        <v>0</v>
      </c>
    </row>
    <row r="265" spans="5:20">
      <c r="E265">
        <v>75</v>
      </c>
      <c r="F265">
        <f>F79</f>
        <v>0</v>
      </c>
      <c r="G265">
        <v>75</v>
      </c>
      <c r="H265">
        <f>H79</f>
        <v>0</v>
      </c>
      <c r="K265">
        <v>75</v>
      </c>
      <c r="L265">
        <f>L79</f>
        <v>0</v>
      </c>
      <c r="M265">
        <v>75</v>
      </c>
      <c r="N265">
        <f>N79</f>
        <v>0</v>
      </c>
      <c r="Q265">
        <f>IF(Charts!$B$3="none",E1192,IF(K1192="",NA(),K1192))</f>
        <v>0</v>
      </c>
      <c r="R265">
        <f>IF(Charts!$B$3="none",F1192,IF(L1192="",NA(),L1192))</f>
        <v>0</v>
      </c>
      <c r="S265">
        <f>IF(Charts!$B$3="none",G1192,IF(M1192="",NA(),M1192))</f>
        <v>0</v>
      </c>
      <c r="T265">
        <f>IF(Charts!$B$3="none",H1192,IF(N1192="",NA(),N1192))</f>
        <v>0</v>
      </c>
    </row>
    <row r="266" spans="5:20">
      <c r="E266">
        <v>76</v>
      </c>
      <c r="F266">
        <f>F80</f>
        <v>0</v>
      </c>
      <c r="G266">
        <v>76</v>
      </c>
      <c r="H266">
        <f>H80</f>
        <v>0</v>
      </c>
      <c r="K266">
        <v>76</v>
      </c>
      <c r="L266">
        <f>L80</f>
        <v>0</v>
      </c>
      <c r="M266">
        <v>76</v>
      </c>
      <c r="N266">
        <f>N80</f>
        <v>0</v>
      </c>
      <c r="Q266">
        <f>IF(Charts!$B$3="none",E1193,IF(K1193="",NA(),K1193))</f>
        <v>0</v>
      </c>
      <c r="R266">
        <f>IF(Charts!$B$3="none",F1193,IF(L1193="",NA(),L1193))</f>
        <v>0</v>
      </c>
      <c r="S266">
        <f>IF(Charts!$B$3="none",G1193,IF(M1193="",NA(),M1193))</f>
        <v>0</v>
      </c>
      <c r="T266">
        <f>IF(Charts!$B$3="none",H1193,IF(N1193="",NA(),N1193))</f>
        <v>0</v>
      </c>
    </row>
    <row r="267" spans="5:20">
      <c r="E267">
        <v>77</v>
      </c>
      <c r="F267">
        <f>F81</f>
        <v>0</v>
      </c>
      <c r="G267">
        <v>77</v>
      </c>
      <c r="H267">
        <f>H81</f>
        <v>0</v>
      </c>
      <c r="K267">
        <v>77</v>
      </c>
      <c r="L267">
        <f>L81</f>
        <v>0</v>
      </c>
      <c r="M267">
        <v>77</v>
      </c>
      <c r="N267">
        <f>N81</f>
        <v>0</v>
      </c>
      <c r="Q267">
        <f>IF(Charts!$B$3="none",E1194,IF(K1194="",NA(),K1194))</f>
        <v>0</v>
      </c>
      <c r="R267">
        <f>IF(Charts!$B$3="none",F1194,IF(L1194="",NA(),L1194))</f>
        <v>0</v>
      </c>
      <c r="S267">
        <f>IF(Charts!$B$3="none",G1194,IF(M1194="",NA(),M1194))</f>
        <v>0</v>
      </c>
      <c r="T267">
        <f>IF(Charts!$B$3="none",H1194,IF(N1194="",NA(),N1194))</f>
        <v>0</v>
      </c>
    </row>
    <row r="268" spans="5:20">
      <c r="E268">
        <v>78</v>
      </c>
      <c r="F268">
        <f>F82</f>
        <v>0</v>
      </c>
      <c r="G268">
        <v>78</v>
      </c>
      <c r="H268">
        <f>H82</f>
        <v>0</v>
      </c>
      <c r="K268">
        <v>78</v>
      </c>
      <c r="L268">
        <f>L82</f>
        <v>0</v>
      </c>
      <c r="M268">
        <v>78</v>
      </c>
      <c r="N268">
        <f>N82</f>
        <v>0</v>
      </c>
      <c r="Q268">
        <f>IF(Charts!$B$3="none",E1195,IF(K1195="",NA(),K1195))</f>
        <v>0</v>
      </c>
      <c r="R268">
        <f>IF(Charts!$B$3="none",F1195,IF(L1195="",NA(),L1195))</f>
        <v>0</v>
      </c>
      <c r="S268">
        <f>IF(Charts!$B$3="none",G1195,IF(M1195="",NA(),M1195))</f>
        <v>0</v>
      </c>
      <c r="T268">
        <f>IF(Charts!$B$3="none",H1195,IF(N1195="",NA(),N1195))</f>
        <v>0</v>
      </c>
    </row>
    <row r="269" spans="5:20">
      <c r="E269">
        <v>79</v>
      </c>
      <c r="F269">
        <f>F83</f>
        <v>0</v>
      </c>
      <c r="G269">
        <v>79</v>
      </c>
      <c r="H269">
        <f>H83</f>
        <v>0</v>
      </c>
      <c r="K269">
        <v>79</v>
      </c>
      <c r="L269">
        <f>L83</f>
        <v>0</v>
      </c>
      <c r="M269">
        <v>79</v>
      </c>
      <c r="N269">
        <f>N83</f>
        <v>0</v>
      </c>
      <c r="Q269">
        <f>IF(Charts!$B$3="none",E1196,IF(K1196="",NA(),K1196))</f>
        <v>0</v>
      </c>
      <c r="R269">
        <f>IF(Charts!$B$3="none",F1196,IF(L1196="",NA(),L1196))</f>
        <v>0</v>
      </c>
      <c r="S269">
        <f>IF(Charts!$B$3="none",G1196,IF(M1196="",NA(),M1196))</f>
        <v>0</v>
      </c>
      <c r="T269">
        <f>IF(Charts!$B$3="none",H1196,IF(N1196="",NA(),N1196))</f>
        <v>0</v>
      </c>
    </row>
    <row r="270" spans="5:20">
      <c r="E270">
        <v>80</v>
      </c>
      <c r="F270">
        <f>F84</f>
        <v>0</v>
      </c>
      <c r="G270">
        <v>80</v>
      </c>
      <c r="H270">
        <f>H84</f>
        <v>0</v>
      </c>
      <c r="K270">
        <v>80</v>
      </c>
      <c r="L270">
        <f>L84</f>
        <v>0</v>
      </c>
      <c r="M270">
        <v>80</v>
      </c>
      <c r="N270">
        <f>N84</f>
        <v>0</v>
      </c>
      <c r="Q270">
        <f>IF(Charts!$B$3="none",E1197,IF(K1197="",NA(),K1197))</f>
        <v>0</v>
      </c>
      <c r="R270">
        <f>IF(Charts!$B$3="none",F1197,IF(L1197="",NA(),L1197))</f>
        <v>0</v>
      </c>
      <c r="S270">
        <f>IF(Charts!$B$3="none",G1197,IF(M1197="",NA(),M1197))</f>
        <v>0</v>
      </c>
      <c r="T270">
        <f>IF(Charts!$B$3="none",H1197,IF(N1197="",NA(),N1197))</f>
        <v>0</v>
      </c>
    </row>
    <row r="271" spans="5:20">
      <c r="E271">
        <v>81</v>
      </c>
      <c r="F271">
        <f>F85</f>
        <v>0</v>
      </c>
      <c r="G271">
        <v>81</v>
      </c>
      <c r="H271">
        <f>H85</f>
        <v>0</v>
      </c>
      <c r="K271">
        <v>81</v>
      </c>
      <c r="L271">
        <f>L85</f>
        <v>0</v>
      </c>
      <c r="M271">
        <v>81</v>
      </c>
      <c r="N271">
        <f>N85</f>
        <v>0</v>
      </c>
      <c r="Q271">
        <f>IF(Charts!$B$3="none",E1198,IF(K1198="",NA(),K1198))</f>
        <v>0</v>
      </c>
      <c r="R271">
        <f>IF(Charts!$B$3="none",F1198,IF(L1198="",NA(),L1198))</f>
        <v>0</v>
      </c>
      <c r="S271">
        <f>IF(Charts!$B$3="none",G1198,IF(M1198="",NA(),M1198))</f>
        <v>0</v>
      </c>
      <c r="T271">
        <f>IF(Charts!$B$3="none",H1198,IF(N1198="",NA(),N1198))</f>
        <v>0</v>
      </c>
    </row>
    <row r="272" spans="5:20">
      <c r="E272">
        <v>82</v>
      </c>
      <c r="F272">
        <f>F86</f>
        <v>0</v>
      </c>
      <c r="G272">
        <v>82</v>
      </c>
      <c r="H272">
        <f>H86</f>
        <v>0</v>
      </c>
      <c r="K272">
        <v>82</v>
      </c>
      <c r="L272">
        <f>L86</f>
        <v>0</v>
      </c>
      <c r="M272">
        <v>82</v>
      </c>
      <c r="N272">
        <f>N86</f>
        <v>0</v>
      </c>
      <c r="Q272">
        <f>IF(Charts!$B$3="none",E1199,IF(K1199="",NA(),K1199))</f>
        <v>0</v>
      </c>
      <c r="R272">
        <f>IF(Charts!$B$3="none",F1199,IF(L1199="",NA(),L1199))</f>
        <v>0</v>
      </c>
      <c r="S272">
        <f>IF(Charts!$B$3="none",G1199,IF(M1199="",NA(),M1199))</f>
        <v>0</v>
      </c>
      <c r="T272">
        <f>IF(Charts!$B$3="none",H1199,IF(N1199="",NA(),N1199))</f>
        <v>0</v>
      </c>
    </row>
    <row r="273" spans="5:20">
      <c r="E273">
        <v>83</v>
      </c>
      <c r="F273">
        <f>F87</f>
        <v>0</v>
      </c>
      <c r="G273">
        <v>83</v>
      </c>
      <c r="H273">
        <f>H87</f>
        <v>0</v>
      </c>
      <c r="K273">
        <v>83</v>
      </c>
      <c r="L273">
        <f>L87</f>
        <v>0</v>
      </c>
      <c r="M273">
        <v>83</v>
      </c>
      <c r="N273">
        <f>N87</f>
        <v>0</v>
      </c>
      <c r="Q273">
        <f>IF(Charts!$B$3="none",E1200,IF(K1200="",NA(),K1200))</f>
        <v>0</v>
      </c>
      <c r="R273">
        <f>IF(Charts!$B$3="none",F1200,IF(L1200="",NA(),L1200))</f>
        <v>0</v>
      </c>
      <c r="S273">
        <f>IF(Charts!$B$3="none",G1200,IF(M1200="",NA(),M1200))</f>
        <v>0</v>
      </c>
      <c r="T273">
        <f>IF(Charts!$B$3="none",H1200,IF(N1200="",NA(),N1200))</f>
        <v>0</v>
      </c>
    </row>
    <row r="274" spans="5:20">
      <c r="E274">
        <v>84</v>
      </c>
      <c r="F274">
        <f>F88</f>
        <v>0</v>
      </c>
      <c r="G274">
        <v>84</v>
      </c>
      <c r="H274">
        <f>H88</f>
        <v>0</v>
      </c>
      <c r="K274">
        <v>84</v>
      </c>
      <c r="L274">
        <f>L88</f>
        <v>0</v>
      </c>
      <c r="M274">
        <v>84</v>
      </c>
      <c r="N274">
        <f>N88</f>
        <v>0</v>
      </c>
      <c r="Q274">
        <f>IF(Charts!$B$3="none",E1201,IF(K1201="",NA(),K1201))</f>
        <v>0</v>
      </c>
      <c r="R274">
        <f>IF(Charts!$B$3="none",F1201,IF(L1201="",NA(),L1201))</f>
        <v>0</v>
      </c>
      <c r="S274">
        <f>IF(Charts!$B$3="none",G1201,IF(M1201="",NA(),M1201))</f>
        <v>0</v>
      </c>
      <c r="T274">
        <f>IF(Charts!$B$3="none",H1201,IF(N1201="",NA(),N1201))</f>
        <v>0</v>
      </c>
    </row>
    <row r="275" spans="5:20">
      <c r="E275">
        <v>85</v>
      </c>
      <c r="F275">
        <f>F89</f>
        <v>0</v>
      </c>
      <c r="G275">
        <v>85</v>
      </c>
      <c r="H275">
        <f>H89</f>
        <v>0</v>
      </c>
      <c r="K275">
        <v>85</v>
      </c>
      <c r="L275">
        <f>L89</f>
        <v>0</v>
      </c>
      <c r="M275">
        <v>85</v>
      </c>
      <c r="N275">
        <f>N89</f>
        <v>0</v>
      </c>
      <c r="Q275">
        <f>IF(Charts!$B$3="none",E1202,IF(K1202="",NA(),K1202))</f>
        <v>0</v>
      </c>
      <c r="R275">
        <f>IF(Charts!$B$3="none",F1202,IF(L1202="",NA(),L1202))</f>
        <v>0</v>
      </c>
      <c r="S275">
        <f>IF(Charts!$B$3="none",G1202,IF(M1202="",NA(),M1202))</f>
        <v>0</v>
      </c>
      <c r="T275">
        <f>IF(Charts!$B$3="none",H1202,IF(N1202="",NA(),N1202))</f>
        <v>0</v>
      </c>
    </row>
    <row r="276" spans="5:20">
      <c r="E276">
        <v>86</v>
      </c>
      <c r="F276">
        <f>F90</f>
        <v>0</v>
      </c>
      <c r="G276">
        <v>86</v>
      </c>
      <c r="H276">
        <f>H90</f>
        <v>0</v>
      </c>
      <c r="K276">
        <v>86</v>
      </c>
      <c r="L276">
        <f>L90</f>
        <v>0</v>
      </c>
      <c r="M276">
        <v>86</v>
      </c>
      <c r="N276">
        <f>N90</f>
        <v>0</v>
      </c>
      <c r="Q276">
        <f>IF(Charts!$B$3="none",E1203,IF(K1203="",NA(),K1203))</f>
        <v>0</v>
      </c>
      <c r="R276">
        <f>IF(Charts!$B$3="none",F1203,IF(L1203="",NA(),L1203))</f>
        <v>0</v>
      </c>
      <c r="S276">
        <f>IF(Charts!$B$3="none",G1203,IF(M1203="",NA(),M1203))</f>
        <v>0</v>
      </c>
      <c r="T276">
        <f>IF(Charts!$B$3="none",H1203,IF(N1203="",NA(),N1203))</f>
        <v>0</v>
      </c>
    </row>
    <row r="277" spans="5:20">
      <c r="E277">
        <v>87</v>
      </c>
      <c r="F277">
        <f>F91</f>
        <v>0</v>
      </c>
      <c r="G277">
        <v>87</v>
      </c>
      <c r="H277">
        <f>H91</f>
        <v>0</v>
      </c>
      <c r="K277">
        <v>87</v>
      </c>
      <c r="L277">
        <f>L91</f>
        <v>0</v>
      </c>
      <c r="M277">
        <v>87</v>
      </c>
      <c r="N277">
        <f>N91</f>
        <v>0</v>
      </c>
      <c r="Q277">
        <f>IF(Charts!$B$3="none",E1204,IF(K1204="",NA(),K1204))</f>
        <v>0</v>
      </c>
      <c r="R277">
        <f>IF(Charts!$B$3="none",F1204,IF(L1204="",NA(),L1204))</f>
        <v>0</v>
      </c>
      <c r="S277">
        <f>IF(Charts!$B$3="none",G1204,IF(M1204="",NA(),M1204))</f>
        <v>0</v>
      </c>
      <c r="T277">
        <f>IF(Charts!$B$3="none",H1204,IF(N1204="",NA(),N1204))</f>
        <v>0</v>
      </c>
    </row>
    <row r="278" spans="5:20">
      <c r="E278">
        <v>88</v>
      </c>
      <c r="F278">
        <f>F92</f>
        <v>0</v>
      </c>
      <c r="G278">
        <v>88</v>
      </c>
      <c r="H278">
        <f>H92</f>
        <v>0</v>
      </c>
      <c r="K278">
        <v>88</v>
      </c>
      <c r="L278">
        <f>L92</f>
        <v>0</v>
      </c>
      <c r="M278">
        <v>88</v>
      </c>
      <c r="N278">
        <f>N92</f>
        <v>0</v>
      </c>
      <c r="Q278">
        <f>IF(Charts!$B$3="none",E1205,IF(K1205="",NA(),K1205))</f>
        <v>0</v>
      </c>
      <c r="R278">
        <f>IF(Charts!$B$3="none",F1205,IF(L1205="",NA(),L1205))</f>
        <v>0</v>
      </c>
      <c r="S278">
        <f>IF(Charts!$B$3="none",G1205,IF(M1205="",NA(),M1205))</f>
        <v>0</v>
      </c>
      <c r="T278">
        <f>IF(Charts!$B$3="none",H1205,IF(N1205="",NA(),N1205))</f>
        <v>0</v>
      </c>
    </row>
    <row r="279" spans="5:20">
      <c r="E279">
        <v>89</v>
      </c>
      <c r="F279">
        <f>F93</f>
        <v>0</v>
      </c>
      <c r="G279">
        <v>89</v>
      </c>
      <c r="H279">
        <f>H93</f>
        <v>0</v>
      </c>
      <c r="K279">
        <v>89</v>
      </c>
      <c r="L279">
        <f>L93</f>
        <v>0</v>
      </c>
      <c r="M279">
        <v>89</v>
      </c>
      <c r="N279">
        <f>N93</f>
        <v>0</v>
      </c>
      <c r="Q279">
        <f>IF(Charts!$B$3="none",E1206,IF(K1206="",NA(),K1206))</f>
        <v>0</v>
      </c>
      <c r="R279">
        <f>IF(Charts!$B$3="none",F1206,IF(L1206="",NA(),L1206))</f>
        <v>0</v>
      </c>
      <c r="S279">
        <f>IF(Charts!$B$3="none",G1206,IF(M1206="",NA(),M1206))</f>
        <v>0</v>
      </c>
      <c r="T279">
        <f>IF(Charts!$B$3="none",H1206,IF(N1206="",NA(),N1206))</f>
        <v>0</v>
      </c>
    </row>
    <row r="280" spans="5:20">
      <c r="E280">
        <v>90</v>
      </c>
      <c r="F280">
        <f>F94</f>
        <v>0</v>
      </c>
      <c r="G280">
        <v>90</v>
      </c>
      <c r="H280">
        <f>H94</f>
        <v>0</v>
      </c>
      <c r="K280">
        <v>90</v>
      </c>
      <c r="L280">
        <f>L94</f>
        <v>0</v>
      </c>
      <c r="M280">
        <v>90</v>
      </c>
      <c r="N280">
        <f>N94</f>
        <v>0</v>
      </c>
      <c r="Q280">
        <f>IF(Charts!$B$3="none",E1207,IF(K1207="",NA(),K1207))</f>
        <v>0</v>
      </c>
      <c r="R280">
        <f>IF(Charts!$B$3="none",F1207,IF(L1207="",NA(),L1207))</f>
        <v>0</v>
      </c>
      <c r="S280">
        <f>IF(Charts!$B$3="none",G1207,IF(M1207="",NA(),M1207))</f>
        <v>0</v>
      </c>
      <c r="T280">
        <f>IF(Charts!$B$3="none",H1207,IF(N1207="",NA(),N1207))</f>
        <v>0</v>
      </c>
    </row>
    <row r="281" spans="5:20">
      <c r="E281">
        <v>91</v>
      </c>
      <c r="F281">
        <f>F95</f>
        <v>0</v>
      </c>
      <c r="G281">
        <v>91</v>
      </c>
      <c r="H281">
        <f>H95</f>
        <v>0</v>
      </c>
      <c r="K281">
        <v>91</v>
      </c>
      <c r="L281">
        <f>L95</f>
        <v>0</v>
      </c>
      <c r="M281">
        <v>91</v>
      </c>
      <c r="N281">
        <f>N95</f>
        <v>0</v>
      </c>
      <c r="Q281">
        <f>IF(Charts!$B$3="none",E1208,IF(K1208="",NA(),K1208))</f>
        <v>0</v>
      </c>
      <c r="R281">
        <f>IF(Charts!$B$3="none",F1208,IF(L1208="",NA(),L1208))</f>
        <v>0</v>
      </c>
      <c r="S281">
        <f>IF(Charts!$B$3="none",G1208,IF(M1208="",NA(),M1208))</f>
        <v>0</v>
      </c>
      <c r="T281">
        <f>IF(Charts!$B$3="none",H1208,IF(N1208="",NA(),N1208))</f>
        <v>0</v>
      </c>
    </row>
    <row r="282" spans="5:20">
      <c r="E282">
        <v>92</v>
      </c>
      <c r="F282">
        <f>F96</f>
        <v>0</v>
      </c>
      <c r="G282">
        <v>92</v>
      </c>
      <c r="H282">
        <f>H96</f>
        <v>0</v>
      </c>
      <c r="K282">
        <v>92</v>
      </c>
      <c r="L282">
        <f>L96</f>
        <v>0</v>
      </c>
      <c r="M282">
        <v>92</v>
      </c>
      <c r="N282">
        <f>N96</f>
        <v>0</v>
      </c>
      <c r="Q282">
        <f>IF(Charts!$B$3="none",E1209,IF(K1209="",NA(),K1209))</f>
        <v>0</v>
      </c>
      <c r="R282">
        <f>IF(Charts!$B$3="none",F1209,IF(L1209="",NA(),L1209))</f>
        <v>0</v>
      </c>
      <c r="S282">
        <f>IF(Charts!$B$3="none",G1209,IF(M1209="",NA(),M1209))</f>
        <v>0</v>
      </c>
      <c r="T282">
        <f>IF(Charts!$B$3="none",H1209,IF(N1209="",NA(),N1209))</f>
        <v>0</v>
      </c>
    </row>
    <row r="283" spans="5:20">
      <c r="E283">
        <v>93</v>
      </c>
      <c r="F283">
        <f>F97</f>
        <v>0</v>
      </c>
      <c r="G283">
        <v>93</v>
      </c>
      <c r="H283">
        <f>H97</f>
        <v>0</v>
      </c>
      <c r="K283">
        <v>93</v>
      </c>
      <c r="L283">
        <f>L97</f>
        <v>0</v>
      </c>
      <c r="M283">
        <v>93</v>
      </c>
      <c r="N283">
        <f>N97</f>
        <v>0</v>
      </c>
      <c r="Q283">
        <f>IF(Charts!$B$3="none",E1210,IF(K1210="",NA(),K1210))</f>
        <v>0</v>
      </c>
      <c r="R283">
        <f>IF(Charts!$B$3="none",F1210,IF(L1210="",NA(),L1210))</f>
        <v>0</v>
      </c>
      <c r="S283">
        <f>IF(Charts!$B$3="none",G1210,IF(M1210="",NA(),M1210))</f>
        <v>0</v>
      </c>
      <c r="T283">
        <f>IF(Charts!$B$3="none",H1210,IF(N1210="",NA(),N1210))</f>
        <v>0</v>
      </c>
    </row>
    <row r="284" spans="5:20">
      <c r="E284">
        <v>94</v>
      </c>
      <c r="F284">
        <f>F98</f>
        <v>0</v>
      </c>
      <c r="G284">
        <v>94</v>
      </c>
      <c r="H284">
        <f>H98</f>
        <v>0</v>
      </c>
      <c r="K284">
        <v>94</v>
      </c>
      <c r="L284">
        <f>L98</f>
        <v>0</v>
      </c>
      <c r="M284">
        <v>94</v>
      </c>
      <c r="N284">
        <f>N98</f>
        <v>0</v>
      </c>
      <c r="Q284">
        <f>IF(Charts!$B$3="none",E1211,IF(K1211="",NA(),K1211))</f>
        <v>0</v>
      </c>
      <c r="R284">
        <f>IF(Charts!$B$3="none",F1211,IF(L1211="",NA(),L1211))</f>
        <v>0</v>
      </c>
      <c r="S284">
        <f>IF(Charts!$B$3="none",G1211,IF(M1211="",NA(),M1211))</f>
        <v>0</v>
      </c>
      <c r="T284">
        <f>IF(Charts!$B$3="none",H1211,IF(N1211="",NA(),N1211))</f>
        <v>0</v>
      </c>
    </row>
    <row r="285" spans="5:20">
      <c r="E285">
        <v>95</v>
      </c>
      <c r="F285">
        <f>F99</f>
        <v>0</v>
      </c>
      <c r="G285">
        <v>95</v>
      </c>
      <c r="H285">
        <f>H99</f>
        <v>0</v>
      </c>
      <c r="K285">
        <v>95</v>
      </c>
      <c r="L285">
        <f>L99</f>
        <v>0</v>
      </c>
      <c r="M285">
        <v>95</v>
      </c>
      <c r="N285">
        <f>N99</f>
        <v>0</v>
      </c>
      <c r="Q285">
        <f>IF(Charts!$B$3="none",E1212,IF(K1212="",NA(),K1212))</f>
        <v>0</v>
      </c>
      <c r="R285">
        <f>IF(Charts!$B$3="none",F1212,IF(L1212="",NA(),L1212))</f>
        <v>0</v>
      </c>
      <c r="S285">
        <f>IF(Charts!$B$3="none",G1212,IF(M1212="",NA(),M1212))</f>
        <v>0</v>
      </c>
      <c r="T285">
        <f>IF(Charts!$B$3="none",H1212,IF(N1212="",NA(),N1212))</f>
        <v>0</v>
      </c>
    </row>
    <row r="286" spans="5:20">
      <c r="E286">
        <v>96</v>
      </c>
      <c r="F286">
        <f>F100</f>
        <v>0</v>
      </c>
      <c r="G286">
        <v>96</v>
      </c>
      <c r="H286">
        <f>H100</f>
        <v>0</v>
      </c>
      <c r="K286">
        <v>96</v>
      </c>
      <c r="L286">
        <f>L100</f>
        <v>0</v>
      </c>
      <c r="M286">
        <v>96</v>
      </c>
      <c r="N286">
        <f>N100</f>
        <v>0</v>
      </c>
      <c r="Q286">
        <f>IF(Charts!$B$3="none",E1213,IF(K1213="",NA(),K1213))</f>
        <v>0</v>
      </c>
      <c r="R286">
        <f>IF(Charts!$B$3="none",F1213,IF(L1213="",NA(),L1213))</f>
        <v>0</v>
      </c>
      <c r="S286">
        <f>IF(Charts!$B$3="none",G1213,IF(M1213="",NA(),M1213))</f>
        <v>0</v>
      </c>
      <c r="T286">
        <f>IF(Charts!$B$3="none",H1213,IF(N1213="",NA(),N1213))</f>
        <v>0</v>
      </c>
    </row>
    <row r="287" spans="5:20">
      <c r="E287">
        <v>97</v>
      </c>
      <c r="F287">
        <f>F101</f>
        <v>0</v>
      </c>
      <c r="G287">
        <v>97</v>
      </c>
      <c r="H287">
        <f>H101</f>
        <v>0</v>
      </c>
      <c r="K287">
        <v>97</v>
      </c>
      <c r="L287">
        <f>L101</f>
        <v>0</v>
      </c>
      <c r="M287">
        <v>97</v>
      </c>
      <c r="N287">
        <f>N101</f>
        <v>0</v>
      </c>
      <c r="Q287">
        <f>IF(Charts!$B$3="none",E1214,IF(K1214="",NA(),K1214))</f>
        <v>0</v>
      </c>
      <c r="R287">
        <f>IF(Charts!$B$3="none",F1214,IF(L1214="",NA(),L1214))</f>
        <v>0</v>
      </c>
      <c r="S287">
        <f>IF(Charts!$B$3="none",G1214,IF(M1214="",NA(),M1214))</f>
        <v>0</v>
      </c>
      <c r="T287">
        <f>IF(Charts!$B$3="none",H1214,IF(N1214="",NA(),N1214))</f>
        <v>0</v>
      </c>
    </row>
    <row r="288" spans="5:20">
      <c r="E288">
        <v>98</v>
      </c>
      <c r="F288">
        <f>F102</f>
        <v>0</v>
      </c>
      <c r="G288">
        <v>98</v>
      </c>
      <c r="H288">
        <f>H102</f>
        <v>0</v>
      </c>
      <c r="K288">
        <v>98</v>
      </c>
      <c r="L288">
        <f>L102</f>
        <v>0</v>
      </c>
      <c r="M288">
        <v>98</v>
      </c>
      <c r="N288">
        <f>N102</f>
        <v>0</v>
      </c>
      <c r="Q288">
        <f>IF(Charts!$B$3="none",E1215,IF(K1215="",NA(),K1215))</f>
        <v>0</v>
      </c>
      <c r="R288">
        <f>IF(Charts!$B$3="none",F1215,IF(L1215="",NA(),L1215))</f>
        <v>0</v>
      </c>
      <c r="S288">
        <f>IF(Charts!$B$3="none",G1215,IF(M1215="",NA(),M1215))</f>
        <v>0</v>
      </c>
      <c r="T288">
        <f>IF(Charts!$B$3="none",H1215,IF(N1215="",NA(),N1215))</f>
        <v>0</v>
      </c>
    </row>
    <row r="289" spans="5:20">
      <c r="E289">
        <v>99</v>
      </c>
      <c r="F289">
        <f>F103</f>
        <v>0</v>
      </c>
      <c r="G289">
        <v>99</v>
      </c>
      <c r="H289">
        <f>H103</f>
        <v>0</v>
      </c>
      <c r="K289">
        <v>99</v>
      </c>
      <c r="L289">
        <f>L103</f>
        <v>0</v>
      </c>
      <c r="M289">
        <v>99</v>
      </c>
      <c r="N289">
        <f>N103</f>
        <v>0</v>
      </c>
      <c r="Q289">
        <f>IF(Charts!$B$3="none",E1216,IF(K1216="",NA(),K1216))</f>
        <v>0</v>
      </c>
      <c r="R289">
        <f>IF(Charts!$B$3="none",F1216,IF(L1216="",NA(),L1216))</f>
        <v>0</v>
      </c>
      <c r="S289">
        <f>IF(Charts!$B$3="none",G1216,IF(M1216="",NA(),M1216))</f>
        <v>0</v>
      </c>
      <c r="T289">
        <f>IF(Charts!$B$3="none",H1216,IF(N1216="",NA(),N1216))</f>
        <v>0</v>
      </c>
    </row>
    <row r="290" spans="5:20">
      <c r="E290">
        <v>100</v>
      </c>
      <c r="F290">
        <f>F104</f>
        <v>0</v>
      </c>
      <c r="G290">
        <v>100</v>
      </c>
      <c r="H290">
        <f>H104</f>
        <v>0</v>
      </c>
      <c r="K290">
        <v>100</v>
      </c>
      <c r="L290">
        <f>L104</f>
        <v>0</v>
      </c>
      <c r="M290">
        <v>100</v>
      </c>
      <c r="N290">
        <f>N104</f>
        <v>0</v>
      </c>
      <c r="Q290">
        <f>IF(Charts!$B$3="none",E1217,IF(K1217="",NA(),K1217))</f>
        <v>0</v>
      </c>
      <c r="R290">
        <f>IF(Charts!$B$3="none",F1217,IF(L1217="",NA(),L1217))</f>
        <v>0</v>
      </c>
      <c r="S290">
        <f>IF(Charts!$B$3="none",G1217,IF(M1217="",NA(),M1217))</f>
        <v>0</v>
      </c>
      <c r="T290">
        <f>IF(Charts!$B$3="none",H1217,IF(N1217="",NA(),N1217))</f>
        <v>0</v>
      </c>
    </row>
    <row r="291" spans="5:20">
      <c r="E291">
        <v>101</v>
      </c>
      <c r="F291">
        <f>F105</f>
        <v>0</v>
      </c>
      <c r="G291">
        <v>101</v>
      </c>
      <c r="H291">
        <f>H105</f>
        <v>0</v>
      </c>
      <c r="K291">
        <v>101</v>
      </c>
      <c r="L291">
        <f>L105</f>
        <v>0</v>
      </c>
      <c r="M291">
        <v>101</v>
      </c>
      <c r="N291">
        <f>N105</f>
        <v>0</v>
      </c>
      <c r="Q291">
        <f>IF(Charts!$B$3="none",E1218,IF(K1218="",NA(),K1218))</f>
        <v>0</v>
      </c>
      <c r="R291">
        <f>IF(Charts!$B$3="none",F1218,IF(L1218="",NA(),L1218))</f>
        <v>0</v>
      </c>
      <c r="S291">
        <f>IF(Charts!$B$3="none",G1218,IF(M1218="",NA(),M1218))</f>
        <v>0</v>
      </c>
      <c r="T291">
        <f>IF(Charts!$B$3="none",H1218,IF(N1218="",NA(),N1218))</f>
        <v>0</v>
      </c>
    </row>
    <row r="292" spans="5:20">
      <c r="E292">
        <v>102</v>
      </c>
      <c r="F292">
        <f>F106</f>
        <v>0</v>
      </c>
      <c r="G292">
        <v>102</v>
      </c>
      <c r="H292">
        <f>H106</f>
        <v>0</v>
      </c>
      <c r="K292">
        <v>102</v>
      </c>
      <c r="L292">
        <f>L106</f>
        <v>0</v>
      </c>
      <c r="M292">
        <v>102</v>
      </c>
      <c r="N292">
        <f>N106</f>
        <v>0</v>
      </c>
      <c r="Q292">
        <f>IF(Charts!$B$3="none",E1219,IF(K1219="",NA(),K1219))</f>
        <v>0</v>
      </c>
      <c r="R292">
        <f>IF(Charts!$B$3="none",F1219,IF(L1219="",NA(),L1219))</f>
        <v>0</v>
      </c>
      <c r="S292">
        <f>IF(Charts!$B$3="none",G1219,IF(M1219="",NA(),M1219))</f>
        <v>0</v>
      </c>
      <c r="T292">
        <f>IF(Charts!$B$3="none",H1219,IF(N1219="",NA(),N1219))</f>
        <v>0</v>
      </c>
    </row>
    <row r="293" spans="5:20">
      <c r="E293">
        <v>103</v>
      </c>
      <c r="F293">
        <f>F107</f>
        <v>0</v>
      </c>
      <c r="G293">
        <v>103</v>
      </c>
      <c r="H293">
        <f>H107</f>
        <v>0</v>
      </c>
      <c r="K293">
        <v>103</v>
      </c>
      <c r="L293">
        <f>L107</f>
        <v>0</v>
      </c>
      <c r="M293">
        <v>103</v>
      </c>
      <c r="N293">
        <f>N107</f>
        <v>0</v>
      </c>
      <c r="Q293">
        <f>IF(Charts!$B$3="none",E1220,IF(K1220="",NA(),K1220))</f>
        <v>0</v>
      </c>
      <c r="R293">
        <f>IF(Charts!$B$3="none",F1220,IF(L1220="",NA(),L1220))</f>
        <v>0</v>
      </c>
      <c r="S293">
        <f>IF(Charts!$B$3="none",G1220,IF(M1220="",NA(),M1220))</f>
        <v>0</v>
      </c>
      <c r="T293">
        <f>IF(Charts!$B$3="none",H1220,IF(N1220="",NA(),N1220))</f>
        <v>0</v>
      </c>
    </row>
    <row r="294" spans="5:20">
      <c r="E294">
        <v>104</v>
      </c>
      <c r="F294">
        <f>F108</f>
        <v>0</v>
      </c>
      <c r="G294">
        <v>104</v>
      </c>
      <c r="H294">
        <f>H108</f>
        <v>0</v>
      </c>
      <c r="K294">
        <v>104</v>
      </c>
      <c r="L294">
        <f>L108</f>
        <v>0</v>
      </c>
      <c r="M294">
        <v>104</v>
      </c>
      <c r="N294">
        <f>N108</f>
        <v>0</v>
      </c>
      <c r="Q294">
        <f>IF(Charts!$B$3="none",E1221,IF(K1221="",NA(),K1221))</f>
        <v>0</v>
      </c>
      <c r="R294">
        <f>IF(Charts!$B$3="none",F1221,IF(L1221="",NA(),L1221))</f>
        <v>0</v>
      </c>
      <c r="S294">
        <f>IF(Charts!$B$3="none",G1221,IF(M1221="",NA(),M1221))</f>
        <v>0</v>
      </c>
      <c r="T294">
        <f>IF(Charts!$B$3="none",H1221,IF(N1221="",NA(),N1221))</f>
        <v>0</v>
      </c>
    </row>
    <row r="295" spans="5:20">
      <c r="E295">
        <v>105</v>
      </c>
      <c r="F295">
        <f>F109</f>
        <v>0</v>
      </c>
      <c r="G295">
        <v>105</v>
      </c>
      <c r="H295">
        <f>H109</f>
        <v>0</v>
      </c>
      <c r="K295">
        <v>105</v>
      </c>
      <c r="L295">
        <f>L109</f>
        <v>0</v>
      </c>
      <c r="M295">
        <v>105</v>
      </c>
      <c r="N295">
        <f>N109</f>
        <v>0</v>
      </c>
      <c r="Q295">
        <f>IF(Charts!$B$3="none",E1222,IF(K1222="",NA(),K1222))</f>
        <v>0</v>
      </c>
      <c r="R295">
        <f>IF(Charts!$B$3="none",F1222,IF(L1222="",NA(),L1222))</f>
        <v>0</v>
      </c>
      <c r="S295">
        <f>IF(Charts!$B$3="none",G1222,IF(M1222="",NA(),M1222))</f>
        <v>0</v>
      </c>
      <c r="T295">
        <f>IF(Charts!$B$3="none",H1222,IF(N1222="",NA(),N1222))</f>
        <v>0</v>
      </c>
    </row>
    <row r="296" spans="5:20">
      <c r="E296">
        <v>106</v>
      </c>
      <c r="F296">
        <f>F110</f>
        <v>0</v>
      </c>
      <c r="G296">
        <v>106</v>
      </c>
      <c r="H296">
        <f>H110</f>
        <v>0</v>
      </c>
      <c r="K296">
        <v>106</v>
      </c>
      <c r="L296">
        <f>L110</f>
        <v>0</v>
      </c>
      <c r="M296">
        <v>106</v>
      </c>
      <c r="N296">
        <f>N110</f>
        <v>0</v>
      </c>
      <c r="Q296">
        <f>IF(Charts!$B$3="none",E1223,IF(K1223="",NA(),K1223))</f>
        <v>0</v>
      </c>
      <c r="R296">
        <f>IF(Charts!$B$3="none",F1223,IF(L1223="",NA(),L1223))</f>
        <v>0</v>
      </c>
      <c r="S296">
        <f>IF(Charts!$B$3="none",G1223,IF(M1223="",NA(),M1223))</f>
        <v>0</v>
      </c>
      <c r="T296">
        <f>IF(Charts!$B$3="none",H1223,IF(N1223="",NA(),N1223))</f>
        <v>0</v>
      </c>
    </row>
    <row r="297" spans="5:20">
      <c r="E297">
        <v>107</v>
      </c>
      <c r="F297">
        <f>F111</f>
        <v>0</v>
      </c>
      <c r="G297">
        <v>107</v>
      </c>
      <c r="H297">
        <f>H111</f>
        <v>0</v>
      </c>
      <c r="K297">
        <v>107</v>
      </c>
      <c r="L297">
        <f>L111</f>
        <v>0</v>
      </c>
      <c r="M297">
        <v>107</v>
      </c>
      <c r="N297">
        <f>N111</f>
        <v>0</v>
      </c>
      <c r="Q297">
        <f>IF(Charts!$B$3="none",E1224,IF(K1224="",NA(),K1224))</f>
        <v>0</v>
      </c>
      <c r="R297">
        <f>IF(Charts!$B$3="none",F1224,IF(L1224="",NA(),L1224))</f>
        <v>0</v>
      </c>
      <c r="S297">
        <f>IF(Charts!$B$3="none",G1224,IF(M1224="",NA(),M1224))</f>
        <v>0</v>
      </c>
      <c r="T297">
        <f>IF(Charts!$B$3="none",H1224,IF(N1224="",NA(),N1224))</f>
        <v>0</v>
      </c>
    </row>
    <row r="298" spans="5:20">
      <c r="E298">
        <v>108</v>
      </c>
      <c r="F298">
        <f>F112</f>
        <v>0</v>
      </c>
      <c r="G298">
        <v>108</v>
      </c>
      <c r="H298">
        <f>H112</f>
        <v>0</v>
      </c>
      <c r="K298">
        <v>108</v>
      </c>
      <c r="L298">
        <f>L112</f>
        <v>0</v>
      </c>
      <c r="M298">
        <v>108</v>
      </c>
      <c r="N298">
        <f>N112</f>
        <v>0</v>
      </c>
      <c r="Q298">
        <f>IF(Charts!$B$3="none",E1225,IF(K1225="",NA(),K1225))</f>
        <v>0</v>
      </c>
      <c r="R298">
        <f>IF(Charts!$B$3="none",F1225,IF(L1225="",NA(),L1225))</f>
        <v>0</v>
      </c>
      <c r="S298">
        <f>IF(Charts!$B$3="none",G1225,IF(M1225="",NA(),M1225))</f>
        <v>0</v>
      </c>
      <c r="T298">
        <f>IF(Charts!$B$3="none",H1225,IF(N1225="",NA(),N1225))</f>
        <v>0</v>
      </c>
    </row>
    <row r="299" spans="5:20">
      <c r="E299">
        <v>109</v>
      </c>
      <c r="F299">
        <f>F113</f>
        <v>0</v>
      </c>
      <c r="G299">
        <v>109</v>
      </c>
      <c r="H299">
        <f>H113</f>
        <v>0</v>
      </c>
      <c r="K299">
        <v>109</v>
      </c>
      <c r="L299">
        <f>L113</f>
        <v>0</v>
      </c>
      <c r="M299">
        <v>109</v>
      </c>
      <c r="N299">
        <f>N113</f>
        <v>0</v>
      </c>
      <c r="Q299">
        <f>IF(Charts!$B$3="none",E1226,IF(K1226="",NA(),K1226))</f>
        <v>0</v>
      </c>
      <c r="R299">
        <f>IF(Charts!$B$3="none",F1226,IF(L1226="",NA(),L1226))</f>
        <v>0</v>
      </c>
      <c r="S299">
        <f>IF(Charts!$B$3="none",G1226,IF(M1226="",NA(),M1226))</f>
        <v>0</v>
      </c>
      <c r="T299">
        <f>IF(Charts!$B$3="none",H1226,IF(N1226="",NA(),N1226))</f>
        <v>0</v>
      </c>
    </row>
    <row r="300" spans="5:20">
      <c r="E300">
        <v>110</v>
      </c>
      <c r="F300">
        <f>F114</f>
        <v>0</v>
      </c>
      <c r="G300">
        <v>110</v>
      </c>
      <c r="H300">
        <f>H114</f>
        <v>0</v>
      </c>
      <c r="K300">
        <v>110</v>
      </c>
      <c r="L300">
        <f>L114</f>
        <v>0</v>
      </c>
      <c r="M300">
        <v>110</v>
      </c>
      <c r="N300">
        <f>N114</f>
        <v>0</v>
      </c>
      <c r="Q300">
        <f>IF(Charts!$B$3="none",E1227,IF(K1227="",NA(),K1227))</f>
        <v>0</v>
      </c>
      <c r="R300">
        <f>IF(Charts!$B$3="none",F1227,IF(L1227="",NA(),L1227))</f>
        <v>0</v>
      </c>
      <c r="S300">
        <f>IF(Charts!$B$3="none",G1227,IF(M1227="",NA(),M1227))</f>
        <v>0</v>
      </c>
      <c r="T300">
        <f>IF(Charts!$B$3="none",H1227,IF(N1227="",NA(),N1227))</f>
        <v>0</v>
      </c>
    </row>
    <row r="301" spans="5:20">
      <c r="E301">
        <v>111</v>
      </c>
      <c r="F301">
        <f>F115</f>
        <v>0</v>
      </c>
      <c r="G301">
        <v>111</v>
      </c>
      <c r="H301">
        <f>H115</f>
        <v>0</v>
      </c>
      <c r="K301">
        <v>111</v>
      </c>
      <c r="L301">
        <f>L115</f>
        <v>0</v>
      </c>
      <c r="M301">
        <v>111</v>
      </c>
      <c r="N301">
        <f>N115</f>
        <v>0</v>
      </c>
      <c r="Q301">
        <f>IF(Charts!$B$3="none",E1228,IF(K1228="",NA(),K1228))</f>
        <v>0</v>
      </c>
      <c r="R301">
        <f>IF(Charts!$B$3="none",F1228,IF(L1228="",NA(),L1228))</f>
        <v>0</v>
      </c>
      <c r="S301">
        <f>IF(Charts!$B$3="none",G1228,IF(M1228="",NA(),M1228))</f>
        <v>0</v>
      </c>
      <c r="T301">
        <f>IF(Charts!$B$3="none",H1228,IF(N1228="",NA(),N1228))</f>
        <v>0</v>
      </c>
    </row>
    <row r="302" spans="5:20">
      <c r="E302">
        <v>112</v>
      </c>
      <c r="F302">
        <f>F116</f>
        <v>0</v>
      </c>
      <c r="G302">
        <v>112</v>
      </c>
      <c r="H302">
        <f>H116</f>
        <v>0</v>
      </c>
      <c r="K302">
        <v>112</v>
      </c>
      <c r="L302">
        <f>L116</f>
        <v>0</v>
      </c>
      <c r="M302">
        <v>112</v>
      </c>
      <c r="N302">
        <f>N116</f>
        <v>0</v>
      </c>
      <c r="Q302">
        <f>IF(Charts!$B$3="none",E1229,IF(K1229="",NA(),K1229))</f>
        <v>0</v>
      </c>
      <c r="R302">
        <f>IF(Charts!$B$3="none",F1229,IF(L1229="",NA(),L1229))</f>
        <v>0</v>
      </c>
      <c r="S302">
        <f>IF(Charts!$B$3="none",G1229,IF(M1229="",NA(),M1229))</f>
        <v>0</v>
      </c>
      <c r="T302">
        <f>IF(Charts!$B$3="none",H1229,IF(N1229="",NA(),N1229))</f>
        <v>0</v>
      </c>
    </row>
    <row r="303" spans="5:20">
      <c r="E303">
        <v>113</v>
      </c>
      <c r="F303">
        <f>F117</f>
        <v>0</v>
      </c>
      <c r="G303">
        <v>113</v>
      </c>
      <c r="H303">
        <f>H117</f>
        <v>0</v>
      </c>
      <c r="K303">
        <v>113</v>
      </c>
      <c r="L303">
        <f>L117</f>
        <v>0</v>
      </c>
      <c r="M303">
        <v>113</v>
      </c>
      <c r="N303">
        <f>N117</f>
        <v>0</v>
      </c>
      <c r="Q303">
        <f>IF(Charts!$B$3="none",E1230,IF(K1230="",NA(),K1230))</f>
        <v>0</v>
      </c>
      <c r="R303">
        <f>IF(Charts!$B$3="none",F1230,IF(L1230="",NA(),L1230))</f>
        <v>0</v>
      </c>
      <c r="S303">
        <f>IF(Charts!$B$3="none",G1230,IF(M1230="",NA(),M1230))</f>
        <v>0</v>
      </c>
      <c r="T303">
        <f>IF(Charts!$B$3="none",H1230,IF(N1230="",NA(),N1230))</f>
        <v>0</v>
      </c>
    </row>
    <row r="304" spans="5:20">
      <c r="E304">
        <v>114</v>
      </c>
      <c r="F304">
        <f>F118</f>
        <v>0</v>
      </c>
      <c r="G304">
        <v>114</v>
      </c>
      <c r="H304">
        <f>H118</f>
        <v>0</v>
      </c>
      <c r="K304">
        <v>114</v>
      </c>
      <c r="L304">
        <f>L118</f>
        <v>0</v>
      </c>
      <c r="M304">
        <v>114</v>
      </c>
      <c r="N304">
        <f>N118</f>
        <v>0</v>
      </c>
      <c r="Q304">
        <f>IF(Charts!$B$3="none",E1231,IF(K1231="",NA(),K1231))</f>
        <v>0</v>
      </c>
      <c r="R304">
        <f>IF(Charts!$B$3="none",F1231,IF(L1231="",NA(),L1231))</f>
        <v>0</v>
      </c>
      <c r="S304">
        <f>IF(Charts!$B$3="none",G1231,IF(M1231="",NA(),M1231))</f>
        <v>0</v>
      </c>
      <c r="T304">
        <f>IF(Charts!$B$3="none",H1231,IF(N1231="",NA(),N1231))</f>
        <v>0</v>
      </c>
    </row>
    <row r="305" spans="5:20">
      <c r="E305">
        <v>115</v>
      </c>
      <c r="F305">
        <f>F119</f>
        <v>0</v>
      </c>
      <c r="G305">
        <v>115</v>
      </c>
      <c r="H305">
        <f>H119</f>
        <v>0</v>
      </c>
      <c r="K305">
        <v>115</v>
      </c>
      <c r="L305">
        <f>L119</f>
        <v>0</v>
      </c>
      <c r="M305">
        <v>115</v>
      </c>
      <c r="N305">
        <f>N119</f>
        <v>0</v>
      </c>
      <c r="Q305">
        <f>IF(Charts!$B$3="none",E1232,IF(K1232="",NA(),K1232))</f>
        <v>0</v>
      </c>
      <c r="R305">
        <f>IF(Charts!$B$3="none",F1232,IF(L1232="",NA(),L1232))</f>
        <v>0</v>
      </c>
      <c r="S305">
        <f>IF(Charts!$B$3="none",G1232,IF(M1232="",NA(),M1232))</f>
        <v>0</v>
      </c>
      <c r="T305">
        <f>IF(Charts!$B$3="none",H1232,IF(N1232="",NA(),N1232))</f>
        <v>0</v>
      </c>
    </row>
    <row r="306" spans="5:20">
      <c r="E306">
        <v>116</v>
      </c>
      <c r="F306">
        <f>F120</f>
        <v>0</v>
      </c>
      <c r="G306">
        <v>116</v>
      </c>
      <c r="H306">
        <f>H120</f>
        <v>0</v>
      </c>
      <c r="K306">
        <v>116</v>
      </c>
      <c r="L306">
        <f>L120</f>
        <v>0</v>
      </c>
      <c r="M306">
        <v>116</v>
      </c>
      <c r="N306">
        <f>N120</f>
        <v>0</v>
      </c>
      <c r="Q306">
        <f>IF(Charts!$B$3="none",E1233,IF(K1233="",NA(),K1233))</f>
        <v>0</v>
      </c>
      <c r="R306">
        <f>IF(Charts!$B$3="none",F1233,IF(L1233="",NA(),L1233))</f>
        <v>0</v>
      </c>
      <c r="S306">
        <f>IF(Charts!$B$3="none",G1233,IF(M1233="",NA(),M1233))</f>
        <v>0</v>
      </c>
      <c r="T306">
        <f>IF(Charts!$B$3="none",H1233,IF(N1233="",NA(),N1233))</f>
        <v>0</v>
      </c>
    </row>
    <row r="307" spans="5:20">
      <c r="E307">
        <v>117</v>
      </c>
      <c r="F307">
        <f>F121</f>
        <v>0</v>
      </c>
      <c r="G307">
        <v>117</v>
      </c>
      <c r="H307">
        <f>H121</f>
        <v>0</v>
      </c>
      <c r="K307">
        <v>117</v>
      </c>
      <c r="L307">
        <f>L121</f>
        <v>0</v>
      </c>
      <c r="M307">
        <v>117</v>
      </c>
      <c r="N307">
        <f>N121</f>
        <v>0</v>
      </c>
      <c r="Q307">
        <f>IF(Charts!$B$3="none",E1234,IF(K1234="",NA(),K1234))</f>
        <v>0</v>
      </c>
      <c r="R307">
        <f>IF(Charts!$B$3="none",F1234,IF(L1234="",NA(),L1234))</f>
        <v>0</v>
      </c>
      <c r="S307">
        <f>IF(Charts!$B$3="none",G1234,IF(M1234="",NA(),M1234))</f>
        <v>0</v>
      </c>
      <c r="T307">
        <f>IF(Charts!$B$3="none",H1234,IF(N1234="",NA(),N1234))</f>
        <v>0</v>
      </c>
    </row>
    <row r="308" spans="5:20">
      <c r="E308">
        <v>118</v>
      </c>
      <c r="F308">
        <f>F122</f>
        <v>0</v>
      </c>
      <c r="G308">
        <v>118</v>
      </c>
      <c r="H308">
        <f>H122</f>
        <v>0</v>
      </c>
      <c r="K308">
        <v>118</v>
      </c>
      <c r="L308">
        <f>L122</f>
        <v>0</v>
      </c>
      <c r="M308">
        <v>118</v>
      </c>
      <c r="N308">
        <f>N122</f>
        <v>0</v>
      </c>
      <c r="Q308">
        <f>IF(Charts!$B$3="none",E1235,IF(K1235="",NA(),K1235))</f>
        <v>0</v>
      </c>
      <c r="R308">
        <f>IF(Charts!$B$3="none",F1235,IF(L1235="",NA(),L1235))</f>
        <v>0</v>
      </c>
      <c r="S308">
        <f>IF(Charts!$B$3="none",G1235,IF(M1235="",NA(),M1235))</f>
        <v>0</v>
      </c>
      <c r="T308">
        <f>IF(Charts!$B$3="none",H1235,IF(N1235="",NA(),N1235))</f>
        <v>0</v>
      </c>
    </row>
    <row r="309" spans="5:20">
      <c r="E309">
        <v>119</v>
      </c>
      <c r="F309">
        <f>F123</f>
        <v>0</v>
      </c>
      <c r="G309">
        <v>119</v>
      </c>
      <c r="H309">
        <f>H123</f>
        <v>0</v>
      </c>
      <c r="K309">
        <v>119</v>
      </c>
      <c r="L309">
        <f>L123</f>
        <v>0</v>
      </c>
      <c r="M309">
        <v>119</v>
      </c>
      <c r="N309">
        <f>N123</f>
        <v>0</v>
      </c>
      <c r="Q309">
        <f>IF(Charts!$B$3="none",E1236,IF(K1236="",NA(),K1236))</f>
        <v>0</v>
      </c>
      <c r="R309">
        <f>IF(Charts!$B$3="none",F1236,IF(L1236="",NA(),L1236))</f>
        <v>0</v>
      </c>
      <c r="S309">
        <f>IF(Charts!$B$3="none",G1236,IF(M1236="",NA(),M1236))</f>
        <v>0</v>
      </c>
      <c r="T309">
        <f>IF(Charts!$B$3="none",H1236,IF(N1236="",NA(),N1236))</f>
        <v>0</v>
      </c>
    </row>
    <row r="310" spans="5:20">
      <c r="E310">
        <v>120</v>
      </c>
      <c r="F310">
        <f>F124</f>
        <v>0</v>
      </c>
      <c r="G310">
        <v>120</v>
      </c>
      <c r="H310">
        <f>H124</f>
        <v>0</v>
      </c>
      <c r="K310">
        <v>120</v>
      </c>
      <c r="L310">
        <f>L124</f>
        <v>0</v>
      </c>
      <c r="M310">
        <v>120</v>
      </c>
      <c r="N310">
        <f>N124</f>
        <v>0</v>
      </c>
      <c r="Q310">
        <f>IF(Charts!$B$3="none",E1237,IF(K1237="",NA(),K1237))</f>
        <v>0</v>
      </c>
      <c r="R310">
        <f>IF(Charts!$B$3="none",F1237,IF(L1237="",NA(),L1237))</f>
        <v>0</v>
      </c>
      <c r="S310">
        <f>IF(Charts!$B$3="none",G1237,IF(M1237="",NA(),M1237))</f>
        <v>0</v>
      </c>
      <c r="T310">
        <f>IF(Charts!$B$3="none",H1237,IF(N1237="",NA(),N1237))</f>
        <v>0</v>
      </c>
    </row>
    <row r="311" spans="5:20">
      <c r="E311">
        <v>121</v>
      </c>
      <c r="F311">
        <f>F125</f>
        <v>0</v>
      </c>
      <c r="G311">
        <v>121</v>
      </c>
      <c r="H311">
        <f>H125</f>
        <v>0</v>
      </c>
      <c r="K311">
        <v>121</v>
      </c>
      <c r="L311">
        <f>L125</f>
        <v>0</v>
      </c>
      <c r="M311">
        <v>121</v>
      </c>
      <c r="N311">
        <f>N125</f>
        <v>0</v>
      </c>
      <c r="Q311">
        <f>IF(Charts!$B$3="none",E1238,IF(K1238="",NA(),K1238))</f>
        <v>0</v>
      </c>
      <c r="R311">
        <f>IF(Charts!$B$3="none",F1238,IF(L1238="",NA(),L1238))</f>
        <v>0</v>
      </c>
      <c r="S311">
        <f>IF(Charts!$B$3="none",G1238,IF(M1238="",NA(),M1238))</f>
        <v>0</v>
      </c>
      <c r="T311">
        <f>IF(Charts!$B$3="none",H1238,IF(N1238="",NA(),N1238))</f>
        <v>0</v>
      </c>
    </row>
    <row r="312" spans="5:20">
      <c r="E312">
        <v>122</v>
      </c>
      <c r="F312">
        <f>F126</f>
        <v>0</v>
      </c>
      <c r="G312">
        <v>122</v>
      </c>
      <c r="H312">
        <f>H126</f>
        <v>0</v>
      </c>
      <c r="K312">
        <v>122</v>
      </c>
      <c r="L312">
        <f>L126</f>
        <v>0</v>
      </c>
      <c r="M312">
        <v>122</v>
      </c>
      <c r="N312">
        <f>N126</f>
        <v>0</v>
      </c>
      <c r="Q312">
        <f>IF(Charts!$B$3="none",E1239,IF(K1239="",NA(),K1239))</f>
        <v>0</v>
      </c>
      <c r="R312">
        <f>IF(Charts!$B$3="none",F1239,IF(L1239="",NA(),L1239))</f>
        <v>0</v>
      </c>
      <c r="S312">
        <f>IF(Charts!$B$3="none",G1239,IF(M1239="",NA(),M1239))</f>
        <v>0</v>
      </c>
      <c r="T312">
        <f>IF(Charts!$B$3="none",H1239,IF(N1239="",NA(),N1239))</f>
        <v>0</v>
      </c>
    </row>
    <row r="313" spans="5:20">
      <c r="E313">
        <v>123</v>
      </c>
      <c r="F313">
        <f>F127</f>
        <v>0</v>
      </c>
      <c r="G313">
        <v>123</v>
      </c>
      <c r="H313">
        <f>H127</f>
        <v>0</v>
      </c>
      <c r="K313">
        <v>123</v>
      </c>
      <c r="L313">
        <f>L127</f>
        <v>0</v>
      </c>
      <c r="M313">
        <v>123</v>
      </c>
      <c r="N313">
        <f>N127</f>
        <v>0</v>
      </c>
      <c r="Q313">
        <f>IF(Charts!$B$3="none",E1240,IF(K1240="",NA(),K1240))</f>
        <v>0</v>
      </c>
      <c r="R313">
        <f>IF(Charts!$B$3="none",F1240,IF(L1240="",NA(),L1240))</f>
        <v>0</v>
      </c>
      <c r="S313">
        <f>IF(Charts!$B$3="none",G1240,IF(M1240="",NA(),M1240))</f>
        <v>0</v>
      </c>
      <c r="T313">
        <f>IF(Charts!$B$3="none",H1240,IF(N1240="",NA(),N1240))</f>
        <v>0</v>
      </c>
    </row>
    <row r="314" spans="5:20">
      <c r="E314">
        <v>124</v>
      </c>
      <c r="F314">
        <f>F128</f>
        <v>0</v>
      </c>
      <c r="G314">
        <v>124</v>
      </c>
      <c r="H314">
        <f>H128</f>
        <v>0</v>
      </c>
      <c r="K314">
        <v>124</v>
      </c>
      <c r="L314">
        <f>L128</f>
        <v>0</v>
      </c>
      <c r="M314">
        <v>124</v>
      </c>
      <c r="N314">
        <f>N128</f>
        <v>0</v>
      </c>
      <c r="Q314">
        <f>IF(Charts!$B$3="none",E1241,IF(K1241="",NA(),K1241))</f>
        <v>0</v>
      </c>
      <c r="R314">
        <f>IF(Charts!$B$3="none",F1241,IF(L1241="",NA(),L1241))</f>
        <v>0</v>
      </c>
      <c r="S314">
        <f>IF(Charts!$B$3="none",G1241,IF(M1241="",NA(),M1241))</f>
        <v>0</v>
      </c>
      <c r="T314">
        <f>IF(Charts!$B$3="none",H1241,IF(N1241="",NA(),N1241))</f>
        <v>0</v>
      </c>
    </row>
    <row r="315" spans="5:20">
      <c r="E315">
        <v>125</v>
      </c>
      <c r="F315">
        <f>F129</f>
        <v>0</v>
      </c>
      <c r="G315">
        <v>125</v>
      </c>
      <c r="H315">
        <f>H129</f>
        <v>0</v>
      </c>
      <c r="K315">
        <v>125</v>
      </c>
      <c r="L315">
        <f>L129</f>
        <v>0</v>
      </c>
      <c r="M315">
        <v>125</v>
      </c>
      <c r="N315">
        <f>N129</f>
        <v>0</v>
      </c>
      <c r="Q315">
        <f>IF(Charts!$B$3="none",E1242,IF(K1242="",NA(),K1242))</f>
        <v>0</v>
      </c>
      <c r="R315">
        <f>IF(Charts!$B$3="none",F1242,IF(L1242="",NA(),L1242))</f>
        <v>0</v>
      </c>
      <c r="S315">
        <f>IF(Charts!$B$3="none",G1242,IF(M1242="",NA(),M1242))</f>
        <v>0</v>
      </c>
      <c r="T315">
        <f>IF(Charts!$B$3="none",H1242,IF(N1242="",NA(),N1242))</f>
        <v>0</v>
      </c>
    </row>
    <row r="316" spans="5:20">
      <c r="E316">
        <v>126</v>
      </c>
      <c r="F316">
        <f>F130</f>
        <v>0</v>
      </c>
      <c r="G316">
        <v>126</v>
      </c>
      <c r="H316">
        <f>H130</f>
        <v>0</v>
      </c>
      <c r="K316">
        <v>126</v>
      </c>
      <c r="L316">
        <f>L130</f>
        <v>0</v>
      </c>
      <c r="M316">
        <v>126</v>
      </c>
      <c r="N316">
        <f>N130</f>
        <v>0</v>
      </c>
      <c r="Q316">
        <f>IF(Charts!$B$3="none",E1243,IF(K1243="",NA(),K1243))</f>
        <v>0</v>
      </c>
      <c r="R316">
        <f>IF(Charts!$B$3="none",F1243,IF(L1243="",NA(),L1243))</f>
        <v>0</v>
      </c>
      <c r="S316">
        <f>IF(Charts!$B$3="none",G1243,IF(M1243="",NA(),M1243))</f>
        <v>0</v>
      </c>
      <c r="T316">
        <f>IF(Charts!$B$3="none",H1243,IF(N1243="",NA(),N1243))</f>
        <v>0</v>
      </c>
    </row>
    <row r="317" spans="5:20">
      <c r="E317">
        <v>127</v>
      </c>
      <c r="F317">
        <f>F131</f>
        <v>0</v>
      </c>
      <c r="G317">
        <v>127</v>
      </c>
      <c r="H317">
        <f>H131</f>
        <v>0</v>
      </c>
      <c r="K317">
        <v>127</v>
      </c>
      <c r="L317">
        <f>L131</f>
        <v>0</v>
      </c>
      <c r="M317">
        <v>127</v>
      </c>
      <c r="N317">
        <f>N131</f>
        <v>0</v>
      </c>
      <c r="Q317">
        <f>IF(Charts!$B$3="none",E1244,IF(K1244="",NA(),K1244))</f>
        <v>0</v>
      </c>
      <c r="R317">
        <f>IF(Charts!$B$3="none",F1244,IF(L1244="",NA(),L1244))</f>
        <v>0</v>
      </c>
      <c r="S317">
        <f>IF(Charts!$B$3="none",G1244,IF(M1244="",NA(),M1244))</f>
        <v>0</v>
      </c>
      <c r="T317">
        <f>IF(Charts!$B$3="none",H1244,IF(N1244="",NA(),N1244))</f>
        <v>0</v>
      </c>
    </row>
    <row r="318" spans="5:20">
      <c r="E318">
        <v>128</v>
      </c>
      <c r="F318">
        <f>F132</f>
        <v>0</v>
      </c>
      <c r="G318">
        <v>128</v>
      </c>
      <c r="H318">
        <f>H132</f>
        <v>0</v>
      </c>
      <c r="K318">
        <v>128</v>
      </c>
      <c r="L318">
        <f>L132</f>
        <v>0</v>
      </c>
      <c r="M318">
        <v>128</v>
      </c>
      <c r="N318">
        <f>N132</f>
        <v>0</v>
      </c>
      <c r="Q318">
        <f>IF(Charts!$B$3="none",E1245,IF(K1245="",NA(),K1245))</f>
        <v>0</v>
      </c>
      <c r="R318">
        <f>IF(Charts!$B$3="none",F1245,IF(L1245="",NA(),L1245))</f>
        <v>0</v>
      </c>
      <c r="S318">
        <f>IF(Charts!$B$3="none",G1245,IF(M1245="",NA(),M1245))</f>
        <v>0</v>
      </c>
      <c r="T318">
        <f>IF(Charts!$B$3="none",H1245,IF(N1245="",NA(),N1245))</f>
        <v>0</v>
      </c>
    </row>
    <row r="319" spans="5:20">
      <c r="E319">
        <v>129</v>
      </c>
      <c r="F319">
        <f>F133</f>
        <v>0</v>
      </c>
      <c r="G319">
        <v>129</v>
      </c>
      <c r="H319">
        <f>H133</f>
        <v>0</v>
      </c>
      <c r="K319">
        <v>129</v>
      </c>
      <c r="L319">
        <f>L133</f>
        <v>0</v>
      </c>
      <c r="M319">
        <v>129</v>
      </c>
      <c r="N319">
        <f>N133</f>
        <v>0</v>
      </c>
      <c r="Q319">
        <f>IF(Charts!$B$3="none",E1246,IF(K1246="",NA(),K1246))</f>
        <v>0</v>
      </c>
      <c r="R319">
        <f>IF(Charts!$B$3="none",F1246,IF(L1246="",NA(),L1246))</f>
        <v>0</v>
      </c>
      <c r="S319">
        <f>IF(Charts!$B$3="none",G1246,IF(M1246="",NA(),M1246))</f>
        <v>0</v>
      </c>
      <c r="T319">
        <f>IF(Charts!$B$3="none",H1246,IF(N1246="",NA(),N1246))</f>
        <v>0</v>
      </c>
    </row>
    <row r="320" spans="5:20">
      <c r="E320">
        <v>130</v>
      </c>
      <c r="F320">
        <f>F134</f>
        <v>0</v>
      </c>
      <c r="G320">
        <v>130</v>
      </c>
      <c r="H320">
        <f>H134</f>
        <v>0</v>
      </c>
      <c r="K320">
        <v>130</v>
      </c>
      <c r="L320">
        <f>L134</f>
        <v>0</v>
      </c>
      <c r="M320">
        <v>130</v>
      </c>
      <c r="N320">
        <f>N134</f>
        <v>0</v>
      </c>
      <c r="Q320">
        <f>IF(Charts!$B$3="none",E1247,IF(K1247="",NA(),K1247))</f>
        <v>0</v>
      </c>
      <c r="R320">
        <f>IF(Charts!$B$3="none",F1247,IF(L1247="",NA(),L1247))</f>
        <v>0</v>
      </c>
      <c r="S320">
        <f>IF(Charts!$B$3="none",G1247,IF(M1247="",NA(),M1247))</f>
        <v>0</v>
      </c>
      <c r="T320">
        <f>IF(Charts!$B$3="none",H1247,IF(N1247="",NA(),N1247))</f>
        <v>0</v>
      </c>
    </row>
    <row r="321" spans="5:20">
      <c r="E321">
        <v>131</v>
      </c>
      <c r="F321">
        <f>F135</f>
        <v>0</v>
      </c>
      <c r="G321">
        <v>131</v>
      </c>
      <c r="H321">
        <f>H135</f>
        <v>0</v>
      </c>
      <c r="K321">
        <v>131</v>
      </c>
      <c r="L321">
        <f>L135</f>
        <v>0</v>
      </c>
      <c r="M321">
        <v>131</v>
      </c>
      <c r="N321">
        <f>N135</f>
        <v>0</v>
      </c>
      <c r="Q321">
        <f>IF(Charts!$B$3="none",E1248,IF(K1248="",NA(),K1248))</f>
        <v>0</v>
      </c>
      <c r="R321">
        <f>IF(Charts!$B$3="none",F1248,IF(L1248="",NA(),L1248))</f>
        <v>0</v>
      </c>
      <c r="S321">
        <f>IF(Charts!$B$3="none",G1248,IF(M1248="",NA(),M1248))</f>
        <v>0</v>
      </c>
      <c r="T321">
        <f>IF(Charts!$B$3="none",H1248,IF(N1248="",NA(),N1248))</f>
        <v>0</v>
      </c>
    </row>
    <row r="322" spans="5:20">
      <c r="E322">
        <v>132</v>
      </c>
      <c r="F322">
        <f>F136</f>
        <v>0</v>
      </c>
      <c r="G322">
        <v>132</v>
      </c>
      <c r="H322">
        <f>H136</f>
        <v>0</v>
      </c>
      <c r="K322">
        <v>132</v>
      </c>
      <c r="L322">
        <f>L136</f>
        <v>0</v>
      </c>
      <c r="M322">
        <v>132</v>
      </c>
      <c r="N322">
        <f>N136</f>
        <v>0</v>
      </c>
      <c r="Q322">
        <f>IF(Charts!$B$3="none",E1249,IF(K1249="",NA(),K1249))</f>
        <v>0</v>
      </c>
      <c r="R322">
        <f>IF(Charts!$B$3="none",F1249,IF(L1249="",NA(),L1249))</f>
        <v>0</v>
      </c>
      <c r="S322">
        <f>IF(Charts!$B$3="none",G1249,IF(M1249="",NA(),M1249))</f>
        <v>0</v>
      </c>
      <c r="T322">
        <f>IF(Charts!$B$3="none",H1249,IF(N1249="",NA(),N1249))</f>
        <v>0</v>
      </c>
    </row>
    <row r="323" spans="5:20">
      <c r="E323">
        <v>133</v>
      </c>
      <c r="F323">
        <f>F137</f>
        <v>0</v>
      </c>
      <c r="G323">
        <v>133</v>
      </c>
      <c r="H323">
        <f>H137</f>
        <v>0</v>
      </c>
      <c r="K323">
        <v>133</v>
      </c>
      <c r="L323">
        <f>L137</f>
        <v>0</v>
      </c>
      <c r="M323">
        <v>133</v>
      </c>
      <c r="N323">
        <f>N137</f>
        <v>0</v>
      </c>
      <c r="Q323">
        <f>IF(Charts!$B$3="none",E1250,IF(K1250="",NA(),K1250))</f>
        <v>0</v>
      </c>
      <c r="R323">
        <f>IF(Charts!$B$3="none",F1250,IF(L1250="",NA(),L1250))</f>
        <v>0</v>
      </c>
      <c r="S323">
        <f>IF(Charts!$B$3="none",G1250,IF(M1250="",NA(),M1250))</f>
        <v>0</v>
      </c>
      <c r="T323">
        <f>IF(Charts!$B$3="none",H1250,IF(N1250="",NA(),N1250))</f>
        <v>0</v>
      </c>
    </row>
    <row r="324" spans="5:20">
      <c r="E324">
        <v>134</v>
      </c>
      <c r="F324">
        <f>F138</f>
        <v>0</v>
      </c>
      <c r="G324">
        <v>134</v>
      </c>
      <c r="H324">
        <f>H138</f>
        <v>0</v>
      </c>
      <c r="K324">
        <v>134</v>
      </c>
      <c r="L324">
        <f>L138</f>
        <v>0</v>
      </c>
      <c r="M324">
        <v>134</v>
      </c>
      <c r="N324">
        <f>N138</f>
        <v>0</v>
      </c>
      <c r="Q324">
        <f>IF(Charts!$B$3="none",E1251,IF(K1251="",NA(),K1251))</f>
        <v>0</v>
      </c>
      <c r="R324">
        <f>IF(Charts!$B$3="none",F1251,IF(L1251="",NA(),L1251))</f>
        <v>0</v>
      </c>
      <c r="S324">
        <f>IF(Charts!$B$3="none",G1251,IF(M1251="",NA(),M1251))</f>
        <v>0</v>
      </c>
      <c r="T324">
        <f>IF(Charts!$B$3="none",H1251,IF(N1251="",NA(),N1251))</f>
        <v>0</v>
      </c>
    </row>
    <row r="325" spans="5:20">
      <c r="E325">
        <v>135</v>
      </c>
      <c r="F325">
        <f>F139</f>
        <v>0</v>
      </c>
      <c r="G325">
        <v>135</v>
      </c>
      <c r="H325">
        <f>H139</f>
        <v>0</v>
      </c>
      <c r="K325">
        <v>135</v>
      </c>
      <c r="L325">
        <f>L139</f>
        <v>0</v>
      </c>
      <c r="M325">
        <v>135</v>
      </c>
      <c r="N325">
        <f>N139</f>
        <v>0</v>
      </c>
      <c r="Q325">
        <f>IF(Charts!$B$3="none",E1252,IF(K1252="",NA(),K1252))</f>
        <v>0</v>
      </c>
      <c r="R325">
        <f>IF(Charts!$B$3="none",F1252,IF(L1252="",NA(),L1252))</f>
        <v>0</v>
      </c>
      <c r="S325">
        <f>IF(Charts!$B$3="none",G1252,IF(M1252="",NA(),M1252))</f>
        <v>0</v>
      </c>
      <c r="T325">
        <f>IF(Charts!$B$3="none",H1252,IF(N1252="",NA(),N1252))</f>
        <v>0</v>
      </c>
    </row>
    <row r="326" spans="5:20">
      <c r="E326">
        <v>136</v>
      </c>
      <c r="F326">
        <f>F140</f>
        <v>0</v>
      </c>
      <c r="G326">
        <v>136</v>
      </c>
      <c r="H326">
        <f>H140</f>
        <v>0</v>
      </c>
      <c r="K326">
        <v>136</v>
      </c>
      <c r="L326">
        <f>L140</f>
        <v>0</v>
      </c>
      <c r="M326">
        <v>136</v>
      </c>
      <c r="N326">
        <f>N140</f>
        <v>0</v>
      </c>
      <c r="Q326">
        <f>IF(Charts!$B$3="none",E1253,IF(K1253="",NA(),K1253))</f>
        <v>0</v>
      </c>
      <c r="R326">
        <f>IF(Charts!$B$3="none",F1253,IF(L1253="",NA(),L1253))</f>
        <v>0</v>
      </c>
      <c r="S326">
        <f>IF(Charts!$B$3="none",G1253,IF(M1253="",NA(),M1253))</f>
        <v>0</v>
      </c>
      <c r="T326">
        <f>IF(Charts!$B$3="none",H1253,IF(N1253="",NA(),N1253))</f>
        <v>0</v>
      </c>
    </row>
    <row r="327" spans="5:20">
      <c r="E327">
        <v>137</v>
      </c>
      <c r="F327">
        <f>F141</f>
        <v>0</v>
      </c>
      <c r="G327">
        <v>137</v>
      </c>
      <c r="H327">
        <f>H141</f>
        <v>0</v>
      </c>
      <c r="K327">
        <v>137</v>
      </c>
      <c r="L327">
        <f>L141</f>
        <v>0</v>
      </c>
      <c r="M327">
        <v>137</v>
      </c>
      <c r="N327">
        <f>N141</f>
        <v>0</v>
      </c>
      <c r="Q327">
        <f>IF(Charts!$B$3="none",E1254,IF(K1254="",NA(),K1254))</f>
        <v>0</v>
      </c>
      <c r="R327">
        <f>IF(Charts!$B$3="none",F1254,IF(L1254="",NA(),L1254))</f>
        <v>0</v>
      </c>
      <c r="S327">
        <f>IF(Charts!$B$3="none",G1254,IF(M1254="",NA(),M1254))</f>
        <v>0</v>
      </c>
      <c r="T327">
        <f>IF(Charts!$B$3="none",H1254,IF(N1254="",NA(),N1254))</f>
        <v>0</v>
      </c>
    </row>
    <row r="328" spans="5:20">
      <c r="E328">
        <v>138</v>
      </c>
      <c r="F328">
        <f>F142</f>
        <v>0</v>
      </c>
      <c r="G328">
        <v>138</v>
      </c>
      <c r="H328">
        <f>H142</f>
        <v>0</v>
      </c>
      <c r="K328">
        <v>138</v>
      </c>
      <c r="L328">
        <f>L142</f>
        <v>0</v>
      </c>
      <c r="M328">
        <v>138</v>
      </c>
      <c r="N328">
        <f>N142</f>
        <v>0</v>
      </c>
      <c r="Q328">
        <f>IF(Charts!$B$3="none",E1255,IF(K1255="",NA(),K1255))</f>
        <v>0</v>
      </c>
      <c r="R328">
        <f>IF(Charts!$B$3="none",F1255,IF(L1255="",NA(),L1255))</f>
        <v>0</v>
      </c>
      <c r="S328">
        <f>IF(Charts!$B$3="none",G1255,IF(M1255="",NA(),M1255))</f>
        <v>0</v>
      </c>
      <c r="T328">
        <f>IF(Charts!$B$3="none",H1255,IF(N1255="",NA(),N1255))</f>
        <v>0</v>
      </c>
    </row>
    <row r="329" spans="5:20">
      <c r="E329">
        <v>139</v>
      </c>
      <c r="F329">
        <f>F143</f>
        <v>0</v>
      </c>
      <c r="G329">
        <v>139</v>
      </c>
      <c r="H329">
        <f>H143</f>
        <v>0</v>
      </c>
      <c r="K329">
        <v>139</v>
      </c>
      <c r="L329">
        <f>L143</f>
        <v>0</v>
      </c>
      <c r="M329">
        <v>139</v>
      </c>
      <c r="N329">
        <f>N143</f>
        <v>0</v>
      </c>
      <c r="Q329">
        <f>IF(Charts!$B$3="none",E1256,IF(K1256="",NA(),K1256))</f>
        <v>0</v>
      </c>
      <c r="R329">
        <f>IF(Charts!$B$3="none",F1256,IF(L1256="",NA(),L1256))</f>
        <v>0</v>
      </c>
      <c r="S329">
        <f>IF(Charts!$B$3="none",G1256,IF(M1256="",NA(),M1256))</f>
        <v>0</v>
      </c>
      <c r="T329">
        <f>IF(Charts!$B$3="none",H1256,IF(N1256="",NA(),N1256))</f>
        <v>0</v>
      </c>
    </row>
    <row r="330" spans="5:20">
      <c r="E330">
        <v>140</v>
      </c>
      <c r="F330">
        <f>F144</f>
        <v>0</v>
      </c>
      <c r="G330">
        <v>140</v>
      </c>
      <c r="H330">
        <f>H144</f>
        <v>0</v>
      </c>
      <c r="K330">
        <v>140</v>
      </c>
      <c r="L330">
        <f>L144</f>
        <v>0</v>
      </c>
      <c r="M330">
        <v>140</v>
      </c>
      <c r="N330">
        <f>N144</f>
        <v>0</v>
      </c>
      <c r="Q330">
        <f>IF(Charts!$B$3="none",E1257,IF(K1257="",NA(),K1257))</f>
        <v>0</v>
      </c>
      <c r="R330">
        <f>IF(Charts!$B$3="none",F1257,IF(L1257="",NA(),L1257))</f>
        <v>0</v>
      </c>
      <c r="S330">
        <f>IF(Charts!$B$3="none",G1257,IF(M1257="",NA(),M1257))</f>
        <v>0</v>
      </c>
      <c r="T330">
        <f>IF(Charts!$B$3="none",H1257,IF(N1257="",NA(),N1257))</f>
        <v>0</v>
      </c>
    </row>
    <row r="331" spans="5:20">
      <c r="E331">
        <v>141</v>
      </c>
      <c r="F331">
        <f>F145</f>
        <v>0</v>
      </c>
      <c r="G331">
        <v>141</v>
      </c>
      <c r="H331">
        <f>H145</f>
        <v>0</v>
      </c>
      <c r="K331">
        <v>141</v>
      </c>
      <c r="L331">
        <f>L145</f>
        <v>0</v>
      </c>
      <c r="M331">
        <v>141</v>
      </c>
      <c r="N331">
        <f>N145</f>
        <v>0</v>
      </c>
      <c r="Q331">
        <f>IF(Charts!$B$3="none",E1258,IF(K1258="",NA(),K1258))</f>
        <v>0</v>
      </c>
      <c r="R331">
        <f>IF(Charts!$B$3="none",F1258,IF(L1258="",NA(),L1258))</f>
        <v>0</v>
      </c>
      <c r="S331">
        <f>IF(Charts!$B$3="none",G1258,IF(M1258="",NA(),M1258))</f>
        <v>0</v>
      </c>
      <c r="T331">
        <f>IF(Charts!$B$3="none",H1258,IF(N1258="",NA(),N1258))</f>
        <v>0</v>
      </c>
    </row>
    <row r="332" spans="5:20">
      <c r="E332">
        <v>142</v>
      </c>
      <c r="F332">
        <f>F146</f>
        <v>0</v>
      </c>
      <c r="G332">
        <v>142</v>
      </c>
      <c r="H332">
        <f>H146</f>
        <v>0</v>
      </c>
      <c r="K332">
        <v>142</v>
      </c>
      <c r="L332">
        <f>L146</f>
        <v>0</v>
      </c>
      <c r="M332">
        <v>142</v>
      </c>
      <c r="N332">
        <f>N146</f>
        <v>0</v>
      </c>
      <c r="Q332">
        <f>IF(Charts!$B$3="none",E1259,IF(K1259="",NA(),K1259))</f>
        <v>0</v>
      </c>
      <c r="R332">
        <f>IF(Charts!$B$3="none",F1259,IF(L1259="",NA(),L1259))</f>
        <v>0</v>
      </c>
      <c r="S332">
        <f>IF(Charts!$B$3="none",G1259,IF(M1259="",NA(),M1259))</f>
        <v>0</v>
      </c>
      <c r="T332">
        <f>IF(Charts!$B$3="none",H1259,IF(N1259="",NA(),N1259))</f>
        <v>0</v>
      </c>
    </row>
    <row r="333" spans="5:20">
      <c r="E333">
        <v>143</v>
      </c>
      <c r="F333">
        <f>F147</f>
        <v>0</v>
      </c>
      <c r="G333">
        <v>143</v>
      </c>
      <c r="H333">
        <f>H147</f>
        <v>0</v>
      </c>
      <c r="K333">
        <v>143</v>
      </c>
      <c r="L333">
        <f>L147</f>
        <v>0</v>
      </c>
      <c r="M333">
        <v>143</v>
      </c>
      <c r="N333">
        <f>N147</f>
        <v>0</v>
      </c>
      <c r="Q333">
        <f>IF(Charts!$B$3="none",E1260,IF(K1260="",NA(),K1260))</f>
        <v>0</v>
      </c>
      <c r="R333">
        <f>IF(Charts!$B$3="none",F1260,IF(L1260="",NA(),L1260))</f>
        <v>0</v>
      </c>
      <c r="S333">
        <f>IF(Charts!$B$3="none",G1260,IF(M1260="",NA(),M1260))</f>
        <v>0</v>
      </c>
      <c r="T333">
        <f>IF(Charts!$B$3="none",H1260,IF(N1260="",NA(),N1260))</f>
        <v>0</v>
      </c>
    </row>
    <row r="334" spans="5:20">
      <c r="E334">
        <v>144</v>
      </c>
      <c r="F334">
        <f>F148</f>
        <v>0</v>
      </c>
      <c r="G334">
        <v>144</v>
      </c>
      <c r="H334">
        <f>H148</f>
        <v>0</v>
      </c>
      <c r="K334">
        <v>144</v>
      </c>
      <c r="L334">
        <f>L148</f>
        <v>0</v>
      </c>
      <c r="M334">
        <v>144</v>
      </c>
      <c r="N334">
        <f>N148</f>
        <v>0</v>
      </c>
      <c r="Q334">
        <f>IF(Charts!$B$3="none",E1261,IF(K1261="",NA(),K1261))</f>
        <v>0</v>
      </c>
      <c r="R334">
        <f>IF(Charts!$B$3="none",F1261,IF(L1261="",NA(),L1261))</f>
        <v>0</v>
      </c>
      <c r="S334">
        <f>IF(Charts!$B$3="none",G1261,IF(M1261="",NA(),M1261))</f>
        <v>0</v>
      </c>
      <c r="T334">
        <f>IF(Charts!$B$3="none",H1261,IF(N1261="",NA(),N1261))</f>
        <v>0</v>
      </c>
    </row>
    <row r="335" spans="5:20">
      <c r="E335">
        <v>145</v>
      </c>
      <c r="F335">
        <f>F149</f>
        <v>0</v>
      </c>
      <c r="G335">
        <v>145</v>
      </c>
      <c r="H335">
        <f>H149</f>
        <v>0</v>
      </c>
      <c r="K335">
        <v>145</v>
      </c>
      <c r="L335">
        <f>L149</f>
        <v>0</v>
      </c>
      <c r="M335">
        <v>145</v>
      </c>
      <c r="N335">
        <f>N149</f>
        <v>0</v>
      </c>
      <c r="Q335">
        <f>IF(Charts!$B$3="none",E1262,IF(K1262="",NA(),K1262))</f>
        <v>0</v>
      </c>
      <c r="R335">
        <f>IF(Charts!$B$3="none",F1262,IF(L1262="",NA(),L1262))</f>
        <v>0</v>
      </c>
      <c r="S335">
        <f>IF(Charts!$B$3="none",G1262,IF(M1262="",NA(),M1262))</f>
        <v>0</v>
      </c>
      <c r="T335">
        <f>IF(Charts!$B$3="none",H1262,IF(N1262="",NA(),N1262))</f>
        <v>0</v>
      </c>
    </row>
    <row r="336" spans="5:20">
      <c r="E336">
        <v>146</v>
      </c>
      <c r="F336">
        <f>F150</f>
        <v>0</v>
      </c>
      <c r="G336">
        <v>146</v>
      </c>
      <c r="H336">
        <f>H150</f>
        <v>0</v>
      </c>
      <c r="K336">
        <v>146</v>
      </c>
      <c r="L336">
        <f>L150</f>
        <v>0</v>
      </c>
      <c r="M336">
        <v>146</v>
      </c>
      <c r="N336">
        <f>N150</f>
        <v>0</v>
      </c>
      <c r="Q336">
        <f>IF(Charts!$B$3="none",E1263,IF(K1263="",NA(),K1263))</f>
        <v>0</v>
      </c>
      <c r="R336">
        <f>IF(Charts!$B$3="none",F1263,IF(L1263="",NA(),L1263))</f>
        <v>0</v>
      </c>
      <c r="S336">
        <f>IF(Charts!$B$3="none",G1263,IF(M1263="",NA(),M1263))</f>
        <v>0</v>
      </c>
      <c r="T336">
        <f>IF(Charts!$B$3="none",H1263,IF(N1263="",NA(),N1263))</f>
        <v>0</v>
      </c>
    </row>
    <row r="337" spans="5:20">
      <c r="E337">
        <v>147</v>
      </c>
      <c r="F337">
        <f>F151</f>
        <v>0</v>
      </c>
      <c r="G337">
        <v>147</v>
      </c>
      <c r="H337">
        <f>H151</f>
        <v>0</v>
      </c>
      <c r="K337">
        <v>147</v>
      </c>
      <c r="L337">
        <f>L151</f>
        <v>0</v>
      </c>
      <c r="M337">
        <v>147</v>
      </c>
      <c r="N337">
        <f>N151</f>
        <v>0</v>
      </c>
      <c r="Q337">
        <f>IF(Charts!$B$3="none",E1264,IF(K1264="",NA(),K1264))</f>
        <v>0</v>
      </c>
      <c r="R337">
        <f>IF(Charts!$B$3="none",F1264,IF(L1264="",NA(),L1264))</f>
        <v>0</v>
      </c>
      <c r="S337">
        <f>IF(Charts!$B$3="none",G1264,IF(M1264="",NA(),M1264))</f>
        <v>0</v>
      </c>
      <c r="T337">
        <f>IF(Charts!$B$3="none",H1264,IF(N1264="",NA(),N1264))</f>
        <v>0</v>
      </c>
    </row>
    <row r="338" spans="5:20">
      <c r="E338">
        <v>148</v>
      </c>
      <c r="F338">
        <f>F152</f>
        <v>0</v>
      </c>
      <c r="G338">
        <v>148</v>
      </c>
      <c r="H338">
        <f>H152</f>
        <v>0</v>
      </c>
      <c r="K338">
        <v>148</v>
      </c>
      <c r="L338">
        <f>L152</f>
        <v>0</v>
      </c>
      <c r="M338">
        <v>148</v>
      </c>
      <c r="N338">
        <f>N152</f>
        <v>0</v>
      </c>
      <c r="Q338">
        <f>IF(Charts!$B$3="none",E1265,IF(K1265="",NA(),K1265))</f>
        <v>0</v>
      </c>
      <c r="R338">
        <f>IF(Charts!$B$3="none",F1265,IF(L1265="",NA(),L1265))</f>
        <v>0</v>
      </c>
      <c r="S338">
        <f>IF(Charts!$B$3="none",G1265,IF(M1265="",NA(),M1265))</f>
        <v>0</v>
      </c>
      <c r="T338">
        <f>IF(Charts!$B$3="none",H1265,IF(N1265="",NA(),N1265))</f>
        <v>0</v>
      </c>
    </row>
    <row r="339" spans="5:20">
      <c r="E339">
        <v>149</v>
      </c>
      <c r="F339">
        <f>F153</f>
        <v>0</v>
      </c>
      <c r="G339">
        <v>149</v>
      </c>
      <c r="H339">
        <f>H153</f>
        <v>0</v>
      </c>
      <c r="K339">
        <v>149</v>
      </c>
      <c r="L339">
        <f>L153</f>
        <v>0</v>
      </c>
      <c r="M339">
        <v>149</v>
      </c>
      <c r="N339">
        <f>N153</f>
        <v>0</v>
      </c>
      <c r="Q339">
        <f>IF(Charts!$B$3="none",E1266,IF(K1266="",NA(),K1266))</f>
        <v>0</v>
      </c>
      <c r="R339">
        <f>IF(Charts!$B$3="none",F1266,IF(L1266="",NA(),L1266))</f>
        <v>0</v>
      </c>
      <c r="S339">
        <f>IF(Charts!$B$3="none",G1266,IF(M1266="",NA(),M1266))</f>
        <v>0</v>
      </c>
      <c r="T339">
        <f>IF(Charts!$B$3="none",H1266,IF(N1266="",NA(),N1266))</f>
        <v>0</v>
      </c>
    </row>
    <row r="340" spans="5:20">
      <c r="E340">
        <v>150</v>
      </c>
      <c r="F340">
        <f>F154</f>
        <v>0</v>
      </c>
      <c r="G340">
        <v>150</v>
      </c>
      <c r="H340">
        <f>H154</f>
        <v>0</v>
      </c>
      <c r="K340">
        <v>150</v>
      </c>
      <c r="L340">
        <f>L154</f>
        <v>0</v>
      </c>
      <c r="M340">
        <v>150</v>
      </c>
      <c r="N340">
        <f>N154</f>
        <v>0</v>
      </c>
      <c r="Q340">
        <f>IF(Charts!$B$3="none",E1267,IF(K1267="",NA(),K1267))</f>
        <v>0</v>
      </c>
      <c r="R340">
        <f>IF(Charts!$B$3="none",F1267,IF(L1267="",NA(),L1267))</f>
        <v>0</v>
      </c>
      <c r="S340">
        <f>IF(Charts!$B$3="none",G1267,IF(M1267="",NA(),M1267))</f>
        <v>0</v>
      </c>
      <c r="T340">
        <f>IF(Charts!$B$3="none",H1267,IF(N1267="",NA(),N1267))</f>
        <v>0</v>
      </c>
    </row>
    <row r="341" spans="5:20">
      <c r="E341">
        <v>151</v>
      </c>
      <c r="F341">
        <f>F155</f>
        <v>0</v>
      </c>
      <c r="G341">
        <v>151</v>
      </c>
      <c r="H341">
        <f>H155</f>
        <v>0</v>
      </c>
      <c r="K341">
        <v>151</v>
      </c>
      <c r="L341">
        <f>L155</f>
        <v>0</v>
      </c>
      <c r="M341">
        <v>151</v>
      </c>
      <c r="N341">
        <f>N155</f>
        <v>0</v>
      </c>
      <c r="Q341">
        <f>IF(Charts!$B$3="none",E1268,IF(K1268="",NA(),K1268))</f>
        <v>0</v>
      </c>
      <c r="R341">
        <f>IF(Charts!$B$3="none",F1268,IF(L1268="",NA(),L1268))</f>
        <v>0</v>
      </c>
      <c r="S341">
        <f>IF(Charts!$B$3="none",G1268,IF(M1268="",NA(),M1268))</f>
        <v>0</v>
      </c>
      <c r="T341">
        <f>IF(Charts!$B$3="none",H1268,IF(N1268="",NA(),N1268))</f>
        <v>0</v>
      </c>
    </row>
    <row r="342" spans="5:20">
      <c r="E342">
        <v>152</v>
      </c>
      <c r="F342">
        <f>F156</f>
        <v>0</v>
      </c>
      <c r="G342">
        <v>152</v>
      </c>
      <c r="H342">
        <f>H156</f>
        <v>0</v>
      </c>
      <c r="K342">
        <v>152</v>
      </c>
      <c r="L342">
        <f>L156</f>
        <v>0</v>
      </c>
      <c r="M342">
        <v>152</v>
      </c>
      <c r="N342">
        <f>N156</f>
        <v>0</v>
      </c>
      <c r="Q342">
        <f>IF(Charts!$B$3="none",E1269,IF(K1269="",NA(),K1269))</f>
        <v>0</v>
      </c>
      <c r="R342">
        <f>IF(Charts!$B$3="none",F1269,IF(L1269="",NA(),L1269))</f>
        <v>0</v>
      </c>
      <c r="S342">
        <f>IF(Charts!$B$3="none",G1269,IF(M1269="",NA(),M1269))</f>
        <v>0</v>
      </c>
      <c r="T342">
        <f>IF(Charts!$B$3="none",H1269,IF(N1269="",NA(),N1269))</f>
        <v>0</v>
      </c>
    </row>
    <row r="343" spans="5:20">
      <c r="E343">
        <v>153</v>
      </c>
      <c r="F343">
        <f>F157</f>
        <v>0</v>
      </c>
      <c r="G343">
        <v>153</v>
      </c>
      <c r="H343">
        <f>H157</f>
        <v>0</v>
      </c>
      <c r="K343">
        <v>153</v>
      </c>
      <c r="L343">
        <f>L157</f>
        <v>0</v>
      </c>
      <c r="M343">
        <v>153</v>
      </c>
      <c r="N343">
        <f>N157</f>
        <v>0</v>
      </c>
      <c r="Q343">
        <f>IF(Charts!$B$3="none",E1270,IF(K1270="",NA(),K1270))</f>
        <v>0</v>
      </c>
      <c r="R343">
        <f>IF(Charts!$B$3="none",F1270,IF(L1270="",NA(),L1270))</f>
        <v>0</v>
      </c>
      <c r="S343">
        <f>IF(Charts!$B$3="none",G1270,IF(M1270="",NA(),M1270))</f>
        <v>0</v>
      </c>
      <c r="T343">
        <f>IF(Charts!$B$3="none",H1270,IF(N1270="",NA(),N1270))</f>
        <v>0</v>
      </c>
    </row>
    <row r="344" spans="5:20">
      <c r="E344">
        <v>154</v>
      </c>
      <c r="F344">
        <f>F158</f>
        <v>0</v>
      </c>
      <c r="G344">
        <v>154</v>
      </c>
      <c r="H344">
        <f>H158</f>
        <v>0</v>
      </c>
      <c r="K344">
        <v>154</v>
      </c>
      <c r="L344">
        <f>L158</f>
        <v>0</v>
      </c>
      <c r="M344">
        <v>154</v>
      </c>
      <c r="N344">
        <f>N158</f>
        <v>0</v>
      </c>
      <c r="Q344">
        <f>IF(Charts!$B$3="none",E1271,IF(K1271="",NA(),K1271))</f>
        <v>0</v>
      </c>
      <c r="R344">
        <f>IF(Charts!$B$3="none",F1271,IF(L1271="",NA(),L1271))</f>
        <v>0</v>
      </c>
      <c r="S344">
        <f>IF(Charts!$B$3="none",G1271,IF(M1271="",NA(),M1271))</f>
        <v>0</v>
      </c>
      <c r="T344">
        <f>IF(Charts!$B$3="none",H1271,IF(N1271="",NA(),N1271))</f>
        <v>0</v>
      </c>
    </row>
    <row r="345" spans="5:20">
      <c r="E345">
        <v>155</v>
      </c>
      <c r="F345">
        <f>F159</f>
        <v>0</v>
      </c>
      <c r="G345">
        <v>155</v>
      </c>
      <c r="H345">
        <f>H159</f>
        <v>0</v>
      </c>
      <c r="K345">
        <v>155</v>
      </c>
      <c r="L345">
        <f>L159</f>
        <v>0</v>
      </c>
      <c r="M345">
        <v>155</v>
      </c>
      <c r="N345">
        <f>N159</f>
        <v>0</v>
      </c>
      <c r="Q345">
        <f>IF(Charts!$B$3="none",E1272,IF(K1272="",NA(),K1272))</f>
        <v>0</v>
      </c>
      <c r="R345">
        <f>IF(Charts!$B$3="none",F1272,IF(L1272="",NA(),L1272))</f>
        <v>0</v>
      </c>
      <c r="S345">
        <f>IF(Charts!$B$3="none",G1272,IF(M1272="",NA(),M1272))</f>
        <v>0</v>
      </c>
      <c r="T345">
        <f>IF(Charts!$B$3="none",H1272,IF(N1272="",NA(),N1272))</f>
        <v>0</v>
      </c>
    </row>
    <row r="346" spans="5:20">
      <c r="E346">
        <v>156</v>
      </c>
      <c r="F346">
        <f>F160</f>
        <v>0</v>
      </c>
      <c r="G346">
        <v>156</v>
      </c>
      <c r="H346">
        <f>H160</f>
        <v>0</v>
      </c>
      <c r="K346">
        <v>156</v>
      </c>
      <c r="L346">
        <f>L160</f>
        <v>0</v>
      </c>
      <c r="M346">
        <v>156</v>
      </c>
      <c r="N346">
        <f>N160</f>
        <v>0</v>
      </c>
      <c r="Q346">
        <f>IF(Charts!$B$3="none",E1273,IF(K1273="",NA(),K1273))</f>
        <v>0</v>
      </c>
      <c r="R346">
        <f>IF(Charts!$B$3="none",F1273,IF(L1273="",NA(),L1273))</f>
        <v>0</v>
      </c>
      <c r="S346">
        <f>IF(Charts!$B$3="none",G1273,IF(M1273="",NA(),M1273))</f>
        <v>0</v>
      </c>
      <c r="T346">
        <f>IF(Charts!$B$3="none",H1273,IF(N1273="",NA(),N1273))</f>
        <v>0</v>
      </c>
    </row>
    <row r="347" spans="5:20">
      <c r="E347">
        <v>157</v>
      </c>
      <c r="F347">
        <f>F161</f>
        <v>0</v>
      </c>
      <c r="G347">
        <v>157</v>
      </c>
      <c r="H347">
        <f>H161</f>
        <v>0</v>
      </c>
      <c r="K347">
        <v>157</v>
      </c>
      <c r="L347">
        <f>L161</f>
        <v>0</v>
      </c>
      <c r="M347">
        <v>157</v>
      </c>
      <c r="N347">
        <f>N161</f>
        <v>0</v>
      </c>
      <c r="Q347">
        <f>IF(Charts!$B$3="none",E1274,IF(K1274="",NA(),K1274))</f>
        <v>0</v>
      </c>
      <c r="R347">
        <f>IF(Charts!$B$3="none",F1274,IF(L1274="",NA(),L1274))</f>
        <v>0</v>
      </c>
      <c r="S347">
        <f>IF(Charts!$B$3="none",G1274,IF(M1274="",NA(),M1274))</f>
        <v>0</v>
      </c>
      <c r="T347">
        <f>IF(Charts!$B$3="none",H1274,IF(N1274="",NA(),N1274))</f>
        <v>0</v>
      </c>
    </row>
    <row r="348" spans="5:20">
      <c r="E348">
        <v>158</v>
      </c>
      <c r="F348">
        <f>F162</f>
        <v>0</v>
      </c>
      <c r="G348">
        <v>158</v>
      </c>
      <c r="H348">
        <f>H162</f>
        <v>0</v>
      </c>
      <c r="K348">
        <v>158</v>
      </c>
      <c r="L348">
        <f>L162</f>
        <v>0</v>
      </c>
      <c r="M348">
        <v>158</v>
      </c>
      <c r="N348">
        <f>N162</f>
        <v>0</v>
      </c>
      <c r="Q348">
        <f>IF(Charts!$B$3="none",E1275,IF(K1275="",NA(),K1275))</f>
        <v>0</v>
      </c>
      <c r="R348">
        <f>IF(Charts!$B$3="none",F1275,IF(L1275="",NA(),L1275))</f>
        <v>0</v>
      </c>
      <c r="S348">
        <f>IF(Charts!$B$3="none",G1275,IF(M1275="",NA(),M1275))</f>
        <v>0</v>
      </c>
      <c r="T348">
        <f>IF(Charts!$B$3="none",H1275,IF(N1275="",NA(),N1275))</f>
        <v>0</v>
      </c>
    </row>
    <row r="349" spans="5:20">
      <c r="E349">
        <v>159</v>
      </c>
      <c r="F349">
        <f>F163</f>
        <v>0</v>
      </c>
      <c r="G349">
        <v>159</v>
      </c>
      <c r="H349">
        <f>H163</f>
        <v>0</v>
      </c>
      <c r="K349">
        <v>159</v>
      </c>
      <c r="L349">
        <f>L163</f>
        <v>0</v>
      </c>
      <c r="M349">
        <v>159</v>
      </c>
      <c r="N349">
        <f>N163</f>
        <v>0</v>
      </c>
      <c r="Q349">
        <f>IF(Charts!$B$3="none",E1276,IF(K1276="",NA(),K1276))</f>
        <v>0</v>
      </c>
      <c r="R349">
        <f>IF(Charts!$B$3="none",F1276,IF(L1276="",NA(),L1276))</f>
        <v>0</v>
      </c>
      <c r="S349">
        <f>IF(Charts!$B$3="none",G1276,IF(M1276="",NA(),M1276))</f>
        <v>0</v>
      </c>
      <c r="T349">
        <f>IF(Charts!$B$3="none",H1276,IF(N1276="",NA(),N1276))</f>
        <v>0</v>
      </c>
    </row>
    <row r="350" spans="5:20">
      <c r="E350">
        <v>160</v>
      </c>
      <c r="F350">
        <f>F164</f>
        <v>0</v>
      </c>
      <c r="G350">
        <v>160</v>
      </c>
      <c r="H350">
        <f>H164</f>
        <v>0</v>
      </c>
      <c r="K350">
        <v>160</v>
      </c>
      <c r="L350">
        <f>L164</f>
        <v>0</v>
      </c>
      <c r="M350">
        <v>160</v>
      </c>
      <c r="N350">
        <f>N164</f>
        <v>0</v>
      </c>
      <c r="Q350">
        <f>IF(Charts!$B$3="none",E1277,IF(K1277="",NA(),K1277))</f>
        <v>0</v>
      </c>
      <c r="R350">
        <f>IF(Charts!$B$3="none",F1277,IF(L1277="",NA(),L1277))</f>
        <v>0</v>
      </c>
      <c r="S350">
        <f>IF(Charts!$B$3="none",G1277,IF(M1277="",NA(),M1277))</f>
        <v>0</v>
      </c>
      <c r="T350">
        <f>IF(Charts!$B$3="none",H1277,IF(N1277="",NA(),N1277))</f>
        <v>0</v>
      </c>
    </row>
    <row r="351" spans="5:20">
      <c r="E351">
        <v>161</v>
      </c>
      <c r="F351">
        <f>F165</f>
        <v>0</v>
      </c>
      <c r="G351">
        <v>161</v>
      </c>
      <c r="H351">
        <f>H165</f>
        <v>0</v>
      </c>
      <c r="K351">
        <v>161</v>
      </c>
      <c r="L351">
        <f>L165</f>
        <v>0</v>
      </c>
      <c r="M351">
        <v>161</v>
      </c>
      <c r="N351">
        <f>N165</f>
        <v>0</v>
      </c>
      <c r="Q351">
        <f>IF(Charts!$B$3="none",E1278,IF(K1278="",NA(),K1278))</f>
        <v>0</v>
      </c>
      <c r="R351">
        <f>IF(Charts!$B$3="none",F1278,IF(L1278="",NA(),L1278))</f>
        <v>0</v>
      </c>
      <c r="S351">
        <f>IF(Charts!$B$3="none",G1278,IF(M1278="",NA(),M1278))</f>
        <v>0</v>
      </c>
      <c r="T351">
        <f>IF(Charts!$B$3="none",H1278,IF(N1278="",NA(),N1278))</f>
        <v>0</v>
      </c>
    </row>
    <row r="352" spans="5:20">
      <c r="E352">
        <v>162</v>
      </c>
      <c r="F352">
        <f>F166</f>
        <v>0</v>
      </c>
      <c r="G352">
        <v>162</v>
      </c>
      <c r="H352">
        <f>H166</f>
        <v>0</v>
      </c>
      <c r="K352">
        <v>162</v>
      </c>
      <c r="L352">
        <f>L166</f>
        <v>0</v>
      </c>
      <c r="M352">
        <v>162</v>
      </c>
      <c r="N352">
        <f>N166</f>
        <v>0</v>
      </c>
      <c r="Q352">
        <f>IF(Charts!$B$3="none",E1279,IF(K1279="",NA(),K1279))</f>
        <v>0</v>
      </c>
      <c r="R352">
        <f>IF(Charts!$B$3="none",F1279,IF(L1279="",NA(),L1279))</f>
        <v>0</v>
      </c>
      <c r="S352">
        <f>IF(Charts!$B$3="none",G1279,IF(M1279="",NA(),M1279))</f>
        <v>0</v>
      </c>
      <c r="T352">
        <f>IF(Charts!$B$3="none",H1279,IF(N1279="",NA(),N1279))</f>
        <v>0</v>
      </c>
    </row>
    <row r="353" spans="5:20">
      <c r="E353">
        <v>163</v>
      </c>
      <c r="F353">
        <f>F167</f>
        <v>0</v>
      </c>
      <c r="G353">
        <v>163</v>
      </c>
      <c r="H353">
        <f>H167</f>
        <v>0</v>
      </c>
      <c r="K353">
        <v>163</v>
      </c>
      <c r="L353">
        <f>L167</f>
        <v>0</v>
      </c>
      <c r="M353">
        <v>163</v>
      </c>
      <c r="N353">
        <f>N167</f>
        <v>0</v>
      </c>
      <c r="Q353">
        <f>IF(Charts!$B$3="none",E1280,IF(K1280="",NA(),K1280))</f>
        <v>0</v>
      </c>
      <c r="R353">
        <f>IF(Charts!$B$3="none",F1280,IF(L1280="",NA(),L1280))</f>
        <v>0</v>
      </c>
      <c r="S353">
        <f>IF(Charts!$B$3="none",G1280,IF(M1280="",NA(),M1280))</f>
        <v>0</v>
      </c>
      <c r="T353">
        <f>IF(Charts!$B$3="none",H1280,IF(N1280="",NA(),N1280))</f>
        <v>0</v>
      </c>
    </row>
    <row r="354" spans="5:20">
      <c r="E354">
        <v>164</v>
      </c>
      <c r="F354">
        <f>F168</f>
        <v>0</v>
      </c>
      <c r="G354">
        <v>164</v>
      </c>
      <c r="H354">
        <f>H168</f>
        <v>0</v>
      </c>
      <c r="K354">
        <v>164</v>
      </c>
      <c r="L354">
        <f>L168</f>
        <v>0</v>
      </c>
      <c r="M354">
        <v>164</v>
      </c>
      <c r="N354">
        <f>N168</f>
        <v>0</v>
      </c>
      <c r="Q354">
        <f>IF(Charts!$B$3="none",E1281,IF(K1281="",NA(),K1281))</f>
        <v>0</v>
      </c>
      <c r="R354">
        <f>IF(Charts!$B$3="none",F1281,IF(L1281="",NA(),L1281))</f>
        <v>0</v>
      </c>
      <c r="S354">
        <f>IF(Charts!$B$3="none",G1281,IF(M1281="",NA(),M1281))</f>
        <v>0</v>
      </c>
      <c r="T354">
        <f>IF(Charts!$B$3="none",H1281,IF(N1281="",NA(),N1281))</f>
        <v>0</v>
      </c>
    </row>
    <row r="355" spans="5:20">
      <c r="E355">
        <v>165</v>
      </c>
      <c r="F355">
        <f>F169</f>
        <v>0</v>
      </c>
      <c r="G355">
        <v>165</v>
      </c>
      <c r="H355">
        <f>H169</f>
        <v>0</v>
      </c>
      <c r="K355">
        <v>165</v>
      </c>
      <c r="L355">
        <f>L169</f>
        <v>0</v>
      </c>
      <c r="M355">
        <v>165</v>
      </c>
      <c r="N355">
        <f>N169</f>
        <v>0</v>
      </c>
      <c r="Q355">
        <f>IF(Charts!$B$3="none",E1282,IF(K1282="",NA(),K1282))</f>
        <v>0</v>
      </c>
      <c r="R355">
        <f>IF(Charts!$B$3="none",F1282,IF(L1282="",NA(),L1282))</f>
        <v>0</v>
      </c>
      <c r="S355">
        <f>IF(Charts!$B$3="none",G1282,IF(M1282="",NA(),M1282))</f>
        <v>0</v>
      </c>
      <c r="T355">
        <f>IF(Charts!$B$3="none",H1282,IF(N1282="",NA(),N1282))</f>
        <v>0</v>
      </c>
    </row>
    <row r="356" spans="5:20">
      <c r="E356">
        <v>166</v>
      </c>
      <c r="F356">
        <f>F170</f>
        <v>0</v>
      </c>
      <c r="G356">
        <v>166</v>
      </c>
      <c r="H356">
        <f>H170</f>
        <v>0</v>
      </c>
      <c r="K356">
        <v>166</v>
      </c>
      <c r="L356">
        <f>L170</f>
        <v>0</v>
      </c>
      <c r="M356">
        <v>166</v>
      </c>
      <c r="N356">
        <f>N170</f>
        <v>0</v>
      </c>
      <c r="Q356">
        <f>IF(Charts!$B$3="none",E1283,IF(K1283="",NA(),K1283))</f>
        <v>0</v>
      </c>
      <c r="R356">
        <f>IF(Charts!$B$3="none",F1283,IF(L1283="",NA(),L1283))</f>
        <v>0</v>
      </c>
      <c r="S356">
        <f>IF(Charts!$B$3="none",G1283,IF(M1283="",NA(),M1283))</f>
        <v>0</v>
      </c>
      <c r="T356">
        <f>IF(Charts!$B$3="none",H1283,IF(N1283="",NA(),N1283))</f>
        <v>0</v>
      </c>
    </row>
    <row r="357" spans="5:20">
      <c r="E357">
        <v>167</v>
      </c>
      <c r="F357">
        <f>F171</f>
        <v>0</v>
      </c>
      <c r="G357">
        <v>167</v>
      </c>
      <c r="H357">
        <f>H171</f>
        <v>0</v>
      </c>
      <c r="K357">
        <v>167</v>
      </c>
      <c r="L357">
        <f>L171</f>
        <v>0</v>
      </c>
      <c r="M357">
        <v>167</v>
      </c>
      <c r="N357">
        <f>N171</f>
        <v>0</v>
      </c>
      <c r="Q357">
        <f>IF(Charts!$B$3="none",E1284,IF(K1284="",NA(),K1284))</f>
        <v>0</v>
      </c>
      <c r="R357">
        <f>IF(Charts!$B$3="none",F1284,IF(L1284="",NA(),L1284))</f>
        <v>0</v>
      </c>
      <c r="S357">
        <f>IF(Charts!$B$3="none",G1284,IF(M1284="",NA(),M1284))</f>
        <v>0</v>
      </c>
      <c r="T357">
        <f>IF(Charts!$B$3="none",H1284,IF(N1284="",NA(),N1284))</f>
        <v>0</v>
      </c>
    </row>
    <row r="358" spans="5:20">
      <c r="E358">
        <v>168</v>
      </c>
      <c r="F358">
        <f>F172</f>
        <v>0</v>
      </c>
      <c r="G358">
        <v>168</v>
      </c>
      <c r="H358">
        <f>H172</f>
        <v>0</v>
      </c>
      <c r="K358">
        <v>168</v>
      </c>
      <c r="L358">
        <f>L172</f>
        <v>0</v>
      </c>
      <c r="M358">
        <v>168</v>
      </c>
      <c r="N358">
        <f>N172</f>
        <v>0</v>
      </c>
      <c r="Q358">
        <f>IF(Charts!$B$3="none",E1285,IF(K1285="",NA(),K1285))</f>
        <v>0</v>
      </c>
      <c r="R358">
        <f>IF(Charts!$B$3="none",F1285,IF(L1285="",NA(),L1285))</f>
        <v>0</v>
      </c>
      <c r="S358">
        <f>IF(Charts!$B$3="none",G1285,IF(M1285="",NA(),M1285))</f>
        <v>0</v>
      </c>
      <c r="T358">
        <f>IF(Charts!$B$3="none",H1285,IF(N1285="",NA(),N1285))</f>
        <v>0</v>
      </c>
    </row>
    <row r="359" spans="5:20">
      <c r="E359">
        <v>169</v>
      </c>
      <c r="F359">
        <f>F173</f>
        <v>0</v>
      </c>
      <c r="G359">
        <v>169</v>
      </c>
      <c r="H359">
        <f>H173</f>
        <v>0</v>
      </c>
      <c r="K359">
        <v>169</v>
      </c>
      <c r="L359">
        <f>L173</f>
        <v>0</v>
      </c>
      <c r="M359">
        <v>169</v>
      </c>
      <c r="N359">
        <f>N173</f>
        <v>0</v>
      </c>
      <c r="Q359">
        <f>IF(Charts!$B$3="none",E1286,IF(K1286="",NA(),K1286))</f>
        <v>0</v>
      </c>
      <c r="R359">
        <f>IF(Charts!$B$3="none",F1286,IF(L1286="",NA(),L1286))</f>
        <v>0</v>
      </c>
      <c r="S359">
        <f>IF(Charts!$B$3="none",G1286,IF(M1286="",NA(),M1286))</f>
        <v>0</v>
      </c>
      <c r="T359">
        <f>IF(Charts!$B$3="none",H1286,IF(N1286="",NA(),N1286))</f>
        <v>0</v>
      </c>
    </row>
    <row r="360" spans="5:20">
      <c r="E360">
        <v>170</v>
      </c>
      <c r="F360">
        <f>F174</f>
        <v>0</v>
      </c>
      <c r="G360">
        <v>170</v>
      </c>
      <c r="H360">
        <f>H174</f>
        <v>0</v>
      </c>
      <c r="K360">
        <v>170</v>
      </c>
      <c r="L360">
        <f>L174</f>
        <v>0</v>
      </c>
      <c r="M360">
        <v>170</v>
      </c>
      <c r="N360">
        <f>N174</f>
        <v>0</v>
      </c>
      <c r="Q360">
        <f>IF(Charts!$B$3="none",E1287,IF(K1287="",NA(),K1287))</f>
        <v>0</v>
      </c>
      <c r="R360">
        <f>IF(Charts!$B$3="none",F1287,IF(L1287="",NA(),L1287))</f>
        <v>0</v>
      </c>
      <c r="S360">
        <f>IF(Charts!$B$3="none",G1287,IF(M1287="",NA(),M1287))</f>
        <v>0</v>
      </c>
      <c r="T360">
        <f>IF(Charts!$B$3="none",H1287,IF(N1287="",NA(),N1287))</f>
        <v>0</v>
      </c>
    </row>
    <row r="361" spans="5:20">
      <c r="E361">
        <v>171</v>
      </c>
      <c r="F361">
        <f>F175</f>
        <v>0</v>
      </c>
      <c r="G361">
        <v>171</v>
      </c>
      <c r="H361">
        <f>H175</f>
        <v>0</v>
      </c>
      <c r="K361">
        <v>171</v>
      </c>
      <c r="L361">
        <f>L175</f>
        <v>0</v>
      </c>
      <c r="M361">
        <v>171</v>
      </c>
      <c r="N361">
        <f>N175</f>
        <v>0</v>
      </c>
      <c r="Q361">
        <f>IF(Charts!$B$3="none",E1288,IF(K1288="",NA(),K1288))</f>
        <v>0</v>
      </c>
      <c r="R361">
        <f>IF(Charts!$B$3="none",F1288,IF(L1288="",NA(),L1288))</f>
        <v>0</v>
      </c>
      <c r="S361">
        <f>IF(Charts!$B$3="none",G1288,IF(M1288="",NA(),M1288))</f>
        <v>0</v>
      </c>
      <c r="T361">
        <f>IF(Charts!$B$3="none",H1288,IF(N1288="",NA(),N1288))</f>
        <v>0</v>
      </c>
    </row>
    <row r="362" spans="5:20">
      <c r="E362">
        <v>172</v>
      </c>
      <c r="F362">
        <f>F176</f>
        <v>0</v>
      </c>
      <c r="G362">
        <v>172</v>
      </c>
      <c r="H362">
        <f>H176</f>
        <v>0</v>
      </c>
      <c r="K362">
        <v>172</v>
      </c>
      <c r="L362">
        <f>L176</f>
        <v>0</v>
      </c>
      <c r="M362">
        <v>172</v>
      </c>
      <c r="N362">
        <f>N176</f>
        <v>0</v>
      </c>
      <c r="Q362">
        <f>IF(Charts!$B$3="none",E1289,IF(K1289="",NA(),K1289))</f>
        <v>0</v>
      </c>
      <c r="R362">
        <f>IF(Charts!$B$3="none",F1289,IF(L1289="",NA(),L1289))</f>
        <v>0</v>
      </c>
      <c r="S362">
        <f>IF(Charts!$B$3="none",G1289,IF(M1289="",NA(),M1289))</f>
        <v>0</v>
      </c>
      <c r="T362">
        <f>IF(Charts!$B$3="none",H1289,IF(N1289="",NA(),N1289))</f>
        <v>0</v>
      </c>
    </row>
    <row r="363" spans="5:20">
      <c r="E363">
        <v>173</v>
      </c>
      <c r="F363">
        <f>F177</f>
        <v>0</v>
      </c>
      <c r="G363">
        <v>173</v>
      </c>
      <c r="H363">
        <f>H177</f>
        <v>0</v>
      </c>
      <c r="K363">
        <v>173</v>
      </c>
      <c r="L363">
        <f>L177</f>
        <v>0</v>
      </c>
      <c r="M363">
        <v>173</v>
      </c>
      <c r="N363">
        <f>N177</f>
        <v>0</v>
      </c>
      <c r="Q363">
        <f>IF(Charts!$B$3="none",E1290,IF(K1290="",NA(),K1290))</f>
        <v>0</v>
      </c>
      <c r="R363">
        <f>IF(Charts!$B$3="none",F1290,IF(L1290="",NA(),L1290))</f>
        <v>0</v>
      </c>
      <c r="S363">
        <f>IF(Charts!$B$3="none",G1290,IF(M1290="",NA(),M1290))</f>
        <v>0</v>
      </c>
      <c r="T363">
        <f>IF(Charts!$B$3="none",H1290,IF(N1290="",NA(),N1290))</f>
        <v>0</v>
      </c>
    </row>
    <row r="364" spans="5:20">
      <c r="E364">
        <v>174</v>
      </c>
      <c r="F364">
        <f>F178</f>
        <v>0</v>
      </c>
      <c r="G364">
        <v>174</v>
      </c>
      <c r="H364">
        <f>H178</f>
        <v>0</v>
      </c>
      <c r="K364">
        <v>174</v>
      </c>
      <c r="L364">
        <f>L178</f>
        <v>0</v>
      </c>
      <c r="M364">
        <v>174</v>
      </c>
      <c r="N364">
        <f>N178</f>
        <v>0</v>
      </c>
      <c r="Q364">
        <f>IF(Charts!$B$3="none",E1291,IF(K1291="",NA(),K1291))</f>
        <v>0</v>
      </c>
      <c r="R364">
        <f>IF(Charts!$B$3="none",F1291,IF(L1291="",NA(),L1291))</f>
        <v>0</v>
      </c>
      <c r="S364">
        <f>IF(Charts!$B$3="none",G1291,IF(M1291="",NA(),M1291))</f>
        <v>0</v>
      </c>
      <c r="T364">
        <f>IF(Charts!$B$3="none",H1291,IF(N1291="",NA(),N1291))</f>
        <v>0</v>
      </c>
    </row>
    <row r="365" spans="5:20">
      <c r="E365">
        <v>175</v>
      </c>
      <c r="F365">
        <f>F179</f>
        <v>0</v>
      </c>
      <c r="G365">
        <v>175</v>
      </c>
      <c r="H365">
        <f>H179</f>
        <v>0</v>
      </c>
      <c r="K365">
        <v>175</v>
      </c>
      <c r="L365">
        <f>L179</f>
        <v>0</v>
      </c>
      <c r="M365">
        <v>175</v>
      </c>
      <c r="N365">
        <f>N179</f>
        <v>0</v>
      </c>
      <c r="Q365">
        <f>IF(Charts!$B$3="none",E1292,IF(K1292="",NA(),K1292))</f>
        <v>0</v>
      </c>
      <c r="R365">
        <f>IF(Charts!$B$3="none",F1292,IF(L1292="",NA(),L1292))</f>
        <v>0</v>
      </c>
      <c r="S365">
        <f>IF(Charts!$B$3="none",G1292,IF(M1292="",NA(),M1292))</f>
        <v>0</v>
      </c>
      <c r="T365">
        <f>IF(Charts!$B$3="none",H1292,IF(N1292="",NA(),N1292))</f>
        <v>0</v>
      </c>
    </row>
    <row r="366" spans="5:20">
      <c r="E366">
        <v>176</v>
      </c>
      <c r="F366">
        <f>F180</f>
        <v>0</v>
      </c>
      <c r="G366">
        <v>176</v>
      </c>
      <c r="H366">
        <f>H180</f>
        <v>0</v>
      </c>
      <c r="K366">
        <v>176</v>
      </c>
      <c r="L366">
        <f>L180</f>
        <v>0</v>
      </c>
      <c r="M366">
        <v>176</v>
      </c>
      <c r="N366">
        <f>N180</f>
        <v>0</v>
      </c>
      <c r="Q366">
        <f>IF(Charts!$B$3="none",E1293,IF(K1293="",NA(),K1293))</f>
        <v>0</v>
      </c>
      <c r="R366">
        <f>IF(Charts!$B$3="none",F1293,IF(L1293="",NA(),L1293))</f>
        <v>0</v>
      </c>
      <c r="S366">
        <f>IF(Charts!$B$3="none",G1293,IF(M1293="",NA(),M1293))</f>
        <v>0</v>
      </c>
      <c r="T366">
        <f>IF(Charts!$B$3="none",H1293,IF(N1293="",NA(),N1293))</f>
        <v>0</v>
      </c>
    </row>
    <row r="367" spans="5:20">
      <c r="E367">
        <v>177</v>
      </c>
      <c r="F367">
        <f>F181</f>
        <v>0</v>
      </c>
      <c r="G367">
        <v>177</v>
      </c>
      <c r="H367">
        <f>H181</f>
        <v>0</v>
      </c>
      <c r="K367">
        <v>177</v>
      </c>
      <c r="L367">
        <f>L181</f>
        <v>0</v>
      </c>
      <c r="M367">
        <v>177</v>
      </c>
      <c r="N367">
        <f>N181</f>
        <v>0</v>
      </c>
      <c r="Q367">
        <f>IF(Charts!$B$3="none",E1294,IF(K1294="",NA(),K1294))</f>
        <v>0</v>
      </c>
      <c r="R367">
        <f>IF(Charts!$B$3="none",F1294,IF(L1294="",NA(),L1294))</f>
        <v>0</v>
      </c>
      <c r="S367">
        <f>IF(Charts!$B$3="none",G1294,IF(M1294="",NA(),M1294))</f>
        <v>0</v>
      </c>
      <c r="T367">
        <f>IF(Charts!$B$3="none",H1294,IF(N1294="",NA(),N1294))</f>
        <v>0</v>
      </c>
    </row>
    <row r="368" spans="5:20">
      <c r="E368">
        <v>178</v>
      </c>
      <c r="F368">
        <f>F182</f>
        <v>0</v>
      </c>
      <c r="G368">
        <v>178</v>
      </c>
      <c r="H368">
        <f>H182</f>
        <v>0</v>
      </c>
      <c r="K368">
        <v>178</v>
      </c>
      <c r="L368">
        <f>L182</f>
        <v>0</v>
      </c>
      <c r="M368">
        <v>178</v>
      </c>
      <c r="N368">
        <f>N182</f>
        <v>0</v>
      </c>
      <c r="Q368">
        <f>IF(Charts!$B$3="none",E1295,IF(K1295="",NA(),K1295))</f>
        <v>0</v>
      </c>
      <c r="R368">
        <f>IF(Charts!$B$3="none",F1295,IF(L1295="",NA(),L1295))</f>
        <v>0</v>
      </c>
      <c r="S368">
        <f>IF(Charts!$B$3="none",G1295,IF(M1295="",NA(),M1295))</f>
        <v>0</v>
      </c>
      <c r="T368">
        <f>IF(Charts!$B$3="none",H1295,IF(N1295="",NA(),N1295))</f>
        <v>0</v>
      </c>
    </row>
    <row r="369" spans="5:20">
      <c r="E369">
        <v>179</v>
      </c>
      <c r="F369">
        <f>F183</f>
        <v>0</v>
      </c>
      <c r="G369">
        <v>179</v>
      </c>
      <c r="H369">
        <f>H183</f>
        <v>0</v>
      </c>
      <c r="K369">
        <v>179</v>
      </c>
      <c r="L369">
        <f>L183</f>
        <v>0</v>
      </c>
      <c r="M369">
        <v>179</v>
      </c>
      <c r="N369">
        <f>N183</f>
        <v>0</v>
      </c>
      <c r="Q369">
        <f>IF(Charts!$B$3="none",E1296,IF(K1296="",NA(),K1296))</f>
        <v>0</v>
      </c>
      <c r="R369">
        <f>IF(Charts!$B$3="none",F1296,IF(L1296="",NA(),L1296))</f>
        <v>0</v>
      </c>
      <c r="S369">
        <f>IF(Charts!$B$3="none",G1296,IF(M1296="",NA(),M1296))</f>
        <v>0</v>
      </c>
      <c r="T369">
        <f>IF(Charts!$B$3="none",H1296,IF(N1296="",NA(),N1296))</f>
        <v>0</v>
      </c>
    </row>
    <row r="370" spans="5:20">
      <c r="E370">
        <v>180</v>
      </c>
      <c r="F370">
        <f>F184</f>
        <v>0</v>
      </c>
      <c r="G370">
        <v>180</v>
      </c>
      <c r="H370">
        <f>H184</f>
        <v>0</v>
      </c>
      <c r="K370">
        <v>180</v>
      </c>
      <c r="L370">
        <f>L184</f>
        <v>0</v>
      </c>
      <c r="M370">
        <v>180</v>
      </c>
      <c r="N370">
        <f>N184</f>
        <v>0</v>
      </c>
      <c r="Q370">
        <f>IF(Charts!$B$3="none",E1297,IF(K1297="",NA(),K1297))</f>
        <v>0</v>
      </c>
      <c r="R370">
        <f>IF(Charts!$B$3="none",F1297,IF(L1297="",NA(),L1297))</f>
        <v>0</v>
      </c>
      <c r="S370">
        <f>IF(Charts!$B$3="none",G1297,IF(M1297="",NA(),M1297))</f>
        <v>0</v>
      </c>
      <c r="T370">
        <f>IF(Charts!$B$3="none",H1297,IF(N1297="",NA(),N1297))</f>
        <v>0</v>
      </c>
    </row>
    <row r="371" spans="5:20">
      <c r="E371">
        <v>181</v>
      </c>
      <c r="F371">
        <f>F185</f>
        <v>0</v>
      </c>
      <c r="G371">
        <v>181</v>
      </c>
      <c r="H371">
        <f>H185</f>
        <v>0</v>
      </c>
      <c r="K371">
        <v>181</v>
      </c>
      <c r="L371">
        <f>L185</f>
        <v>0</v>
      </c>
      <c r="M371">
        <v>181</v>
      </c>
      <c r="N371">
        <f>N185</f>
        <v>0</v>
      </c>
      <c r="Q371">
        <f>IF(Charts!$B$3="none",E1298,IF(K1298="",NA(),K1298))</f>
        <v>0</v>
      </c>
      <c r="R371">
        <f>IF(Charts!$B$3="none",F1298,IF(L1298="",NA(),L1298))</f>
        <v>0</v>
      </c>
      <c r="S371">
        <f>IF(Charts!$B$3="none",G1298,IF(M1298="",NA(),M1298))</f>
        <v>0</v>
      </c>
      <c r="T371">
        <f>IF(Charts!$B$3="none",H1298,IF(N1298="",NA(),N1298))</f>
        <v>0</v>
      </c>
    </row>
    <row r="372" spans="5:20">
      <c r="E372">
        <v>182</v>
      </c>
      <c r="F372">
        <f>F186</f>
        <v>0</v>
      </c>
      <c r="G372">
        <v>182</v>
      </c>
      <c r="H372">
        <f>H186</f>
        <v>0</v>
      </c>
      <c r="K372">
        <v>182</v>
      </c>
      <c r="L372">
        <f>L186</f>
        <v>0</v>
      </c>
      <c r="M372">
        <v>182</v>
      </c>
      <c r="N372">
        <f>N186</f>
        <v>0</v>
      </c>
      <c r="Q372">
        <f>IF(Charts!$B$3="none",E1299,IF(K1299="",NA(),K1299))</f>
        <v>0</v>
      </c>
      <c r="R372">
        <f>IF(Charts!$B$3="none",F1299,IF(L1299="",NA(),L1299))</f>
        <v>0</v>
      </c>
      <c r="S372">
        <f>IF(Charts!$B$3="none",G1299,IF(M1299="",NA(),M1299))</f>
        <v>0</v>
      </c>
      <c r="T372">
        <f>IF(Charts!$B$3="none",H1299,IF(N1299="",NA(),N1299))</f>
        <v>0</v>
      </c>
    </row>
    <row r="373" spans="5:20">
      <c r="E373">
        <v>183</v>
      </c>
      <c r="F373">
        <f>F187</f>
        <v>0</v>
      </c>
      <c r="G373">
        <v>183</v>
      </c>
      <c r="H373">
        <f>H187</f>
        <v>0</v>
      </c>
      <c r="K373">
        <v>183</v>
      </c>
      <c r="L373">
        <f>L187</f>
        <v>0</v>
      </c>
      <c r="M373">
        <v>183</v>
      </c>
      <c r="N373">
        <f>N187</f>
        <v>0</v>
      </c>
    </row>
    <row r="374" spans="5:20">
      <c r="E374">
        <v>184</v>
      </c>
      <c r="F374">
        <f>F188</f>
        <v>0</v>
      </c>
      <c r="G374">
        <v>184</v>
      </c>
      <c r="H374">
        <f>H188</f>
        <v>0</v>
      </c>
      <c r="K374">
        <v>184</v>
      </c>
      <c r="L374">
        <f>L188</f>
        <v>0</v>
      </c>
      <c r="M374">
        <v>184</v>
      </c>
      <c r="N374">
        <f>N188</f>
        <v>0</v>
      </c>
    </row>
    <row r="375" spans="5:20">
      <c r="E375">
        <v>2</v>
      </c>
      <c r="F375">
        <f>IF(F6="","",F5)</f>
        <v>0</v>
      </c>
      <c r="G375">
        <v>2</v>
      </c>
      <c r="H375">
        <f>H5</f>
        <v>0</v>
      </c>
      <c r="K375">
        <v>2</v>
      </c>
      <c r="L375">
        <f>IF(L6="","",L5)</f>
        <v>0</v>
      </c>
      <c r="M375">
        <v>2</v>
      </c>
      <c r="N375">
        <f>N5</f>
        <v>0</v>
      </c>
    </row>
    <row r="376" spans="5:20">
      <c r="E376">
        <v>3</v>
      </c>
      <c r="F376">
        <f>IF(F7="","",F6)</f>
        <v>0</v>
      </c>
      <c r="G376">
        <v>3</v>
      </c>
      <c r="H376">
        <f>H6</f>
        <v>0</v>
      </c>
      <c r="K376">
        <v>3</v>
      </c>
      <c r="L376">
        <f>IF(L7="","",L6)</f>
        <v>0</v>
      </c>
      <c r="M376">
        <v>3</v>
      </c>
      <c r="N376">
        <f>N6</f>
        <v>0</v>
      </c>
    </row>
    <row r="377" spans="5:20">
      <c r="E377">
        <v>4</v>
      </c>
      <c r="F377">
        <f>IF(F8="","",F7)</f>
        <v>0</v>
      </c>
      <c r="G377">
        <v>4</v>
      </c>
      <c r="H377">
        <f>H7</f>
        <v>0</v>
      </c>
      <c r="K377">
        <v>4</v>
      </c>
      <c r="L377">
        <f>IF(L8="","",L7)</f>
        <v>0</v>
      </c>
      <c r="M377">
        <v>4</v>
      </c>
      <c r="N377">
        <f>N7</f>
        <v>0</v>
      </c>
    </row>
    <row r="378" spans="5:20">
      <c r="E378">
        <v>5</v>
      </c>
      <c r="F378">
        <f>IF(F9="","",F8)</f>
        <v>0</v>
      </c>
      <c r="G378">
        <v>5</v>
      </c>
      <c r="H378">
        <f>H8</f>
        <v>0</v>
      </c>
      <c r="K378">
        <v>5</v>
      </c>
      <c r="L378">
        <f>IF(L9="","",L8)</f>
        <v>0</v>
      </c>
      <c r="M378">
        <v>5</v>
      </c>
      <c r="N378">
        <f>N8</f>
        <v>0</v>
      </c>
    </row>
    <row r="379" spans="5:20">
      <c r="E379">
        <v>6</v>
      </c>
      <c r="F379">
        <f>IF(F10="","",F9)</f>
        <v>0</v>
      </c>
      <c r="G379">
        <v>6</v>
      </c>
      <c r="H379">
        <f>H9</f>
        <v>0</v>
      </c>
      <c r="K379">
        <v>6</v>
      </c>
      <c r="L379">
        <f>IF(L10="","",L9)</f>
        <v>0</v>
      </c>
      <c r="M379">
        <v>6</v>
      </c>
      <c r="N379">
        <f>N9</f>
        <v>0</v>
      </c>
    </row>
    <row r="380" spans="5:20">
      <c r="E380">
        <v>7</v>
      </c>
      <c r="F380">
        <f>IF(F11="","",F10)</f>
        <v>0</v>
      </c>
      <c r="G380">
        <v>7</v>
      </c>
      <c r="H380">
        <f>H10</f>
        <v>0</v>
      </c>
      <c r="K380">
        <v>7</v>
      </c>
      <c r="L380">
        <f>IF(L11="","",L10)</f>
        <v>0</v>
      </c>
      <c r="M380">
        <v>7</v>
      </c>
      <c r="N380">
        <f>N10</f>
        <v>0</v>
      </c>
    </row>
    <row r="381" spans="5:20">
      <c r="E381">
        <v>8</v>
      </c>
      <c r="F381">
        <f>IF(F12="","",F11)</f>
        <v>0</v>
      </c>
      <c r="G381">
        <v>8</v>
      </c>
      <c r="H381">
        <f>H11</f>
        <v>0</v>
      </c>
      <c r="K381">
        <v>8</v>
      </c>
      <c r="L381">
        <f>IF(L12="","",L11)</f>
        <v>0</v>
      </c>
      <c r="M381">
        <v>8</v>
      </c>
      <c r="N381">
        <f>N11</f>
        <v>0</v>
      </c>
    </row>
    <row r="382" spans="5:20">
      <c r="E382">
        <v>9</v>
      </c>
      <c r="F382">
        <f>IF(F13="","",F12)</f>
        <v>0</v>
      </c>
      <c r="G382">
        <v>9</v>
      </c>
      <c r="H382">
        <f>H12</f>
        <v>0</v>
      </c>
      <c r="K382">
        <v>9</v>
      </c>
      <c r="L382">
        <f>IF(L13="","",L12)</f>
        <v>0</v>
      </c>
      <c r="M382">
        <v>9</v>
      </c>
      <c r="N382">
        <f>N12</f>
        <v>0</v>
      </c>
    </row>
    <row r="383" spans="5:20">
      <c r="E383">
        <v>10</v>
      </c>
      <c r="F383">
        <f>IF(F14="","",F13)</f>
        <v>0</v>
      </c>
      <c r="G383">
        <v>10</v>
      </c>
      <c r="H383">
        <f>H13</f>
        <v>0</v>
      </c>
      <c r="K383">
        <v>10</v>
      </c>
      <c r="L383">
        <f>IF(L14="","",L13)</f>
        <v>0</v>
      </c>
      <c r="M383">
        <v>10</v>
      </c>
      <c r="N383">
        <f>N13</f>
        <v>0</v>
      </c>
    </row>
    <row r="384" spans="5:20">
      <c r="E384">
        <v>11</v>
      </c>
      <c r="F384">
        <f>IF(F15="","",F14)</f>
        <v>0</v>
      </c>
      <c r="G384">
        <v>11</v>
      </c>
      <c r="H384">
        <f>H14</f>
        <v>0</v>
      </c>
      <c r="K384">
        <v>11</v>
      </c>
      <c r="L384">
        <f>IF(L15="","",L14)</f>
        <v>0</v>
      </c>
      <c r="M384">
        <v>11</v>
      </c>
      <c r="N384">
        <f>N14</f>
        <v>0</v>
      </c>
    </row>
    <row r="385" spans="5:14">
      <c r="E385">
        <v>12</v>
      </c>
      <c r="F385">
        <f>IF(F16="","",F15)</f>
        <v>0</v>
      </c>
      <c r="G385">
        <v>12</v>
      </c>
      <c r="H385">
        <f>H15</f>
        <v>0</v>
      </c>
      <c r="K385">
        <v>12</v>
      </c>
      <c r="L385">
        <f>IF(L16="","",L15)</f>
        <v>0</v>
      </c>
      <c r="M385">
        <v>12</v>
      </c>
      <c r="N385">
        <f>N15</f>
        <v>0</v>
      </c>
    </row>
    <row r="386" spans="5:14">
      <c r="E386">
        <v>13</v>
      </c>
      <c r="F386">
        <f>IF(F17="","",F16)</f>
        <v>0</v>
      </c>
      <c r="G386">
        <v>13</v>
      </c>
      <c r="H386">
        <f>H16</f>
        <v>0</v>
      </c>
      <c r="K386">
        <v>13</v>
      </c>
      <c r="L386">
        <f>IF(L17="","",L16)</f>
        <v>0</v>
      </c>
      <c r="M386">
        <v>13</v>
      </c>
      <c r="N386">
        <f>N16</f>
        <v>0</v>
      </c>
    </row>
    <row r="387" spans="5:14">
      <c r="E387">
        <v>14</v>
      </c>
      <c r="F387">
        <f>IF(F18="","",F17)</f>
        <v>0</v>
      </c>
      <c r="G387">
        <v>14</v>
      </c>
      <c r="H387">
        <f>H17</f>
        <v>0</v>
      </c>
      <c r="K387">
        <v>14</v>
      </c>
      <c r="L387">
        <f>IF(L18="","",L17)</f>
        <v>0</v>
      </c>
      <c r="M387">
        <v>14</v>
      </c>
      <c r="N387">
        <f>N17</f>
        <v>0</v>
      </c>
    </row>
    <row r="388" spans="5:14">
      <c r="E388">
        <v>15</v>
      </c>
      <c r="F388">
        <f>IF(F19="","",F18)</f>
        <v>0</v>
      </c>
      <c r="G388">
        <v>15</v>
      </c>
      <c r="H388">
        <f>H18</f>
        <v>0</v>
      </c>
      <c r="K388">
        <v>15</v>
      </c>
      <c r="L388">
        <f>IF(L19="","",L18)</f>
        <v>0</v>
      </c>
      <c r="M388">
        <v>15</v>
      </c>
      <c r="N388">
        <f>N18</f>
        <v>0</v>
      </c>
    </row>
    <row r="389" spans="5:14">
      <c r="E389">
        <v>16</v>
      </c>
      <c r="F389">
        <f>IF(F20="","",F19)</f>
        <v>0</v>
      </c>
      <c r="G389">
        <v>16</v>
      </c>
      <c r="H389">
        <f>H19</f>
        <v>0</v>
      </c>
      <c r="K389">
        <v>16</v>
      </c>
      <c r="L389">
        <f>IF(L20="","",L19)</f>
        <v>0</v>
      </c>
      <c r="M389">
        <v>16</v>
      </c>
      <c r="N389">
        <f>N19</f>
        <v>0</v>
      </c>
    </row>
    <row r="390" spans="5:14">
      <c r="E390">
        <v>17</v>
      </c>
      <c r="F390">
        <f>IF(F21="","",F20)</f>
        <v>0</v>
      </c>
      <c r="G390">
        <v>17</v>
      </c>
      <c r="H390">
        <f>H20</f>
        <v>0</v>
      </c>
      <c r="K390">
        <v>17</v>
      </c>
      <c r="L390">
        <f>IF(L21="","",L20)</f>
        <v>0</v>
      </c>
      <c r="M390">
        <v>17</v>
      </c>
      <c r="N390">
        <f>N20</f>
        <v>0</v>
      </c>
    </row>
    <row r="391" spans="5:14">
      <c r="E391">
        <v>18</v>
      </c>
      <c r="F391">
        <f>IF(F22="","",F21)</f>
        <v>0</v>
      </c>
      <c r="G391">
        <v>18</v>
      </c>
      <c r="H391">
        <f>H21</f>
        <v>0</v>
      </c>
      <c r="K391">
        <v>18</v>
      </c>
      <c r="L391">
        <f>IF(L22="","",L21)</f>
        <v>0</v>
      </c>
      <c r="M391">
        <v>18</v>
      </c>
      <c r="N391">
        <f>N21</f>
        <v>0</v>
      </c>
    </row>
    <row r="392" spans="5:14">
      <c r="E392">
        <v>19</v>
      </c>
      <c r="F392">
        <f>IF(F23="","",F22)</f>
        <v>0</v>
      </c>
      <c r="G392">
        <v>19</v>
      </c>
      <c r="H392">
        <f>H22</f>
        <v>0</v>
      </c>
      <c r="K392">
        <v>19</v>
      </c>
      <c r="L392">
        <f>IF(L23="","",L22)</f>
        <v>0</v>
      </c>
      <c r="M392">
        <v>19</v>
      </c>
      <c r="N392">
        <f>N22</f>
        <v>0</v>
      </c>
    </row>
    <row r="393" spans="5:14">
      <c r="E393">
        <v>20</v>
      </c>
      <c r="F393">
        <f>IF(F24="","",F23)</f>
        <v>0</v>
      </c>
      <c r="G393">
        <v>20</v>
      </c>
      <c r="H393">
        <f>H23</f>
        <v>0</v>
      </c>
      <c r="K393">
        <v>20</v>
      </c>
      <c r="L393">
        <f>IF(L24="","",L23)</f>
        <v>0</v>
      </c>
      <c r="M393">
        <v>20</v>
      </c>
      <c r="N393">
        <f>N23</f>
        <v>0</v>
      </c>
    </row>
    <row r="394" spans="5:14">
      <c r="E394">
        <v>21</v>
      </c>
      <c r="F394">
        <f>IF(F25="","",F24)</f>
        <v>0</v>
      </c>
      <c r="G394">
        <v>21</v>
      </c>
      <c r="H394">
        <f>H24</f>
        <v>0</v>
      </c>
      <c r="K394">
        <v>21</v>
      </c>
      <c r="L394">
        <f>IF(L25="","",L24)</f>
        <v>0</v>
      </c>
      <c r="M394">
        <v>21</v>
      </c>
      <c r="N394">
        <f>N24</f>
        <v>0</v>
      </c>
    </row>
    <row r="395" spans="5:14">
      <c r="E395">
        <v>22</v>
      </c>
      <c r="F395">
        <f>IF(F26="","",F25)</f>
        <v>0</v>
      </c>
      <c r="G395">
        <v>22</v>
      </c>
      <c r="H395">
        <f>H25</f>
        <v>0</v>
      </c>
      <c r="K395">
        <v>22</v>
      </c>
      <c r="L395">
        <f>IF(L26="","",L25)</f>
        <v>0</v>
      </c>
      <c r="M395">
        <v>22</v>
      </c>
      <c r="N395">
        <f>N25</f>
        <v>0</v>
      </c>
    </row>
    <row r="396" spans="5:14">
      <c r="E396">
        <v>23</v>
      </c>
      <c r="F396">
        <f>IF(F27="","",F26)</f>
        <v>0</v>
      </c>
      <c r="G396">
        <v>23</v>
      </c>
      <c r="H396">
        <f>H26</f>
        <v>0</v>
      </c>
      <c r="K396">
        <v>23</v>
      </c>
      <c r="L396">
        <f>IF(L27="","",L26)</f>
        <v>0</v>
      </c>
      <c r="M396">
        <v>23</v>
      </c>
      <c r="N396">
        <f>N26</f>
        <v>0</v>
      </c>
    </row>
    <row r="397" spans="5:14">
      <c r="E397">
        <v>24</v>
      </c>
      <c r="F397">
        <f>IF(F28="","",F27)</f>
        <v>0</v>
      </c>
      <c r="G397">
        <v>24</v>
      </c>
      <c r="H397">
        <f>H27</f>
        <v>0</v>
      </c>
      <c r="K397">
        <v>24</v>
      </c>
      <c r="L397">
        <f>IF(L28="","",L27)</f>
        <v>0</v>
      </c>
      <c r="M397">
        <v>24</v>
      </c>
      <c r="N397">
        <f>N27</f>
        <v>0</v>
      </c>
    </row>
    <row r="398" spans="5:14">
      <c r="E398">
        <v>25</v>
      </c>
      <c r="F398">
        <f>IF(F29="","",F28)</f>
        <v>0</v>
      </c>
      <c r="G398">
        <v>25</v>
      </c>
      <c r="H398">
        <f>H28</f>
        <v>0</v>
      </c>
      <c r="K398">
        <v>25</v>
      </c>
      <c r="L398">
        <f>IF(L29="","",L28)</f>
        <v>0</v>
      </c>
      <c r="M398">
        <v>25</v>
      </c>
      <c r="N398">
        <f>N28</f>
        <v>0</v>
      </c>
    </row>
    <row r="399" spans="5:14">
      <c r="E399">
        <v>26</v>
      </c>
      <c r="F399">
        <f>IF(F30="","",F29)</f>
        <v>0</v>
      </c>
      <c r="G399">
        <v>26</v>
      </c>
      <c r="H399">
        <f>H29</f>
        <v>0</v>
      </c>
      <c r="K399">
        <v>26</v>
      </c>
      <c r="L399">
        <f>IF(L30="","",L29)</f>
        <v>0</v>
      </c>
      <c r="M399">
        <v>26</v>
      </c>
      <c r="N399">
        <f>N29</f>
        <v>0</v>
      </c>
    </row>
    <row r="400" spans="5:14">
      <c r="E400">
        <v>27</v>
      </c>
      <c r="F400">
        <f>IF(F31="","",F30)</f>
        <v>0</v>
      </c>
      <c r="G400">
        <v>27</v>
      </c>
      <c r="H400">
        <f>H30</f>
        <v>0</v>
      </c>
      <c r="K400">
        <v>27</v>
      </c>
      <c r="L400">
        <f>IF(L31="","",L30)</f>
        <v>0</v>
      </c>
      <c r="M400">
        <v>27</v>
      </c>
      <c r="N400">
        <f>N30</f>
        <v>0</v>
      </c>
    </row>
    <row r="401" spans="5:14">
      <c r="E401">
        <v>28</v>
      </c>
      <c r="F401">
        <f>IF(F32="","",F31)</f>
        <v>0</v>
      </c>
      <c r="G401">
        <v>28</v>
      </c>
      <c r="H401">
        <f>H31</f>
        <v>0</v>
      </c>
      <c r="K401">
        <v>28</v>
      </c>
      <c r="L401">
        <f>IF(L32="","",L31)</f>
        <v>0</v>
      </c>
      <c r="M401">
        <v>28</v>
      </c>
      <c r="N401">
        <f>N31</f>
        <v>0</v>
      </c>
    </row>
    <row r="402" spans="5:14">
      <c r="E402">
        <v>29</v>
      </c>
      <c r="F402">
        <f>IF(F33="","",F32)</f>
        <v>0</v>
      </c>
      <c r="G402">
        <v>29</v>
      </c>
      <c r="H402">
        <f>H32</f>
        <v>0</v>
      </c>
      <c r="K402">
        <v>29</v>
      </c>
      <c r="L402">
        <f>IF(L33="","",L32)</f>
        <v>0</v>
      </c>
      <c r="M402">
        <v>29</v>
      </c>
      <c r="N402">
        <f>N32</f>
        <v>0</v>
      </c>
    </row>
    <row r="403" spans="5:14">
      <c r="E403">
        <v>30</v>
      </c>
      <c r="F403">
        <f>IF(F34="","",F33)</f>
        <v>0</v>
      </c>
      <c r="G403">
        <v>30</v>
      </c>
      <c r="H403">
        <f>H33</f>
        <v>0</v>
      </c>
      <c r="K403">
        <v>30</v>
      </c>
      <c r="L403">
        <f>IF(L34="","",L33)</f>
        <v>0</v>
      </c>
      <c r="M403">
        <v>30</v>
      </c>
      <c r="N403">
        <f>N33</f>
        <v>0</v>
      </c>
    </row>
    <row r="404" spans="5:14">
      <c r="E404">
        <v>31</v>
      </c>
      <c r="F404">
        <f>IF(F35="","",F34)</f>
        <v>0</v>
      </c>
      <c r="G404">
        <v>31</v>
      </c>
      <c r="H404">
        <f>H34</f>
        <v>0</v>
      </c>
      <c r="K404">
        <v>31</v>
      </c>
      <c r="L404">
        <f>IF(L35="","",L34)</f>
        <v>0</v>
      </c>
      <c r="M404">
        <v>31</v>
      </c>
      <c r="N404">
        <f>N34</f>
        <v>0</v>
      </c>
    </row>
    <row r="405" spans="5:14">
      <c r="E405">
        <v>32</v>
      </c>
      <c r="F405">
        <f>IF(F36="","",F35)</f>
        <v>0</v>
      </c>
      <c r="G405">
        <v>32</v>
      </c>
      <c r="H405">
        <f>H35</f>
        <v>0</v>
      </c>
      <c r="K405">
        <v>32</v>
      </c>
      <c r="L405">
        <f>IF(L36="","",L35)</f>
        <v>0</v>
      </c>
      <c r="M405">
        <v>32</v>
      </c>
      <c r="N405">
        <f>N35</f>
        <v>0</v>
      </c>
    </row>
    <row r="406" spans="5:14">
      <c r="E406">
        <v>33</v>
      </c>
      <c r="F406">
        <f>IF(F37="","",F36)</f>
        <v>0</v>
      </c>
      <c r="G406">
        <v>33</v>
      </c>
      <c r="H406">
        <f>H36</f>
        <v>0</v>
      </c>
      <c r="K406">
        <v>33</v>
      </c>
      <c r="L406">
        <f>IF(L37="","",L36)</f>
        <v>0</v>
      </c>
      <c r="M406">
        <v>33</v>
      </c>
      <c r="N406">
        <f>N36</f>
        <v>0</v>
      </c>
    </row>
    <row r="407" spans="5:14">
      <c r="E407">
        <v>34</v>
      </c>
      <c r="F407">
        <f>IF(F38="","",F37)</f>
        <v>0</v>
      </c>
      <c r="G407">
        <v>34</v>
      </c>
      <c r="H407">
        <f>H37</f>
        <v>0</v>
      </c>
      <c r="K407">
        <v>34</v>
      </c>
      <c r="L407">
        <f>IF(L38="","",L37)</f>
        <v>0</v>
      </c>
      <c r="M407">
        <v>34</v>
      </c>
      <c r="N407">
        <f>N37</f>
        <v>0</v>
      </c>
    </row>
    <row r="408" spans="5:14">
      <c r="E408">
        <v>35</v>
      </c>
      <c r="F408">
        <f>IF(F39="","",F38)</f>
        <v>0</v>
      </c>
      <c r="G408">
        <v>35</v>
      </c>
      <c r="H408">
        <f>H38</f>
        <v>0</v>
      </c>
      <c r="K408">
        <v>35</v>
      </c>
      <c r="L408">
        <f>IF(L39="","",L38)</f>
        <v>0</v>
      </c>
      <c r="M408">
        <v>35</v>
      </c>
      <c r="N408">
        <f>N38</f>
        <v>0</v>
      </c>
    </row>
    <row r="409" spans="5:14">
      <c r="E409">
        <v>36</v>
      </c>
      <c r="F409">
        <f>IF(F40="","",F39)</f>
        <v>0</v>
      </c>
      <c r="G409">
        <v>36</v>
      </c>
      <c r="H409">
        <f>H39</f>
        <v>0</v>
      </c>
      <c r="K409">
        <v>36</v>
      </c>
      <c r="L409">
        <f>IF(L40="","",L39)</f>
        <v>0</v>
      </c>
      <c r="M409">
        <v>36</v>
      </c>
      <c r="N409">
        <f>N39</f>
        <v>0</v>
      </c>
    </row>
    <row r="410" spans="5:14">
      <c r="E410">
        <v>37</v>
      </c>
      <c r="F410">
        <f>IF(F41="","",F40)</f>
        <v>0</v>
      </c>
      <c r="G410">
        <v>37</v>
      </c>
      <c r="H410">
        <f>H40</f>
        <v>0</v>
      </c>
      <c r="K410">
        <v>37</v>
      </c>
      <c r="L410">
        <f>IF(L41="","",L40)</f>
        <v>0</v>
      </c>
      <c r="M410">
        <v>37</v>
      </c>
      <c r="N410">
        <f>N40</f>
        <v>0</v>
      </c>
    </row>
    <row r="411" spans="5:14">
      <c r="E411">
        <v>38</v>
      </c>
      <c r="F411">
        <f>IF(F42="","",F41)</f>
        <v>0</v>
      </c>
      <c r="G411">
        <v>38</v>
      </c>
      <c r="H411">
        <f>H41</f>
        <v>0</v>
      </c>
      <c r="K411">
        <v>38</v>
      </c>
      <c r="L411">
        <f>IF(L42="","",L41)</f>
        <v>0</v>
      </c>
      <c r="M411">
        <v>38</v>
      </c>
      <c r="N411">
        <f>N41</f>
        <v>0</v>
      </c>
    </row>
    <row r="412" spans="5:14">
      <c r="E412">
        <v>39</v>
      </c>
      <c r="F412">
        <f>IF(F43="","",F42)</f>
        <v>0</v>
      </c>
      <c r="G412">
        <v>39</v>
      </c>
      <c r="H412">
        <f>H42</f>
        <v>0</v>
      </c>
      <c r="K412">
        <v>39</v>
      </c>
      <c r="L412">
        <f>IF(L43="","",L42)</f>
        <v>0</v>
      </c>
      <c r="M412">
        <v>39</v>
      </c>
      <c r="N412">
        <f>N42</f>
        <v>0</v>
      </c>
    </row>
    <row r="413" spans="5:14">
      <c r="E413">
        <v>40</v>
      </c>
      <c r="F413">
        <f>IF(F44="","",F43)</f>
        <v>0</v>
      </c>
      <c r="G413">
        <v>40</v>
      </c>
      <c r="H413">
        <f>H43</f>
        <v>0</v>
      </c>
      <c r="K413">
        <v>40</v>
      </c>
      <c r="L413">
        <f>IF(L44="","",L43)</f>
        <v>0</v>
      </c>
      <c r="M413">
        <v>40</v>
      </c>
      <c r="N413">
        <f>N43</f>
        <v>0</v>
      </c>
    </row>
    <row r="414" spans="5:14">
      <c r="E414">
        <v>41</v>
      </c>
      <c r="F414">
        <f>IF(F45="","",F44)</f>
        <v>0</v>
      </c>
      <c r="G414">
        <v>41</v>
      </c>
      <c r="H414">
        <f>H44</f>
        <v>0</v>
      </c>
      <c r="K414">
        <v>41</v>
      </c>
      <c r="L414">
        <f>IF(L45="","",L44)</f>
        <v>0</v>
      </c>
      <c r="M414">
        <v>41</v>
      </c>
      <c r="N414">
        <f>N44</f>
        <v>0</v>
      </c>
    </row>
    <row r="415" spans="5:14">
      <c r="E415">
        <v>42</v>
      </c>
      <c r="F415">
        <f>IF(F46="","",F45)</f>
        <v>0</v>
      </c>
      <c r="G415">
        <v>42</v>
      </c>
      <c r="H415">
        <f>H45</f>
        <v>0</v>
      </c>
      <c r="K415">
        <v>42</v>
      </c>
      <c r="L415">
        <f>IF(L46="","",L45)</f>
        <v>0</v>
      </c>
      <c r="M415">
        <v>42</v>
      </c>
      <c r="N415">
        <f>N45</f>
        <v>0</v>
      </c>
    </row>
    <row r="416" spans="5:14">
      <c r="E416">
        <v>43</v>
      </c>
      <c r="F416">
        <f>IF(F47="","",F46)</f>
        <v>0</v>
      </c>
      <c r="G416">
        <v>43</v>
      </c>
      <c r="H416">
        <f>H46</f>
        <v>0</v>
      </c>
      <c r="K416">
        <v>43</v>
      </c>
      <c r="L416">
        <f>IF(L47="","",L46)</f>
        <v>0</v>
      </c>
      <c r="M416">
        <v>43</v>
      </c>
      <c r="N416">
        <f>N46</f>
        <v>0</v>
      </c>
    </row>
    <row r="417" spans="5:14">
      <c r="E417">
        <v>44</v>
      </c>
      <c r="F417">
        <f>IF(F48="","",F47)</f>
        <v>0</v>
      </c>
      <c r="G417">
        <v>44</v>
      </c>
      <c r="H417">
        <f>H47</f>
        <v>0</v>
      </c>
      <c r="K417">
        <v>44</v>
      </c>
      <c r="L417">
        <f>IF(L48="","",L47)</f>
        <v>0</v>
      </c>
      <c r="M417">
        <v>44</v>
      </c>
      <c r="N417">
        <f>N47</f>
        <v>0</v>
      </c>
    </row>
    <row r="418" spans="5:14">
      <c r="E418">
        <v>45</v>
      </c>
      <c r="F418">
        <f>IF(F49="","",F48)</f>
        <v>0</v>
      </c>
      <c r="G418">
        <v>45</v>
      </c>
      <c r="H418">
        <f>H48</f>
        <v>0</v>
      </c>
      <c r="K418">
        <v>45</v>
      </c>
      <c r="L418">
        <f>IF(L49="","",L48)</f>
        <v>0</v>
      </c>
      <c r="M418">
        <v>45</v>
      </c>
      <c r="N418">
        <f>N48</f>
        <v>0</v>
      </c>
    </row>
    <row r="419" spans="5:14">
      <c r="E419">
        <v>46</v>
      </c>
      <c r="F419">
        <f>IF(F50="","",F49)</f>
        <v>0</v>
      </c>
      <c r="G419">
        <v>46</v>
      </c>
      <c r="H419">
        <f>H49</f>
        <v>0</v>
      </c>
      <c r="K419">
        <v>46</v>
      </c>
      <c r="L419">
        <f>IF(L50="","",L49)</f>
        <v>0</v>
      </c>
      <c r="M419">
        <v>46</v>
      </c>
      <c r="N419">
        <f>N49</f>
        <v>0</v>
      </c>
    </row>
    <row r="420" spans="5:14">
      <c r="E420">
        <v>47</v>
      </c>
      <c r="F420">
        <f>IF(F51="","",F50)</f>
        <v>0</v>
      </c>
      <c r="G420">
        <v>47</v>
      </c>
      <c r="H420">
        <f>H50</f>
        <v>0</v>
      </c>
      <c r="K420">
        <v>47</v>
      </c>
      <c r="L420">
        <f>IF(L51="","",L50)</f>
        <v>0</v>
      </c>
      <c r="M420">
        <v>47</v>
      </c>
      <c r="N420">
        <f>N50</f>
        <v>0</v>
      </c>
    </row>
    <row r="421" spans="5:14">
      <c r="E421">
        <v>48</v>
      </c>
      <c r="F421">
        <f>IF(F52="","",F51)</f>
        <v>0</v>
      </c>
      <c r="G421">
        <v>48</v>
      </c>
      <c r="H421">
        <f>H51</f>
        <v>0</v>
      </c>
      <c r="K421">
        <v>48</v>
      </c>
      <c r="L421">
        <f>IF(L52="","",L51)</f>
        <v>0</v>
      </c>
      <c r="M421">
        <v>48</v>
      </c>
      <c r="N421">
        <f>N51</f>
        <v>0</v>
      </c>
    </row>
    <row r="422" spans="5:14">
      <c r="E422">
        <v>49</v>
      </c>
      <c r="F422">
        <f>IF(F53="","",F52)</f>
        <v>0</v>
      </c>
      <c r="G422">
        <v>49</v>
      </c>
      <c r="H422">
        <f>H52</f>
        <v>0</v>
      </c>
      <c r="K422">
        <v>49</v>
      </c>
      <c r="L422">
        <f>IF(L53="","",L52)</f>
        <v>0</v>
      </c>
      <c r="M422">
        <v>49</v>
      </c>
      <c r="N422">
        <f>N52</f>
        <v>0</v>
      </c>
    </row>
    <row r="423" spans="5:14">
      <c r="E423">
        <v>50</v>
      </c>
      <c r="F423">
        <f>IF(F54="","",F53)</f>
        <v>0</v>
      </c>
      <c r="G423">
        <v>50</v>
      </c>
      <c r="H423">
        <f>H53</f>
        <v>0</v>
      </c>
      <c r="K423">
        <v>50</v>
      </c>
      <c r="L423">
        <f>IF(L54="","",L53)</f>
        <v>0</v>
      </c>
      <c r="M423">
        <v>50</v>
      </c>
      <c r="N423">
        <f>N53</f>
        <v>0</v>
      </c>
    </row>
    <row r="424" spans="5:14">
      <c r="E424">
        <v>51</v>
      </c>
      <c r="F424">
        <f>IF(F55="","",F54)</f>
        <v>0</v>
      </c>
      <c r="G424">
        <v>51</v>
      </c>
      <c r="H424">
        <f>H54</f>
        <v>0</v>
      </c>
      <c r="K424">
        <v>51</v>
      </c>
      <c r="L424">
        <f>IF(L55="","",L54)</f>
        <v>0</v>
      </c>
      <c r="M424">
        <v>51</v>
      </c>
      <c r="N424">
        <f>N54</f>
        <v>0</v>
      </c>
    </row>
    <row r="425" spans="5:14">
      <c r="E425">
        <v>52</v>
      </c>
      <c r="F425">
        <f>IF(F56="","",F55)</f>
        <v>0</v>
      </c>
      <c r="G425">
        <v>52</v>
      </c>
      <c r="H425">
        <f>H55</f>
        <v>0</v>
      </c>
      <c r="K425">
        <v>52</v>
      </c>
      <c r="L425">
        <f>IF(L56="","",L55)</f>
        <v>0</v>
      </c>
      <c r="M425">
        <v>52</v>
      </c>
      <c r="N425">
        <f>N55</f>
        <v>0</v>
      </c>
    </row>
    <row r="426" spans="5:14">
      <c r="E426">
        <v>53</v>
      </c>
      <c r="F426">
        <f>IF(F57="","",F56)</f>
        <v>0</v>
      </c>
      <c r="G426">
        <v>53</v>
      </c>
      <c r="H426">
        <f>H56</f>
        <v>0</v>
      </c>
      <c r="K426">
        <v>53</v>
      </c>
      <c r="L426">
        <f>IF(L57="","",L56)</f>
        <v>0</v>
      </c>
      <c r="M426">
        <v>53</v>
      </c>
      <c r="N426">
        <f>N56</f>
        <v>0</v>
      </c>
    </row>
    <row r="427" spans="5:14">
      <c r="E427">
        <v>54</v>
      </c>
      <c r="F427">
        <f>IF(F58="","",F57)</f>
        <v>0</v>
      </c>
      <c r="G427">
        <v>54</v>
      </c>
      <c r="H427">
        <f>H57</f>
        <v>0</v>
      </c>
      <c r="K427">
        <v>54</v>
      </c>
      <c r="L427">
        <f>IF(L58="","",L57)</f>
        <v>0</v>
      </c>
      <c r="M427">
        <v>54</v>
      </c>
      <c r="N427">
        <f>N57</f>
        <v>0</v>
      </c>
    </row>
    <row r="428" spans="5:14">
      <c r="E428">
        <v>55</v>
      </c>
      <c r="F428">
        <f>IF(F59="","",F58)</f>
        <v>0</v>
      </c>
      <c r="G428">
        <v>55</v>
      </c>
      <c r="H428">
        <f>H58</f>
        <v>0</v>
      </c>
      <c r="K428">
        <v>55</v>
      </c>
      <c r="L428">
        <f>IF(L59="","",L58)</f>
        <v>0</v>
      </c>
      <c r="M428">
        <v>55</v>
      </c>
      <c r="N428">
        <f>N58</f>
        <v>0</v>
      </c>
    </row>
    <row r="429" spans="5:14">
      <c r="E429">
        <v>56</v>
      </c>
      <c r="F429">
        <f>IF(F60="","",F59)</f>
        <v>0</v>
      </c>
      <c r="G429">
        <v>56</v>
      </c>
      <c r="H429">
        <f>H59</f>
        <v>0</v>
      </c>
      <c r="K429">
        <v>56</v>
      </c>
      <c r="L429">
        <f>IF(L60="","",L59)</f>
        <v>0</v>
      </c>
      <c r="M429">
        <v>56</v>
      </c>
      <c r="N429">
        <f>N59</f>
        <v>0</v>
      </c>
    </row>
    <row r="430" spans="5:14">
      <c r="E430">
        <v>57</v>
      </c>
      <c r="F430">
        <f>IF(F61="","",F60)</f>
        <v>0</v>
      </c>
      <c r="G430">
        <v>57</v>
      </c>
      <c r="H430">
        <f>H60</f>
        <v>0</v>
      </c>
      <c r="K430">
        <v>57</v>
      </c>
      <c r="L430">
        <f>IF(L61="","",L60)</f>
        <v>0</v>
      </c>
      <c r="M430">
        <v>57</v>
      </c>
      <c r="N430">
        <f>N60</f>
        <v>0</v>
      </c>
    </row>
    <row r="431" spans="5:14">
      <c r="E431">
        <v>58</v>
      </c>
      <c r="F431">
        <f>IF(F62="","",F61)</f>
        <v>0</v>
      </c>
      <c r="G431">
        <v>58</v>
      </c>
      <c r="H431">
        <f>H61</f>
        <v>0</v>
      </c>
      <c r="K431">
        <v>58</v>
      </c>
      <c r="L431">
        <f>IF(L62="","",L61)</f>
        <v>0</v>
      </c>
      <c r="M431">
        <v>58</v>
      </c>
      <c r="N431">
        <f>N61</f>
        <v>0</v>
      </c>
    </row>
    <row r="432" spans="5:14">
      <c r="E432">
        <v>59</v>
      </c>
      <c r="F432">
        <f>IF(F63="","",F62)</f>
        <v>0</v>
      </c>
      <c r="G432">
        <v>59</v>
      </c>
      <c r="H432">
        <f>H62</f>
        <v>0</v>
      </c>
      <c r="K432">
        <v>59</v>
      </c>
      <c r="L432">
        <f>IF(L63="","",L62)</f>
        <v>0</v>
      </c>
      <c r="M432">
        <v>59</v>
      </c>
      <c r="N432">
        <f>N62</f>
        <v>0</v>
      </c>
    </row>
    <row r="433" spans="5:14">
      <c r="E433">
        <v>60</v>
      </c>
      <c r="F433">
        <f>IF(F64="","",F63)</f>
        <v>0</v>
      </c>
      <c r="G433">
        <v>60</v>
      </c>
      <c r="H433">
        <f>H63</f>
        <v>0</v>
      </c>
      <c r="K433">
        <v>60</v>
      </c>
      <c r="L433">
        <f>IF(L64="","",L63)</f>
        <v>0</v>
      </c>
      <c r="M433">
        <v>60</v>
      </c>
      <c r="N433">
        <f>N63</f>
        <v>0</v>
      </c>
    </row>
    <row r="434" spans="5:14">
      <c r="E434">
        <v>61</v>
      </c>
      <c r="F434">
        <f>IF(F65="","",F64)</f>
        <v>0</v>
      </c>
      <c r="G434">
        <v>61</v>
      </c>
      <c r="H434">
        <f>H64</f>
        <v>0</v>
      </c>
      <c r="K434">
        <v>61</v>
      </c>
      <c r="L434">
        <f>IF(L65="","",L64)</f>
        <v>0</v>
      </c>
      <c r="M434">
        <v>61</v>
      </c>
      <c r="N434">
        <f>N64</f>
        <v>0</v>
      </c>
    </row>
    <row r="435" spans="5:14">
      <c r="E435">
        <v>62</v>
      </c>
      <c r="F435">
        <f>IF(F66="","",F65)</f>
        <v>0</v>
      </c>
      <c r="G435">
        <v>62</v>
      </c>
      <c r="H435">
        <f>H65</f>
        <v>0</v>
      </c>
      <c r="K435">
        <v>62</v>
      </c>
      <c r="L435">
        <f>IF(L66="","",L65)</f>
        <v>0</v>
      </c>
      <c r="M435">
        <v>62</v>
      </c>
      <c r="N435">
        <f>N65</f>
        <v>0</v>
      </c>
    </row>
    <row r="436" spans="5:14">
      <c r="E436">
        <v>63</v>
      </c>
      <c r="F436">
        <f>IF(F67="","",F66)</f>
        <v>0</v>
      </c>
      <c r="G436">
        <v>63</v>
      </c>
      <c r="H436">
        <f>H66</f>
        <v>0</v>
      </c>
      <c r="K436">
        <v>63</v>
      </c>
      <c r="L436">
        <f>IF(L67="","",L66)</f>
        <v>0</v>
      </c>
      <c r="M436">
        <v>63</v>
      </c>
      <c r="N436">
        <f>N66</f>
        <v>0</v>
      </c>
    </row>
    <row r="437" spans="5:14">
      <c r="E437">
        <v>64</v>
      </c>
      <c r="F437">
        <f>IF(F68="","",F67)</f>
        <v>0</v>
      </c>
      <c r="G437">
        <v>64</v>
      </c>
      <c r="H437">
        <f>H67</f>
        <v>0</v>
      </c>
      <c r="K437">
        <v>64</v>
      </c>
      <c r="L437">
        <f>IF(L68="","",L67)</f>
        <v>0</v>
      </c>
      <c r="M437">
        <v>64</v>
      </c>
      <c r="N437">
        <f>N67</f>
        <v>0</v>
      </c>
    </row>
    <row r="438" spans="5:14">
      <c r="E438">
        <v>65</v>
      </c>
      <c r="F438">
        <f>IF(F69="","",F68)</f>
        <v>0</v>
      </c>
      <c r="G438">
        <v>65</v>
      </c>
      <c r="H438">
        <f>H68</f>
        <v>0</v>
      </c>
      <c r="K438">
        <v>65</v>
      </c>
      <c r="L438">
        <f>IF(L69="","",L68)</f>
        <v>0</v>
      </c>
      <c r="M438">
        <v>65</v>
      </c>
      <c r="N438">
        <f>N68</f>
        <v>0</v>
      </c>
    </row>
    <row r="439" spans="5:14">
      <c r="E439">
        <v>66</v>
      </c>
      <c r="F439">
        <f>IF(F70="","",F69)</f>
        <v>0</v>
      </c>
      <c r="G439">
        <v>66</v>
      </c>
      <c r="H439">
        <f>H69</f>
        <v>0</v>
      </c>
      <c r="K439">
        <v>66</v>
      </c>
      <c r="L439">
        <f>IF(L70="","",L69)</f>
        <v>0</v>
      </c>
      <c r="M439">
        <v>66</v>
      </c>
      <c r="N439">
        <f>N69</f>
        <v>0</v>
      </c>
    </row>
    <row r="440" spans="5:14">
      <c r="E440">
        <v>67</v>
      </c>
      <c r="F440">
        <f>IF(F71="","",F70)</f>
        <v>0</v>
      </c>
      <c r="G440">
        <v>67</v>
      </c>
      <c r="H440">
        <f>H70</f>
        <v>0</v>
      </c>
      <c r="K440">
        <v>67</v>
      </c>
      <c r="L440">
        <f>IF(L71="","",L70)</f>
        <v>0</v>
      </c>
      <c r="M440">
        <v>67</v>
      </c>
      <c r="N440">
        <f>N70</f>
        <v>0</v>
      </c>
    </row>
    <row r="441" spans="5:14">
      <c r="E441">
        <v>68</v>
      </c>
      <c r="F441">
        <f>IF(F72="","",F71)</f>
        <v>0</v>
      </c>
      <c r="G441">
        <v>68</v>
      </c>
      <c r="H441">
        <f>H71</f>
        <v>0</v>
      </c>
      <c r="K441">
        <v>68</v>
      </c>
      <c r="L441">
        <f>IF(L72="","",L71)</f>
        <v>0</v>
      </c>
      <c r="M441">
        <v>68</v>
      </c>
      <c r="N441">
        <f>N71</f>
        <v>0</v>
      </c>
    </row>
    <row r="442" spans="5:14">
      <c r="E442">
        <v>69</v>
      </c>
      <c r="F442">
        <f>IF(F73="","",F72)</f>
        <v>0</v>
      </c>
      <c r="G442">
        <v>69</v>
      </c>
      <c r="H442">
        <f>H72</f>
        <v>0</v>
      </c>
      <c r="K442">
        <v>69</v>
      </c>
      <c r="L442">
        <f>IF(L73="","",L72)</f>
        <v>0</v>
      </c>
      <c r="M442">
        <v>69</v>
      </c>
      <c r="N442">
        <f>N72</f>
        <v>0</v>
      </c>
    </row>
    <row r="443" spans="5:14">
      <c r="E443">
        <v>70</v>
      </c>
      <c r="F443">
        <f>IF(F74="","",F73)</f>
        <v>0</v>
      </c>
      <c r="G443">
        <v>70</v>
      </c>
      <c r="H443">
        <f>H73</f>
        <v>0</v>
      </c>
      <c r="K443">
        <v>70</v>
      </c>
      <c r="L443">
        <f>IF(L74="","",L73)</f>
        <v>0</v>
      </c>
      <c r="M443">
        <v>70</v>
      </c>
      <c r="N443">
        <f>N73</f>
        <v>0</v>
      </c>
    </row>
    <row r="444" spans="5:14">
      <c r="E444">
        <v>71</v>
      </c>
      <c r="F444">
        <f>IF(F75="","",F74)</f>
        <v>0</v>
      </c>
      <c r="G444">
        <v>71</v>
      </c>
      <c r="H444">
        <f>H74</f>
        <v>0</v>
      </c>
      <c r="K444">
        <v>71</v>
      </c>
      <c r="L444">
        <f>IF(L75="","",L74)</f>
        <v>0</v>
      </c>
      <c r="M444">
        <v>71</v>
      </c>
      <c r="N444">
        <f>N74</f>
        <v>0</v>
      </c>
    </row>
    <row r="445" spans="5:14">
      <c r="E445">
        <v>72</v>
      </c>
      <c r="F445">
        <f>IF(F76="","",F75)</f>
        <v>0</v>
      </c>
      <c r="G445">
        <v>72</v>
      </c>
      <c r="H445">
        <f>H75</f>
        <v>0</v>
      </c>
      <c r="K445">
        <v>72</v>
      </c>
      <c r="L445">
        <f>IF(L76="","",L75)</f>
        <v>0</v>
      </c>
      <c r="M445">
        <v>72</v>
      </c>
      <c r="N445">
        <f>N75</f>
        <v>0</v>
      </c>
    </row>
    <row r="446" spans="5:14">
      <c r="E446">
        <v>73</v>
      </c>
      <c r="F446">
        <f>IF(F77="","",F76)</f>
        <v>0</v>
      </c>
      <c r="G446">
        <v>73</v>
      </c>
      <c r="H446">
        <f>H76</f>
        <v>0</v>
      </c>
      <c r="K446">
        <v>73</v>
      </c>
      <c r="L446">
        <f>IF(L77="","",L76)</f>
        <v>0</v>
      </c>
      <c r="M446">
        <v>73</v>
      </c>
      <c r="N446">
        <f>N76</f>
        <v>0</v>
      </c>
    </row>
    <row r="447" spans="5:14">
      <c r="E447">
        <v>74</v>
      </c>
      <c r="F447">
        <f>IF(F78="","",F77)</f>
        <v>0</v>
      </c>
      <c r="G447">
        <v>74</v>
      </c>
      <c r="H447">
        <f>H77</f>
        <v>0</v>
      </c>
      <c r="K447">
        <v>74</v>
      </c>
      <c r="L447">
        <f>IF(L78="","",L77)</f>
        <v>0</v>
      </c>
      <c r="M447">
        <v>74</v>
      </c>
      <c r="N447">
        <f>N77</f>
        <v>0</v>
      </c>
    </row>
    <row r="448" spans="5:14">
      <c r="E448">
        <v>75</v>
      </c>
      <c r="F448">
        <f>IF(F79="","",F78)</f>
        <v>0</v>
      </c>
      <c r="G448">
        <v>75</v>
      </c>
      <c r="H448">
        <f>H78</f>
        <v>0</v>
      </c>
      <c r="K448">
        <v>75</v>
      </c>
      <c r="L448">
        <f>IF(L79="","",L78)</f>
        <v>0</v>
      </c>
      <c r="M448">
        <v>75</v>
      </c>
      <c r="N448">
        <f>N78</f>
        <v>0</v>
      </c>
    </row>
    <row r="449" spans="5:14">
      <c r="E449">
        <v>76</v>
      </c>
      <c r="F449">
        <f>IF(F80="","",F79)</f>
        <v>0</v>
      </c>
      <c r="G449">
        <v>76</v>
      </c>
      <c r="H449">
        <f>H79</f>
        <v>0</v>
      </c>
      <c r="K449">
        <v>76</v>
      </c>
      <c r="L449">
        <f>IF(L80="","",L79)</f>
        <v>0</v>
      </c>
      <c r="M449">
        <v>76</v>
      </c>
      <c r="N449">
        <f>N79</f>
        <v>0</v>
      </c>
    </row>
    <row r="450" spans="5:14">
      <c r="E450">
        <v>77</v>
      </c>
      <c r="F450">
        <f>IF(F81="","",F80)</f>
        <v>0</v>
      </c>
      <c r="G450">
        <v>77</v>
      </c>
      <c r="H450">
        <f>H80</f>
        <v>0</v>
      </c>
      <c r="K450">
        <v>77</v>
      </c>
      <c r="L450">
        <f>IF(L81="","",L80)</f>
        <v>0</v>
      </c>
      <c r="M450">
        <v>77</v>
      </c>
      <c r="N450">
        <f>N80</f>
        <v>0</v>
      </c>
    </row>
    <row r="451" spans="5:14">
      <c r="E451">
        <v>78</v>
      </c>
      <c r="F451">
        <f>IF(F82="","",F81)</f>
        <v>0</v>
      </c>
      <c r="G451">
        <v>78</v>
      </c>
      <c r="H451">
        <f>H81</f>
        <v>0</v>
      </c>
      <c r="K451">
        <v>78</v>
      </c>
      <c r="L451">
        <f>IF(L82="","",L81)</f>
        <v>0</v>
      </c>
      <c r="M451">
        <v>78</v>
      </c>
      <c r="N451">
        <f>N81</f>
        <v>0</v>
      </c>
    </row>
    <row r="452" spans="5:14">
      <c r="E452">
        <v>79</v>
      </c>
      <c r="F452">
        <f>IF(F83="","",F82)</f>
        <v>0</v>
      </c>
      <c r="G452">
        <v>79</v>
      </c>
      <c r="H452">
        <f>H82</f>
        <v>0</v>
      </c>
      <c r="K452">
        <v>79</v>
      </c>
      <c r="L452">
        <f>IF(L83="","",L82)</f>
        <v>0</v>
      </c>
      <c r="M452">
        <v>79</v>
      </c>
      <c r="N452">
        <f>N82</f>
        <v>0</v>
      </c>
    </row>
    <row r="453" spans="5:14">
      <c r="E453">
        <v>80</v>
      </c>
      <c r="F453">
        <f>IF(F84="","",F83)</f>
        <v>0</v>
      </c>
      <c r="G453">
        <v>80</v>
      </c>
      <c r="H453">
        <f>H83</f>
        <v>0</v>
      </c>
      <c r="K453">
        <v>80</v>
      </c>
      <c r="L453">
        <f>IF(L84="","",L83)</f>
        <v>0</v>
      </c>
      <c r="M453">
        <v>80</v>
      </c>
      <c r="N453">
        <f>N83</f>
        <v>0</v>
      </c>
    </row>
    <row r="454" spans="5:14">
      <c r="E454">
        <v>81</v>
      </c>
      <c r="F454">
        <f>IF(F85="","",F84)</f>
        <v>0</v>
      </c>
      <c r="G454">
        <v>81</v>
      </c>
      <c r="H454">
        <f>H84</f>
        <v>0</v>
      </c>
      <c r="K454">
        <v>81</v>
      </c>
      <c r="L454">
        <f>IF(L85="","",L84)</f>
        <v>0</v>
      </c>
      <c r="M454">
        <v>81</v>
      </c>
      <c r="N454">
        <f>N84</f>
        <v>0</v>
      </c>
    </row>
    <row r="455" spans="5:14">
      <c r="E455">
        <v>82</v>
      </c>
      <c r="F455">
        <f>IF(F86="","",F85)</f>
        <v>0</v>
      </c>
      <c r="G455">
        <v>82</v>
      </c>
      <c r="H455">
        <f>H85</f>
        <v>0</v>
      </c>
      <c r="K455">
        <v>82</v>
      </c>
      <c r="L455">
        <f>IF(L86="","",L85)</f>
        <v>0</v>
      </c>
      <c r="M455">
        <v>82</v>
      </c>
      <c r="N455">
        <f>N85</f>
        <v>0</v>
      </c>
    </row>
    <row r="456" spans="5:14">
      <c r="E456">
        <v>83</v>
      </c>
      <c r="F456">
        <f>IF(F87="","",F86)</f>
        <v>0</v>
      </c>
      <c r="G456">
        <v>83</v>
      </c>
      <c r="H456">
        <f>H86</f>
        <v>0</v>
      </c>
      <c r="K456">
        <v>83</v>
      </c>
      <c r="L456">
        <f>IF(L87="","",L86)</f>
        <v>0</v>
      </c>
      <c r="M456">
        <v>83</v>
      </c>
      <c r="N456">
        <f>N86</f>
        <v>0</v>
      </c>
    </row>
    <row r="457" spans="5:14">
      <c r="E457">
        <v>84</v>
      </c>
      <c r="F457">
        <f>IF(F88="","",F87)</f>
        <v>0</v>
      </c>
      <c r="G457">
        <v>84</v>
      </c>
      <c r="H457">
        <f>H87</f>
        <v>0</v>
      </c>
      <c r="K457">
        <v>84</v>
      </c>
      <c r="L457">
        <f>IF(L88="","",L87)</f>
        <v>0</v>
      </c>
      <c r="M457">
        <v>84</v>
      </c>
      <c r="N457">
        <f>N87</f>
        <v>0</v>
      </c>
    </row>
    <row r="458" spans="5:14">
      <c r="E458">
        <v>85</v>
      </c>
      <c r="F458">
        <f>IF(F89="","",F88)</f>
        <v>0</v>
      </c>
      <c r="G458">
        <v>85</v>
      </c>
      <c r="H458">
        <f>H88</f>
        <v>0</v>
      </c>
      <c r="K458">
        <v>85</v>
      </c>
      <c r="L458">
        <f>IF(L89="","",L88)</f>
        <v>0</v>
      </c>
      <c r="M458">
        <v>85</v>
      </c>
      <c r="N458">
        <f>N88</f>
        <v>0</v>
      </c>
    </row>
    <row r="459" spans="5:14">
      <c r="E459">
        <v>86</v>
      </c>
      <c r="F459">
        <f>IF(F90="","",F89)</f>
        <v>0</v>
      </c>
      <c r="G459">
        <v>86</v>
      </c>
      <c r="H459">
        <f>H89</f>
        <v>0</v>
      </c>
      <c r="K459">
        <v>86</v>
      </c>
      <c r="L459">
        <f>IF(L90="","",L89)</f>
        <v>0</v>
      </c>
      <c r="M459">
        <v>86</v>
      </c>
      <c r="N459">
        <f>N89</f>
        <v>0</v>
      </c>
    </row>
    <row r="460" spans="5:14">
      <c r="E460">
        <v>87</v>
      </c>
      <c r="F460">
        <f>IF(F91="","",F90)</f>
        <v>0</v>
      </c>
      <c r="G460">
        <v>87</v>
      </c>
      <c r="H460">
        <f>H90</f>
        <v>0</v>
      </c>
      <c r="K460">
        <v>87</v>
      </c>
      <c r="L460">
        <f>IF(L91="","",L90)</f>
        <v>0</v>
      </c>
      <c r="M460">
        <v>87</v>
      </c>
      <c r="N460">
        <f>N90</f>
        <v>0</v>
      </c>
    </row>
    <row r="461" spans="5:14">
      <c r="E461">
        <v>88</v>
      </c>
      <c r="F461">
        <f>IF(F92="","",F91)</f>
        <v>0</v>
      </c>
      <c r="G461">
        <v>88</v>
      </c>
      <c r="H461">
        <f>H91</f>
        <v>0</v>
      </c>
      <c r="K461">
        <v>88</v>
      </c>
      <c r="L461">
        <f>IF(L92="","",L91)</f>
        <v>0</v>
      </c>
      <c r="M461">
        <v>88</v>
      </c>
      <c r="N461">
        <f>N91</f>
        <v>0</v>
      </c>
    </row>
    <row r="462" spans="5:14">
      <c r="E462">
        <v>89</v>
      </c>
      <c r="F462">
        <f>IF(F93="","",F92)</f>
        <v>0</v>
      </c>
      <c r="G462">
        <v>89</v>
      </c>
      <c r="H462">
        <f>H92</f>
        <v>0</v>
      </c>
      <c r="K462">
        <v>89</v>
      </c>
      <c r="L462">
        <f>IF(L93="","",L92)</f>
        <v>0</v>
      </c>
      <c r="M462">
        <v>89</v>
      </c>
      <c r="N462">
        <f>N92</f>
        <v>0</v>
      </c>
    </row>
    <row r="463" spans="5:14">
      <c r="E463">
        <v>90</v>
      </c>
      <c r="F463">
        <f>IF(F94="","",F93)</f>
        <v>0</v>
      </c>
      <c r="G463">
        <v>90</v>
      </c>
      <c r="H463">
        <f>H93</f>
        <v>0</v>
      </c>
      <c r="K463">
        <v>90</v>
      </c>
      <c r="L463">
        <f>IF(L94="","",L93)</f>
        <v>0</v>
      </c>
      <c r="M463">
        <v>90</v>
      </c>
      <c r="N463">
        <f>N93</f>
        <v>0</v>
      </c>
    </row>
    <row r="464" spans="5:14">
      <c r="E464">
        <v>91</v>
      </c>
      <c r="F464">
        <f>IF(F95="","",F94)</f>
        <v>0</v>
      </c>
      <c r="G464">
        <v>91</v>
      </c>
      <c r="H464">
        <f>H94</f>
        <v>0</v>
      </c>
      <c r="K464">
        <v>91</v>
      </c>
      <c r="L464">
        <f>IF(L95="","",L94)</f>
        <v>0</v>
      </c>
      <c r="M464">
        <v>91</v>
      </c>
      <c r="N464">
        <f>N94</f>
        <v>0</v>
      </c>
    </row>
    <row r="465" spans="5:14">
      <c r="E465">
        <v>92</v>
      </c>
      <c r="F465">
        <f>IF(F96="","",F95)</f>
        <v>0</v>
      </c>
      <c r="G465">
        <v>92</v>
      </c>
      <c r="H465">
        <f>H95</f>
        <v>0</v>
      </c>
      <c r="K465">
        <v>92</v>
      </c>
      <c r="L465">
        <f>IF(L96="","",L95)</f>
        <v>0</v>
      </c>
      <c r="M465">
        <v>92</v>
      </c>
      <c r="N465">
        <f>N95</f>
        <v>0</v>
      </c>
    </row>
    <row r="466" spans="5:14">
      <c r="E466">
        <v>93</v>
      </c>
      <c r="F466">
        <f>IF(F97="","",F96)</f>
        <v>0</v>
      </c>
      <c r="G466">
        <v>93</v>
      </c>
      <c r="H466">
        <f>H96</f>
        <v>0</v>
      </c>
      <c r="K466">
        <v>93</v>
      </c>
      <c r="L466">
        <f>IF(L97="","",L96)</f>
        <v>0</v>
      </c>
      <c r="M466">
        <v>93</v>
      </c>
      <c r="N466">
        <f>N96</f>
        <v>0</v>
      </c>
    </row>
    <row r="467" spans="5:14">
      <c r="E467">
        <v>94</v>
      </c>
      <c r="F467">
        <f>IF(F98="","",F97)</f>
        <v>0</v>
      </c>
      <c r="G467">
        <v>94</v>
      </c>
      <c r="H467">
        <f>H97</f>
        <v>0</v>
      </c>
      <c r="K467">
        <v>94</v>
      </c>
      <c r="L467">
        <f>IF(L98="","",L97)</f>
        <v>0</v>
      </c>
      <c r="M467">
        <v>94</v>
      </c>
      <c r="N467">
        <f>N97</f>
        <v>0</v>
      </c>
    </row>
    <row r="468" spans="5:14">
      <c r="E468">
        <v>95</v>
      </c>
      <c r="F468">
        <f>IF(F99="","",F98)</f>
        <v>0</v>
      </c>
      <c r="G468">
        <v>95</v>
      </c>
      <c r="H468">
        <f>H98</f>
        <v>0</v>
      </c>
      <c r="K468">
        <v>95</v>
      </c>
      <c r="L468">
        <f>IF(L99="","",L98)</f>
        <v>0</v>
      </c>
      <c r="M468">
        <v>95</v>
      </c>
      <c r="N468">
        <f>N98</f>
        <v>0</v>
      </c>
    </row>
    <row r="469" spans="5:14">
      <c r="E469">
        <v>96</v>
      </c>
      <c r="F469">
        <f>IF(F100="","",F99)</f>
        <v>0</v>
      </c>
      <c r="G469">
        <v>96</v>
      </c>
      <c r="H469">
        <f>H99</f>
        <v>0</v>
      </c>
      <c r="K469">
        <v>96</v>
      </c>
      <c r="L469">
        <f>IF(L100="","",L99)</f>
        <v>0</v>
      </c>
      <c r="M469">
        <v>96</v>
      </c>
      <c r="N469">
        <f>N99</f>
        <v>0</v>
      </c>
    </row>
    <row r="470" spans="5:14">
      <c r="E470">
        <v>97</v>
      </c>
      <c r="F470">
        <f>IF(F101="","",F100)</f>
        <v>0</v>
      </c>
      <c r="G470">
        <v>97</v>
      </c>
      <c r="H470">
        <f>H100</f>
        <v>0</v>
      </c>
      <c r="K470">
        <v>97</v>
      </c>
      <c r="L470">
        <f>IF(L101="","",L100)</f>
        <v>0</v>
      </c>
      <c r="M470">
        <v>97</v>
      </c>
      <c r="N470">
        <f>N100</f>
        <v>0</v>
      </c>
    </row>
    <row r="471" spans="5:14">
      <c r="E471">
        <v>98</v>
      </c>
      <c r="F471">
        <f>IF(F102="","",F101)</f>
        <v>0</v>
      </c>
      <c r="G471">
        <v>98</v>
      </c>
      <c r="H471">
        <f>H101</f>
        <v>0</v>
      </c>
      <c r="K471">
        <v>98</v>
      </c>
      <c r="L471">
        <f>IF(L102="","",L101)</f>
        <v>0</v>
      </c>
      <c r="M471">
        <v>98</v>
      </c>
      <c r="N471">
        <f>N101</f>
        <v>0</v>
      </c>
    </row>
    <row r="472" spans="5:14">
      <c r="E472">
        <v>99</v>
      </c>
      <c r="F472">
        <f>IF(F103="","",F102)</f>
        <v>0</v>
      </c>
      <c r="G472">
        <v>99</v>
      </c>
      <c r="H472">
        <f>H102</f>
        <v>0</v>
      </c>
      <c r="K472">
        <v>99</v>
      </c>
      <c r="L472">
        <f>IF(L103="","",L102)</f>
        <v>0</v>
      </c>
      <c r="M472">
        <v>99</v>
      </c>
      <c r="N472">
        <f>N102</f>
        <v>0</v>
      </c>
    </row>
    <row r="473" spans="5:14">
      <c r="E473">
        <v>100</v>
      </c>
      <c r="F473">
        <f>IF(F104="","",F103)</f>
        <v>0</v>
      </c>
      <c r="G473">
        <v>100</v>
      </c>
      <c r="H473">
        <f>H103</f>
        <v>0</v>
      </c>
      <c r="K473">
        <v>100</v>
      </c>
      <c r="L473">
        <f>IF(L104="","",L103)</f>
        <v>0</v>
      </c>
      <c r="M473">
        <v>100</v>
      </c>
      <c r="N473">
        <f>N103</f>
        <v>0</v>
      </c>
    </row>
    <row r="474" spans="5:14">
      <c r="E474">
        <v>101</v>
      </c>
      <c r="F474">
        <f>IF(F105="","",F104)</f>
        <v>0</v>
      </c>
      <c r="G474">
        <v>101</v>
      </c>
      <c r="H474">
        <f>H104</f>
        <v>0</v>
      </c>
      <c r="K474">
        <v>101</v>
      </c>
      <c r="L474">
        <f>IF(L105="","",L104)</f>
        <v>0</v>
      </c>
      <c r="M474">
        <v>101</v>
      </c>
      <c r="N474">
        <f>N104</f>
        <v>0</v>
      </c>
    </row>
    <row r="475" spans="5:14">
      <c r="E475">
        <v>102</v>
      </c>
      <c r="F475">
        <f>IF(F106="","",F105)</f>
        <v>0</v>
      </c>
      <c r="G475">
        <v>102</v>
      </c>
      <c r="H475">
        <f>H105</f>
        <v>0</v>
      </c>
      <c r="K475">
        <v>102</v>
      </c>
      <c r="L475">
        <f>IF(L106="","",L105)</f>
        <v>0</v>
      </c>
      <c r="M475">
        <v>102</v>
      </c>
      <c r="N475">
        <f>N105</f>
        <v>0</v>
      </c>
    </row>
    <row r="476" spans="5:14">
      <c r="E476">
        <v>103</v>
      </c>
      <c r="F476">
        <f>IF(F107="","",F106)</f>
        <v>0</v>
      </c>
      <c r="G476">
        <v>103</v>
      </c>
      <c r="H476">
        <f>H106</f>
        <v>0</v>
      </c>
      <c r="K476">
        <v>103</v>
      </c>
      <c r="L476">
        <f>IF(L107="","",L106)</f>
        <v>0</v>
      </c>
      <c r="M476">
        <v>103</v>
      </c>
      <c r="N476">
        <f>N106</f>
        <v>0</v>
      </c>
    </row>
    <row r="477" spans="5:14">
      <c r="E477">
        <v>104</v>
      </c>
      <c r="F477">
        <f>IF(F108="","",F107)</f>
        <v>0</v>
      </c>
      <c r="G477">
        <v>104</v>
      </c>
      <c r="H477">
        <f>H107</f>
        <v>0</v>
      </c>
      <c r="K477">
        <v>104</v>
      </c>
      <c r="L477">
        <f>IF(L108="","",L107)</f>
        <v>0</v>
      </c>
      <c r="M477">
        <v>104</v>
      </c>
      <c r="N477">
        <f>N107</f>
        <v>0</v>
      </c>
    </row>
    <row r="478" spans="5:14">
      <c r="E478">
        <v>105</v>
      </c>
      <c r="F478">
        <f>IF(F109="","",F108)</f>
        <v>0</v>
      </c>
      <c r="G478">
        <v>105</v>
      </c>
      <c r="H478">
        <f>H108</f>
        <v>0</v>
      </c>
      <c r="K478">
        <v>105</v>
      </c>
      <c r="L478">
        <f>IF(L109="","",L108)</f>
        <v>0</v>
      </c>
      <c r="M478">
        <v>105</v>
      </c>
      <c r="N478">
        <f>N108</f>
        <v>0</v>
      </c>
    </row>
    <row r="479" spans="5:14">
      <c r="E479">
        <v>106</v>
      </c>
      <c r="F479">
        <f>IF(F110="","",F109)</f>
        <v>0</v>
      </c>
      <c r="G479">
        <v>106</v>
      </c>
      <c r="H479">
        <f>H109</f>
        <v>0</v>
      </c>
      <c r="K479">
        <v>106</v>
      </c>
      <c r="L479">
        <f>IF(L110="","",L109)</f>
        <v>0</v>
      </c>
      <c r="M479">
        <v>106</v>
      </c>
      <c r="N479">
        <f>N109</f>
        <v>0</v>
      </c>
    </row>
    <row r="480" spans="5:14">
      <c r="E480">
        <v>107</v>
      </c>
      <c r="F480">
        <f>IF(F111="","",F110)</f>
        <v>0</v>
      </c>
      <c r="G480">
        <v>107</v>
      </c>
      <c r="H480">
        <f>H110</f>
        <v>0</v>
      </c>
      <c r="K480">
        <v>107</v>
      </c>
      <c r="L480">
        <f>IF(L111="","",L110)</f>
        <v>0</v>
      </c>
      <c r="M480">
        <v>107</v>
      </c>
      <c r="N480">
        <f>N110</f>
        <v>0</v>
      </c>
    </row>
    <row r="481" spans="5:14">
      <c r="E481">
        <v>108</v>
      </c>
      <c r="F481">
        <f>IF(F112="","",F111)</f>
        <v>0</v>
      </c>
      <c r="G481">
        <v>108</v>
      </c>
      <c r="H481">
        <f>H111</f>
        <v>0</v>
      </c>
      <c r="K481">
        <v>108</v>
      </c>
      <c r="L481">
        <f>IF(L112="","",L111)</f>
        <v>0</v>
      </c>
      <c r="M481">
        <v>108</v>
      </c>
      <c r="N481">
        <f>N111</f>
        <v>0</v>
      </c>
    </row>
    <row r="482" spans="5:14">
      <c r="E482">
        <v>109</v>
      </c>
      <c r="F482">
        <f>IF(F113="","",F112)</f>
        <v>0</v>
      </c>
      <c r="G482">
        <v>109</v>
      </c>
      <c r="H482">
        <f>H112</f>
        <v>0</v>
      </c>
      <c r="K482">
        <v>109</v>
      </c>
      <c r="L482">
        <f>IF(L113="","",L112)</f>
        <v>0</v>
      </c>
      <c r="M482">
        <v>109</v>
      </c>
      <c r="N482">
        <f>N112</f>
        <v>0</v>
      </c>
    </row>
    <row r="483" spans="5:14">
      <c r="E483">
        <v>110</v>
      </c>
      <c r="F483">
        <f>IF(F114="","",F113)</f>
        <v>0</v>
      </c>
      <c r="G483">
        <v>110</v>
      </c>
      <c r="H483">
        <f>H113</f>
        <v>0</v>
      </c>
      <c r="K483">
        <v>110</v>
      </c>
      <c r="L483">
        <f>IF(L114="","",L113)</f>
        <v>0</v>
      </c>
      <c r="M483">
        <v>110</v>
      </c>
      <c r="N483">
        <f>N113</f>
        <v>0</v>
      </c>
    </row>
    <row r="484" spans="5:14">
      <c r="E484">
        <v>111</v>
      </c>
      <c r="F484">
        <f>IF(F115="","",F114)</f>
        <v>0</v>
      </c>
      <c r="G484">
        <v>111</v>
      </c>
      <c r="H484">
        <f>H114</f>
        <v>0</v>
      </c>
      <c r="K484">
        <v>111</v>
      </c>
      <c r="L484">
        <f>IF(L115="","",L114)</f>
        <v>0</v>
      </c>
      <c r="M484">
        <v>111</v>
      </c>
      <c r="N484">
        <f>N114</f>
        <v>0</v>
      </c>
    </row>
    <row r="485" spans="5:14">
      <c r="E485">
        <v>112</v>
      </c>
      <c r="F485">
        <f>IF(F116="","",F115)</f>
        <v>0</v>
      </c>
      <c r="G485">
        <v>112</v>
      </c>
      <c r="H485">
        <f>H115</f>
        <v>0</v>
      </c>
      <c r="K485">
        <v>112</v>
      </c>
      <c r="L485">
        <f>IF(L116="","",L115)</f>
        <v>0</v>
      </c>
      <c r="M485">
        <v>112</v>
      </c>
      <c r="N485">
        <f>N115</f>
        <v>0</v>
      </c>
    </row>
    <row r="486" spans="5:14">
      <c r="E486">
        <v>113</v>
      </c>
      <c r="F486">
        <f>IF(F117="","",F116)</f>
        <v>0</v>
      </c>
      <c r="G486">
        <v>113</v>
      </c>
      <c r="H486">
        <f>H116</f>
        <v>0</v>
      </c>
      <c r="K486">
        <v>113</v>
      </c>
      <c r="L486">
        <f>IF(L117="","",L116)</f>
        <v>0</v>
      </c>
      <c r="M486">
        <v>113</v>
      </c>
      <c r="N486">
        <f>N116</f>
        <v>0</v>
      </c>
    </row>
    <row r="487" spans="5:14">
      <c r="E487">
        <v>114</v>
      </c>
      <c r="F487">
        <f>IF(F118="","",F117)</f>
        <v>0</v>
      </c>
      <c r="G487">
        <v>114</v>
      </c>
      <c r="H487">
        <f>H117</f>
        <v>0</v>
      </c>
      <c r="K487">
        <v>114</v>
      </c>
      <c r="L487">
        <f>IF(L118="","",L117)</f>
        <v>0</v>
      </c>
      <c r="M487">
        <v>114</v>
      </c>
      <c r="N487">
        <f>N117</f>
        <v>0</v>
      </c>
    </row>
    <row r="488" spans="5:14">
      <c r="E488">
        <v>115</v>
      </c>
      <c r="F488">
        <f>IF(F119="","",F118)</f>
        <v>0</v>
      </c>
      <c r="G488">
        <v>115</v>
      </c>
      <c r="H488">
        <f>H118</f>
        <v>0</v>
      </c>
      <c r="K488">
        <v>115</v>
      </c>
      <c r="L488">
        <f>IF(L119="","",L118)</f>
        <v>0</v>
      </c>
      <c r="M488">
        <v>115</v>
      </c>
      <c r="N488">
        <f>N118</f>
        <v>0</v>
      </c>
    </row>
    <row r="489" spans="5:14">
      <c r="E489">
        <v>116</v>
      </c>
      <c r="F489">
        <f>IF(F120="","",F119)</f>
        <v>0</v>
      </c>
      <c r="G489">
        <v>116</v>
      </c>
      <c r="H489">
        <f>H119</f>
        <v>0</v>
      </c>
      <c r="K489">
        <v>116</v>
      </c>
      <c r="L489">
        <f>IF(L120="","",L119)</f>
        <v>0</v>
      </c>
      <c r="M489">
        <v>116</v>
      </c>
      <c r="N489">
        <f>N119</f>
        <v>0</v>
      </c>
    </row>
    <row r="490" spans="5:14">
      <c r="E490">
        <v>117</v>
      </c>
      <c r="F490">
        <f>IF(F121="","",F120)</f>
        <v>0</v>
      </c>
      <c r="G490">
        <v>117</v>
      </c>
      <c r="H490">
        <f>H120</f>
        <v>0</v>
      </c>
      <c r="K490">
        <v>117</v>
      </c>
      <c r="L490">
        <f>IF(L121="","",L120)</f>
        <v>0</v>
      </c>
      <c r="M490">
        <v>117</v>
      </c>
      <c r="N490">
        <f>N120</f>
        <v>0</v>
      </c>
    </row>
    <row r="491" spans="5:14">
      <c r="E491">
        <v>118</v>
      </c>
      <c r="F491">
        <f>IF(F122="","",F121)</f>
        <v>0</v>
      </c>
      <c r="G491">
        <v>118</v>
      </c>
      <c r="H491">
        <f>H121</f>
        <v>0</v>
      </c>
      <c r="K491">
        <v>118</v>
      </c>
      <c r="L491">
        <f>IF(L122="","",L121)</f>
        <v>0</v>
      </c>
      <c r="M491">
        <v>118</v>
      </c>
      <c r="N491">
        <f>N121</f>
        <v>0</v>
      </c>
    </row>
    <row r="492" spans="5:14">
      <c r="E492">
        <v>119</v>
      </c>
      <c r="F492">
        <f>IF(F123="","",F122)</f>
        <v>0</v>
      </c>
      <c r="G492">
        <v>119</v>
      </c>
      <c r="H492">
        <f>H122</f>
        <v>0</v>
      </c>
      <c r="K492">
        <v>119</v>
      </c>
      <c r="L492">
        <f>IF(L123="","",L122)</f>
        <v>0</v>
      </c>
      <c r="M492">
        <v>119</v>
      </c>
      <c r="N492">
        <f>N122</f>
        <v>0</v>
      </c>
    </row>
    <row r="493" spans="5:14">
      <c r="E493">
        <v>120</v>
      </c>
      <c r="F493">
        <f>IF(F124="","",F123)</f>
        <v>0</v>
      </c>
      <c r="G493">
        <v>120</v>
      </c>
      <c r="H493">
        <f>H123</f>
        <v>0</v>
      </c>
      <c r="K493">
        <v>120</v>
      </c>
      <c r="L493">
        <f>IF(L124="","",L123)</f>
        <v>0</v>
      </c>
      <c r="M493">
        <v>120</v>
      </c>
      <c r="N493">
        <f>N123</f>
        <v>0</v>
      </c>
    </row>
    <row r="494" spans="5:14">
      <c r="E494">
        <v>121</v>
      </c>
      <c r="F494">
        <f>IF(F125="","",F124)</f>
        <v>0</v>
      </c>
      <c r="G494">
        <v>121</v>
      </c>
      <c r="H494">
        <f>H124</f>
        <v>0</v>
      </c>
      <c r="K494">
        <v>121</v>
      </c>
      <c r="L494">
        <f>IF(L125="","",L124)</f>
        <v>0</v>
      </c>
      <c r="M494">
        <v>121</v>
      </c>
      <c r="N494">
        <f>N124</f>
        <v>0</v>
      </c>
    </row>
    <row r="495" spans="5:14">
      <c r="E495">
        <v>122</v>
      </c>
      <c r="F495">
        <f>IF(F126="","",F125)</f>
        <v>0</v>
      </c>
      <c r="G495">
        <v>122</v>
      </c>
      <c r="H495">
        <f>H125</f>
        <v>0</v>
      </c>
      <c r="K495">
        <v>122</v>
      </c>
      <c r="L495">
        <f>IF(L126="","",L125)</f>
        <v>0</v>
      </c>
      <c r="M495">
        <v>122</v>
      </c>
      <c r="N495">
        <f>N125</f>
        <v>0</v>
      </c>
    </row>
    <row r="496" spans="5:14">
      <c r="E496">
        <v>123</v>
      </c>
      <c r="F496">
        <f>IF(F127="","",F126)</f>
        <v>0</v>
      </c>
      <c r="G496">
        <v>123</v>
      </c>
      <c r="H496">
        <f>H126</f>
        <v>0</v>
      </c>
      <c r="K496">
        <v>123</v>
      </c>
      <c r="L496">
        <f>IF(L127="","",L126)</f>
        <v>0</v>
      </c>
      <c r="M496">
        <v>123</v>
      </c>
      <c r="N496">
        <f>N126</f>
        <v>0</v>
      </c>
    </row>
    <row r="497" spans="5:14">
      <c r="E497">
        <v>124</v>
      </c>
      <c r="F497">
        <f>IF(F128="","",F127)</f>
        <v>0</v>
      </c>
      <c r="G497">
        <v>124</v>
      </c>
      <c r="H497">
        <f>H127</f>
        <v>0</v>
      </c>
      <c r="K497">
        <v>124</v>
      </c>
      <c r="L497">
        <f>IF(L128="","",L127)</f>
        <v>0</v>
      </c>
      <c r="M497">
        <v>124</v>
      </c>
      <c r="N497">
        <f>N127</f>
        <v>0</v>
      </c>
    </row>
    <row r="498" spans="5:14">
      <c r="E498">
        <v>125</v>
      </c>
      <c r="F498">
        <f>IF(F129="","",F128)</f>
        <v>0</v>
      </c>
      <c r="G498">
        <v>125</v>
      </c>
      <c r="H498">
        <f>H128</f>
        <v>0</v>
      </c>
      <c r="K498">
        <v>125</v>
      </c>
      <c r="L498">
        <f>IF(L129="","",L128)</f>
        <v>0</v>
      </c>
      <c r="M498">
        <v>125</v>
      </c>
      <c r="N498">
        <f>N128</f>
        <v>0</v>
      </c>
    </row>
    <row r="499" spans="5:14">
      <c r="E499">
        <v>126</v>
      </c>
      <c r="F499">
        <f>IF(F130="","",F129)</f>
        <v>0</v>
      </c>
      <c r="G499">
        <v>126</v>
      </c>
      <c r="H499">
        <f>H129</f>
        <v>0</v>
      </c>
      <c r="K499">
        <v>126</v>
      </c>
      <c r="L499">
        <f>IF(L130="","",L129)</f>
        <v>0</v>
      </c>
      <c r="M499">
        <v>126</v>
      </c>
      <c r="N499">
        <f>N129</f>
        <v>0</v>
      </c>
    </row>
    <row r="500" spans="5:14">
      <c r="E500">
        <v>127</v>
      </c>
      <c r="F500">
        <f>IF(F131="","",F130)</f>
        <v>0</v>
      </c>
      <c r="G500">
        <v>127</v>
      </c>
      <c r="H500">
        <f>H130</f>
        <v>0</v>
      </c>
      <c r="K500">
        <v>127</v>
      </c>
      <c r="L500">
        <f>IF(L131="","",L130)</f>
        <v>0</v>
      </c>
      <c r="M500">
        <v>127</v>
      </c>
      <c r="N500">
        <f>N130</f>
        <v>0</v>
      </c>
    </row>
    <row r="501" spans="5:14">
      <c r="E501">
        <v>128</v>
      </c>
      <c r="F501">
        <f>IF(F132="","",F131)</f>
        <v>0</v>
      </c>
      <c r="G501">
        <v>128</v>
      </c>
      <c r="H501">
        <f>H131</f>
        <v>0</v>
      </c>
      <c r="K501">
        <v>128</v>
      </c>
      <c r="L501">
        <f>IF(L132="","",L131)</f>
        <v>0</v>
      </c>
      <c r="M501">
        <v>128</v>
      </c>
      <c r="N501">
        <f>N131</f>
        <v>0</v>
      </c>
    </row>
    <row r="502" spans="5:14">
      <c r="E502">
        <v>129</v>
      </c>
      <c r="F502">
        <f>IF(F133="","",F132)</f>
        <v>0</v>
      </c>
      <c r="G502">
        <v>129</v>
      </c>
      <c r="H502">
        <f>H132</f>
        <v>0</v>
      </c>
      <c r="K502">
        <v>129</v>
      </c>
      <c r="L502">
        <f>IF(L133="","",L132)</f>
        <v>0</v>
      </c>
      <c r="M502">
        <v>129</v>
      </c>
      <c r="N502">
        <f>N132</f>
        <v>0</v>
      </c>
    </row>
    <row r="503" spans="5:14">
      <c r="E503">
        <v>130</v>
      </c>
      <c r="F503">
        <f>IF(F134="","",F133)</f>
        <v>0</v>
      </c>
      <c r="G503">
        <v>130</v>
      </c>
      <c r="H503">
        <f>H133</f>
        <v>0</v>
      </c>
      <c r="K503">
        <v>130</v>
      </c>
      <c r="L503">
        <f>IF(L134="","",L133)</f>
        <v>0</v>
      </c>
      <c r="M503">
        <v>130</v>
      </c>
      <c r="N503">
        <f>N133</f>
        <v>0</v>
      </c>
    </row>
    <row r="504" spans="5:14">
      <c r="E504">
        <v>131</v>
      </c>
      <c r="F504">
        <f>IF(F135="","",F134)</f>
        <v>0</v>
      </c>
      <c r="G504">
        <v>131</v>
      </c>
      <c r="H504">
        <f>H134</f>
        <v>0</v>
      </c>
      <c r="K504">
        <v>131</v>
      </c>
      <c r="L504">
        <f>IF(L135="","",L134)</f>
        <v>0</v>
      </c>
      <c r="M504">
        <v>131</v>
      </c>
      <c r="N504">
        <f>N134</f>
        <v>0</v>
      </c>
    </row>
    <row r="505" spans="5:14">
      <c r="E505">
        <v>132</v>
      </c>
      <c r="F505">
        <f>IF(F136="","",F135)</f>
        <v>0</v>
      </c>
      <c r="G505">
        <v>132</v>
      </c>
      <c r="H505">
        <f>H135</f>
        <v>0</v>
      </c>
      <c r="K505">
        <v>132</v>
      </c>
      <c r="L505">
        <f>IF(L136="","",L135)</f>
        <v>0</v>
      </c>
      <c r="M505">
        <v>132</v>
      </c>
      <c r="N505">
        <f>N135</f>
        <v>0</v>
      </c>
    </row>
    <row r="506" spans="5:14">
      <c r="E506">
        <v>133</v>
      </c>
      <c r="F506">
        <f>IF(F137="","",F136)</f>
        <v>0</v>
      </c>
      <c r="G506">
        <v>133</v>
      </c>
      <c r="H506">
        <f>H136</f>
        <v>0</v>
      </c>
      <c r="K506">
        <v>133</v>
      </c>
      <c r="L506">
        <f>IF(L137="","",L136)</f>
        <v>0</v>
      </c>
      <c r="M506">
        <v>133</v>
      </c>
      <c r="N506">
        <f>N136</f>
        <v>0</v>
      </c>
    </row>
    <row r="507" spans="5:14">
      <c r="E507">
        <v>134</v>
      </c>
      <c r="F507">
        <f>IF(F138="","",F137)</f>
        <v>0</v>
      </c>
      <c r="G507">
        <v>134</v>
      </c>
      <c r="H507">
        <f>H137</f>
        <v>0</v>
      </c>
      <c r="K507">
        <v>134</v>
      </c>
      <c r="L507">
        <f>IF(L138="","",L137)</f>
        <v>0</v>
      </c>
      <c r="M507">
        <v>134</v>
      </c>
      <c r="N507">
        <f>N137</f>
        <v>0</v>
      </c>
    </row>
    <row r="508" spans="5:14">
      <c r="E508">
        <v>135</v>
      </c>
      <c r="F508">
        <f>IF(F139="","",F138)</f>
        <v>0</v>
      </c>
      <c r="G508">
        <v>135</v>
      </c>
      <c r="H508">
        <f>H138</f>
        <v>0</v>
      </c>
      <c r="K508">
        <v>135</v>
      </c>
      <c r="L508">
        <f>IF(L139="","",L138)</f>
        <v>0</v>
      </c>
      <c r="M508">
        <v>135</v>
      </c>
      <c r="N508">
        <f>N138</f>
        <v>0</v>
      </c>
    </row>
    <row r="509" spans="5:14">
      <c r="E509">
        <v>136</v>
      </c>
      <c r="F509">
        <f>IF(F140="","",F139)</f>
        <v>0</v>
      </c>
      <c r="G509">
        <v>136</v>
      </c>
      <c r="H509">
        <f>H139</f>
        <v>0</v>
      </c>
      <c r="K509">
        <v>136</v>
      </c>
      <c r="L509">
        <f>IF(L140="","",L139)</f>
        <v>0</v>
      </c>
      <c r="M509">
        <v>136</v>
      </c>
      <c r="N509">
        <f>N139</f>
        <v>0</v>
      </c>
    </row>
    <row r="510" spans="5:14">
      <c r="E510">
        <v>137</v>
      </c>
      <c r="F510">
        <f>IF(F141="","",F140)</f>
        <v>0</v>
      </c>
      <c r="G510">
        <v>137</v>
      </c>
      <c r="H510">
        <f>H140</f>
        <v>0</v>
      </c>
      <c r="K510">
        <v>137</v>
      </c>
      <c r="L510">
        <f>IF(L141="","",L140)</f>
        <v>0</v>
      </c>
      <c r="M510">
        <v>137</v>
      </c>
      <c r="N510">
        <f>N140</f>
        <v>0</v>
      </c>
    </row>
    <row r="511" spans="5:14">
      <c r="E511">
        <v>138</v>
      </c>
      <c r="F511">
        <f>IF(F142="","",F141)</f>
        <v>0</v>
      </c>
      <c r="G511">
        <v>138</v>
      </c>
      <c r="H511">
        <f>H141</f>
        <v>0</v>
      </c>
      <c r="K511">
        <v>138</v>
      </c>
      <c r="L511">
        <f>IF(L142="","",L141)</f>
        <v>0</v>
      </c>
      <c r="M511">
        <v>138</v>
      </c>
      <c r="N511">
        <f>N141</f>
        <v>0</v>
      </c>
    </row>
    <row r="512" spans="5:14">
      <c r="E512">
        <v>139</v>
      </c>
      <c r="F512">
        <f>IF(F143="","",F142)</f>
        <v>0</v>
      </c>
      <c r="G512">
        <v>139</v>
      </c>
      <c r="H512">
        <f>H142</f>
        <v>0</v>
      </c>
      <c r="K512">
        <v>139</v>
      </c>
      <c r="L512">
        <f>IF(L143="","",L142)</f>
        <v>0</v>
      </c>
      <c r="M512">
        <v>139</v>
      </c>
      <c r="N512">
        <f>N142</f>
        <v>0</v>
      </c>
    </row>
    <row r="513" spans="5:14">
      <c r="E513">
        <v>140</v>
      </c>
      <c r="F513">
        <f>IF(F144="","",F143)</f>
        <v>0</v>
      </c>
      <c r="G513">
        <v>140</v>
      </c>
      <c r="H513">
        <f>H143</f>
        <v>0</v>
      </c>
      <c r="K513">
        <v>140</v>
      </c>
      <c r="L513">
        <f>IF(L144="","",L143)</f>
        <v>0</v>
      </c>
      <c r="M513">
        <v>140</v>
      </c>
      <c r="N513">
        <f>N143</f>
        <v>0</v>
      </c>
    </row>
    <row r="514" spans="5:14">
      <c r="E514">
        <v>141</v>
      </c>
      <c r="F514">
        <f>IF(F145="","",F144)</f>
        <v>0</v>
      </c>
      <c r="G514">
        <v>141</v>
      </c>
      <c r="H514">
        <f>H144</f>
        <v>0</v>
      </c>
      <c r="K514">
        <v>141</v>
      </c>
      <c r="L514">
        <f>IF(L145="","",L144)</f>
        <v>0</v>
      </c>
      <c r="M514">
        <v>141</v>
      </c>
      <c r="N514">
        <f>N144</f>
        <v>0</v>
      </c>
    </row>
    <row r="515" spans="5:14">
      <c r="E515">
        <v>142</v>
      </c>
      <c r="F515">
        <f>IF(F146="","",F145)</f>
        <v>0</v>
      </c>
      <c r="G515">
        <v>142</v>
      </c>
      <c r="H515">
        <f>H145</f>
        <v>0</v>
      </c>
      <c r="K515">
        <v>142</v>
      </c>
      <c r="L515">
        <f>IF(L146="","",L145)</f>
        <v>0</v>
      </c>
      <c r="M515">
        <v>142</v>
      </c>
      <c r="N515">
        <f>N145</f>
        <v>0</v>
      </c>
    </row>
    <row r="516" spans="5:14">
      <c r="E516">
        <v>143</v>
      </c>
      <c r="F516">
        <f>IF(F147="","",F146)</f>
        <v>0</v>
      </c>
      <c r="G516">
        <v>143</v>
      </c>
      <c r="H516">
        <f>H146</f>
        <v>0</v>
      </c>
      <c r="K516">
        <v>143</v>
      </c>
      <c r="L516">
        <f>IF(L147="","",L146)</f>
        <v>0</v>
      </c>
      <c r="M516">
        <v>143</v>
      </c>
      <c r="N516">
        <f>N146</f>
        <v>0</v>
      </c>
    </row>
    <row r="517" spans="5:14">
      <c r="E517">
        <v>144</v>
      </c>
      <c r="F517">
        <f>IF(F148="","",F147)</f>
        <v>0</v>
      </c>
      <c r="G517">
        <v>144</v>
      </c>
      <c r="H517">
        <f>H147</f>
        <v>0</v>
      </c>
      <c r="K517">
        <v>144</v>
      </c>
      <c r="L517">
        <f>IF(L148="","",L147)</f>
        <v>0</v>
      </c>
      <c r="M517">
        <v>144</v>
      </c>
      <c r="N517">
        <f>N147</f>
        <v>0</v>
      </c>
    </row>
    <row r="518" spans="5:14">
      <c r="E518">
        <v>145</v>
      </c>
      <c r="F518">
        <f>IF(F149="","",F148)</f>
        <v>0</v>
      </c>
      <c r="G518">
        <v>145</v>
      </c>
      <c r="H518">
        <f>H148</f>
        <v>0</v>
      </c>
      <c r="K518">
        <v>145</v>
      </c>
      <c r="L518">
        <f>IF(L149="","",L148)</f>
        <v>0</v>
      </c>
      <c r="M518">
        <v>145</v>
      </c>
      <c r="N518">
        <f>N148</f>
        <v>0</v>
      </c>
    </row>
    <row r="519" spans="5:14">
      <c r="E519">
        <v>146</v>
      </c>
      <c r="F519">
        <f>IF(F150="","",F149)</f>
        <v>0</v>
      </c>
      <c r="G519">
        <v>146</v>
      </c>
      <c r="H519">
        <f>H149</f>
        <v>0</v>
      </c>
      <c r="K519">
        <v>146</v>
      </c>
      <c r="L519">
        <f>IF(L150="","",L149)</f>
        <v>0</v>
      </c>
      <c r="M519">
        <v>146</v>
      </c>
      <c r="N519">
        <f>N149</f>
        <v>0</v>
      </c>
    </row>
    <row r="520" spans="5:14">
      <c r="E520">
        <v>147</v>
      </c>
      <c r="F520">
        <f>IF(F151="","",F150)</f>
        <v>0</v>
      </c>
      <c r="G520">
        <v>147</v>
      </c>
      <c r="H520">
        <f>H150</f>
        <v>0</v>
      </c>
      <c r="K520">
        <v>147</v>
      </c>
      <c r="L520">
        <f>IF(L151="","",L150)</f>
        <v>0</v>
      </c>
      <c r="M520">
        <v>147</v>
      </c>
      <c r="N520">
        <f>N150</f>
        <v>0</v>
      </c>
    </row>
    <row r="521" spans="5:14">
      <c r="E521">
        <v>148</v>
      </c>
      <c r="F521">
        <f>IF(F152="","",F151)</f>
        <v>0</v>
      </c>
      <c r="G521">
        <v>148</v>
      </c>
      <c r="H521">
        <f>H151</f>
        <v>0</v>
      </c>
      <c r="K521">
        <v>148</v>
      </c>
      <c r="L521">
        <f>IF(L152="","",L151)</f>
        <v>0</v>
      </c>
      <c r="M521">
        <v>148</v>
      </c>
      <c r="N521">
        <f>N151</f>
        <v>0</v>
      </c>
    </row>
    <row r="522" spans="5:14">
      <c r="E522">
        <v>149</v>
      </c>
      <c r="F522">
        <f>IF(F153="","",F152)</f>
        <v>0</v>
      </c>
      <c r="G522">
        <v>149</v>
      </c>
      <c r="H522">
        <f>H152</f>
        <v>0</v>
      </c>
      <c r="K522">
        <v>149</v>
      </c>
      <c r="L522">
        <f>IF(L153="","",L152)</f>
        <v>0</v>
      </c>
      <c r="M522">
        <v>149</v>
      </c>
      <c r="N522">
        <f>N152</f>
        <v>0</v>
      </c>
    </row>
    <row r="523" spans="5:14">
      <c r="E523">
        <v>150</v>
      </c>
      <c r="F523">
        <f>IF(F154="","",F153)</f>
        <v>0</v>
      </c>
      <c r="G523">
        <v>150</v>
      </c>
      <c r="H523">
        <f>H153</f>
        <v>0</v>
      </c>
      <c r="K523">
        <v>150</v>
      </c>
      <c r="L523">
        <f>IF(L154="","",L153)</f>
        <v>0</v>
      </c>
      <c r="M523">
        <v>150</v>
      </c>
      <c r="N523">
        <f>N153</f>
        <v>0</v>
      </c>
    </row>
    <row r="524" spans="5:14">
      <c r="E524">
        <v>151</v>
      </c>
      <c r="F524">
        <f>IF(F155="","",F154)</f>
        <v>0</v>
      </c>
      <c r="G524">
        <v>151</v>
      </c>
      <c r="H524">
        <f>H154</f>
        <v>0</v>
      </c>
      <c r="K524">
        <v>151</v>
      </c>
      <c r="L524">
        <f>IF(L155="","",L154)</f>
        <v>0</v>
      </c>
      <c r="M524">
        <v>151</v>
      </c>
      <c r="N524">
        <f>N154</f>
        <v>0</v>
      </c>
    </row>
    <row r="525" spans="5:14">
      <c r="E525">
        <v>152</v>
      </c>
      <c r="F525">
        <f>IF(F156="","",F155)</f>
        <v>0</v>
      </c>
      <c r="G525">
        <v>152</v>
      </c>
      <c r="H525">
        <f>H155</f>
        <v>0</v>
      </c>
      <c r="K525">
        <v>152</v>
      </c>
      <c r="L525">
        <f>IF(L156="","",L155)</f>
        <v>0</v>
      </c>
      <c r="M525">
        <v>152</v>
      </c>
      <c r="N525">
        <f>N155</f>
        <v>0</v>
      </c>
    </row>
    <row r="526" spans="5:14">
      <c r="E526">
        <v>153</v>
      </c>
      <c r="F526">
        <f>IF(F157="","",F156)</f>
        <v>0</v>
      </c>
      <c r="G526">
        <v>153</v>
      </c>
      <c r="H526">
        <f>H156</f>
        <v>0</v>
      </c>
      <c r="K526">
        <v>153</v>
      </c>
      <c r="L526">
        <f>IF(L157="","",L156)</f>
        <v>0</v>
      </c>
      <c r="M526">
        <v>153</v>
      </c>
      <c r="N526">
        <f>N156</f>
        <v>0</v>
      </c>
    </row>
    <row r="527" spans="5:14">
      <c r="E527">
        <v>154</v>
      </c>
      <c r="F527">
        <f>IF(F158="","",F157)</f>
        <v>0</v>
      </c>
      <c r="G527">
        <v>154</v>
      </c>
      <c r="H527">
        <f>H157</f>
        <v>0</v>
      </c>
      <c r="K527">
        <v>154</v>
      </c>
      <c r="L527">
        <f>IF(L158="","",L157)</f>
        <v>0</v>
      </c>
      <c r="M527">
        <v>154</v>
      </c>
      <c r="N527">
        <f>N157</f>
        <v>0</v>
      </c>
    </row>
    <row r="528" spans="5:14">
      <c r="E528">
        <v>155</v>
      </c>
      <c r="F528">
        <f>IF(F159="","",F158)</f>
        <v>0</v>
      </c>
      <c r="G528">
        <v>155</v>
      </c>
      <c r="H528">
        <f>H158</f>
        <v>0</v>
      </c>
      <c r="K528">
        <v>155</v>
      </c>
      <c r="L528">
        <f>IF(L159="","",L158)</f>
        <v>0</v>
      </c>
      <c r="M528">
        <v>155</v>
      </c>
      <c r="N528">
        <f>N158</f>
        <v>0</v>
      </c>
    </row>
    <row r="529" spans="5:14">
      <c r="E529">
        <v>156</v>
      </c>
      <c r="F529">
        <f>IF(F160="","",F159)</f>
        <v>0</v>
      </c>
      <c r="G529">
        <v>156</v>
      </c>
      <c r="H529">
        <f>H159</f>
        <v>0</v>
      </c>
      <c r="K529">
        <v>156</v>
      </c>
      <c r="L529">
        <f>IF(L160="","",L159)</f>
        <v>0</v>
      </c>
      <c r="M529">
        <v>156</v>
      </c>
      <c r="N529">
        <f>N159</f>
        <v>0</v>
      </c>
    </row>
    <row r="530" spans="5:14">
      <c r="E530">
        <v>157</v>
      </c>
      <c r="F530">
        <f>IF(F161="","",F160)</f>
        <v>0</v>
      </c>
      <c r="G530">
        <v>157</v>
      </c>
      <c r="H530">
        <f>H160</f>
        <v>0</v>
      </c>
      <c r="K530">
        <v>157</v>
      </c>
      <c r="L530">
        <f>IF(L161="","",L160)</f>
        <v>0</v>
      </c>
      <c r="M530">
        <v>157</v>
      </c>
      <c r="N530">
        <f>N160</f>
        <v>0</v>
      </c>
    </row>
    <row r="531" spans="5:14">
      <c r="E531">
        <v>158</v>
      </c>
      <c r="F531">
        <f>IF(F162="","",F161)</f>
        <v>0</v>
      </c>
      <c r="G531">
        <v>158</v>
      </c>
      <c r="H531">
        <f>H161</f>
        <v>0</v>
      </c>
      <c r="K531">
        <v>158</v>
      </c>
      <c r="L531">
        <f>IF(L162="","",L161)</f>
        <v>0</v>
      </c>
      <c r="M531">
        <v>158</v>
      </c>
      <c r="N531">
        <f>N161</f>
        <v>0</v>
      </c>
    </row>
    <row r="532" spans="5:14">
      <c r="E532">
        <v>159</v>
      </c>
      <c r="F532">
        <f>IF(F163="","",F162)</f>
        <v>0</v>
      </c>
      <c r="G532">
        <v>159</v>
      </c>
      <c r="H532">
        <f>H162</f>
        <v>0</v>
      </c>
      <c r="K532">
        <v>159</v>
      </c>
      <c r="L532">
        <f>IF(L163="","",L162)</f>
        <v>0</v>
      </c>
      <c r="M532">
        <v>159</v>
      </c>
      <c r="N532">
        <f>N162</f>
        <v>0</v>
      </c>
    </row>
    <row r="533" spans="5:14">
      <c r="E533">
        <v>160</v>
      </c>
      <c r="F533">
        <f>IF(F164="","",F163)</f>
        <v>0</v>
      </c>
      <c r="G533">
        <v>160</v>
      </c>
      <c r="H533">
        <f>H163</f>
        <v>0</v>
      </c>
      <c r="K533">
        <v>160</v>
      </c>
      <c r="L533">
        <f>IF(L164="","",L163)</f>
        <v>0</v>
      </c>
      <c r="M533">
        <v>160</v>
      </c>
      <c r="N533">
        <f>N163</f>
        <v>0</v>
      </c>
    </row>
    <row r="534" spans="5:14">
      <c r="E534">
        <v>161</v>
      </c>
      <c r="F534">
        <f>IF(F165="","",F164)</f>
        <v>0</v>
      </c>
      <c r="G534">
        <v>161</v>
      </c>
      <c r="H534">
        <f>H164</f>
        <v>0</v>
      </c>
      <c r="K534">
        <v>161</v>
      </c>
      <c r="L534">
        <f>IF(L165="","",L164)</f>
        <v>0</v>
      </c>
      <c r="M534">
        <v>161</v>
      </c>
      <c r="N534">
        <f>N164</f>
        <v>0</v>
      </c>
    </row>
    <row r="535" spans="5:14">
      <c r="E535">
        <v>162</v>
      </c>
      <c r="F535">
        <f>IF(F166="","",F165)</f>
        <v>0</v>
      </c>
      <c r="G535">
        <v>162</v>
      </c>
      <c r="H535">
        <f>H165</f>
        <v>0</v>
      </c>
      <c r="K535">
        <v>162</v>
      </c>
      <c r="L535">
        <f>IF(L166="","",L165)</f>
        <v>0</v>
      </c>
      <c r="M535">
        <v>162</v>
      </c>
      <c r="N535">
        <f>N165</f>
        <v>0</v>
      </c>
    </row>
    <row r="536" spans="5:14">
      <c r="E536">
        <v>163</v>
      </c>
      <c r="F536">
        <f>IF(F167="","",F166)</f>
        <v>0</v>
      </c>
      <c r="G536">
        <v>163</v>
      </c>
      <c r="H536">
        <f>H166</f>
        <v>0</v>
      </c>
      <c r="K536">
        <v>163</v>
      </c>
      <c r="L536">
        <f>IF(L167="","",L166)</f>
        <v>0</v>
      </c>
      <c r="M536">
        <v>163</v>
      </c>
      <c r="N536">
        <f>N166</f>
        <v>0</v>
      </c>
    </row>
    <row r="537" spans="5:14">
      <c r="E537">
        <v>164</v>
      </c>
      <c r="F537">
        <f>IF(F168="","",F167)</f>
        <v>0</v>
      </c>
      <c r="G537">
        <v>164</v>
      </c>
      <c r="H537">
        <f>H167</f>
        <v>0</v>
      </c>
      <c r="K537">
        <v>164</v>
      </c>
      <c r="L537">
        <f>IF(L168="","",L167)</f>
        <v>0</v>
      </c>
      <c r="M537">
        <v>164</v>
      </c>
      <c r="N537">
        <f>N167</f>
        <v>0</v>
      </c>
    </row>
    <row r="538" spans="5:14">
      <c r="E538">
        <v>165</v>
      </c>
      <c r="F538">
        <f>IF(F169="","",F168)</f>
        <v>0</v>
      </c>
      <c r="G538">
        <v>165</v>
      </c>
      <c r="H538">
        <f>H168</f>
        <v>0</v>
      </c>
      <c r="K538">
        <v>165</v>
      </c>
      <c r="L538">
        <f>IF(L169="","",L168)</f>
        <v>0</v>
      </c>
      <c r="M538">
        <v>165</v>
      </c>
      <c r="N538">
        <f>N168</f>
        <v>0</v>
      </c>
    </row>
    <row r="539" spans="5:14">
      <c r="E539">
        <v>166</v>
      </c>
      <c r="F539">
        <f>IF(F170="","",F169)</f>
        <v>0</v>
      </c>
      <c r="G539">
        <v>166</v>
      </c>
      <c r="H539">
        <f>H169</f>
        <v>0</v>
      </c>
      <c r="K539">
        <v>166</v>
      </c>
      <c r="L539">
        <f>IF(L170="","",L169)</f>
        <v>0</v>
      </c>
      <c r="M539">
        <v>166</v>
      </c>
      <c r="N539">
        <f>N169</f>
        <v>0</v>
      </c>
    </row>
    <row r="540" spans="5:14">
      <c r="E540">
        <v>167</v>
      </c>
      <c r="F540">
        <f>IF(F171="","",F170)</f>
        <v>0</v>
      </c>
      <c r="G540">
        <v>167</v>
      </c>
      <c r="H540">
        <f>H170</f>
        <v>0</v>
      </c>
      <c r="K540">
        <v>167</v>
      </c>
      <c r="L540">
        <f>IF(L171="","",L170)</f>
        <v>0</v>
      </c>
      <c r="M540">
        <v>167</v>
      </c>
      <c r="N540">
        <f>N170</f>
        <v>0</v>
      </c>
    </row>
    <row r="541" spans="5:14">
      <c r="E541">
        <v>168</v>
      </c>
      <c r="F541">
        <f>IF(F172="","",F171)</f>
        <v>0</v>
      </c>
      <c r="G541">
        <v>168</v>
      </c>
      <c r="H541">
        <f>H171</f>
        <v>0</v>
      </c>
      <c r="K541">
        <v>168</v>
      </c>
      <c r="L541">
        <f>IF(L172="","",L171)</f>
        <v>0</v>
      </c>
      <c r="M541">
        <v>168</v>
      </c>
      <c r="N541">
        <f>N171</f>
        <v>0</v>
      </c>
    </row>
    <row r="542" spans="5:14">
      <c r="E542">
        <v>169</v>
      </c>
      <c r="F542">
        <f>IF(F173="","",F172)</f>
        <v>0</v>
      </c>
      <c r="G542">
        <v>169</v>
      </c>
      <c r="H542">
        <f>H172</f>
        <v>0</v>
      </c>
      <c r="K542">
        <v>169</v>
      </c>
      <c r="L542">
        <f>IF(L173="","",L172)</f>
        <v>0</v>
      </c>
      <c r="M542">
        <v>169</v>
      </c>
      <c r="N542">
        <f>N172</f>
        <v>0</v>
      </c>
    </row>
    <row r="543" spans="5:14">
      <c r="E543">
        <v>170</v>
      </c>
      <c r="F543">
        <f>IF(F174="","",F173)</f>
        <v>0</v>
      </c>
      <c r="G543">
        <v>170</v>
      </c>
      <c r="H543">
        <f>H173</f>
        <v>0</v>
      </c>
      <c r="K543">
        <v>170</v>
      </c>
      <c r="L543">
        <f>IF(L174="","",L173)</f>
        <v>0</v>
      </c>
      <c r="M543">
        <v>170</v>
      </c>
      <c r="N543">
        <f>N173</f>
        <v>0</v>
      </c>
    </row>
    <row r="544" spans="5:14">
      <c r="E544">
        <v>171</v>
      </c>
      <c r="F544">
        <f>IF(F175="","",F174)</f>
        <v>0</v>
      </c>
      <c r="G544">
        <v>171</v>
      </c>
      <c r="H544">
        <f>H174</f>
        <v>0</v>
      </c>
      <c r="K544">
        <v>171</v>
      </c>
      <c r="L544">
        <f>IF(L175="","",L174)</f>
        <v>0</v>
      </c>
      <c r="M544">
        <v>171</v>
      </c>
      <c r="N544">
        <f>N174</f>
        <v>0</v>
      </c>
    </row>
    <row r="545" spans="5:14">
      <c r="E545">
        <v>172</v>
      </c>
      <c r="F545">
        <f>IF(F176="","",F175)</f>
        <v>0</v>
      </c>
      <c r="G545">
        <v>172</v>
      </c>
      <c r="H545">
        <f>H175</f>
        <v>0</v>
      </c>
      <c r="K545">
        <v>172</v>
      </c>
      <c r="L545">
        <f>IF(L176="","",L175)</f>
        <v>0</v>
      </c>
      <c r="M545">
        <v>172</v>
      </c>
      <c r="N545">
        <f>N175</f>
        <v>0</v>
      </c>
    </row>
    <row r="546" spans="5:14">
      <c r="E546">
        <v>173</v>
      </c>
      <c r="F546">
        <f>IF(F177="","",F176)</f>
        <v>0</v>
      </c>
      <c r="G546">
        <v>173</v>
      </c>
      <c r="H546">
        <f>H176</f>
        <v>0</v>
      </c>
      <c r="K546">
        <v>173</v>
      </c>
      <c r="L546">
        <f>IF(L177="","",L176)</f>
        <v>0</v>
      </c>
      <c r="M546">
        <v>173</v>
      </c>
      <c r="N546">
        <f>N176</f>
        <v>0</v>
      </c>
    </row>
    <row r="547" spans="5:14">
      <c r="E547">
        <v>174</v>
      </c>
      <c r="F547">
        <f>IF(F178="","",F177)</f>
        <v>0</v>
      </c>
      <c r="G547">
        <v>174</v>
      </c>
      <c r="H547">
        <f>H177</f>
        <v>0</v>
      </c>
      <c r="K547">
        <v>174</v>
      </c>
      <c r="L547">
        <f>IF(L178="","",L177)</f>
        <v>0</v>
      </c>
      <c r="M547">
        <v>174</v>
      </c>
      <c r="N547">
        <f>N177</f>
        <v>0</v>
      </c>
    </row>
    <row r="548" spans="5:14">
      <c r="E548">
        <v>175</v>
      </c>
      <c r="F548">
        <f>IF(F179="","",F178)</f>
        <v>0</v>
      </c>
      <c r="G548">
        <v>175</v>
      </c>
      <c r="H548">
        <f>H178</f>
        <v>0</v>
      </c>
      <c r="K548">
        <v>175</v>
      </c>
      <c r="L548">
        <f>IF(L179="","",L178)</f>
        <v>0</v>
      </c>
      <c r="M548">
        <v>175</v>
      </c>
      <c r="N548">
        <f>N178</f>
        <v>0</v>
      </c>
    </row>
    <row r="549" spans="5:14">
      <c r="E549">
        <v>176</v>
      </c>
      <c r="F549">
        <f>IF(F180="","",F179)</f>
        <v>0</v>
      </c>
      <c r="G549">
        <v>176</v>
      </c>
      <c r="H549">
        <f>H179</f>
        <v>0</v>
      </c>
      <c r="K549">
        <v>176</v>
      </c>
      <c r="L549">
        <f>IF(L180="","",L179)</f>
        <v>0</v>
      </c>
      <c r="M549">
        <v>176</v>
      </c>
      <c r="N549">
        <f>N179</f>
        <v>0</v>
      </c>
    </row>
    <row r="550" spans="5:14">
      <c r="E550">
        <v>177</v>
      </c>
      <c r="F550">
        <f>IF(F181="","",F180)</f>
        <v>0</v>
      </c>
      <c r="G550">
        <v>177</v>
      </c>
      <c r="H550">
        <f>H180</f>
        <v>0</v>
      </c>
      <c r="K550">
        <v>177</v>
      </c>
      <c r="L550">
        <f>IF(L181="","",L180)</f>
        <v>0</v>
      </c>
      <c r="M550">
        <v>177</v>
      </c>
      <c r="N550">
        <f>N180</f>
        <v>0</v>
      </c>
    </row>
    <row r="551" spans="5:14">
      <c r="E551">
        <v>178</v>
      </c>
      <c r="F551">
        <f>IF(F182="","",F181)</f>
        <v>0</v>
      </c>
      <c r="G551">
        <v>178</v>
      </c>
      <c r="H551">
        <f>H181</f>
        <v>0</v>
      </c>
      <c r="K551">
        <v>178</v>
      </c>
      <c r="L551">
        <f>IF(L182="","",L181)</f>
        <v>0</v>
      </c>
      <c r="M551">
        <v>178</v>
      </c>
      <c r="N551">
        <f>N181</f>
        <v>0</v>
      </c>
    </row>
    <row r="552" spans="5:14">
      <c r="E552">
        <v>179</v>
      </c>
      <c r="F552">
        <f>IF(F183="","",F182)</f>
        <v>0</v>
      </c>
      <c r="G552">
        <v>179</v>
      </c>
      <c r="H552">
        <f>H182</f>
        <v>0</v>
      </c>
      <c r="K552">
        <v>179</v>
      </c>
      <c r="L552">
        <f>IF(L183="","",L182)</f>
        <v>0</v>
      </c>
      <c r="M552">
        <v>179</v>
      </c>
      <c r="N552">
        <f>N182</f>
        <v>0</v>
      </c>
    </row>
    <row r="553" spans="5:14">
      <c r="E553">
        <v>180</v>
      </c>
      <c r="F553">
        <f>IF(F184="","",F183)</f>
        <v>0</v>
      </c>
      <c r="G553">
        <v>180</v>
      </c>
      <c r="H553">
        <f>H183</f>
        <v>0</v>
      </c>
      <c r="K553">
        <v>180</v>
      </c>
      <c r="L553">
        <f>IF(L184="","",L183)</f>
        <v>0</v>
      </c>
      <c r="M553">
        <v>180</v>
      </c>
      <c r="N553">
        <f>N183</f>
        <v>0</v>
      </c>
    </row>
    <row r="554" spans="5:14">
      <c r="E554">
        <v>181</v>
      </c>
      <c r="F554">
        <f>IF(F185="","",F184)</f>
        <v>0</v>
      </c>
      <c r="G554">
        <v>181</v>
      </c>
      <c r="H554">
        <f>H184</f>
        <v>0</v>
      </c>
      <c r="K554">
        <v>181</v>
      </c>
      <c r="L554">
        <f>IF(L185="","",L184)</f>
        <v>0</v>
      </c>
      <c r="M554">
        <v>181</v>
      </c>
      <c r="N554">
        <f>N184</f>
        <v>0</v>
      </c>
    </row>
    <row r="555" spans="5:14">
      <c r="E555">
        <v>182</v>
      </c>
      <c r="F555">
        <f>IF(F186="","",F185)</f>
        <v>0</v>
      </c>
      <c r="G555">
        <v>182</v>
      </c>
      <c r="H555">
        <f>H185</f>
        <v>0</v>
      </c>
      <c r="K555">
        <v>182</v>
      </c>
      <c r="L555">
        <f>IF(L186="","",L185)</f>
        <v>0</v>
      </c>
      <c r="M555">
        <v>182</v>
      </c>
      <c r="N555">
        <f>N185</f>
        <v>0</v>
      </c>
    </row>
    <row r="556" spans="5:14">
      <c r="E556">
        <v>183</v>
      </c>
      <c r="F556">
        <f>IF(F187="","",F186)</f>
        <v>0</v>
      </c>
      <c r="G556">
        <v>183</v>
      </c>
      <c r="H556">
        <f>H186</f>
        <v>0</v>
      </c>
      <c r="K556">
        <v>183</v>
      </c>
      <c r="L556">
        <f>IF(L187="","",L186)</f>
        <v>0</v>
      </c>
      <c r="M556">
        <v>183</v>
      </c>
      <c r="N556">
        <f>N186</f>
        <v>0</v>
      </c>
    </row>
    <row r="557" spans="5:14">
      <c r="E557">
        <v>184</v>
      </c>
      <c r="F557">
        <f>IF(F188="","",F187)</f>
        <v>0</v>
      </c>
      <c r="G557">
        <v>184</v>
      </c>
      <c r="H557">
        <f>H187</f>
        <v>0</v>
      </c>
      <c r="K557">
        <v>184</v>
      </c>
      <c r="L557">
        <f>IF(L188="","",L187)</f>
        <v>0</v>
      </c>
      <c r="M557">
        <v>184</v>
      </c>
      <c r="N557">
        <f>N187</f>
        <v>0</v>
      </c>
    </row>
    <row r="558" spans="5:14">
      <c r="E558">
        <v>0</v>
      </c>
      <c r="F558">
        <v>0</v>
      </c>
      <c r="G558">
        <v>0</v>
      </c>
      <c r="H558">
        <v>0</v>
      </c>
      <c r="K558">
        <v>0</v>
      </c>
      <c r="L558">
        <v>0</v>
      </c>
      <c r="M558">
        <v>0</v>
      </c>
      <c r="N558">
        <v>0</v>
      </c>
    </row>
    <row r="559" spans="5:14">
      <c r="E559">
        <v>1</v>
      </c>
      <c r="F559">
        <v>0</v>
      </c>
      <c r="G559">
        <v>1</v>
      </c>
      <c r="H559">
        <v>0</v>
      </c>
      <c r="K559">
        <v>1</v>
      </c>
      <c r="L559">
        <v>0</v>
      </c>
      <c r="M559">
        <v>1</v>
      </c>
      <c r="N559">
        <v>0</v>
      </c>
    </row>
    <row r="561" spans="4:14">
      <c r="D561" t="s">
        <v>222</v>
      </c>
      <c r="E561" t="s">
        <v>220</v>
      </c>
      <c r="F561" t="s">
        <v>225</v>
      </c>
      <c r="G561" t="s">
        <v>220</v>
      </c>
      <c r="H561" t="s">
        <v>226</v>
      </c>
      <c r="J561" t="s">
        <v>222</v>
      </c>
      <c r="K561" t="s">
        <v>220</v>
      </c>
      <c r="L561" t="s">
        <v>225</v>
      </c>
      <c r="M561" t="s">
        <v>220</v>
      </c>
      <c r="N561" t="s">
        <v>226</v>
      </c>
    </row>
    <row r="562" spans="4:14">
      <c r="E562">
        <f>IFERROR(SMALL(E191:E559,ROW()-ROW($E$562)+1),"")</f>
        <v>0</v>
      </c>
      <c r="F562">
        <f>IFERROR(SMALL(F191:F559,ROW()-ROW($F$562)+1),"")</f>
        <v>0</v>
      </c>
      <c r="G562">
        <f>IFERROR(SMALL(G191:G559,ROW()-ROW($G$562)+1),"")</f>
        <v>0</v>
      </c>
      <c r="H562">
        <f>IFERROR(SMALL(H191:H559,ROW()-ROW($H$562)+1),"")</f>
        <v>0</v>
      </c>
      <c r="K562">
        <f>IFERROR(SMALL(K191:K559,ROW()-ROW($K$562)+1),"")</f>
        <v>0</v>
      </c>
      <c r="L562">
        <f>IFERROR(SMALL(L191:L559,ROW()-ROW($L$562)+1),"")</f>
        <v>0</v>
      </c>
      <c r="M562">
        <f>IFERROR(SMALL(M191:M559,ROW()-ROW($M$562)+1),"")</f>
        <v>0</v>
      </c>
      <c r="N562">
        <f>IFERROR(SMALL(N191:N559,ROW()-ROW($N$562)+1),"")</f>
        <v>0</v>
      </c>
    </row>
    <row r="563" spans="4:14">
      <c r="E563">
        <f>IFERROR(SMALL(E191:E559,ROW()-ROW($E$562)+1),"")</f>
        <v>0</v>
      </c>
      <c r="F563">
        <f>IFERROR(SMALL(F191:F559,ROW()-ROW($F$562)+1),"")</f>
        <v>0</v>
      </c>
      <c r="G563">
        <f>IFERROR(SMALL(G191:G559,ROW()-ROW($G$562)+1),"")</f>
        <v>0</v>
      </c>
      <c r="H563">
        <f>IFERROR(SMALL(H191:H559,ROW()-ROW($H$562)+1),"")</f>
        <v>0</v>
      </c>
      <c r="K563">
        <f>IFERROR(SMALL(K191:K559,ROW()-ROW($K$562)+1),"")</f>
        <v>0</v>
      </c>
      <c r="L563">
        <f>IFERROR(SMALL(L191:L559,ROW()-ROW($L$562)+1),"")</f>
        <v>0</v>
      </c>
      <c r="M563">
        <f>IFERROR(SMALL(M191:M559,ROW()-ROW($M$562)+1),"")</f>
        <v>0</v>
      </c>
      <c r="N563">
        <f>IFERROR(SMALL(N191:N559,ROW()-ROW($N$562)+1),"")</f>
        <v>0</v>
      </c>
    </row>
    <row r="564" spans="4:14">
      <c r="E564">
        <f>IFERROR(SMALL(E191:E559,ROW()-ROW($E$562)+1),"")</f>
        <v>0</v>
      </c>
      <c r="F564">
        <f>IFERROR(SMALL(F191:F559,ROW()-ROW($F$562)+1),"")</f>
        <v>0</v>
      </c>
      <c r="G564">
        <f>IFERROR(SMALL(G191:G559,ROW()-ROW($G$562)+1),"")</f>
        <v>0</v>
      </c>
      <c r="H564">
        <f>IFERROR(SMALL(H191:H559,ROW()-ROW($H$562)+1),"")</f>
        <v>0</v>
      </c>
      <c r="K564">
        <f>IFERROR(SMALL(K191:K559,ROW()-ROW($K$562)+1),"")</f>
        <v>0</v>
      </c>
      <c r="L564">
        <f>IFERROR(SMALL(L191:L559,ROW()-ROW($L$562)+1),"")</f>
        <v>0</v>
      </c>
      <c r="M564">
        <f>IFERROR(SMALL(M191:M559,ROW()-ROW($M$562)+1),"")</f>
        <v>0</v>
      </c>
      <c r="N564">
        <f>IFERROR(SMALL(N191:N559,ROW()-ROW($N$562)+1),"")</f>
        <v>0</v>
      </c>
    </row>
    <row r="565" spans="4:14">
      <c r="E565">
        <f>IFERROR(SMALL(E191:E559,ROW()-ROW($E$562)+1),"")</f>
        <v>0</v>
      </c>
      <c r="F565">
        <f>IFERROR(SMALL(F191:F559,ROW()-ROW($F$562)+1),"")</f>
        <v>0</v>
      </c>
      <c r="G565">
        <f>IFERROR(SMALL(G191:G559,ROW()-ROW($G$562)+1),"")</f>
        <v>0</v>
      </c>
      <c r="H565">
        <f>IFERROR(SMALL(H191:H559,ROW()-ROW($H$562)+1),"")</f>
        <v>0</v>
      </c>
      <c r="K565">
        <f>IFERROR(SMALL(K191:K559,ROW()-ROW($K$562)+1),"")</f>
        <v>0</v>
      </c>
      <c r="L565">
        <f>IFERROR(SMALL(L191:L559,ROW()-ROW($L$562)+1),"")</f>
        <v>0</v>
      </c>
      <c r="M565">
        <f>IFERROR(SMALL(M191:M559,ROW()-ROW($M$562)+1),"")</f>
        <v>0</v>
      </c>
      <c r="N565">
        <f>IFERROR(SMALL(N191:N559,ROW()-ROW($N$562)+1),"")</f>
        <v>0</v>
      </c>
    </row>
    <row r="566" spans="4:14">
      <c r="E566">
        <f>IFERROR(SMALL(E191:E559,ROW()-ROW($E$562)+1),"")</f>
        <v>0</v>
      </c>
      <c r="F566">
        <f>IFERROR(SMALL(F191:F559,ROW()-ROW($F$562)+1),"")</f>
        <v>0</v>
      </c>
      <c r="G566">
        <f>IFERROR(SMALL(G191:G559,ROW()-ROW($G$562)+1),"")</f>
        <v>0</v>
      </c>
      <c r="H566">
        <f>IFERROR(SMALL(H191:H559,ROW()-ROW($H$562)+1),"")</f>
        <v>0</v>
      </c>
      <c r="K566">
        <f>IFERROR(SMALL(K191:K559,ROW()-ROW($K$562)+1),"")</f>
        <v>0</v>
      </c>
      <c r="L566">
        <f>IFERROR(SMALL(L191:L559,ROW()-ROW($L$562)+1),"")</f>
        <v>0</v>
      </c>
      <c r="M566">
        <f>IFERROR(SMALL(M191:M559,ROW()-ROW($M$562)+1),"")</f>
        <v>0</v>
      </c>
      <c r="N566">
        <f>IFERROR(SMALL(N191:N559,ROW()-ROW($N$562)+1),"")</f>
        <v>0</v>
      </c>
    </row>
    <row r="567" spans="4:14">
      <c r="E567">
        <f>IFERROR(SMALL(E191:E559,ROW()-ROW($E$562)+1),"")</f>
        <v>0</v>
      </c>
      <c r="F567">
        <f>IFERROR(SMALL(F191:F559,ROW()-ROW($F$562)+1),"")</f>
        <v>0</v>
      </c>
      <c r="G567">
        <f>IFERROR(SMALL(G191:G559,ROW()-ROW($G$562)+1),"")</f>
        <v>0</v>
      </c>
      <c r="H567">
        <f>IFERROR(SMALL(H191:H559,ROW()-ROW($H$562)+1),"")</f>
        <v>0</v>
      </c>
      <c r="K567">
        <f>IFERROR(SMALL(K191:K559,ROW()-ROW($K$562)+1),"")</f>
        <v>0</v>
      </c>
      <c r="L567">
        <f>IFERROR(SMALL(L191:L559,ROW()-ROW($L$562)+1),"")</f>
        <v>0</v>
      </c>
      <c r="M567">
        <f>IFERROR(SMALL(M191:M559,ROW()-ROW($M$562)+1),"")</f>
        <v>0</v>
      </c>
      <c r="N567">
        <f>IFERROR(SMALL(N191:N559,ROW()-ROW($N$562)+1),"")</f>
        <v>0</v>
      </c>
    </row>
    <row r="568" spans="4:14">
      <c r="E568">
        <f>IFERROR(SMALL(E191:E559,ROW()-ROW($E$562)+1),"")</f>
        <v>0</v>
      </c>
      <c r="F568">
        <f>IFERROR(SMALL(F191:F559,ROW()-ROW($F$562)+1),"")</f>
        <v>0</v>
      </c>
      <c r="G568">
        <f>IFERROR(SMALL(G191:G559,ROW()-ROW($G$562)+1),"")</f>
        <v>0</v>
      </c>
      <c r="H568">
        <f>IFERROR(SMALL(H191:H559,ROW()-ROW($H$562)+1),"")</f>
        <v>0</v>
      </c>
      <c r="K568">
        <f>IFERROR(SMALL(K191:K559,ROW()-ROW($K$562)+1),"")</f>
        <v>0</v>
      </c>
      <c r="L568">
        <f>IFERROR(SMALL(L191:L559,ROW()-ROW($L$562)+1),"")</f>
        <v>0</v>
      </c>
      <c r="M568">
        <f>IFERROR(SMALL(M191:M559,ROW()-ROW($M$562)+1),"")</f>
        <v>0</v>
      </c>
      <c r="N568">
        <f>IFERROR(SMALL(N191:N559,ROW()-ROW($N$562)+1),"")</f>
        <v>0</v>
      </c>
    </row>
    <row r="569" spans="4:14">
      <c r="E569">
        <f>IFERROR(SMALL(E191:E559,ROW()-ROW($E$562)+1),"")</f>
        <v>0</v>
      </c>
      <c r="F569">
        <f>IFERROR(SMALL(F191:F559,ROW()-ROW($F$562)+1),"")</f>
        <v>0</v>
      </c>
      <c r="G569">
        <f>IFERROR(SMALL(G191:G559,ROW()-ROW($G$562)+1),"")</f>
        <v>0</v>
      </c>
      <c r="H569">
        <f>IFERROR(SMALL(H191:H559,ROW()-ROW($H$562)+1),"")</f>
        <v>0</v>
      </c>
      <c r="K569">
        <f>IFERROR(SMALL(K191:K559,ROW()-ROW($K$562)+1),"")</f>
        <v>0</v>
      </c>
      <c r="L569">
        <f>IFERROR(SMALL(L191:L559,ROW()-ROW($L$562)+1),"")</f>
        <v>0</v>
      </c>
      <c r="M569">
        <f>IFERROR(SMALL(M191:M559,ROW()-ROW($M$562)+1),"")</f>
        <v>0</v>
      </c>
      <c r="N569">
        <f>IFERROR(SMALL(N191:N559,ROW()-ROW($N$562)+1),"")</f>
        <v>0</v>
      </c>
    </row>
    <row r="570" spans="4:14">
      <c r="E570">
        <f>IFERROR(SMALL(E191:E559,ROW()-ROW($E$562)+1),"")</f>
        <v>0</v>
      </c>
      <c r="F570">
        <f>IFERROR(SMALL(F191:F559,ROW()-ROW($F$562)+1),"")</f>
        <v>0</v>
      </c>
      <c r="G570">
        <f>IFERROR(SMALL(G191:G559,ROW()-ROW($G$562)+1),"")</f>
        <v>0</v>
      </c>
      <c r="H570">
        <f>IFERROR(SMALL(H191:H559,ROW()-ROW($H$562)+1),"")</f>
        <v>0</v>
      </c>
      <c r="K570">
        <f>IFERROR(SMALL(K191:K559,ROW()-ROW($K$562)+1),"")</f>
        <v>0</v>
      </c>
      <c r="L570">
        <f>IFERROR(SMALL(L191:L559,ROW()-ROW($L$562)+1),"")</f>
        <v>0</v>
      </c>
      <c r="M570">
        <f>IFERROR(SMALL(M191:M559,ROW()-ROW($M$562)+1),"")</f>
        <v>0</v>
      </c>
      <c r="N570">
        <f>IFERROR(SMALL(N191:N559,ROW()-ROW($N$562)+1),"")</f>
        <v>0</v>
      </c>
    </row>
    <row r="571" spans="4:14">
      <c r="E571">
        <f>IFERROR(SMALL(E191:E559,ROW()-ROW($E$562)+1),"")</f>
        <v>0</v>
      </c>
      <c r="F571">
        <f>IFERROR(SMALL(F191:F559,ROW()-ROW($F$562)+1),"")</f>
        <v>0</v>
      </c>
      <c r="G571">
        <f>IFERROR(SMALL(G191:G559,ROW()-ROW($G$562)+1),"")</f>
        <v>0</v>
      </c>
      <c r="H571">
        <f>IFERROR(SMALL(H191:H559,ROW()-ROW($H$562)+1),"")</f>
        <v>0</v>
      </c>
      <c r="K571">
        <f>IFERROR(SMALL(K191:K559,ROW()-ROW($K$562)+1),"")</f>
        <v>0</v>
      </c>
      <c r="L571">
        <f>IFERROR(SMALL(L191:L559,ROW()-ROW($L$562)+1),"")</f>
        <v>0</v>
      </c>
      <c r="M571">
        <f>IFERROR(SMALL(M191:M559,ROW()-ROW($M$562)+1),"")</f>
        <v>0</v>
      </c>
      <c r="N571">
        <f>IFERROR(SMALL(N191:N559,ROW()-ROW($N$562)+1),"")</f>
        <v>0</v>
      </c>
    </row>
    <row r="572" spans="4:14">
      <c r="E572">
        <f>IFERROR(SMALL(E191:E559,ROW()-ROW($E$562)+1),"")</f>
        <v>0</v>
      </c>
      <c r="F572">
        <f>IFERROR(SMALL(F191:F559,ROW()-ROW($F$562)+1),"")</f>
        <v>0</v>
      </c>
      <c r="G572">
        <f>IFERROR(SMALL(G191:G559,ROW()-ROW($G$562)+1),"")</f>
        <v>0</v>
      </c>
      <c r="H572">
        <f>IFERROR(SMALL(H191:H559,ROW()-ROW($H$562)+1),"")</f>
        <v>0</v>
      </c>
      <c r="K572">
        <f>IFERROR(SMALL(K191:K559,ROW()-ROW($K$562)+1),"")</f>
        <v>0</v>
      </c>
      <c r="L572">
        <f>IFERROR(SMALL(L191:L559,ROW()-ROW($L$562)+1),"")</f>
        <v>0</v>
      </c>
      <c r="M572">
        <f>IFERROR(SMALL(M191:M559,ROW()-ROW($M$562)+1),"")</f>
        <v>0</v>
      </c>
      <c r="N572">
        <f>IFERROR(SMALL(N191:N559,ROW()-ROW($N$562)+1),"")</f>
        <v>0</v>
      </c>
    </row>
    <row r="573" spans="4:14">
      <c r="E573">
        <f>IFERROR(SMALL(E191:E559,ROW()-ROW($E$562)+1),"")</f>
        <v>0</v>
      </c>
      <c r="F573">
        <f>IFERROR(SMALL(F191:F559,ROW()-ROW($F$562)+1),"")</f>
        <v>0</v>
      </c>
      <c r="G573">
        <f>IFERROR(SMALL(G191:G559,ROW()-ROW($G$562)+1),"")</f>
        <v>0</v>
      </c>
      <c r="H573">
        <f>IFERROR(SMALL(H191:H559,ROW()-ROW($H$562)+1),"")</f>
        <v>0</v>
      </c>
      <c r="K573">
        <f>IFERROR(SMALL(K191:K559,ROW()-ROW($K$562)+1),"")</f>
        <v>0</v>
      </c>
      <c r="L573">
        <f>IFERROR(SMALL(L191:L559,ROW()-ROW($L$562)+1),"")</f>
        <v>0</v>
      </c>
      <c r="M573">
        <f>IFERROR(SMALL(M191:M559,ROW()-ROW($M$562)+1),"")</f>
        <v>0</v>
      </c>
      <c r="N573">
        <f>IFERROR(SMALL(N191:N559,ROW()-ROW($N$562)+1),"")</f>
        <v>0</v>
      </c>
    </row>
    <row r="574" spans="4:14">
      <c r="E574">
        <f>IFERROR(SMALL(E191:E559,ROW()-ROW($E$562)+1),"")</f>
        <v>0</v>
      </c>
      <c r="F574">
        <f>IFERROR(SMALL(F191:F559,ROW()-ROW($F$562)+1),"")</f>
        <v>0</v>
      </c>
      <c r="G574">
        <f>IFERROR(SMALL(G191:G559,ROW()-ROW($G$562)+1),"")</f>
        <v>0</v>
      </c>
      <c r="H574">
        <f>IFERROR(SMALL(H191:H559,ROW()-ROW($H$562)+1),"")</f>
        <v>0</v>
      </c>
      <c r="K574">
        <f>IFERROR(SMALL(K191:K559,ROW()-ROW($K$562)+1),"")</f>
        <v>0</v>
      </c>
      <c r="L574">
        <f>IFERROR(SMALL(L191:L559,ROW()-ROW($L$562)+1),"")</f>
        <v>0</v>
      </c>
      <c r="M574">
        <f>IFERROR(SMALL(M191:M559,ROW()-ROW($M$562)+1),"")</f>
        <v>0</v>
      </c>
      <c r="N574">
        <f>IFERROR(SMALL(N191:N559,ROW()-ROW($N$562)+1),"")</f>
        <v>0</v>
      </c>
    </row>
    <row r="575" spans="4:14">
      <c r="E575">
        <f>IFERROR(SMALL(E191:E559,ROW()-ROW($E$562)+1),"")</f>
        <v>0</v>
      </c>
      <c r="F575">
        <f>IFERROR(SMALL(F191:F559,ROW()-ROW($F$562)+1),"")</f>
        <v>0</v>
      </c>
      <c r="G575">
        <f>IFERROR(SMALL(G191:G559,ROW()-ROW($G$562)+1),"")</f>
        <v>0</v>
      </c>
      <c r="H575">
        <f>IFERROR(SMALL(H191:H559,ROW()-ROW($H$562)+1),"")</f>
        <v>0</v>
      </c>
      <c r="K575">
        <f>IFERROR(SMALL(K191:K559,ROW()-ROW($K$562)+1),"")</f>
        <v>0</v>
      </c>
      <c r="L575">
        <f>IFERROR(SMALL(L191:L559,ROW()-ROW($L$562)+1),"")</f>
        <v>0</v>
      </c>
      <c r="M575">
        <f>IFERROR(SMALL(M191:M559,ROW()-ROW($M$562)+1),"")</f>
        <v>0</v>
      </c>
      <c r="N575">
        <f>IFERROR(SMALL(N191:N559,ROW()-ROW($N$562)+1),"")</f>
        <v>0</v>
      </c>
    </row>
    <row r="576" spans="4:14">
      <c r="E576">
        <f>IFERROR(SMALL(E191:E559,ROW()-ROW($E$562)+1),"")</f>
        <v>0</v>
      </c>
      <c r="F576">
        <f>IFERROR(SMALL(F191:F559,ROW()-ROW($F$562)+1),"")</f>
        <v>0</v>
      </c>
      <c r="G576">
        <f>IFERROR(SMALL(G191:G559,ROW()-ROW($G$562)+1),"")</f>
        <v>0</v>
      </c>
      <c r="H576">
        <f>IFERROR(SMALL(H191:H559,ROW()-ROW($H$562)+1),"")</f>
        <v>0</v>
      </c>
      <c r="K576">
        <f>IFERROR(SMALL(K191:K559,ROW()-ROW($K$562)+1),"")</f>
        <v>0</v>
      </c>
      <c r="L576">
        <f>IFERROR(SMALL(L191:L559,ROW()-ROW($L$562)+1),"")</f>
        <v>0</v>
      </c>
      <c r="M576">
        <f>IFERROR(SMALL(M191:M559,ROW()-ROW($M$562)+1),"")</f>
        <v>0</v>
      </c>
      <c r="N576">
        <f>IFERROR(SMALL(N191:N559,ROW()-ROW($N$562)+1),"")</f>
        <v>0</v>
      </c>
    </row>
    <row r="577" spans="5:14">
      <c r="E577">
        <f>IFERROR(SMALL(E191:E559,ROW()-ROW($E$562)+1),"")</f>
        <v>0</v>
      </c>
      <c r="F577">
        <f>IFERROR(SMALL(F191:F559,ROW()-ROW($F$562)+1),"")</f>
        <v>0</v>
      </c>
      <c r="G577">
        <f>IFERROR(SMALL(G191:G559,ROW()-ROW($G$562)+1),"")</f>
        <v>0</v>
      </c>
      <c r="H577">
        <f>IFERROR(SMALL(H191:H559,ROW()-ROW($H$562)+1),"")</f>
        <v>0</v>
      </c>
      <c r="K577">
        <f>IFERROR(SMALL(K191:K559,ROW()-ROW($K$562)+1),"")</f>
        <v>0</v>
      </c>
      <c r="L577">
        <f>IFERROR(SMALL(L191:L559,ROW()-ROW($L$562)+1),"")</f>
        <v>0</v>
      </c>
      <c r="M577">
        <f>IFERROR(SMALL(M191:M559,ROW()-ROW($M$562)+1),"")</f>
        <v>0</v>
      </c>
      <c r="N577">
        <f>IFERROR(SMALL(N191:N559,ROW()-ROW($N$562)+1),"")</f>
        <v>0</v>
      </c>
    </row>
    <row r="578" spans="5:14">
      <c r="E578">
        <f>IFERROR(SMALL(E191:E559,ROW()-ROW($E$562)+1),"")</f>
        <v>0</v>
      </c>
      <c r="F578">
        <f>IFERROR(SMALL(F191:F559,ROW()-ROW($F$562)+1),"")</f>
        <v>0</v>
      </c>
      <c r="G578">
        <f>IFERROR(SMALL(G191:G559,ROW()-ROW($G$562)+1),"")</f>
        <v>0</v>
      </c>
      <c r="H578">
        <f>IFERROR(SMALL(H191:H559,ROW()-ROW($H$562)+1),"")</f>
        <v>0</v>
      </c>
      <c r="K578">
        <f>IFERROR(SMALL(K191:K559,ROW()-ROW($K$562)+1),"")</f>
        <v>0</v>
      </c>
      <c r="L578">
        <f>IFERROR(SMALL(L191:L559,ROW()-ROW($L$562)+1),"")</f>
        <v>0</v>
      </c>
      <c r="M578">
        <f>IFERROR(SMALL(M191:M559,ROW()-ROW($M$562)+1),"")</f>
        <v>0</v>
      </c>
      <c r="N578">
        <f>IFERROR(SMALL(N191:N559,ROW()-ROW($N$562)+1),"")</f>
        <v>0</v>
      </c>
    </row>
    <row r="579" spans="5:14">
      <c r="E579">
        <f>IFERROR(SMALL(E191:E559,ROW()-ROW($E$562)+1),"")</f>
        <v>0</v>
      </c>
      <c r="F579">
        <f>IFERROR(SMALL(F191:F559,ROW()-ROW($F$562)+1),"")</f>
        <v>0</v>
      </c>
      <c r="G579">
        <f>IFERROR(SMALL(G191:G559,ROW()-ROW($G$562)+1),"")</f>
        <v>0</v>
      </c>
      <c r="H579">
        <f>IFERROR(SMALL(H191:H559,ROW()-ROW($H$562)+1),"")</f>
        <v>0</v>
      </c>
      <c r="K579">
        <f>IFERROR(SMALL(K191:K559,ROW()-ROW($K$562)+1),"")</f>
        <v>0</v>
      </c>
      <c r="L579">
        <f>IFERROR(SMALL(L191:L559,ROW()-ROW($L$562)+1),"")</f>
        <v>0</v>
      </c>
      <c r="M579">
        <f>IFERROR(SMALL(M191:M559,ROW()-ROW($M$562)+1),"")</f>
        <v>0</v>
      </c>
      <c r="N579">
        <f>IFERROR(SMALL(N191:N559,ROW()-ROW($N$562)+1),"")</f>
        <v>0</v>
      </c>
    </row>
    <row r="580" spans="5:14">
      <c r="E580">
        <f>IFERROR(SMALL(E191:E559,ROW()-ROW($E$562)+1),"")</f>
        <v>0</v>
      </c>
      <c r="F580">
        <f>IFERROR(SMALL(F191:F559,ROW()-ROW($F$562)+1),"")</f>
        <v>0</v>
      </c>
      <c r="G580">
        <f>IFERROR(SMALL(G191:G559,ROW()-ROW($G$562)+1),"")</f>
        <v>0</v>
      </c>
      <c r="H580">
        <f>IFERROR(SMALL(H191:H559,ROW()-ROW($H$562)+1),"")</f>
        <v>0</v>
      </c>
      <c r="K580">
        <f>IFERROR(SMALL(K191:K559,ROW()-ROW($K$562)+1),"")</f>
        <v>0</v>
      </c>
      <c r="L580">
        <f>IFERROR(SMALL(L191:L559,ROW()-ROW($L$562)+1),"")</f>
        <v>0</v>
      </c>
      <c r="M580">
        <f>IFERROR(SMALL(M191:M559,ROW()-ROW($M$562)+1),"")</f>
        <v>0</v>
      </c>
      <c r="N580">
        <f>IFERROR(SMALL(N191:N559,ROW()-ROW($N$562)+1),"")</f>
        <v>0</v>
      </c>
    </row>
    <row r="581" spans="5:14">
      <c r="E581">
        <f>IFERROR(SMALL(E191:E559,ROW()-ROW($E$562)+1),"")</f>
        <v>0</v>
      </c>
      <c r="F581">
        <f>IFERROR(SMALL(F191:F559,ROW()-ROW($F$562)+1),"")</f>
        <v>0</v>
      </c>
      <c r="G581">
        <f>IFERROR(SMALL(G191:G559,ROW()-ROW($G$562)+1),"")</f>
        <v>0</v>
      </c>
      <c r="H581">
        <f>IFERROR(SMALL(H191:H559,ROW()-ROW($H$562)+1),"")</f>
        <v>0</v>
      </c>
      <c r="K581">
        <f>IFERROR(SMALL(K191:K559,ROW()-ROW($K$562)+1),"")</f>
        <v>0</v>
      </c>
      <c r="L581">
        <f>IFERROR(SMALL(L191:L559,ROW()-ROW($L$562)+1),"")</f>
        <v>0</v>
      </c>
      <c r="M581">
        <f>IFERROR(SMALL(M191:M559,ROW()-ROW($M$562)+1),"")</f>
        <v>0</v>
      </c>
      <c r="N581">
        <f>IFERROR(SMALL(N191:N559,ROW()-ROW($N$562)+1),"")</f>
        <v>0</v>
      </c>
    </row>
    <row r="582" spans="5:14">
      <c r="E582">
        <f>IFERROR(SMALL(E191:E559,ROW()-ROW($E$562)+1),"")</f>
        <v>0</v>
      </c>
      <c r="F582">
        <f>IFERROR(SMALL(F191:F559,ROW()-ROW($F$562)+1),"")</f>
        <v>0</v>
      </c>
      <c r="G582">
        <f>IFERROR(SMALL(G191:G559,ROW()-ROW($G$562)+1),"")</f>
        <v>0</v>
      </c>
      <c r="H582">
        <f>IFERROR(SMALL(H191:H559,ROW()-ROW($H$562)+1),"")</f>
        <v>0</v>
      </c>
      <c r="K582">
        <f>IFERROR(SMALL(K191:K559,ROW()-ROW($K$562)+1),"")</f>
        <v>0</v>
      </c>
      <c r="L582">
        <f>IFERROR(SMALL(L191:L559,ROW()-ROW($L$562)+1),"")</f>
        <v>0</v>
      </c>
      <c r="M582">
        <f>IFERROR(SMALL(M191:M559,ROW()-ROW($M$562)+1),"")</f>
        <v>0</v>
      </c>
      <c r="N582">
        <f>IFERROR(SMALL(N191:N559,ROW()-ROW($N$562)+1),"")</f>
        <v>0</v>
      </c>
    </row>
    <row r="583" spans="5:14">
      <c r="E583">
        <f>IFERROR(SMALL(E191:E559,ROW()-ROW($E$562)+1),"")</f>
        <v>0</v>
      </c>
      <c r="F583">
        <f>IFERROR(SMALL(F191:F559,ROW()-ROW($F$562)+1),"")</f>
        <v>0</v>
      </c>
      <c r="G583">
        <f>IFERROR(SMALL(G191:G559,ROW()-ROW($G$562)+1),"")</f>
        <v>0</v>
      </c>
      <c r="H583">
        <f>IFERROR(SMALL(H191:H559,ROW()-ROW($H$562)+1),"")</f>
        <v>0</v>
      </c>
      <c r="K583">
        <f>IFERROR(SMALL(K191:K559,ROW()-ROW($K$562)+1),"")</f>
        <v>0</v>
      </c>
      <c r="L583">
        <f>IFERROR(SMALL(L191:L559,ROW()-ROW($L$562)+1),"")</f>
        <v>0</v>
      </c>
      <c r="M583">
        <f>IFERROR(SMALL(M191:M559,ROW()-ROW($M$562)+1),"")</f>
        <v>0</v>
      </c>
      <c r="N583">
        <f>IFERROR(SMALL(N191:N559,ROW()-ROW($N$562)+1),"")</f>
        <v>0</v>
      </c>
    </row>
    <row r="584" spans="5:14">
      <c r="E584">
        <f>IFERROR(SMALL(E191:E559,ROW()-ROW($E$562)+1),"")</f>
        <v>0</v>
      </c>
      <c r="F584">
        <f>IFERROR(SMALL(F191:F559,ROW()-ROW($F$562)+1),"")</f>
        <v>0</v>
      </c>
      <c r="G584">
        <f>IFERROR(SMALL(G191:G559,ROW()-ROW($G$562)+1),"")</f>
        <v>0</v>
      </c>
      <c r="H584">
        <f>IFERROR(SMALL(H191:H559,ROW()-ROW($H$562)+1),"")</f>
        <v>0</v>
      </c>
      <c r="K584">
        <f>IFERROR(SMALL(K191:K559,ROW()-ROW($K$562)+1),"")</f>
        <v>0</v>
      </c>
      <c r="L584">
        <f>IFERROR(SMALL(L191:L559,ROW()-ROW($L$562)+1),"")</f>
        <v>0</v>
      </c>
      <c r="M584">
        <f>IFERROR(SMALL(M191:M559,ROW()-ROW($M$562)+1),"")</f>
        <v>0</v>
      </c>
      <c r="N584">
        <f>IFERROR(SMALL(N191:N559,ROW()-ROW($N$562)+1),"")</f>
        <v>0</v>
      </c>
    </row>
    <row r="585" spans="5:14">
      <c r="E585">
        <f>IFERROR(SMALL(E191:E559,ROW()-ROW($E$562)+1),"")</f>
        <v>0</v>
      </c>
      <c r="F585">
        <f>IFERROR(SMALL(F191:F559,ROW()-ROW($F$562)+1),"")</f>
        <v>0</v>
      </c>
      <c r="G585">
        <f>IFERROR(SMALL(G191:G559,ROW()-ROW($G$562)+1),"")</f>
        <v>0</v>
      </c>
      <c r="H585">
        <f>IFERROR(SMALL(H191:H559,ROW()-ROW($H$562)+1),"")</f>
        <v>0</v>
      </c>
      <c r="K585">
        <f>IFERROR(SMALL(K191:K559,ROW()-ROW($K$562)+1),"")</f>
        <v>0</v>
      </c>
      <c r="L585">
        <f>IFERROR(SMALL(L191:L559,ROW()-ROW($L$562)+1),"")</f>
        <v>0</v>
      </c>
      <c r="M585">
        <f>IFERROR(SMALL(M191:M559,ROW()-ROW($M$562)+1),"")</f>
        <v>0</v>
      </c>
      <c r="N585">
        <f>IFERROR(SMALL(N191:N559,ROW()-ROW($N$562)+1),"")</f>
        <v>0</v>
      </c>
    </row>
    <row r="586" spans="5:14">
      <c r="E586">
        <f>IFERROR(SMALL(E191:E559,ROW()-ROW($E$562)+1),"")</f>
        <v>0</v>
      </c>
      <c r="F586">
        <f>IFERROR(SMALL(F191:F559,ROW()-ROW($F$562)+1),"")</f>
        <v>0</v>
      </c>
      <c r="G586">
        <f>IFERROR(SMALL(G191:G559,ROW()-ROW($G$562)+1),"")</f>
        <v>0</v>
      </c>
      <c r="H586">
        <f>IFERROR(SMALL(H191:H559,ROW()-ROW($H$562)+1),"")</f>
        <v>0</v>
      </c>
      <c r="K586">
        <f>IFERROR(SMALL(K191:K559,ROW()-ROW($K$562)+1),"")</f>
        <v>0</v>
      </c>
      <c r="L586">
        <f>IFERROR(SMALL(L191:L559,ROW()-ROW($L$562)+1),"")</f>
        <v>0</v>
      </c>
      <c r="M586">
        <f>IFERROR(SMALL(M191:M559,ROW()-ROW($M$562)+1),"")</f>
        <v>0</v>
      </c>
      <c r="N586">
        <f>IFERROR(SMALL(N191:N559,ROW()-ROW($N$562)+1),"")</f>
        <v>0</v>
      </c>
    </row>
    <row r="587" spans="5:14">
      <c r="E587">
        <f>IFERROR(SMALL(E191:E559,ROW()-ROW($E$562)+1),"")</f>
        <v>0</v>
      </c>
      <c r="F587">
        <f>IFERROR(SMALL(F191:F559,ROW()-ROW($F$562)+1),"")</f>
        <v>0</v>
      </c>
      <c r="G587">
        <f>IFERROR(SMALL(G191:G559,ROW()-ROW($G$562)+1),"")</f>
        <v>0</v>
      </c>
      <c r="H587">
        <f>IFERROR(SMALL(H191:H559,ROW()-ROW($H$562)+1),"")</f>
        <v>0</v>
      </c>
      <c r="K587">
        <f>IFERROR(SMALL(K191:K559,ROW()-ROW($K$562)+1),"")</f>
        <v>0</v>
      </c>
      <c r="L587">
        <f>IFERROR(SMALL(L191:L559,ROW()-ROW($L$562)+1),"")</f>
        <v>0</v>
      </c>
      <c r="M587">
        <f>IFERROR(SMALL(M191:M559,ROW()-ROW($M$562)+1),"")</f>
        <v>0</v>
      </c>
      <c r="N587">
        <f>IFERROR(SMALL(N191:N559,ROW()-ROW($N$562)+1),"")</f>
        <v>0</v>
      </c>
    </row>
    <row r="588" spans="5:14">
      <c r="E588">
        <f>IFERROR(SMALL(E191:E559,ROW()-ROW($E$562)+1),"")</f>
        <v>0</v>
      </c>
      <c r="F588">
        <f>IFERROR(SMALL(F191:F559,ROW()-ROW($F$562)+1),"")</f>
        <v>0</v>
      </c>
      <c r="G588">
        <f>IFERROR(SMALL(G191:G559,ROW()-ROW($G$562)+1),"")</f>
        <v>0</v>
      </c>
      <c r="H588">
        <f>IFERROR(SMALL(H191:H559,ROW()-ROW($H$562)+1),"")</f>
        <v>0</v>
      </c>
      <c r="K588">
        <f>IFERROR(SMALL(K191:K559,ROW()-ROW($K$562)+1),"")</f>
        <v>0</v>
      </c>
      <c r="L588">
        <f>IFERROR(SMALL(L191:L559,ROW()-ROW($L$562)+1),"")</f>
        <v>0</v>
      </c>
      <c r="M588">
        <f>IFERROR(SMALL(M191:M559,ROW()-ROW($M$562)+1),"")</f>
        <v>0</v>
      </c>
      <c r="N588">
        <f>IFERROR(SMALL(N191:N559,ROW()-ROW($N$562)+1),"")</f>
        <v>0</v>
      </c>
    </row>
    <row r="589" spans="5:14">
      <c r="E589">
        <f>IFERROR(SMALL(E191:E559,ROW()-ROW($E$562)+1),"")</f>
        <v>0</v>
      </c>
      <c r="F589">
        <f>IFERROR(SMALL(F191:F559,ROW()-ROW($F$562)+1),"")</f>
        <v>0</v>
      </c>
      <c r="G589">
        <f>IFERROR(SMALL(G191:G559,ROW()-ROW($G$562)+1),"")</f>
        <v>0</v>
      </c>
      <c r="H589">
        <f>IFERROR(SMALL(H191:H559,ROW()-ROW($H$562)+1),"")</f>
        <v>0</v>
      </c>
      <c r="K589">
        <f>IFERROR(SMALL(K191:K559,ROW()-ROW($K$562)+1),"")</f>
        <v>0</v>
      </c>
      <c r="L589">
        <f>IFERROR(SMALL(L191:L559,ROW()-ROW($L$562)+1),"")</f>
        <v>0</v>
      </c>
      <c r="M589">
        <f>IFERROR(SMALL(M191:M559,ROW()-ROW($M$562)+1),"")</f>
        <v>0</v>
      </c>
      <c r="N589">
        <f>IFERROR(SMALL(N191:N559,ROW()-ROW($N$562)+1),"")</f>
        <v>0</v>
      </c>
    </row>
    <row r="590" spans="5:14">
      <c r="E590">
        <f>IFERROR(SMALL(E191:E559,ROW()-ROW($E$562)+1),"")</f>
        <v>0</v>
      </c>
      <c r="F590">
        <f>IFERROR(SMALL(F191:F559,ROW()-ROW($F$562)+1),"")</f>
        <v>0</v>
      </c>
      <c r="G590">
        <f>IFERROR(SMALL(G191:G559,ROW()-ROW($G$562)+1),"")</f>
        <v>0</v>
      </c>
      <c r="H590">
        <f>IFERROR(SMALL(H191:H559,ROW()-ROW($H$562)+1),"")</f>
        <v>0</v>
      </c>
      <c r="K590">
        <f>IFERROR(SMALL(K191:K559,ROW()-ROW($K$562)+1),"")</f>
        <v>0</v>
      </c>
      <c r="L590">
        <f>IFERROR(SMALL(L191:L559,ROW()-ROW($L$562)+1),"")</f>
        <v>0</v>
      </c>
      <c r="M590">
        <f>IFERROR(SMALL(M191:M559,ROW()-ROW($M$562)+1),"")</f>
        <v>0</v>
      </c>
      <c r="N590">
        <f>IFERROR(SMALL(N191:N559,ROW()-ROW($N$562)+1),"")</f>
        <v>0</v>
      </c>
    </row>
    <row r="591" spans="5:14">
      <c r="E591">
        <f>IFERROR(SMALL(E191:E559,ROW()-ROW($E$562)+1),"")</f>
        <v>0</v>
      </c>
      <c r="F591">
        <f>IFERROR(SMALL(F191:F559,ROW()-ROW($F$562)+1),"")</f>
        <v>0</v>
      </c>
      <c r="G591">
        <f>IFERROR(SMALL(G191:G559,ROW()-ROW($G$562)+1),"")</f>
        <v>0</v>
      </c>
      <c r="H591">
        <f>IFERROR(SMALL(H191:H559,ROW()-ROW($H$562)+1),"")</f>
        <v>0</v>
      </c>
      <c r="K591">
        <f>IFERROR(SMALL(K191:K559,ROW()-ROW($K$562)+1),"")</f>
        <v>0</v>
      </c>
      <c r="L591">
        <f>IFERROR(SMALL(L191:L559,ROW()-ROW($L$562)+1),"")</f>
        <v>0</v>
      </c>
      <c r="M591">
        <f>IFERROR(SMALL(M191:M559,ROW()-ROW($M$562)+1),"")</f>
        <v>0</v>
      </c>
      <c r="N591">
        <f>IFERROR(SMALL(N191:N559,ROW()-ROW($N$562)+1),"")</f>
        <v>0</v>
      </c>
    </row>
    <row r="592" spans="5:14">
      <c r="E592">
        <f>IFERROR(SMALL(E191:E559,ROW()-ROW($E$562)+1),"")</f>
        <v>0</v>
      </c>
      <c r="F592">
        <f>IFERROR(SMALL(F191:F559,ROW()-ROW($F$562)+1),"")</f>
        <v>0</v>
      </c>
      <c r="G592">
        <f>IFERROR(SMALL(G191:G559,ROW()-ROW($G$562)+1),"")</f>
        <v>0</v>
      </c>
      <c r="H592">
        <f>IFERROR(SMALL(H191:H559,ROW()-ROW($H$562)+1),"")</f>
        <v>0</v>
      </c>
      <c r="K592">
        <f>IFERROR(SMALL(K191:K559,ROW()-ROW($K$562)+1),"")</f>
        <v>0</v>
      </c>
      <c r="L592">
        <f>IFERROR(SMALL(L191:L559,ROW()-ROW($L$562)+1),"")</f>
        <v>0</v>
      </c>
      <c r="M592">
        <f>IFERROR(SMALL(M191:M559,ROW()-ROW($M$562)+1),"")</f>
        <v>0</v>
      </c>
      <c r="N592">
        <f>IFERROR(SMALL(N191:N559,ROW()-ROW($N$562)+1),"")</f>
        <v>0</v>
      </c>
    </row>
    <row r="593" spans="5:14">
      <c r="E593">
        <f>IFERROR(SMALL(E191:E559,ROW()-ROW($E$562)+1),"")</f>
        <v>0</v>
      </c>
      <c r="F593">
        <f>IFERROR(SMALL(F191:F559,ROW()-ROW($F$562)+1),"")</f>
        <v>0</v>
      </c>
      <c r="G593">
        <f>IFERROR(SMALL(G191:G559,ROW()-ROW($G$562)+1),"")</f>
        <v>0</v>
      </c>
      <c r="H593">
        <f>IFERROR(SMALL(H191:H559,ROW()-ROW($H$562)+1),"")</f>
        <v>0</v>
      </c>
      <c r="K593">
        <f>IFERROR(SMALL(K191:K559,ROW()-ROW($K$562)+1),"")</f>
        <v>0</v>
      </c>
      <c r="L593">
        <f>IFERROR(SMALL(L191:L559,ROW()-ROW($L$562)+1),"")</f>
        <v>0</v>
      </c>
      <c r="M593">
        <f>IFERROR(SMALL(M191:M559,ROW()-ROW($M$562)+1),"")</f>
        <v>0</v>
      </c>
      <c r="N593">
        <f>IFERROR(SMALL(N191:N559,ROW()-ROW($N$562)+1),"")</f>
        <v>0</v>
      </c>
    </row>
    <row r="594" spans="5:14">
      <c r="E594">
        <f>IFERROR(SMALL(E191:E559,ROW()-ROW($E$562)+1),"")</f>
        <v>0</v>
      </c>
      <c r="F594">
        <f>IFERROR(SMALL(F191:F559,ROW()-ROW($F$562)+1),"")</f>
        <v>0</v>
      </c>
      <c r="G594">
        <f>IFERROR(SMALL(G191:G559,ROW()-ROW($G$562)+1),"")</f>
        <v>0</v>
      </c>
      <c r="H594">
        <f>IFERROR(SMALL(H191:H559,ROW()-ROW($H$562)+1),"")</f>
        <v>0</v>
      </c>
      <c r="K594">
        <f>IFERROR(SMALL(K191:K559,ROW()-ROW($K$562)+1),"")</f>
        <v>0</v>
      </c>
      <c r="L594">
        <f>IFERROR(SMALL(L191:L559,ROW()-ROW($L$562)+1),"")</f>
        <v>0</v>
      </c>
      <c r="M594">
        <f>IFERROR(SMALL(M191:M559,ROW()-ROW($M$562)+1),"")</f>
        <v>0</v>
      </c>
      <c r="N594">
        <f>IFERROR(SMALL(N191:N559,ROW()-ROW($N$562)+1),"")</f>
        <v>0</v>
      </c>
    </row>
    <row r="595" spans="5:14">
      <c r="E595">
        <f>IFERROR(SMALL(E191:E559,ROW()-ROW($E$562)+1),"")</f>
        <v>0</v>
      </c>
      <c r="F595">
        <f>IFERROR(SMALL(F191:F559,ROW()-ROW($F$562)+1),"")</f>
        <v>0</v>
      </c>
      <c r="G595">
        <f>IFERROR(SMALL(G191:G559,ROW()-ROW($G$562)+1),"")</f>
        <v>0</v>
      </c>
      <c r="H595">
        <f>IFERROR(SMALL(H191:H559,ROW()-ROW($H$562)+1),"")</f>
        <v>0</v>
      </c>
      <c r="K595">
        <f>IFERROR(SMALL(K191:K559,ROW()-ROW($K$562)+1),"")</f>
        <v>0</v>
      </c>
      <c r="L595">
        <f>IFERROR(SMALL(L191:L559,ROW()-ROW($L$562)+1),"")</f>
        <v>0</v>
      </c>
      <c r="M595">
        <f>IFERROR(SMALL(M191:M559,ROW()-ROW($M$562)+1),"")</f>
        <v>0</v>
      </c>
      <c r="N595">
        <f>IFERROR(SMALL(N191:N559,ROW()-ROW($N$562)+1),"")</f>
        <v>0</v>
      </c>
    </row>
    <row r="596" spans="5:14">
      <c r="E596">
        <f>IFERROR(SMALL(E191:E559,ROW()-ROW($E$562)+1),"")</f>
        <v>0</v>
      </c>
      <c r="F596">
        <f>IFERROR(SMALL(F191:F559,ROW()-ROW($F$562)+1),"")</f>
        <v>0</v>
      </c>
      <c r="G596">
        <f>IFERROR(SMALL(G191:G559,ROW()-ROW($G$562)+1),"")</f>
        <v>0</v>
      </c>
      <c r="H596">
        <f>IFERROR(SMALL(H191:H559,ROW()-ROW($H$562)+1),"")</f>
        <v>0</v>
      </c>
      <c r="K596">
        <f>IFERROR(SMALL(K191:K559,ROW()-ROW($K$562)+1),"")</f>
        <v>0</v>
      </c>
      <c r="L596">
        <f>IFERROR(SMALL(L191:L559,ROW()-ROW($L$562)+1),"")</f>
        <v>0</v>
      </c>
      <c r="M596">
        <f>IFERROR(SMALL(M191:M559,ROW()-ROW($M$562)+1),"")</f>
        <v>0</v>
      </c>
      <c r="N596">
        <f>IFERROR(SMALL(N191:N559,ROW()-ROW($N$562)+1),"")</f>
        <v>0</v>
      </c>
    </row>
    <row r="597" spans="5:14">
      <c r="E597">
        <f>IFERROR(SMALL(E191:E559,ROW()-ROW($E$562)+1),"")</f>
        <v>0</v>
      </c>
      <c r="F597">
        <f>IFERROR(SMALL(F191:F559,ROW()-ROW($F$562)+1),"")</f>
        <v>0</v>
      </c>
      <c r="G597">
        <f>IFERROR(SMALL(G191:G559,ROW()-ROW($G$562)+1),"")</f>
        <v>0</v>
      </c>
      <c r="H597">
        <f>IFERROR(SMALL(H191:H559,ROW()-ROW($H$562)+1),"")</f>
        <v>0</v>
      </c>
      <c r="K597">
        <f>IFERROR(SMALL(K191:K559,ROW()-ROW($K$562)+1),"")</f>
        <v>0</v>
      </c>
      <c r="L597">
        <f>IFERROR(SMALL(L191:L559,ROW()-ROW($L$562)+1),"")</f>
        <v>0</v>
      </c>
      <c r="M597">
        <f>IFERROR(SMALL(M191:M559,ROW()-ROW($M$562)+1),"")</f>
        <v>0</v>
      </c>
      <c r="N597">
        <f>IFERROR(SMALL(N191:N559,ROW()-ROW($N$562)+1),"")</f>
        <v>0</v>
      </c>
    </row>
    <row r="598" spans="5:14">
      <c r="E598">
        <f>IFERROR(SMALL(E191:E559,ROW()-ROW($E$562)+1),"")</f>
        <v>0</v>
      </c>
      <c r="F598">
        <f>IFERROR(SMALL(F191:F559,ROW()-ROW($F$562)+1),"")</f>
        <v>0</v>
      </c>
      <c r="G598">
        <f>IFERROR(SMALL(G191:G559,ROW()-ROW($G$562)+1),"")</f>
        <v>0</v>
      </c>
      <c r="H598">
        <f>IFERROR(SMALL(H191:H559,ROW()-ROW($H$562)+1),"")</f>
        <v>0</v>
      </c>
      <c r="K598">
        <f>IFERROR(SMALL(K191:K559,ROW()-ROW($K$562)+1),"")</f>
        <v>0</v>
      </c>
      <c r="L598">
        <f>IFERROR(SMALL(L191:L559,ROW()-ROW($L$562)+1),"")</f>
        <v>0</v>
      </c>
      <c r="M598">
        <f>IFERROR(SMALL(M191:M559,ROW()-ROW($M$562)+1),"")</f>
        <v>0</v>
      </c>
      <c r="N598">
        <f>IFERROR(SMALL(N191:N559,ROW()-ROW($N$562)+1),"")</f>
        <v>0</v>
      </c>
    </row>
    <row r="599" spans="5:14">
      <c r="E599">
        <f>IFERROR(SMALL(E191:E559,ROW()-ROW($E$562)+1),"")</f>
        <v>0</v>
      </c>
      <c r="F599">
        <f>IFERROR(SMALL(F191:F559,ROW()-ROW($F$562)+1),"")</f>
        <v>0</v>
      </c>
      <c r="G599">
        <f>IFERROR(SMALL(G191:G559,ROW()-ROW($G$562)+1),"")</f>
        <v>0</v>
      </c>
      <c r="H599">
        <f>IFERROR(SMALL(H191:H559,ROW()-ROW($H$562)+1),"")</f>
        <v>0</v>
      </c>
      <c r="K599">
        <f>IFERROR(SMALL(K191:K559,ROW()-ROW($K$562)+1),"")</f>
        <v>0</v>
      </c>
      <c r="L599">
        <f>IFERROR(SMALL(L191:L559,ROW()-ROW($L$562)+1),"")</f>
        <v>0</v>
      </c>
      <c r="M599">
        <f>IFERROR(SMALL(M191:M559,ROW()-ROW($M$562)+1),"")</f>
        <v>0</v>
      </c>
      <c r="N599">
        <f>IFERROR(SMALL(N191:N559,ROW()-ROW($N$562)+1),"")</f>
        <v>0</v>
      </c>
    </row>
    <row r="600" spans="5:14">
      <c r="E600">
        <f>IFERROR(SMALL(E191:E559,ROW()-ROW($E$562)+1),"")</f>
        <v>0</v>
      </c>
      <c r="F600">
        <f>IFERROR(SMALL(F191:F559,ROW()-ROW($F$562)+1),"")</f>
        <v>0</v>
      </c>
      <c r="G600">
        <f>IFERROR(SMALL(G191:G559,ROW()-ROW($G$562)+1),"")</f>
        <v>0</v>
      </c>
      <c r="H600">
        <f>IFERROR(SMALL(H191:H559,ROW()-ROW($H$562)+1),"")</f>
        <v>0</v>
      </c>
      <c r="K600">
        <f>IFERROR(SMALL(K191:K559,ROW()-ROW($K$562)+1),"")</f>
        <v>0</v>
      </c>
      <c r="L600">
        <f>IFERROR(SMALL(L191:L559,ROW()-ROW($L$562)+1),"")</f>
        <v>0</v>
      </c>
      <c r="M600">
        <f>IFERROR(SMALL(M191:M559,ROW()-ROW($M$562)+1),"")</f>
        <v>0</v>
      </c>
      <c r="N600">
        <f>IFERROR(SMALL(N191:N559,ROW()-ROW($N$562)+1),"")</f>
        <v>0</v>
      </c>
    </row>
    <row r="601" spans="5:14">
      <c r="E601">
        <f>IFERROR(SMALL(E191:E559,ROW()-ROW($E$562)+1),"")</f>
        <v>0</v>
      </c>
      <c r="F601">
        <f>IFERROR(SMALL(F191:F559,ROW()-ROW($F$562)+1),"")</f>
        <v>0</v>
      </c>
      <c r="G601">
        <f>IFERROR(SMALL(G191:G559,ROW()-ROW($G$562)+1),"")</f>
        <v>0</v>
      </c>
      <c r="H601">
        <f>IFERROR(SMALL(H191:H559,ROW()-ROW($H$562)+1),"")</f>
        <v>0</v>
      </c>
      <c r="K601">
        <f>IFERROR(SMALL(K191:K559,ROW()-ROW($K$562)+1),"")</f>
        <v>0</v>
      </c>
      <c r="L601">
        <f>IFERROR(SMALL(L191:L559,ROW()-ROW($L$562)+1),"")</f>
        <v>0</v>
      </c>
      <c r="M601">
        <f>IFERROR(SMALL(M191:M559,ROW()-ROW($M$562)+1),"")</f>
        <v>0</v>
      </c>
      <c r="N601">
        <f>IFERROR(SMALL(N191:N559,ROW()-ROW($N$562)+1),"")</f>
        <v>0</v>
      </c>
    </row>
    <row r="602" spans="5:14">
      <c r="E602">
        <f>IFERROR(SMALL(E191:E559,ROW()-ROW($E$562)+1),"")</f>
        <v>0</v>
      </c>
      <c r="F602">
        <f>IFERROR(SMALL(F191:F559,ROW()-ROW($F$562)+1),"")</f>
        <v>0</v>
      </c>
      <c r="G602">
        <f>IFERROR(SMALL(G191:G559,ROW()-ROW($G$562)+1),"")</f>
        <v>0</v>
      </c>
      <c r="H602">
        <f>IFERROR(SMALL(H191:H559,ROW()-ROW($H$562)+1),"")</f>
        <v>0</v>
      </c>
      <c r="K602">
        <f>IFERROR(SMALL(K191:K559,ROW()-ROW($K$562)+1),"")</f>
        <v>0</v>
      </c>
      <c r="L602">
        <f>IFERROR(SMALL(L191:L559,ROW()-ROW($L$562)+1),"")</f>
        <v>0</v>
      </c>
      <c r="M602">
        <f>IFERROR(SMALL(M191:M559,ROW()-ROW($M$562)+1),"")</f>
        <v>0</v>
      </c>
      <c r="N602">
        <f>IFERROR(SMALL(N191:N559,ROW()-ROW($N$562)+1),"")</f>
        <v>0</v>
      </c>
    </row>
    <row r="603" spans="5:14">
      <c r="E603">
        <f>IFERROR(SMALL(E191:E559,ROW()-ROW($E$562)+1),"")</f>
        <v>0</v>
      </c>
      <c r="F603">
        <f>IFERROR(SMALL(F191:F559,ROW()-ROW($F$562)+1),"")</f>
        <v>0</v>
      </c>
      <c r="G603">
        <f>IFERROR(SMALL(G191:G559,ROW()-ROW($G$562)+1),"")</f>
        <v>0</v>
      </c>
      <c r="H603">
        <f>IFERROR(SMALL(H191:H559,ROW()-ROW($H$562)+1),"")</f>
        <v>0</v>
      </c>
      <c r="K603">
        <f>IFERROR(SMALL(K191:K559,ROW()-ROW($K$562)+1),"")</f>
        <v>0</v>
      </c>
      <c r="L603">
        <f>IFERROR(SMALL(L191:L559,ROW()-ROW($L$562)+1),"")</f>
        <v>0</v>
      </c>
      <c r="M603">
        <f>IFERROR(SMALL(M191:M559,ROW()-ROW($M$562)+1),"")</f>
        <v>0</v>
      </c>
      <c r="N603">
        <f>IFERROR(SMALL(N191:N559,ROW()-ROW($N$562)+1),"")</f>
        <v>0</v>
      </c>
    </row>
    <row r="604" spans="5:14">
      <c r="E604">
        <f>IFERROR(SMALL(E191:E559,ROW()-ROW($E$562)+1),"")</f>
        <v>0</v>
      </c>
      <c r="F604">
        <f>IFERROR(SMALL(F191:F559,ROW()-ROW($F$562)+1),"")</f>
        <v>0</v>
      </c>
      <c r="G604">
        <f>IFERROR(SMALL(G191:G559,ROW()-ROW($G$562)+1),"")</f>
        <v>0</v>
      </c>
      <c r="H604">
        <f>IFERROR(SMALL(H191:H559,ROW()-ROW($H$562)+1),"")</f>
        <v>0</v>
      </c>
      <c r="K604">
        <f>IFERROR(SMALL(K191:K559,ROW()-ROW($K$562)+1),"")</f>
        <v>0</v>
      </c>
      <c r="L604">
        <f>IFERROR(SMALL(L191:L559,ROW()-ROW($L$562)+1),"")</f>
        <v>0</v>
      </c>
      <c r="M604">
        <f>IFERROR(SMALL(M191:M559,ROW()-ROW($M$562)+1),"")</f>
        <v>0</v>
      </c>
      <c r="N604">
        <f>IFERROR(SMALL(N191:N559,ROW()-ROW($N$562)+1),"")</f>
        <v>0</v>
      </c>
    </row>
    <row r="605" spans="5:14">
      <c r="E605">
        <f>IFERROR(SMALL(E191:E559,ROW()-ROW($E$562)+1),"")</f>
        <v>0</v>
      </c>
      <c r="F605">
        <f>IFERROR(SMALL(F191:F559,ROW()-ROW($F$562)+1),"")</f>
        <v>0</v>
      </c>
      <c r="G605">
        <f>IFERROR(SMALL(G191:G559,ROW()-ROW($G$562)+1),"")</f>
        <v>0</v>
      </c>
      <c r="H605">
        <f>IFERROR(SMALL(H191:H559,ROW()-ROW($H$562)+1),"")</f>
        <v>0</v>
      </c>
      <c r="K605">
        <f>IFERROR(SMALL(K191:K559,ROW()-ROW($K$562)+1),"")</f>
        <v>0</v>
      </c>
      <c r="L605">
        <f>IFERROR(SMALL(L191:L559,ROW()-ROW($L$562)+1),"")</f>
        <v>0</v>
      </c>
      <c r="M605">
        <f>IFERROR(SMALL(M191:M559,ROW()-ROW($M$562)+1),"")</f>
        <v>0</v>
      </c>
      <c r="N605">
        <f>IFERROR(SMALL(N191:N559,ROW()-ROW($N$562)+1),"")</f>
        <v>0</v>
      </c>
    </row>
    <row r="606" spans="5:14">
      <c r="E606">
        <f>IFERROR(SMALL(E191:E559,ROW()-ROW($E$562)+1),"")</f>
        <v>0</v>
      </c>
      <c r="F606">
        <f>IFERROR(SMALL(F191:F559,ROW()-ROW($F$562)+1),"")</f>
        <v>0</v>
      </c>
      <c r="G606">
        <f>IFERROR(SMALL(G191:G559,ROW()-ROW($G$562)+1),"")</f>
        <v>0</v>
      </c>
      <c r="H606">
        <f>IFERROR(SMALL(H191:H559,ROW()-ROW($H$562)+1),"")</f>
        <v>0</v>
      </c>
      <c r="K606">
        <f>IFERROR(SMALL(K191:K559,ROW()-ROW($K$562)+1),"")</f>
        <v>0</v>
      </c>
      <c r="L606">
        <f>IFERROR(SMALL(L191:L559,ROW()-ROW($L$562)+1),"")</f>
        <v>0</v>
      </c>
      <c r="M606">
        <f>IFERROR(SMALL(M191:M559,ROW()-ROW($M$562)+1),"")</f>
        <v>0</v>
      </c>
      <c r="N606">
        <f>IFERROR(SMALL(N191:N559,ROW()-ROW($N$562)+1),"")</f>
        <v>0</v>
      </c>
    </row>
    <row r="607" spans="5:14">
      <c r="E607">
        <f>IFERROR(SMALL(E191:E559,ROW()-ROW($E$562)+1),"")</f>
        <v>0</v>
      </c>
      <c r="F607">
        <f>IFERROR(SMALL(F191:F559,ROW()-ROW($F$562)+1),"")</f>
        <v>0</v>
      </c>
      <c r="G607">
        <f>IFERROR(SMALL(G191:G559,ROW()-ROW($G$562)+1),"")</f>
        <v>0</v>
      </c>
      <c r="H607">
        <f>IFERROR(SMALL(H191:H559,ROW()-ROW($H$562)+1),"")</f>
        <v>0</v>
      </c>
      <c r="K607">
        <f>IFERROR(SMALL(K191:K559,ROW()-ROW($K$562)+1),"")</f>
        <v>0</v>
      </c>
      <c r="L607">
        <f>IFERROR(SMALL(L191:L559,ROW()-ROW($L$562)+1),"")</f>
        <v>0</v>
      </c>
      <c r="M607">
        <f>IFERROR(SMALL(M191:M559,ROW()-ROW($M$562)+1),"")</f>
        <v>0</v>
      </c>
      <c r="N607">
        <f>IFERROR(SMALL(N191:N559,ROW()-ROW($N$562)+1),"")</f>
        <v>0</v>
      </c>
    </row>
    <row r="608" spans="5:14">
      <c r="E608">
        <f>IFERROR(SMALL(E191:E559,ROW()-ROW($E$562)+1),"")</f>
        <v>0</v>
      </c>
      <c r="F608">
        <f>IFERROR(SMALL(F191:F559,ROW()-ROW($F$562)+1),"")</f>
        <v>0</v>
      </c>
      <c r="G608">
        <f>IFERROR(SMALL(G191:G559,ROW()-ROW($G$562)+1),"")</f>
        <v>0</v>
      </c>
      <c r="H608">
        <f>IFERROR(SMALL(H191:H559,ROW()-ROW($H$562)+1),"")</f>
        <v>0</v>
      </c>
      <c r="K608">
        <f>IFERROR(SMALL(K191:K559,ROW()-ROW($K$562)+1),"")</f>
        <v>0</v>
      </c>
      <c r="L608">
        <f>IFERROR(SMALL(L191:L559,ROW()-ROW($L$562)+1),"")</f>
        <v>0</v>
      </c>
      <c r="M608">
        <f>IFERROR(SMALL(M191:M559,ROW()-ROW($M$562)+1),"")</f>
        <v>0</v>
      </c>
      <c r="N608">
        <f>IFERROR(SMALL(N191:N559,ROW()-ROW($N$562)+1),"")</f>
        <v>0</v>
      </c>
    </row>
    <row r="609" spans="5:14">
      <c r="E609">
        <f>IFERROR(SMALL(E191:E559,ROW()-ROW($E$562)+1),"")</f>
        <v>0</v>
      </c>
      <c r="F609">
        <f>IFERROR(SMALL(F191:F559,ROW()-ROW($F$562)+1),"")</f>
        <v>0</v>
      </c>
      <c r="G609">
        <f>IFERROR(SMALL(G191:G559,ROW()-ROW($G$562)+1),"")</f>
        <v>0</v>
      </c>
      <c r="H609">
        <f>IFERROR(SMALL(H191:H559,ROW()-ROW($H$562)+1),"")</f>
        <v>0</v>
      </c>
      <c r="K609">
        <f>IFERROR(SMALL(K191:K559,ROW()-ROW($K$562)+1),"")</f>
        <v>0</v>
      </c>
      <c r="L609">
        <f>IFERROR(SMALL(L191:L559,ROW()-ROW($L$562)+1),"")</f>
        <v>0</v>
      </c>
      <c r="M609">
        <f>IFERROR(SMALL(M191:M559,ROW()-ROW($M$562)+1),"")</f>
        <v>0</v>
      </c>
      <c r="N609">
        <f>IFERROR(SMALL(N191:N559,ROW()-ROW($N$562)+1),"")</f>
        <v>0</v>
      </c>
    </row>
    <row r="610" spans="5:14">
      <c r="E610">
        <f>IFERROR(SMALL(E191:E559,ROW()-ROW($E$562)+1),"")</f>
        <v>0</v>
      </c>
      <c r="F610">
        <f>IFERROR(SMALL(F191:F559,ROW()-ROW($F$562)+1),"")</f>
        <v>0</v>
      </c>
      <c r="G610">
        <f>IFERROR(SMALL(G191:G559,ROW()-ROW($G$562)+1),"")</f>
        <v>0</v>
      </c>
      <c r="H610">
        <f>IFERROR(SMALL(H191:H559,ROW()-ROW($H$562)+1),"")</f>
        <v>0</v>
      </c>
      <c r="K610">
        <f>IFERROR(SMALL(K191:K559,ROW()-ROW($K$562)+1),"")</f>
        <v>0</v>
      </c>
      <c r="L610">
        <f>IFERROR(SMALL(L191:L559,ROW()-ROW($L$562)+1),"")</f>
        <v>0</v>
      </c>
      <c r="M610">
        <f>IFERROR(SMALL(M191:M559,ROW()-ROW($M$562)+1),"")</f>
        <v>0</v>
      </c>
      <c r="N610">
        <f>IFERROR(SMALL(N191:N559,ROW()-ROW($N$562)+1),"")</f>
        <v>0</v>
      </c>
    </row>
    <row r="611" spans="5:14">
      <c r="E611">
        <f>IFERROR(SMALL(E191:E559,ROW()-ROW($E$562)+1),"")</f>
        <v>0</v>
      </c>
      <c r="F611">
        <f>IFERROR(SMALL(F191:F559,ROW()-ROW($F$562)+1),"")</f>
        <v>0</v>
      </c>
      <c r="G611">
        <f>IFERROR(SMALL(G191:G559,ROW()-ROW($G$562)+1),"")</f>
        <v>0</v>
      </c>
      <c r="H611">
        <f>IFERROR(SMALL(H191:H559,ROW()-ROW($H$562)+1),"")</f>
        <v>0</v>
      </c>
      <c r="K611">
        <f>IFERROR(SMALL(K191:K559,ROW()-ROW($K$562)+1),"")</f>
        <v>0</v>
      </c>
      <c r="L611">
        <f>IFERROR(SMALL(L191:L559,ROW()-ROW($L$562)+1),"")</f>
        <v>0</v>
      </c>
      <c r="M611">
        <f>IFERROR(SMALL(M191:M559,ROW()-ROW($M$562)+1),"")</f>
        <v>0</v>
      </c>
      <c r="N611">
        <f>IFERROR(SMALL(N191:N559,ROW()-ROW($N$562)+1),"")</f>
        <v>0</v>
      </c>
    </row>
    <row r="612" spans="5:14">
      <c r="E612">
        <f>IFERROR(SMALL(E191:E559,ROW()-ROW($E$562)+1),"")</f>
        <v>0</v>
      </c>
      <c r="F612">
        <f>IFERROR(SMALL(F191:F559,ROW()-ROW($F$562)+1),"")</f>
        <v>0</v>
      </c>
      <c r="G612">
        <f>IFERROR(SMALL(G191:G559,ROW()-ROW($G$562)+1),"")</f>
        <v>0</v>
      </c>
      <c r="H612">
        <f>IFERROR(SMALL(H191:H559,ROW()-ROW($H$562)+1),"")</f>
        <v>0</v>
      </c>
      <c r="K612">
        <f>IFERROR(SMALL(K191:K559,ROW()-ROW($K$562)+1),"")</f>
        <v>0</v>
      </c>
      <c r="L612">
        <f>IFERROR(SMALL(L191:L559,ROW()-ROW($L$562)+1),"")</f>
        <v>0</v>
      </c>
      <c r="M612">
        <f>IFERROR(SMALL(M191:M559,ROW()-ROW($M$562)+1),"")</f>
        <v>0</v>
      </c>
      <c r="N612">
        <f>IFERROR(SMALL(N191:N559,ROW()-ROW($N$562)+1),"")</f>
        <v>0</v>
      </c>
    </row>
    <row r="613" spans="5:14">
      <c r="E613">
        <f>IFERROR(SMALL(E191:E559,ROW()-ROW($E$562)+1),"")</f>
        <v>0</v>
      </c>
      <c r="F613">
        <f>IFERROR(SMALL(F191:F559,ROW()-ROW($F$562)+1),"")</f>
        <v>0</v>
      </c>
      <c r="G613">
        <f>IFERROR(SMALL(G191:G559,ROW()-ROW($G$562)+1),"")</f>
        <v>0</v>
      </c>
      <c r="H613">
        <f>IFERROR(SMALL(H191:H559,ROW()-ROW($H$562)+1),"")</f>
        <v>0</v>
      </c>
      <c r="K613">
        <f>IFERROR(SMALL(K191:K559,ROW()-ROW($K$562)+1),"")</f>
        <v>0</v>
      </c>
      <c r="L613">
        <f>IFERROR(SMALL(L191:L559,ROW()-ROW($L$562)+1),"")</f>
        <v>0</v>
      </c>
      <c r="M613">
        <f>IFERROR(SMALL(M191:M559,ROW()-ROW($M$562)+1),"")</f>
        <v>0</v>
      </c>
      <c r="N613">
        <f>IFERROR(SMALL(N191:N559,ROW()-ROW($N$562)+1),"")</f>
        <v>0</v>
      </c>
    </row>
    <row r="614" spans="5:14">
      <c r="E614">
        <f>IFERROR(SMALL(E191:E559,ROW()-ROW($E$562)+1),"")</f>
        <v>0</v>
      </c>
      <c r="F614">
        <f>IFERROR(SMALL(F191:F559,ROW()-ROW($F$562)+1),"")</f>
        <v>0</v>
      </c>
      <c r="G614">
        <f>IFERROR(SMALL(G191:G559,ROW()-ROW($G$562)+1),"")</f>
        <v>0</v>
      </c>
      <c r="H614">
        <f>IFERROR(SMALL(H191:H559,ROW()-ROW($H$562)+1),"")</f>
        <v>0</v>
      </c>
      <c r="K614">
        <f>IFERROR(SMALL(K191:K559,ROW()-ROW($K$562)+1),"")</f>
        <v>0</v>
      </c>
      <c r="L614">
        <f>IFERROR(SMALL(L191:L559,ROW()-ROW($L$562)+1),"")</f>
        <v>0</v>
      </c>
      <c r="M614">
        <f>IFERROR(SMALL(M191:M559,ROW()-ROW($M$562)+1),"")</f>
        <v>0</v>
      </c>
      <c r="N614">
        <f>IFERROR(SMALL(N191:N559,ROW()-ROW($N$562)+1),"")</f>
        <v>0</v>
      </c>
    </row>
    <row r="615" spans="5:14">
      <c r="E615">
        <f>IFERROR(SMALL(E191:E559,ROW()-ROW($E$562)+1),"")</f>
        <v>0</v>
      </c>
      <c r="F615">
        <f>IFERROR(SMALL(F191:F559,ROW()-ROW($F$562)+1),"")</f>
        <v>0</v>
      </c>
      <c r="G615">
        <f>IFERROR(SMALL(G191:G559,ROW()-ROW($G$562)+1),"")</f>
        <v>0</v>
      </c>
      <c r="H615">
        <f>IFERROR(SMALL(H191:H559,ROW()-ROW($H$562)+1),"")</f>
        <v>0</v>
      </c>
      <c r="K615">
        <f>IFERROR(SMALL(K191:K559,ROW()-ROW($K$562)+1),"")</f>
        <v>0</v>
      </c>
      <c r="L615">
        <f>IFERROR(SMALL(L191:L559,ROW()-ROW($L$562)+1),"")</f>
        <v>0</v>
      </c>
      <c r="M615">
        <f>IFERROR(SMALL(M191:M559,ROW()-ROW($M$562)+1),"")</f>
        <v>0</v>
      </c>
      <c r="N615">
        <f>IFERROR(SMALL(N191:N559,ROW()-ROW($N$562)+1),"")</f>
        <v>0</v>
      </c>
    </row>
    <row r="616" spans="5:14">
      <c r="E616">
        <f>IFERROR(SMALL(E191:E559,ROW()-ROW($E$562)+1),"")</f>
        <v>0</v>
      </c>
      <c r="F616">
        <f>IFERROR(SMALL(F191:F559,ROW()-ROW($F$562)+1),"")</f>
        <v>0</v>
      </c>
      <c r="G616">
        <f>IFERROR(SMALL(G191:G559,ROW()-ROW($G$562)+1),"")</f>
        <v>0</v>
      </c>
      <c r="H616">
        <f>IFERROR(SMALL(H191:H559,ROW()-ROW($H$562)+1),"")</f>
        <v>0</v>
      </c>
      <c r="K616">
        <f>IFERROR(SMALL(K191:K559,ROW()-ROW($K$562)+1),"")</f>
        <v>0</v>
      </c>
      <c r="L616">
        <f>IFERROR(SMALL(L191:L559,ROW()-ROW($L$562)+1),"")</f>
        <v>0</v>
      </c>
      <c r="M616">
        <f>IFERROR(SMALL(M191:M559,ROW()-ROW($M$562)+1),"")</f>
        <v>0</v>
      </c>
      <c r="N616">
        <f>IFERROR(SMALL(N191:N559,ROW()-ROW($N$562)+1),"")</f>
        <v>0</v>
      </c>
    </row>
    <row r="617" spans="5:14">
      <c r="E617">
        <f>IFERROR(SMALL(E191:E559,ROW()-ROW($E$562)+1),"")</f>
        <v>0</v>
      </c>
      <c r="F617">
        <f>IFERROR(SMALL(F191:F559,ROW()-ROW($F$562)+1),"")</f>
        <v>0</v>
      </c>
      <c r="G617">
        <f>IFERROR(SMALL(G191:G559,ROW()-ROW($G$562)+1),"")</f>
        <v>0</v>
      </c>
      <c r="H617">
        <f>IFERROR(SMALL(H191:H559,ROW()-ROW($H$562)+1),"")</f>
        <v>0</v>
      </c>
      <c r="K617">
        <f>IFERROR(SMALL(K191:K559,ROW()-ROW($K$562)+1),"")</f>
        <v>0</v>
      </c>
      <c r="L617">
        <f>IFERROR(SMALL(L191:L559,ROW()-ROW($L$562)+1),"")</f>
        <v>0</v>
      </c>
      <c r="M617">
        <f>IFERROR(SMALL(M191:M559,ROW()-ROW($M$562)+1),"")</f>
        <v>0</v>
      </c>
      <c r="N617">
        <f>IFERROR(SMALL(N191:N559,ROW()-ROW($N$562)+1),"")</f>
        <v>0</v>
      </c>
    </row>
    <row r="618" spans="5:14">
      <c r="E618">
        <f>IFERROR(SMALL(E191:E559,ROW()-ROW($E$562)+1),"")</f>
        <v>0</v>
      </c>
      <c r="F618">
        <f>IFERROR(SMALL(F191:F559,ROW()-ROW($F$562)+1),"")</f>
        <v>0</v>
      </c>
      <c r="G618">
        <f>IFERROR(SMALL(G191:G559,ROW()-ROW($G$562)+1),"")</f>
        <v>0</v>
      </c>
      <c r="H618">
        <f>IFERROR(SMALL(H191:H559,ROW()-ROW($H$562)+1),"")</f>
        <v>0</v>
      </c>
      <c r="K618">
        <f>IFERROR(SMALL(K191:K559,ROW()-ROW($K$562)+1),"")</f>
        <v>0</v>
      </c>
      <c r="L618">
        <f>IFERROR(SMALL(L191:L559,ROW()-ROW($L$562)+1),"")</f>
        <v>0</v>
      </c>
      <c r="M618">
        <f>IFERROR(SMALL(M191:M559,ROW()-ROW($M$562)+1),"")</f>
        <v>0</v>
      </c>
      <c r="N618">
        <f>IFERROR(SMALL(N191:N559,ROW()-ROW($N$562)+1),"")</f>
        <v>0</v>
      </c>
    </row>
    <row r="619" spans="5:14">
      <c r="E619">
        <f>IFERROR(SMALL(E191:E559,ROW()-ROW($E$562)+1),"")</f>
        <v>0</v>
      </c>
      <c r="F619">
        <f>IFERROR(SMALL(F191:F559,ROW()-ROW($F$562)+1),"")</f>
        <v>0</v>
      </c>
      <c r="G619">
        <f>IFERROR(SMALL(G191:G559,ROW()-ROW($G$562)+1),"")</f>
        <v>0</v>
      </c>
      <c r="H619">
        <f>IFERROR(SMALL(H191:H559,ROW()-ROW($H$562)+1),"")</f>
        <v>0</v>
      </c>
      <c r="K619">
        <f>IFERROR(SMALL(K191:K559,ROW()-ROW($K$562)+1),"")</f>
        <v>0</v>
      </c>
      <c r="L619">
        <f>IFERROR(SMALL(L191:L559,ROW()-ROW($L$562)+1),"")</f>
        <v>0</v>
      </c>
      <c r="M619">
        <f>IFERROR(SMALL(M191:M559,ROW()-ROW($M$562)+1),"")</f>
        <v>0</v>
      </c>
      <c r="N619">
        <f>IFERROR(SMALL(N191:N559,ROW()-ROW($N$562)+1),"")</f>
        <v>0</v>
      </c>
    </row>
    <row r="620" spans="5:14">
      <c r="E620">
        <f>IFERROR(SMALL(E191:E559,ROW()-ROW($E$562)+1),"")</f>
        <v>0</v>
      </c>
      <c r="F620">
        <f>IFERROR(SMALL(F191:F559,ROW()-ROW($F$562)+1),"")</f>
        <v>0</v>
      </c>
      <c r="G620">
        <f>IFERROR(SMALL(G191:G559,ROW()-ROW($G$562)+1),"")</f>
        <v>0</v>
      </c>
      <c r="H620">
        <f>IFERROR(SMALL(H191:H559,ROW()-ROW($H$562)+1),"")</f>
        <v>0</v>
      </c>
      <c r="K620">
        <f>IFERROR(SMALL(K191:K559,ROW()-ROW($K$562)+1),"")</f>
        <v>0</v>
      </c>
      <c r="L620">
        <f>IFERROR(SMALL(L191:L559,ROW()-ROW($L$562)+1),"")</f>
        <v>0</v>
      </c>
      <c r="M620">
        <f>IFERROR(SMALL(M191:M559,ROW()-ROW($M$562)+1),"")</f>
        <v>0</v>
      </c>
      <c r="N620">
        <f>IFERROR(SMALL(N191:N559,ROW()-ROW($N$562)+1),"")</f>
        <v>0</v>
      </c>
    </row>
    <row r="621" spans="5:14">
      <c r="E621">
        <f>IFERROR(SMALL(E191:E559,ROW()-ROW($E$562)+1),"")</f>
        <v>0</v>
      </c>
      <c r="F621">
        <f>IFERROR(SMALL(F191:F559,ROW()-ROW($F$562)+1),"")</f>
        <v>0</v>
      </c>
      <c r="G621">
        <f>IFERROR(SMALL(G191:G559,ROW()-ROW($G$562)+1),"")</f>
        <v>0</v>
      </c>
      <c r="H621">
        <f>IFERROR(SMALL(H191:H559,ROW()-ROW($H$562)+1),"")</f>
        <v>0</v>
      </c>
      <c r="K621">
        <f>IFERROR(SMALL(K191:K559,ROW()-ROW($K$562)+1),"")</f>
        <v>0</v>
      </c>
      <c r="L621">
        <f>IFERROR(SMALL(L191:L559,ROW()-ROW($L$562)+1),"")</f>
        <v>0</v>
      </c>
      <c r="M621">
        <f>IFERROR(SMALL(M191:M559,ROW()-ROW($M$562)+1),"")</f>
        <v>0</v>
      </c>
      <c r="N621">
        <f>IFERROR(SMALL(N191:N559,ROW()-ROW($N$562)+1),"")</f>
        <v>0</v>
      </c>
    </row>
    <row r="622" spans="5:14">
      <c r="E622">
        <f>IFERROR(SMALL(E191:E559,ROW()-ROW($E$562)+1),"")</f>
        <v>0</v>
      </c>
      <c r="F622">
        <f>IFERROR(SMALL(F191:F559,ROW()-ROW($F$562)+1),"")</f>
        <v>0</v>
      </c>
      <c r="G622">
        <f>IFERROR(SMALL(G191:G559,ROW()-ROW($G$562)+1),"")</f>
        <v>0</v>
      </c>
      <c r="H622">
        <f>IFERROR(SMALL(H191:H559,ROW()-ROW($H$562)+1),"")</f>
        <v>0</v>
      </c>
      <c r="K622">
        <f>IFERROR(SMALL(K191:K559,ROW()-ROW($K$562)+1),"")</f>
        <v>0</v>
      </c>
      <c r="L622">
        <f>IFERROR(SMALL(L191:L559,ROW()-ROW($L$562)+1),"")</f>
        <v>0</v>
      </c>
      <c r="M622">
        <f>IFERROR(SMALL(M191:M559,ROW()-ROW($M$562)+1),"")</f>
        <v>0</v>
      </c>
      <c r="N622">
        <f>IFERROR(SMALL(N191:N559,ROW()-ROW($N$562)+1),"")</f>
        <v>0</v>
      </c>
    </row>
    <row r="623" spans="5:14">
      <c r="E623">
        <f>IFERROR(SMALL(E191:E559,ROW()-ROW($E$562)+1),"")</f>
        <v>0</v>
      </c>
      <c r="F623">
        <f>IFERROR(SMALL(F191:F559,ROW()-ROW($F$562)+1),"")</f>
        <v>0</v>
      </c>
      <c r="G623">
        <f>IFERROR(SMALL(G191:G559,ROW()-ROW($G$562)+1),"")</f>
        <v>0</v>
      </c>
      <c r="H623">
        <f>IFERROR(SMALL(H191:H559,ROW()-ROW($H$562)+1),"")</f>
        <v>0</v>
      </c>
      <c r="K623">
        <f>IFERROR(SMALL(K191:K559,ROW()-ROW($K$562)+1),"")</f>
        <v>0</v>
      </c>
      <c r="L623">
        <f>IFERROR(SMALL(L191:L559,ROW()-ROW($L$562)+1),"")</f>
        <v>0</v>
      </c>
      <c r="M623">
        <f>IFERROR(SMALL(M191:M559,ROW()-ROW($M$562)+1),"")</f>
        <v>0</v>
      </c>
      <c r="N623">
        <f>IFERROR(SMALL(N191:N559,ROW()-ROW($N$562)+1),"")</f>
        <v>0</v>
      </c>
    </row>
    <row r="624" spans="5:14">
      <c r="E624">
        <f>IFERROR(SMALL(E191:E559,ROW()-ROW($E$562)+1),"")</f>
        <v>0</v>
      </c>
      <c r="F624">
        <f>IFERROR(SMALL(F191:F559,ROW()-ROW($F$562)+1),"")</f>
        <v>0</v>
      </c>
      <c r="G624">
        <f>IFERROR(SMALL(G191:G559,ROW()-ROW($G$562)+1),"")</f>
        <v>0</v>
      </c>
      <c r="H624">
        <f>IFERROR(SMALL(H191:H559,ROW()-ROW($H$562)+1),"")</f>
        <v>0</v>
      </c>
      <c r="K624">
        <f>IFERROR(SMALL(K191:K559,ROW()-ROW($K$562)+1),"")</f>
        <v>0</v>
      </c>
      <c r="L624">
        <f>IFERROR(SMALL(L191:L559,ROW()-ROW($L$562)+1),"")</f>
        <v>0</v>
      </c>
      <c r="M624">
        <f>IFERROR(SMALL(M191:M559,ROW()-ROW($M$562)+1),"")</f>
        <v>0</v>
      </c>
      <c r="N624">
        <f>IFERROR(SMALL(N191:N559,ROW()-ROW($N$562)+1),"")</f>
        <v>0</v>
      </c>
    </row>
    <row r="625" spans="5:14">
      <c r="E625">
        <f>IFERROR(SMALL(E191:E559,ROW()-ROW($E$562)+1),"")</f>
        <v>0</v>
      </c>
      <c r="F625">
        <f>IFERROR(SMALL(F191:F559,ROW()-ROW($F$562)+1),"")</f>
        <v>0</v>
      </c>
      <c r="G625">
        <f>IFERROR(SMALL(G191:G559,ROW()-ROW($G$562)+1),"")</f>
        <v>0</v>
      </c>
      <c r="H625">
        <f>IFERROR(SMALL(H191:H559,ROW()-ROW($H$562)+1),"")</f>
        <v>0</v>
      </c>
      <c r="K625">
        <f>IFERROR(SMALL(K191:K559,ROW()-ROW($K$562)+1),"")</f>
        <v>0</v>
      </c>
      <c r="L625">
        <f>IFERROR(SMALL(L191:L559,ROW()-ROW($L$562)+1),"")</f>
        <v>0</v>
      </c>
      <c r="M625">
        <f>IFERROR(SMALL(M191:M559,ROW()-ROW($M$562)+1),"")</f>
        <v>0</v>
      </c>
      <c r="N625">
        <f>IFERROR(SMALL(N191:N559,ROW()-ROW($N$562)+1),"")</f>
        <v>0</v>
      </c>
    </row>
    <row r="626" spans="5:14">
      <c r="E626">
        <f>IFERROR(SMALL(E191:E559,ROW()-ROW($E$562)+1),"")</f>
        <v>0</v>
      </c>
      <c r="F626">
        <f>IFERROR(SMALL(F191:F559,ROW()-ROW($F$562)+1),"")</f>
        <v>0</v>
      </c>
      <c r="G626">
        <f>IFERROR(SMALL(G191:G559,ROW()-ROW($G$562)+1),"")</f>
        <v>0</v>
      </c>
      <c r="H626">
        <f>IFERROR(SMALL(H191:H559,ROW()-ROW($H$562)+1),"")</f>
        <v>0</v>
      </c>
      <c r="K626">
        <f>IFERROR(SMALL(K191:K559,ROW()-ROW($K$562)+1),"")</f>
        <v>0</v>
      </c>
      <c r="L626">
        <f>IFERROR(SMALL(L191:L559,ROW()-ROW($L$562)+1),"")</f>
        <v>0</v>
      </c>
      <c r="M626">
        <f>IFERROR(SMALL(M191:M559,ROW()-ROW($M$562)+1),"")</f>
        <v>0</v>
      </c>
      <c r="N626">
        <f>IFERROR(SMALL(N191:N559,ROW()-ROW($N$562)+1),"")</f>
        <v>0</v>
      </c>
    </row>
    <row r="627" spans="5:14">
      <c r="E627">
        <f>IFERROR(SMALL(E191:E559,ROW()-ROW($E$562)+1),"")</f>
        <v>0</v>
      </c>
      <c r="F627">
        <f>IFERROR(SMALL(F191:F559,ROW()-ROW($F$562)+1),"")</f>
        <v>0</v>
      </c>
      <c r="G627">
        <f>IFERROR(SMALL(G191:G559,ROW()-ROW($G$562)+1),"")</f>
        <v>0</v>
      </c>
      <c r="H627">
        <f>IFERROR(SMALL(H191:H559,ROW()-ROW($H$562)+1),"")</f>
        <v>0</v>
      </c>
      <c r="K627">
        <f>IFERROR(SMALL(K191:K559,ROW()-ROW($K$562)+1),"")</f>
        <v>0</v>
      </c>
      <c r="L627">
        <f>IFERROR(SMALL(L191:L559,ROW()-ROW($L$562)+1),"")</f>
        <v>0</v>
      </c>
      <c r="M627">
        <f>IFERROR(SMALL(M191:M559,ROW()-ROW($M$562)+1),"")</f>
        <v>0</v>
      </c>
      <c r="N627">
        <f>IFERROR(SMALL(N191:N559,ROW()-ROW($N$562)+1),"")</f>
        <v>0</v>
      </c>
    </row>
    <row r="628" spans="5:14">
      <c r="E628">
        <f>IFERROR(SMALL(E191:E559,ROW()-ROW($E$562)+1),"")</f>
        <v>0</v>
      </c>
      <c r="F628">
        <f>IFERROR(SMALL(F191:F559,ROW()-ROW($F$562)+1),"")</f>
        <v>0</v>
      </c>
      <c r="G628">
        <f>IFERROR(SMALL(G191:G559,ROW()-ROW($G$562)+1),"")</f>
        <v>0</v>
      </c>
      <c r="H628">
        <f>IFERROR(SMALL(H191:H559,ROW()-ROW($H$562)+1),"")</f>
        <v>0</v>
      </c>
      <c r="K628">
        <f>IFERROR(SMALL(K191:K559,ROW()-ROW($K$562)+1),"")</f>
        <v>0</v>
      </c>
      <c r="L628">
        <f>IFERROR(SMALL(L191:L559,ROW()-ROW($L$562)+1),"")</f>
        <v>0</v>
      </c>
      <c r="M628">
        <f>IFERROR(SMALL(M191:M559,ROW()-ROW($M$562)+1),"")</f>
        <v>0</v>
      </c>
      <c r="N628">
        <f>IFERROR(SMALL(N191:N559,ROW()-ROW($N$562)+1),"")</f>
        <v>0</v>
      </c>
    </row>
    <row r="629" spans="5:14">
      <c r="E629">
        <f>IFERROR(SMALL(E191:E559,ROW()-ROW($E$562)+1),"")</f>
        <v>0</v>
      </c>
      <c r="F629">
        <f>IFERROR(SMALL(F191:F559,ROW()-ROW($F$562)+1),"")</f>
        <v>0</v>
      </c>
      <c r="G629">
        <f>IFERROR(SMALL(G191:G559,ROW()-ROW($G$562)+1),"")</f>
        <v>0</v>
      </c>
      <c r="H629">
        <f>IFERROR(SMALL(H191:H559,ROW()-ROW($H$562)+1),"")</f>
        <v>0</v>
      </c>
      <c r="K629">
        <f>IFERROR(SMALL(K191:K559,ROW()-ROW($K$562)+1),"")</f>
        <v>0</v>
      </c>
      <c r="L629">
        <f>IFERROR(SMALL(L191:L559,ROW()-ROW($L$562)+1),"")</f>
        <v>0</v>
      </c>
      <c r="M629">
        <f>IFERROR(SMALL(M191:M559,ROW()-ROW($M$562)+1),"")</f>
        <v>0</v>
      </c>
      <c r="N629">
        <f>IFERROR(SMALL(N191:N559,ROW()-ROW($N$562)+1),"")</f>
        <v>0</v>
      </c>
    </row>
    <row r="630" spans="5:14">
      <c r="E630">
        <f>IFERROR(SMALL(E191:E559,ROW()-ROW($E$562)+1),"")</f>
        <v>0</v>
      </c>
      <c r="F630">
        <f>IFERROR(SMALL(F191:F559,ROW()-ROW($F$562)+1),"")</f>
        <v>0</v>
      </c>
      <c r="G630">
        <f>IFERROR(SMALL(G191:G559,ROW()-ROW($G$562)+1),"")</f>
        <v>0</v>
      </c>
      <c r="H630">
        <f>IFERROR(SMALL(H191:H559,ROW()-ROW($H$562)+1),"")</f>
        <v>0</v>
      </c>
      <c r="K630">
        <f>IFERROR(SMALL(K191:K559,ROW()-ROW($K$562)+1),"")</f>
        <v>0</v>
      </c>
      <c r="L630">
        <f>IFERROR(SMALL(L191:L559,ROW()-ROW($L$562)+1),"")</f>
        <v>0</v>
      </c>
      <c r="M630">
        <f>IFERROR(SMALL(M191:M559,ROW()-ROW($M$562)+1),"")</f>
        <v>0</v>
      </c>
      <c r="N630">
        <f>IFERROR(SMALL(N191:N559,ROW()-ROW($N$562)+1),"")</f>
        <v>0</v>
      </c>
    </row>
    <row r="631" spans="5:14">
      <c r="E631">
        <f>IFERROR(SMALL(E191:E559,ROW()-ROW($E$562)+1),"")</f>
        <v>0</v>
      </c>
      <c r="F631">
        <f>IFERROR(SMALL(F191:F559,ROW()-ROW($F$562)+1),"")</f>
        <v>0</v>
      </c>
      <c r="G631">
        <f>IFERROR(SMALL(G191:G559,ROW()-ROW($G$562)+1),"")</f>
        <v>0</v>
      </c>
      <c r="H631">
        <f>IFERROR(SMALL(H191:H559,ROW()-ROW($H$562)+1),"")</f>
        <v>0</v>
      </c>
      <c r="K631">
        <f>IFERROR(SMALL(K191:K559,ROW()-ROW($K$562)+1),"")</f>
        <v>0</v>
      </c>
      <c r="L631">
        <f>IFERROR(SMALL(L191:L559,ROW()-ROW($L$562)+1),"")</f>
        <v>0</v>
      </c>
      <c r="M631">
        <f>IFERROR(SMALL(M191:M559,ROW()-ROW($M$562)+1),"")</f>
        <v>0</v>
      </c>
      <c r="N631">
        <f>IFERROR(SMALL(N191:N559,ROW()-ROW($N$562)+1),"")</f>
        <v>0</v>
      </c>
    </row>
    <row r="632" spans="5:14">
      <c r="E632">
        <f>IFERROR(SMALL(E191:E559,ROW()-ROW($E$562)+1),"")</f>
        <v>0</v>
      </c>
      <c r="F632">
        <f>IFERROR(SMALL(F191:F559,ROW()-ROW($F$562)+1),"")</f>
        <v>0</v>
      </c>
      <c r="G632">
        <f>IFERROR(SMALL(G191:G559,ROW()-ROW($G$562)+1),"")</f>
        <v>0</v>
      </c>
      <c r="H632">
        <f>IFERROR(SMALL(H191:H559,ROW()-ROW($H$562)+1),"")</f>
        <v>0</v>
      </c>
      <c r="K632">
        <f>IFERROR(SMALL(K191:K559,ROW()-ROW($K$562)+1),"")</f>
        <v>0</v>
      </c>
      <c r="L632">
        <f>IFERROR(SMALL(L191:L559,ROW()-ROW($L$562)+1),"")</f>
        <v>0</v>
      </c>
      <c r="M632">
        <f>IFERROR(SMALL(M191:M559,ROW()-ROW($M$562)+1),"")</f>
        <v>0</v>
      </c>
      <c r="N632">
        <f>IFERROR(SMALL(N191:N559,ROW()-ROW($N$562)+1),"")</f>
        <v>0</v>
      </c>
    </row>
    <row r="633" spans="5:14">
      <c r="E633">
        <f>IFERROR(SMALL(E191:E559,ROW()-ROW($E$562)+1),"")</f>
        <v>0</v>
      </c>
      <c r="F633">
        <f>IFERROR(SMALL(F191:F559,ROW()-ROW($F$562)+1),"")</f>
        <v>0</v>
      </c>
      <c r="G633">
        <f>IFERROR(SMALL(G191:G559,ROW()-ROW($G$562)+1),"")</f>
        <v>0</v>
      </c>
      <c r="H633">
        <f>IFERROR(SMALL(H191:H559,ROW()-ROW($H$562)+1),"")</f>
        <v>0</v>
      </c>
      <c r="K633">
        <f>IFERROR(SMALL(K191:K559,ROW()-ROW($K$562)+1),"")</f>
        <v>0</v>
      </c>
      <c r="L633">
        <f>IFERROR(SMALL(L191:L559,ROW()-ROW($L$562)+1),"")</f>
        <v>0</v>
      </c>
      <c r="M633">
        <f>IFERROR(SMALL(M191:M559,ROW()-ROW($M$562)+1),"")</f>
        <v>0</v>
      </c>
      <c r="N633">
        <f>IFERROR(SMALL(N191:N559,ROW()-ROW($N$562)+1),"")</f>
        <v>0</v>
      </c>
    </row>
    <row r="634" spans="5:14">
      <c r="E634">
        <f>IFERROR(SMALL(E191:E559,ROW()-ROW($E$562)+1),"")</f>
        <v>0</v>
      </c>
      <c r="F634">
        <f>IFERROR(SMALL(F191:F559,ROW()-ROW($F$562)+1),"")</f>
        <v>0</v>
      </c>
      <c r="G634">
        <f>IFERROR(SMALL(G191:G559,ROW()-ROW($G$562)+1),"")</f>
        <v>0</v>
      </c>
      <c r="H634">
        <f>IFERROR(SMALL(H191:H559,ROW()-ROW($H$562)+1),"")</f>
        <v>0</v>
      </c>
      <c r="K634">
        <f>IFERROR(SMALL(K191:K559,ROW()-ROW($K$562)+1),"")</f>
        <v>0</v>
      </c>
      <c r="L634">
        <f>IFERROR(SMALL(L191:L559,ROW()-ROW($L$562)+1),"")</f>
        <v>0</v>
      </c>
      <c r="M634">
        <f>IFERROR(SMALL(M191:M559,ROW()-ROW($M$562)+1),"")</f>
        <v>0</v>
      </c>
      <c r="N634">
        <f>IFERROR(SMALL(N191:N559,ROW()-ROW($N$562)+1),"")</f>
        <v>0</v>
      </c>
    </row>
    <row r="635" spans="5:14">
      <c r="E635">
        <f>IFERROR(SMALL(E191:E559,ROW()-ROW($E$562)+1),"")</f>
        <v>0</v>
      </c>
      <c r="F635">
        <f>IFERROR(SMALL(F191:F559,ROW()-ROW($F$562)+1),"")</f>
        <v>0</v>
      </c>
      <c r="G635">
        <f>IFERROR(SMALL(G191:G559,ROW()-ROW($G$562)+1),"")</f>
        <v>0</v>
      </c>
      <c r="H635">
        <f>IFERROR(SMALL(H191:H559,ROW()-ROW($H$562)+1),"")</f>
        <v>0</v>
      </c>
      <c r="K635">
        <f>IFERROR(SMALL(K191:K559,ROW()-ROW($K$562)+1),"")</f>
        <v>0</v>
      </c>
      <c r="L635">
        <f>IFERROR(SMALL(L191:L559,ROW()-ROW($L$562)+1),"")</f>
        <v>0</v>
      </c>
      <c r="M635">
        <f>IFERROR(SMALL(M191:M559,ROW()-ROW($M$562)+1),"")</f>
        <v>0</v>
      </c>
      <c r="N635">
        <f>IFERROR(SMALL(N191:N559,ROW()-ROW($N$562)+1),"")</f>
        <v>0</v>
      </c>
    </row>
    <row r="636" spans="5:14">
      <c r="E636">
        <f>IFERROR(SMALL(E191:E559,ROW()-ROW($E$562)+1),"")</f>
        <v>0</v>
      </c>
      <c r="F636">
        <f>IFERROR(SMALL(F191:F559,ROW()-ROW($F$562)+1),"")</f>
        <v>0</v>
      </c>
      <c r="G636">
        <f>IFERROR(SMALL(G191:G559,ROW()-ROW($G$562)+1),"")</f>
        <v>0</v>
      </c>
      <c r="H636">
        <f>IFERROR(SMALL(H191:H559,ROW()-ROW($H$562)+1),"")</f>
        <v>0</v>
      </c>
      <c r="K636">
        <f>IFERROR(SMALL(K191:K559,ROW()-ROW($K$562)+1),"")</f>
        <v>0</v>
      </c>
      <c r="L636">
        <f>IFERROR(SMALL(L191:L559,ROW()-ROW($L$562)+1),"")</f>
        <v>0</v>
      </c>
      <c r="M636">
        <f>IFERROR(SMALL(M191:M559,ROW()-ROW($M$562)+1),"")</f>
        <v>0</v>
      </c>
      <c r="N636">
        <f>IFERROR(SMALL(N191:N559,ROW()-ROW($N$562)+1),"")</f>
        <v>0</v>
      </c>
    </row>
    <row r="637" spans="5:14">
      <c r="E637">
        <f>IFERROR(SMALL(E191:E559,ROW()-ROW($E$562)+1),"")</f>
        <v>0</v>
      </c>
      <c r="F637">
        <f>IFERROR(SMALL(F191:F559,ROW()-ROW($F$562)+1),"")</f>
        <v>0</v>
      </c>
      <c r="G637">
        <f>IFERROR(SMALL(G191:G559,ROW()-ROW($G$562)+1),"")</f>
        <v>0</v>
      </c>
      <c r="H637">
        <f>IFERROR(SMALL(H191:H559,ROW()-ROW($H$562)+1),"")</f>
        <v>0</v>
      </c>
      <c r="K637">
        <f>IFERROR(SMALL(K191:K559,ROW()-ROW($K$562)+1),"")</f>
        <v>0</v>
      </c>
      <c r="L637">
        <f>IFERROR(SMALL(L191:L559,ROW()-ROW($L$562)+1),"")</f>
        <v>0</v>
      </c>
      <c r="M637">
        <f>IFERROR(SMALL(M191:M559,ROW()-ROW($M$562)+1),"")</f>
        <v>0</v>
      </c>
      <c r="N637">
        <f>IFERROR(SMALL(N191:N559,ROW()-ROW($N$562)+1),"")</f>
        <v>0</v>
      </c>
    </row>
    <row r="638" spans="5:14">
      <c r="E638">
        <f>IFERROR(SMALL(E191:E559,ROW()-ROW($E$562)+1),"")</f>
        <v>0</v>
      </c>
      <c r="F638">
        <f>IFERROR(SMALL(F191:F559,ROW()-ROW($F$562)+1),"")</f>
        <v>0</v>
      </c>
      <c r="G638">
        <f>IFERROR(SMALL(G191:G559,ROW()-ROW($G$562)+1),"")</f>
        <v>0</v>
      </c>
      <c r="H638">
        <f>IFERROR(SMALL(H191:H559,ROW()-ROW($H$562)+1),"")</f>
        <v>0</v>
      </c>
      <c r="K638">
        <f>IFERROR(SMALL(K191:K559,ROW()-ROW($K$562)+1),"")</f>
        <v>0</v>
      </c>
      <c r="L638">
        <f>IFERROR(SMALL(L191:L559,ROW()-ROW($L$562)+1),"")</f>
        <v>0</v>
      </c>
      <c r="M638">
        <f>IFERROR(SMALL(M191:M559,ROW()-ROW($M$562)+1),"")</f>
        <v>0</v>
      </c>
      <c r="N638">
        <f>IFERROR(SMALL(N191:N559,ROW()-ROW($N$562)+1),"")</f>
        <v>0</v>
      </c>
    </row>
    <row r="639" spans="5:14">
      <c r="E639">
        <f>IFERROR(SMALL(E191:E559,ROW()-ROW($E$562)+1),"")</f>
        <v>0</v>
      </c>
      <c r="F639">
        <f>IFERROR(SMALL(F191:F559,ROW()-ROW($F$562)+1),"")</f>
        <v>0</v>
      </c>
      <c r="G639">
        <f>IFERROR(SMALL(G191:G559,ROW()-ROW($G$562)+1),"")</f>
        <v>0</v>
      </c>
      <c r="H639">
        <f>IFERROR(SMALL(H191:H559,ROW()-ROW($H$562)+1),"")</f>
        <v>0</v>
      </c>
      <c r="K639">
        <f>IFERROR(SMALL(K191:K559,ROW()-ROW($K$562)+1),"")</f>
        <v>0</v>
      </c>
      <c r="L639">
        <f>IFERROR(SMALL(L191:L559,ROW()-ROW($L$562)+1),"")</f>
        <v>0</v>
      </c>
      <c r="M639">
        <f>IFERROR(SMALL(M191:M559,ROW()-ROW($M$562)+1),"")</f>
        <v>0</v>
      </c>
      <c r="N639">
        <f>IFERROR(SMALL(N191:N559,ROW()-ROW($N$562)+1),"")</f>
        <v>0</v>
      </c>
    </row>
    <row r="640" spans="5:14">
      <c r="E640">
        <f>IFERROR(SMALL(E191:E559,ROW()-ROW($E$562)+1),"")</f>
        <v>0</v>
      </c>
      <c r="F640">
        <f>IFERROR(SMALL(F191:F559,ROW()-ROW($F$562)+1),"")</f>
        <v>0</v>
      </c>
      <c r="G640">
        <f>IFERROR(SMALL(G191:G559,ROW()-ROW($G$562)+1),"")</f>
        <v>0</v>
      </c>
      <c r="H640">
        <f>IFERROR(SMALL(H191:H559,ROW()-ROW($H$562)+1),"")</f>
        <v>0</v>
      </c>
      <c r="K640">
        <f>IFERROR(SMALL(K191:K559,ROW()-ROW($K$562)+1),"")</f>
        <v>0</v>
      </c>
      <c r="L640">
        <f>IFERROR(SMALL(L191:L559,ROW()-ROW($L$562)+1),"")</f>
        <v>0</v>
      </c>
      <c r="M640">
        <f>IFERROR(SMALL(M191:M559,ROW()-ROW($M$562)+1),"")</f>
        <v>0</v>
      </c>
      <c r="N640">
        <f>IFERROR(SMALL(N191:N559,ROW()-ROW($N$562)+1),"")</f>
        <v>0</v>
      </c>
    </row>
    <row r="641" spans="5:14">
      <c r="E641">
        <f>IFERROR(SMALL(E191:E559,ROW()-ROW($E$562)+1),"")</f>
        <v>0</v>
      </c>
      <c r="F641">
        <f>IFERROR(SMALL(F191:F559,ROW()-ROW($F$562)+1),"")</f>
        <v>0</v>
      </c>
      <c r="G641">
        <f>IFERROR(SMALL(G191:G559,ROW()-ROW($G$562)+1),"")</f>
        <v>0</v>
      </c>
      <c r="H641">
        <f>IFERROR(SMALL(H191:H559,ROW()-ROW($H$562)+1),"")</f>
        <v>0</v>
      </c>
      <c r="K641">
        <f>IFERROR(SMALL(K191:K559,ROW()-ROW($K$562)+1),"")</f>
        <v>0</v>
      </c>
      <c r="L641">
        <f>IFERROR(SMALL(L191:L559,ROW()-ROW($L$562)+1),"")</f>
        <v>0</v>
      </c>
      <c r="M641">
        <f>IFERROR(SMALL(M191:M559,ROW()-ROW($M$562)+1),"")</f>
        <v>0</v>
      </c>
      <c r="N641">
        <f>IFERROR(SMALL(N191:N559,ROW()-ROW($N$562)+1),"")</f>
        <v>0</v>
      </c>
    </row>
    <row r="642" spans="5:14">
      <c r="E642">
        <f>IFERROR(SMALL(E191:E559,ROW()-ROW($E$562)+1),"")</f>
        <v>0</v>
      </c>
      <c r="F642">
        <f>IFERROR(SMALL(F191:F559,ROW()-ROW($F$562)+1),"")</f>
        <v>0</v>
      </c>
      <c r="G642">
        <f>IFERROR(SMALL(G191:G559,ROW()-ROW($G$562)+1),"")</f>
        <v>0</v>
      </c>
      <c r="H642">
        <f>IFERROR(SMALL(H191:H559,ROW()-ROW($H$562)+1),"")</f>
        <v>0</v>
      </c>
      <c r="K642">
        <f>IFERROR(SMALL(K191:K559,ROW()-ROW($K$562)+1),"")</f>
        <v>0</v>
      </c>
      <c r="L642">
        <f>IFERROR(SMALL(L191:L559,ROW()-ROW($L$562)+1),"")</f>
        <v>0</v>
      </c>
      <c r="M642">
        <f>IFERROR(SMALL(M191:M559,ROW()-ROW($M$562)+1),"")</f>
        <v>0</v>
      </c>
      <c r="N642">
        <f>IFERROR(SMALL(N191:N559,ROW()-ROW($N$562)+1),"")</f>
        <v>0</v>
      </c>
    </row>
    <row r="643" spans="5:14">
      <c r="E643">
        <f>IFERROR(SMALL(E191:E559,ROW()-ROW($E$562)+1),"")</f>
        <v>0</v>
      </c>
      <c r="F643">
        <f>IFERROR(SMALL(F191:F559,ROW()-ROW($F$562)+1),"")</f>
        <v>0</v>
      </c>
      <c r="G643">
        <f>IFERROR(SMALL(G191:G559,ROW()-ROW($G$562)+1),"")</f>
        <v>0</v>
      </c>
      <c r="H643">
        <f>IFERROR(SMALL(H191:H559,ROW()-ROW($H$562)+1),"")</f>
        <v>0</v>
      </c>
      <c r="K643">
        <f>IFERROR(SMALL(K191:K559,ROW()-ROW($K$562)+1),"")</f>
        <v>0</v>
      </c>
      <c r="L643">
        <f>IFERROR(SMALL(L191:L559,ROW()-ROW($L$562)+1),"")</f>
        <v>0</v>
      </c>
      <c r="M643">
        <f>IFERROR(SMALL(M191:M559,ROW()-ROW($M$562)+1),"")</f>
        <v>0</v>
      </c>
      <c r="N643">
        <f>IFERROR(SMALL(N191:N559,ROW()-ROW($N$562)+1),"")</f>
        <v>0</v>
      </c>
    </row>
    <row r="644" spans="5:14">
      <c r="E644">
        <f>IFERROR(SMALL(E191:E559,ROW()-ROW($E$562)+1),"")</f>
        <v>0</v>
      </c>
      <c r="F644">
        <f>IFERROR(SMALL(F191:F559,ROW()-ROW($F$562)+1),"")</f>
        <v>0</v>
      </c>
      <c r="G644">
        <f>IFERROR(SMALL(G191:G559,ROW()-ROW($G$562)+1),"")</f>
        <v>0</v>
      </c>
      <c r="H644">
        <f>IFERROR(SMALL(H191:H559,ROW()-ROW($H$562)+1),"")</f>
        <v>0</v>
      </c>
      <c r="K644">
        <f>IFERROR(SMALL(K191:K559,ROW()-ROW($K$562)+1),"")</f>
        <v>0</v>
      </c>
      <c r="L644">
        <f>IFERROR(SMALL(L191:L559,ROW()-ROW($L$562)+1),"")</f>
        <v>0</v>
      </c>
      <c r="M644">
        <f>IFERROR(SMALL(M191:M559,ROW()-ROW($M$562)+1),"")</f>
        <v>0</v>
      </c>
      <c r="N644">
        <f>IFERROR(SMALL(N191:N559,ROW()-ROW($N$562)+1),"")</f>
        <v>0</v>
      </c>
    </row>
    <row r="645" spans="5:14">
      <c r="E645">
        <f>IFERROR(SMALL(E191:E559,ROW()-ROW($E$562)+1),"")</f>
        <v>0</v>
      </c>
      <c r="F645">
        <f>IFERROR(SMALL(F191:F559,ROW()-ROW($F$562)+1),"")</f>
        <v>0</v>
      </c>
      <c r="G645">
        <f>IFERROR(SMALL(G191:G559,ROW()-ROW($G$562)+1),"")</f>
        <v>0</v>
      </c>
      <c r="H645">
        <f>IFERROR(SMALL(H191:H559,ROW()-ROW($H$562)+1),"")</f>
        <v>0</v>
      </c>
      <c r="K645">
        <f>IFERROR(SMALL(K191:K559,ROW()-ROW($K$562)+1),"")</f>
        <v>0</v>
      </c>
      <c r="L645">
        <f>IFERROR(SMALL(L191:L559,ROW()-ROW($L$562)+1),"")</f>
        <v>0</v>
      </c>
      <c r="M645">
        <f>IFERROR(SMALL(M191:M559,ROW()-ROW($M$562)+1),"")</f>
        <v>0</v>
      </c>
      <c r="N645">
        <f>IFERROR(SMALL(N191:N559,ROW()-ROW($N$562)+1),"")</f>
        <v>0</v>
      </c>
    </row>
    <row r="646" spans="5:14">
      <c r="E646">
        <f>IFERROR(SMALL(E191:E559,ROW()-ROW($E$562)+1),"")</f>
        <v>0</v>
      </c>
      <c r="F646">
        <f>IFERROR(SMALL(F191:F559,ROW()-ROW($F$562)+1),"")</f>
        <v>0</v>
      </c>
      <c r="G646">
        <f>IFERROR(SMALL(G191:G559,ROW()-ROW($G$562)+1),"")</f>
        <v>0</v>
      </c>
      <c r="H646">
        <f>IFERROR(SMALL(H191:H559,ROW()-ROW($H$562)+1),"")</f>
        <v>0</v>
      </c>
      <c r="K646">
        <f>IFERROR(SMALL(K191:K559,ROW()-ROW($K$562)+1),"")</f>
        <v>0</v>
      </c>
      <c r="L646">
        <f>IFERROR(SMALL(L191:L559,ROW()-ROW($L$562)+1),"")</f>
        <v>0</v>
      </c>
      <c r="M646">
        <f>IFERROR(SMALL(M191:M559,ROW()-ROW($M$562)+1),"")</f>
        <v>0</v>
      </c>
      <c r="N646">
        <f>IFERROR(SMALL(N191:N559,ROW()-ROW($N$562)+1),"")</f>
        <v>0</v>
      </c>
    </row>
    <row r="647" spans="5:14">
      <c r="E647">
        <f>IFERROR(SMALL(E191:E559,ROW()-ROW($E$562)+1),"")</f>
        <v>0</v>
      </c>
      <c r="F647">
        <f>IFERROR(SMALL(F191:F559,ROW()-ROW($F$562)+1),"")</f>
        <v>0</v>
      </c>
      <c r="G647">
        <f>IFERROR(SMALL(G191:G559,ROW()-ROW($G$562)+1),"")</f>
        <v>0</v>
      </c>
      <c r="H647">
        <f>IFERROR(SMALL(H191:H559,ROW()-ROW($H$562)+1),"")</f>
        <v>0</v>
      </c>
      <c r="K647">
        <f>IFERROR(SMALL(K191:K559,ROW()-ROW($K$562)+1),"")</f>
        <v>0</v>
      </c>
      <c r="L647">
        <f>IFERROR(SMALL(L191:L559,ROW()-ROW($L$562)+1),"")</f>
        <v>0</v>
      </c>
      <c r="M647">
        <f>IFERROR(SMALL(M191:M559,ROW()-ROW($M$562)+1),"")</f>
        <v>0</v>
      </c>
      <c r="N647">
        <f>IFERROR(SMALL(N191:N559,ROW()-ROW($N$562)+1),"")</f>
        <v>0</v>
      </c>
    </row>
    <row r="648" spans="5:14">
      <c r="E648">
        <f>IFERROR(SMALL(E191:E559,ROW()-ROW($E$562)+1),"")</f>
        <v>0</v>
      </c>
      <c r="F648">
        <f>IFERROR(SMALL(F191:F559,ROW()-ROW($F$562)+1),"")</f>
        <v>0</v>
      </c>
      <c r="G648">
        <f>IFERROR(SMALL(G191:G559,ROW()-ROW($G$562)+1),"")</f>
        <v>0</v>
      </c>
      <c r="H648">
        <f>IFERROR(SMALL(H191:H559,ROW()-ROW($H$562)+1),"")</f>
        <v>0</v>
      </c>
      <c r="K648">
        <f>IFERROR(SMALL(K191:K559,ROW()-ROW($K$562)+1),"")</f>
        <v>0</v>
      </c>
      <c r="L648">
        <f>IFERROR(SMALL(L191:L559,ROW()-ROW($L$562)+1),"")</f>
        <v>0</v>
      </c>
      <c r="M648">
        <f>IFERROR(SMALL(M191:M559,ROW()-ROW($M$562)+1),"")</f>
        <v>0</v>
      </c>
      <c r="N648">
        <f>IFERROR(SMALL(N191:N559,ROW()-ROW($N$562)+1),"")</f>
        <v>0</v>
      </c>
    </row>
    <row r="649" spans="5:14">
      <c r="E649">
        <f>IFERROR(SMALL(E191:E559,ROW()-ROW($E$562)+1),"")</f>
        <v>0</v>
      </c>
      <c r="F649">
        <f>IFERROR(SMALL(F191:F559,ROW()-ROW($F$562)+1),"")</f>
        <v>0</v>
      </c>
      <c r="G649">
        <f>IFERROR(SMALL(G191:G559,ROW()-ROW($G$562)+1),"")</f>
        <v>0</v>
      </c>
      <c r="H649">
        <f>IFERROR(SMALL(H191:H559,ROW()-ROW($H$562)+1),"")</f>
        <v>0</v>
      </c>
      <c r="K649">
        <f>IFERROR(SMALL(K191:K559,ROW()-ROW($K$562)+1),"")</f>
        <v>0</v>
      </c>
      <c r="L649">
        <f>IFERROR(SMALL(L191:L559,ROW()-ROW($L$562)+1),"")</f>
        <v>0</v>
      </c>
      <c r="M649">
        <f>IFERROR(SMALL(M191:M559,ROW()-ROW($M$562)+1),"")</f>
        <v>0</v>
      </c>
      <c r="N649">
        <f>IFERROR(SMALL(N191:N559,ROW()-ROW($N$562)+1),"")</f>
        <v>0</v>
      </c>
    </row>
    <row r="650" spans="5:14">
      <c r="E650">
        <f>IFERROR(SMALL(E191:E559,ROW()-ROW($E$562)+1),"")</f>
        <v>0</v>
      </c>
      <c r="F650">
        <f>IFERROR(SMALL(F191:F559,ROW()-ROW($F$562)+1),"")</f>
        <v>0</v>
      </c>
      <c r="G650">
        <f>IFERROR(SMALL(G191:G559,ROW()-ROW($G$562)+1),"")</f>
        <v>0</v>
      </c>
      <c r="H650">
        <f>IFERROR(SMALL(H191:H559,ROW()-ROW($H$562)+1),"")</f>
        <v>0</v>
      </c>
      <c r="K650">
        <f>IFERROR(SMALL(K191:K559,ROW()-ROW($K$562)+1),"")</f>
        <v>0</v>
      </c>
      <c r="L650">
        <f>IFERROR(SMALL(L191:L559,ROW()-ROW($L$562)+1),"")</f>
        <v>0</v>
      </c>
      <c r="M650">
        <f>IFERROR(SMALL(M191:M559,ROW()-ROW($M$562)+1),"")</f>
        <v>0</v>
      </c>
      <c r="N650">
        <f>IFERROR(SMALL(N191:N559,ROW()-ROW($N$562)+1),"")</f>
        <v>0</v>
      </c>
    </row>
    <row r="651" spans="5:14">
      <c r="E651">
        <f>IFERROR(SMALL(E191:E559,ROW()-ROW($E$562)+1),"")</f>
        <v>0</v>
      </c>
      <c r="F651">
        <f>IFERROR(SMALL(F191:F559,ROW()-ROW($F$562)+1),"")</f>
        <v>0</v>
      </c>
      <c r="G651">
        <f>IFERROR(SMALL(G191:G559,ROW()-ROW($G$562)+1),"")</f>
        <v>0</v>
      </c>
      <c r="H651">
        <f>IFERROR(SMALL(H191:H559,ROW()-ROW($H$562)+1),"")</f>
        <v>0</v>
      </c>
      <c r="K651">
        <f>IFERROR(SMALL(K191:K559,ROW()-ROW($K$562)+1),"")</f>
        <v>0</v>
      </c>
      <c r="L651">
        <f>IFERROR(SMALL(L191:L559,ROW()-ROW($L$562)+1),"")</f>
        <v>0</v>
      </c>
      <c r="M651">
        <f>IFERROR(SMALL(M191:M559,ROW()-ROW($M$562)+1),"")</f>
        <v>0</v>
      </c>
      <c r="N651">
        <f>IFERROR(SMALL(N191:N559,ROW()-ROW($N$562)+1),"")</f>
        <v>0</v>
      </c>
    </row>
    <row r="652" spans="5:14">
      <c r="E652">
        <f>IFERROR(SMALL(E191:E559,ROW()-ROW($E$562)+1),"")</f>
        <v>0</v>
      </c>
      <c r="F652">
        <f>IFERROR(SMALL(F191:F559,ROW()-ROW($F$562)+1),"")</f>
        <v>0</v>
      </c>
      <c r="G652">
        <f>IFERROR(SMALL(G191:G559,ROW()-ROW($G$562)+1),"")</f>
        <v>0</v>
      </c>
      <c r="H652">
        <f>IFERROR(SMALL(H191:H559,ROW()-ROW($H$562)+1),"")</f>
        <v>0</v>
      </c>
      <c r="K652">
        <f>IFERROR(SMALL(K191:K559,ROW()-ROW($K$562)+1),"")</f>
        <v>0</v>
      </c>
      <c r="L652">
        <f>IFERROR(SMALL(L191:L559,ROW()-ROW($L$562)+1),"")</f>
        <v>0</v>
      </c>
      <c r="M652">
        <f>IFERROR(SMALL(M191:M559,ROW()-ROW($M$562)+1),"")</f>
        <v>0</v>
      </c>
      <c r="N652">
        <f>IFERROR(SMALL(N191:N559,ROW()-ROW($N$562)+1),"")</f>
        <v>0</v>
      </c>
    </row>
    <row r="653" spans="5:14">
      <c r="E653">
        <f>IFERROR(SMALL(E191:E559,ROW()-ROW($E$562)+1),"")</f>
        <v>0</v>
      </c>
      <c r="F653">
        <f>IFERROR(SMALL(F191:F559,ROW()-ROW($F$562)+1),"")</f>
        <v>0</v>
      </c>
      <c r="G653">
        <f>IFERROR(SMALL(G191:G559,ROW()-ROW($G$562)+1),"")</f>
        <v>0</v>
      </c>
      <c r="H653">
        <f>IFERROR(SMALL(H191:H559,ROW()-ROW($H$562)+1),"")</f>
        <v>0</v>
      </c>
      <c r="K653">
        <f>IFERROR(SMALL(K191:K559,ROW()-ROW($K$562)+1),"")</f>
        <v>0</v>
      </c>
      <c r="L653">
        <f>IFERROR(SMALL(L191:L559,ROW()-ROW($L$562)+1),"")</f>
        <v>0</v>
      </c>
      <c r="M653">
        <f>IFERROR(SMALL(M191:M559,ROW()-ROW($M$562)+1),"")</f>
        <v>0</v>
      </c>
      <c r="N653">
        <f>IFERROR(SMALL(N191:N559,ROW()-ROW($N$562)+1),"")</f>
        <v>0</v>
      </c>
    </row>
    <row r="654" spans="5:14">
      <c r="E654">
        <f>IFERROR(SMALL(E191:E559,ROW()-ROW($E$562)+1),"")</f>
        <v>0</v>
      </c>
      <c r="F654">
        <f>IFERROR(SMALL(F191:F559,ROW()-ROW($F$562)+1),"")</f>
        <v>0</v>
      </c>
      <c r="G654">
        <f>IFERROR(SMALL(G191:G559,ROW()-ROW($G$562)+1),"")</f>
        <v>0</v>
      </c>
      <c r="H654">
        <f>IFERROR(SMALL(H191:H559,ROW()-ROW($H$562)+1),"")</f>
        <v>0</v>
      </c>
      <c r="K654">
        <f>IFERROR(SMALL(K191:K559,ROW()-ROW($K$562)+1),"")</f>
        <v>0</v>
      </c>
      <c r="L654">
        <f>IFERROR(SMALL(L191:L559,ROW()-ROW($L$562)+1),"")</f>
        <v>0</v>
      </c>
      <c r="M654">
        <f>IFERROR(SMALL(M191:M559,ROW()-ROW($M$562)+1),"")</f>
        <v>0</v>
      </c>
      <c r="N654">
        <f>IFERROR(SMALL(N191:N559,ROW()-ROW($N$562)+1),"")</f>
        <v>0</v>
      </c>
    </row>
    <row r="655" spans="5:14">
      <c r="E655">
        <f>IFERROR(SMALL(E191:E559,ROW()-ROW($E$562)+1),"")</f>
        <v>0</v>
      </c>
      <c r="F655">
        <f>IFERROR(SMALL(F191:F559,ROW()-ROW($F$562)+1),"")</f>
        <v>0</v>
      </c>
      <c r="G655">
        <f>IFERROR(SMALL(G191:G559,ROW()-ROW($G$562)+1),"")</f>
        <v>0</v>
      </c>
      <c r="H655">
        <f>IFERROR(SMALL(H191:H559,ROW()-ROW($H$562)+1),"")</f>
        <v>0</v>
      </c>
      <c r="K655">
        <f>IFERROR(SMALL(K191:K559,ROW()-ROW($K$562)+1),"")</f>
        <v>0</v>
      </c>
      <c r="L655">
        <f>IFERROR(SMALL(L191:L559,ROW()-ROW($L$562)+1),"")</f>
        <v>0</v>
      </c>
      <c r="M655">
        <f>IFERROR(SMALL(M191:M559,ROW()-ROW($M$562)+1),"")</f>
        <v>0</v>
      </c>
      <c r="N655">
        <f>IFERROR(SMALL(N191:N559,ROW()-ROW($N$562)+1),"")</f>
        <v>0</v>
      </c>
    </row>
    <row r="656" spans="5:14">
      <c r="E656">
        <f>IFERROR(SMALL(E191:E559,ROW()-ROW($E$562)+1),"")</f>
        <v>0</v>
      </c>
      <c r="F656">
        <f>IFERROR(SMALL(F191:F559,ROW()-ROW($F$562)+1),"")</f>
        <v>0</v>
      </c>
      <c r="G656">
        <f>IFERROR(SMALL(G191:G559,ROW()-ROW($G$562)+1),"")</f>
        <v>0</v>
      </c>
      <c r="H656">
        <f>IFERROR(SMALL(H191:H559,ROW()-ROW($H$562)+1),"")</f>
        <v>0</v>
      </c>
      <c r="K656">
        <f>IFERROR(SMALL(K191:K559,ROW()-ROW($K$562)+1),"")</f>
        <v>0</v>
      </c>
      <c r="L656">
        <f>IFERROR(SMALL(L191:L559,ROW()-ROW($L$562)+1),"")</f>
        <v>0</v>
      </c>
      <c r="M656">
        <f>IFERROR(SMALL(M191:M559,ROW()-ROW($M$562)+1),"")</f>
        <v>0</v>
      </c>
      <c r="N656">
        <f>IFERROR(SMALL(N191:N559,ROW()-ROW($N$562)+1),"")</f>
        <v>0</v>
      </c>
    </row>
    <row r="657" spans="5:14">
      <c r="E657">
        <f>IFERROR(SMALL(E191:E559,ROW()-ROW($E$562)+1),"")</f>
        <v>0</v>
      </c>
      <c r="F657">
        <f>IFERROR(SMALL(F191:F559,ROW()-ROW($F$562)+1),"")</f>
        <v>0</v>
      </c>
      <c r="G657">
        <f>IFERROR(SMALL(G191:G559,ROW()-ROW($G$562)+1),"")</f>
        <v>0</v>
      </c>
      <c r="H657">
        <f>IFERROR(SMALL(H191:H559,ROW()-ROW($H$562)+1),"")</f>
        <v>0</v>
      </c>
      <c r="K657">
        <f>IFERROR(SMALL(K191:K559,ROW()-ROW($K$562)+1),"")</f>
        <v>0</v>
      </c>
      <c r="L657">
        <f>IFERROR(SMALL(L191:L559,ROW()-ROW($L$562)+1),"")</f>
        <v>0</v>
      </c>
      <c r="M657">
        <f>IFERROR(SMALL(M191:M559,ROW()-ROW($M$562)+1),"")</f>
        <v>0</v>
      </c>
      <c r="N657">
        <f>IFERROR(SMALL(N191:N559,ROW()-ROW($N$562)+1),"")</f>
        <v>0</v>
      </c>
    </row>
    <row r="658" spans="5:14">
      <c r="E658">
        <f>IFERROR(SMALL(E191:E559,ROW()-ROW($E$562)+1),"")</f>
        <v>0</v>
      </c>
      <c r="F658">
        <f>IFERROR(SMALL(F191:F559,ROW()-ROW($F$562)+1),"")</f>
        <v>0</v>
      </c>
      <c r="G658">
        <f>IFERROR(SMALL(G191:G559,ROW()-ROW($G$562)+1),"")</f>
        <v>0</v>
      </c>
      <c r="H658">
        <f>IFERROR(SMALL(H191:H559,ROW()-ROW($H$562)+1),"")</f>
        <v>0</v>
      </c>
      <c r="K658">
        <f>IFERROR(SMALL(K191:K559,ROW()-ROW($K$562)+1),"")</f>
        <v>0</v>
      </c>
      <c r="L658">
        <f>IFERROR(SMALL(L191:L559,ROW()-ROW($L$562)+1),"")</f>
        <v>0</v>
      </c>
      <c r="M658">
        <f>IFERROR(SMALL(M191:M559,ROW()-ROW($M$562)+1),"")</f>
        <v>0</v>
      </c>
      <c r="N658">
        <f>IFERROR(SMALL(N191:N559,ROW()-ROW($N$562)+1),"")</f>
        <v>0</v>
      </c>
    </row>
    <row r="659" spans="5:14">
      <c r="E659">
        <f>IFERROR(SMALL(E191:E559,ROW()-ROW($E$562)+1),"")</f>
        <v>0</v>
      </c>
      <c r="F659">
        <f>IFERROR(SMALL(F191:F559,ROW()-ROW($F$562)+1),"")</f>
        <v>0</v>
      </c>
      <c r="G659">
        <f>IFERROR(SMALL(G191:G559,ROW()-ROW($G$562)+1),"")</f>
        <v>0</v>
      </c>
      <c r="H659">
        <f>IFERROR(SMALL(H191:H559,ROW()-ROW($H$562)+1),"")</f>
        <v>0</v>
      </c>
      <c r="K659">
        <f>IFERROR(SMALL(K191:K559,ROW()-ROW($K$562)+1),"")</f>
        <v>0</v>
      </c>
      <c r="L659">
        <f>IFERROR(SMALL(L191:L559,ROW()-ROW($L$562)+1),"")</f>
        <v>0</v>
      </c>
      <c r="M659">
        <f>IFERROR(SMALL(M191:M559,ROW()-ROW($M$562)+1),"")</f>
        <v>0</v>
      </c>
      <c r="N659">
        <f>IFERROR(SMALL(N191:N559,ROW()-ROW($N$562)+1),"")</f>
        <v>0</v>
      </c>
    </row>
    <row r="660" spans="5:14">
      <c r="E660">
        <f>IFERROR(SMALL(E191:E559,ROW()-ROW($E$562)+1),"")</f>
        <v>0</v>
      </c>
      <c r="F660">
        <f>IFERROR(SMALL(F191:F559,ROW()-ROW($F$562)+1),"")</f>
        <v>0</v>
      </c>
      <c r="G660">
        <f>IFERROR(SMALL(G191:G559,ROW()-ROW($G$562)+1),"")</f>
        <v>0</v>
      </c>
      <c r="H660">
        <f>IFERROR(SMALL(H191:H559,ROW()-ROW($H$562)+1),"")</f>
        <v>0</v>
      </c>
      <c r="K660">
        <f>IFERROR(SMALL(K191:K559,ROW()-ROW($K$562)+1),"")</f>
        <v>0</v>
      </c>
      <c r="L660">
        <f>IFERROR(SMALL(L191:L559,ROW()-ROW($L$562)+1),"")</f>
        <v>0</v>
      </c>
      <c r="M660">
        <f>IFERROR(SMALL(M191:M559,ROW()-ROW($M$562)+1),"")</f>
        <v>0</v>
      </c>
      <c r="N660">
        <f>IFERROR(SMALL(N191:N559,ROW()-ROW($N$562)+1),"")</f>
        <v>0</v>
      </c>
    </row>
    <row r="661" spans="5:14">
      <c r="E661">
        <f>IFERROR(SMALL(E191:E559,ROW()-ROW($E$562)+1),"")</f>
        <v>0</v>
      </c>
      <c r="F661">
        <f>IFERROR(SMALL(F191:F559,ROW()-ROW($F$562)+1),"")</f>
        <v>0</v>
      </c>
      <c r="G661">
        <f>IFERROR(SMALL(G191:G559,ROW()-ROW($G$562)+1),"")</f>
        <v>0</v>
      </c>
      <c r="H661">
        <f>IFERROR(SMALL(H191:H559,ROW()-ROW($H$562)+1),"")</f>
        <v>0</v>
      </c>
      <c r="K661">
        <f>IFERROR(SMALL(K191:K559,ROW()-ROW($K$562)+1),"")</f>
        <v>0</v>
      </c>
      <c r="L661">
        <f>IFERROR(SMALL(L191:L559,ROW()-ROW($L$562)+1),"")</f>
        <v>0</v>
      </c>
      <c r="M661">
        <f>IFERROR(SMALL(M191:M559,ROW()-ROW($M$562)+1),"")</f>
        <v>0</v>
      </c>
      <c r="N661">
        <f>IFERROR(SMALL(N191:N559,ROW()-ROW($N$562)+1),"")</f>
        <v>0</v>
      </c>
    </row>
    <row r="662" spans="5:14">
      <c r="E662">
        <f>IFERROR(SMALL(E191:E559,ROW()-ROW($E$562)+1),"")</f>
        <v>0</v>
      </c>
      <c r="F662">
        <f>IFERROR(SMALL(F191:F559,ROW()-ROW($F$562)+1),"")</f>
        <v>0</v>
      </c>
      <c r="G662">
        <f>IFERROR(SMALL(G191:G559,ROW()-ROW($G$562)+1),"")</f>
        <v>0</v>
      </c>
      <c r="H662">
        <f>IFERROR(SMALL(H191:H559,ROW()-ROW($H$562)+1),"")</f>
        <v>0</v>
      </c>
      <c r="K662">
        <f>IFERROR(SMALL(K191:K559,ROW()-ROW($K$562)+1),"")</f>
        <v>0</v>
      </c>
      <c r="L662">
        <f>IFERROR(SMALL(L191:L559,ROW()-ROW($L$562)+1),"")</f>
        <v>0</v>
      </c>
      <c r="M662">
        <f>IFERROR(SMALL(M191:M559,ROW()-ROW($M$562)+1),"")</f>
        <v>0</v>
      </c>
      <c r="N662">
        <f>IFERROR(SMALL(N191:N559,ROW()-ROW($N$562)+1),"")</f>
        <v>0</v>
      </c>
    </row>
    <row r="663" spans="5:14">
      <c r="E663">
        <f>IFERROR(SMALL(E191:E559,ROW()-ROW($E$562)+1),"")</f>
        <v>0</v>
      </c>
      <c r="F663">
        <f>IFERROR(SMALL(F191:F559,ROW()-ROW($F$562)+1),"")</f>
        <v>0</v>
      </c>
      <c r="G663">
        <f>IFERROR(SMALL(G191:G559,ROW()-ROW($G$562)+1),"")</f>
        <v>0</v>
      </c>
      <c r="H663">
        <f>IFERROR(SMALL(H191:H559,ROW()-ROW($H$562)+1),"")</f>
        <v>0</v>
      </c>
      <c r="K663">
        <f>IFERROR(SMALL(K191:K559,ROW()-ROW($K$562)+1),"")</f>
        <v>0</v>
      </c>
      <c r="L663">
        <f>IFERROR(SMALL(L191:L559,ROW()-ROW($L$562)+1),"")</f>
        <v>0</v>
      </c>
      <c r="M663">
        <f>IFERROR(SMALL(M191:M559,ROW()-ROW($M$562)+1),"")</f>
        <v>0</v>
      </c>
      <c r="N663">
        <f>IFERROR(SMALL(N191:N559,ROW()-ROW($N$562)+1),"")</f>
        <v>0</v>
      </c>
    </row>
    <row r="664" spans="5:14">
      <c r="E664">
        <f>IFERROR(SMALL(E191:E559,ROW()-ROW($E$562)+1),"")</f>
        <v>0</v>
      </c>
      <c r="F664">
        <f>IFERROR(SMALL(F191:F559,ROW()-ROW($F$562)+1),"")</f>
        <v>0</v>
      </c>
      <c r="G664">
        <f>IFERROR(SMALL(G191:G559,ROW()-ROW($G$562)+1),"")</f>
        <v>0</v>
      </c>
      <c r="H664">
        <f>IFERROR(SMALL(H191:H559,ROW()-ROW($H$562)+1),"")</f>
        <v>0</v>
      </c>
      <c r="K664">
        <f>IFERROR(SMALL(K191:K559,ROW()-ROW($K$562)+1),"")</f>
        <v>0</v>
      </c>
      <c r="L664">
        <f>IFERROR(SMALL(L191:L559,ROW()-ROW($L$562)+1),"")</f>
        <v>0</v>
      </c>
      <c r="M664">
        <f>IFERROR(SMALL(M191:M559,ROW()-ROW($M$562)+1),"")</f>
        <v>0</v>
      </c>
      <c r="N664">
        <f>IFERROR(SMALL(N191:N559,ROW()-ROW($N$562)+1),"")</f>
        <v>0</v>
      </c>
    </row>
    <row r="665" spans="5:14">
      <c r="E665">
        <f>IFERROR(SMALL(E191:E559,ROW()-ROW($E$562)+1),"")</f>
        <v>0</v>
      </c>
      <c r="F665">
        <f>IFERROR(SMALL(F191:F559,ROW()-ROW($F$562)+1),"")</f>
        <v>0</v>
      </c>
      <c r="G665">
        <f>IFERROR(SMALL(G191:G559,ROW()-ROW($G$562)+1),"")</f>
        <v>0</v>
      </c>
      <c r="H665">
        <f>IFERROR(SMALL(H191:H559,ROW()-ROW($H$562)+1),"")</f>
        <v>0</v>
      </c>
      <c r="K665">
        <f>IFERROR(SMALL(K191:K559,ROW()-ROW($K$562)+1),"")</f>
        <v>0</v>
      </c>
      <c r="L665">
        <f>IFERROR(SMALL(L191:L559,ROW()-ROW($L$562)+1),"")</f>
        <v>0</v>
      </c>
      <c r="M665">
        <f>IFERROR(SMALL(M191:M559,ROW()-ROW($M$562)+1),"")</f>
        <v>0</v>
      </c>
      <c r="N665">
        <f>IFERROR(SMALL(N191:N559,ROW()-ROW($N$562)+1),"")</f>
        <v>0</v>
      </c>
    </row>
    <row r="666" spans="5:14">
      <c r="E666">
        <f>IFERROR(SMALL(E191:E559,ROW()-ROW($E$562)+1),"")</f>
        <v>0</v>
      </c>
      <c r="F666">
        <f>IFERROR(SMALL(F191:F559,ROW()-ROW($F$562)+1),"")</f>
        <v>0</v>
      </c>
      <c r="G666">
        <f>IFERROR(SMALL(G191:G559,ROW()-ROW($G$562)+1),"")</f>
        <v>0</v>
      </c>
      <c r="H666">
        <f>IFERROR(SMALL(H191:H559,ROW()-ROW($H$562)+1),"")</f>
        <v>0</v>
      </c>
      <c r="K666">
        <f>IFERROR(SMALL(K191:K559,ROW()-ROW($K$562)+1),"")</f>
        <v>0</v>
      </c>
      <c r="L666">
        <f>IFERROR(SMALL(L191:L559,ROW()-ROW($L$562)+1),"")</f>
        <v>0</v>
      </c>
      <c r="M666">
        <f>IFERROR(SMALL(M191:M559,ROW()-ROW($M$562)+1),"")</f>
        <v>0</v>
      </c>
      <c r="N666">
        <f>IFERROR(SMALL(N191:N559,ROW()-ROW($N$562)+1),"")</f>
        <v>0</v>
      </c>
    </row>
    <row r="667" spans="5:14">
      <c r="E667">
        <f>IFERROR(SMALL(E191:E559,ROW()-ROW($E$562)+1),"")</f>
        <v>0</v>
      </c>
      <c r="F667">
        <f>IFERROR(SMALL(F191:F559,ROW()-ROW($F$562)+1),"")</f>
        <v>0</v>
      </c>
      <c r="G667">
        <f>IFERROR(SMALL(G191:G559,ROW()-ROW($G$562)+1),"")</f>
        <v>0</v>
      </c>
      <c r="H667">
        <f>IFERROR(SMALL(H191:H559,ROW()-ROW($H$562)+1),"")</f>
        <v>0</v>
      </c>
      <c r="K667">
        <f>IFERROR(SMALL(K191:K559,ROW()-ROW($K$562)+1),"")</f>
        <v>0</v>
      </c>
      <c r="L667">
        <f>IFERROR(SMALL(L191:L559,ROW()-ROW($L$562)+1),"")</f>
        <v>0</v>
      </c>
      <c r="M667">
        <f>IFERROR(SMALL(M191:M559,ROW()-ROW($M$562)+1),"")</f>
        <v>0</v>
      </c>
      <c r="N667">
        <f>IFERROR(SMALL(N191:N559,ROW()-ROW($N$562)+1),"")</f>
        <v>0</v>
      </c>
    </row>
    <row r="668" spans="5:14">
      <c r="E668">
        <f>IFERROR(SMALL(E191:E559,ROW()-ROW($E$562)+1),"")</f>
        <v>0</v>
      </c>
      <c r="F668">
        <f>IFERROR(SMALL(F191:F559,ROW()-ROW($F$562)+1),"")</f>
        <v>0</v>
      </c>
      <c r="G668">
        <f>IFERROR(SMALL(G191:G559,ROW()-ROW($G$562)+1),"")</f>
        <v>0</v>
      </c>
      <c r="H668">
        <f>IFERROR(SMALL(H191:H559,ROW()-ROW($H$562)+1),"")</f>
        <v>0</v>
      </c>
      <c r="K668">
        <f>IFERROR(SMALL(K191:K559,ROW()-ROW($K$562)+1),"")</f>
        <v>0</v>
      </c>
      <c r="L668">
        <f>IFERROR(SMALL(L191:L559,ROW()-ROW($L$562)+1),"")</f>
        <v>0</v>
      </c>
      <c r="M668">
        <f>IFERROR(SMALL(M191:M559,ROW()-ROW($M$562)+1),"")</f>
        <v>0</v>
      </c>
      <c r="N668">
        <f>IFERROR(SMALL(N191:N559,ROW()-ROW($N$562)+1),"")</f>
        <v>0</v>
      </c>
    </row>
    <row r="669" spans="5:14">
      <c r="E669">
        <f>IFERROR(SMALL(E191:E559,ROW()-ROW($E$562)+1),"")</f>
        <v>0</v>
      </c>
      <c r="F669">
        <f>IFERROR(SMALL(F191:F559,ROW()-ROW($F$562)+1),"")</f>
        <v>0</v>
      </c>
      <c r="G669">
        <f>IFERROR(SMALL(G191:G559,ROW()-ROW($G$562)+1),"")</f>
        <v>0</v>
      </c>
      <c r="H669">
        <f>IFERROR(SMALL(H191:H559,ROW()-ROW($H$562)+1),"")</f>
        <v>0</v>
      </c>
      <c r="K669">
        <f>IFERROR(SMALL(K191:K559,ROW()-ROW($K$562)+1),"")</f>
        <v>0</v>
      </c>
      <c r="L669">
        <f>IFERROR(SMALL(L191:L559,ROW()-ROW($L$562)+1),"")</f>
        <v>0</v>
      </c>
      <c r="M669">
        <f>IFERROR(SMALL(M191:M559,ROW()-ROW($M$562)+1),"")</f>
        <v>0</v>
      </c>
      <c r="N669">
        <f>IFERROR(SMALL(N191:N559,ROW()-ROW($N$562)+1),"")</f>
        <v>0</v>
      </c>
    </row>
    <row r="670" spans="5:14">
      <c r="E670">
        <f>IFERROR(SMALL(E191:E559,ROW()-ROW($E$562)+1),"")</f>
        <v>0</v>
      </c>
      <c r="F670">
        <f>IFERROR(SMALL(F191:F559,ROW()-ROW($F$562)+1),"")</f>
        <v>0</v>
      </c>
      <c r="G670">
        <f>IFERROR(SMALL(G191:G559,ROW()-ROW($G$562)+1),"")</f>
        <v>0</v>
      </c>
      <c r="H670">
        <f>IFERROR(SMALL(H191:H559,ROW()-ROW($H$562)+1),"")</f>
        <v>0</v>
      </c>
      <c r="K670">
        <f>IFERROR(SMALL(K191:K559,ROW()-ROW($K$562)+1),"")</f>
        <v>0</v>
      </c>
      <c r="L670">
        <f>IFERROR(SMALL(L191:L559,ROW()-ROW($L$562)+1),"")</f>
        <v>0</v>
      </c>
      <c r="M670">
        <f>IFERROR(SMALL(M191:M559,ROW()-ROW($M$562)+1),"")</f>
        <v>0</v>
      </c>
      <c r="N670">
        <f>IFERROR(SMALL(N191:N559,ROW()-ROW($N$562)+1),"")</f>
        <v>0</v>
      </c>
    </row>
    <row r="671" spans="5:14">
      <c r="E671">
        <f>IFERROR(SMALL(E191:E559,ROW()-ROW($E$562)+1),"")</f>
        <v>0</v>
      </c>
      <c r="F671">
        <f>IFERROR(SMALL(F191:F559,ROW()-ROW($F$562)+1),"")</f>
        <v>0</v>
      </c>
      <c r="G671">
        <f>IFERROR(SMALL(G191:G559,ROW()-ROW($G$562)+1),"")</f>
        <v>0</v>
      </c>
      <c r="H671">
        <f>IFERROR(SMALL(H191:H559,ROW()-ROW($H$562)+1),"")</f>
        <v>0</v>
      </c>
      <c r="K671">
        <f>IFERROR(SMALL(K191:K559,ROW()-ROW($K$562)+1),"")</f>
        <v>0</v>
      </c>
      <c r="L671">
        <f>IFERROR(SMALL(L191:L559,ROW()-ROW($L$562)+1),"")</f>
        <v>0</v>
      </c>
      <c r="M671">
        <f>IFERROR(SMALL(M191:M559,ROW()-ROW($M$562)+1),"")</f>
        <v>0</v>
      </c>
      <c r="N671">
        <f>IFERROR(SMALL(N191:N559,ROW()-ROW($N$562)+1),"")</f>
        <v>0</v>
      </c>
    </row>
    <row r="672" spans="5:14">
      <c r="E672">
        <f>IFERROR(SMALL(E191:E559,ROW()-ROW($E$562)+1),"")</f>
        <v>0</v>
      </c>
      <c r="F672">
        <f>IFERROR(SMALL(F191:F559,ROW()-ROW($F$562)+1),"")</f>
        <v>0</v>
      </c>
      <c r="G672">
        <f>IFERROR(SMALL(G191:G559,ROW()-ROW($G$562)+1),"")</f>
        <v>0</v>
      </c>
      <c r="H672">
        <f>IFERROR(SMALL(H191:H559,ROW()-ROW($H$562)+1),"")</f>
        <v>0</v>
      </c>
      <c r="K672">
        <f>IFERROR(SMALL(K191:K559,ROW()-ROW($K$562)+1),"")</f>
        <v>0</v>
      </c>
      <c r="L672">
        <f>IFERROR(SMALL(L191:L559,ROW()-ROW($L$562)+1),"")</f>
        <v>0</v>
      </c>
      <c r="M672">
        <f>IFERROR(SMALL(M191:M559,ROW()-ROW($M$562)+1),"")</f>
        <v>0</v>
      </c>
      <c r="N672">
        <f>IFERROR(SMALL(N191:N559,ROW()-ROW($N$562)+1),"")</f>
        <v>0</v>
      </c>
    </row>
    <row r="673" spans="5:14">
      <c r="E673">
        <f>IFERROR(SMALL(E191:E559,ROW()-ROW($E$562)+1),"")</f>
        <v>0</v>
      </c>
      <c r="F673">
        <f>IFERROR(SMALL(F191:F559,ROW()-ROW($F$562)+1),"")</f>
        <v>0</v>
      </c>
      <c r="G673">
        <f>IFERROR(SMALL(G191:G559,ROW()-ROW($G$562)+1),"")</f>
        <v>0</v>
      </c>
      <c r="H673">
        <f>IFERROR(SMALL(H191:H559,ROW()-ROW($H$562)+1),"")</f>
        <v>0</v>
      </c>
      <c r="K673">
        <f>IFERROR(SMALL(K191:K559,ROW()-ROW($K$562)+1),"")</f>
        <v>0</v>
      </c>
      <c r="L673">
        <f>IFERROR(SMALL(L191:L559,ROW()-ROW($L$562)+1),"")</f>
        <v>0</v>
      </c>
      <c r="M673">
        <f>IFERROR(SMALL(M191:M559,ROW()-ROW($M$562)+1),"")</f>
        <v>0</v>
      </c>
      <c r="N673">
        <f>IFERROR(SMALL(N191:N559,ROW()-ROW($N$562)+1),"")</f>
        <v>0</v>
      </c>
    </row>
    <row r="674" spans="5:14">
      <c r="E674">
        <f>IFERROR(SMALL(E191:E559,ROW()-ROW($E$562)+1),"")</f>
        <v>0</v>
      </c>
      <c r="F674">
        <f>IFERROR(SMALL(F191:F559,ROW()-ROW($F$562)+1),"")</f>
        <v>0</v>
      </c>
      <c r="G674">
        <f>IFERROR(SMALL(G191:G559,ROW()-ROW($G$562)+1),"")</f>
        <v>0</v>
      </c>
      <c r="H674">
        <f>IFERROR(SMALL(H191:H559,ROW()-ROW($H$562)+1),"")</f>
        <v>0</v>
      </c>
      <c r="K674">
        <f>IFERROR(SMALL(K191:K559,ROW()-ROW($K$562)+1),"")</f>
        <v>0</v>
      </c>
      <c r="L674">
        <f>IFERROR(SMALL(L191:L559,ROW()-ROW($L$562)+1),"")</f>
        <v>0</v>
      </c>
      <c r="M674">
        <f>IFERROR(SMALL(M191:M559,ROW()-ROW($M$562)+1),"")</f>
        <v>0</v>
      </c>
      <c r="N674">
        <f>IFERROR(SMALL(N191:N559,ROW()-ROW($N$562)+1),"")</f>
        <v>0</v>
      </c>
    </row>
    <row r="675" spans="5:14">
      <c r="E675">
        <f>IFERROR(SMALL(E191:E559,ROW()-ROW($E$562)+1),"")</f>
        <v>0</v>
      </c>
      <c r="F675">
        <f>IFERROR(SMALL(F191:F559,ROW()-ROW($F$562)+1),"")</f>
        <v>0</v>
      </c>
      <c r="G675">
        <f>IFERROR(SMALL(G191:G559,ROW()-ROW($G$562)+1),"")</f>
        <v>0</v>
      </c>
      <c r="H675">
        <f>IFERROR(SMALL(H191:H559,ROW()-ROW($H$562)+1),"")</f>
        <v>0</v>
      </c>
      <c r="K675">
        <f>IFERROR(SMALL(K191:K559,ROW()-ROW($K$562)+1),"")</f>
        <v>0</v>
      </c>
      <c r="L675">
        <f>IFERROR(SMALL(L191:L559,ROW()-ROW($L$562)+1),"")</f>
        <v>0</v>
      </c>
      <c r="M675">
        <f>IFERROR(SMALL(M191:M559,ROW()-ROW($M$562)+1),"")</f>
        <v>0</v>
      </c>
      <c r="N675">
        <f>IFERROR(SMALL(N191:N559,ROW()-ROW($N$562)+1),"")</f>
        <v>0</v>
      </c>
    </row>
    <row r="676" spans="5:14">
      <c r="E676">
        <f>IFERROR(SMALL(E191:E559,ROW()-ROW($E$562)+1),"")</f>
        <v>0</v>
      </c>
      <c r="F676">
        <f>IFERROR(SMALL(F191:F559,ROW()-ROW($F$562)+1),"")</f>
        <v>0</v>
      </c>
      <c r="G676">
        <f>IFERROR(SMALL(G191:G559,ROW()-ROW($G$562)+1),"")</f>
        <v>0</v>
      </c>
      <c r="H676">
        <f>IFERROR(SMALL(H191:H559,ROW()-ROW($H$562)+1),"")</f>
        <v>0</v>
      </c>
      <c r="K676">
        <f>IFERROR(SMALL(K191:K559,ROW()-ROW($K$562)+1),"")</f>
        <v>0</v>
      </c>
      <c r="L676">
        <f>IFERROR(SMALL(L191:L559,ROW()-ROW($L$562)+1),"")</f>
        <v>0</v>
      </c>
      <c r="M676">
        <f>IFERROR(SMALL(M191:M559,ROW()-ROW($M$562)+1),"")</f>
        <v>0</v>
      </c>
      <c r="N676">
        <f>IFERROR(SMALL(N191:N559,ROW()-ROW($N$562)+1),"")</f>
        <v>0</v>
      </c>
    </row>
    <row r="677" spans="5:14">
      <c r="E677">
        <f>IFERROR(SMALL(E191:E559,ROW()-ROW($E$562)+1),"")</f>
        <v>0</v>
      </c>
      <c r="F677">
        <f>IFERROR(SMALL(F191:F559,ROW()-ROW($F$562)+1),"")</f>
        <v>0</v>
      </c>
      <c r="G677">
        <f>IFERROR(SMALL(G191:G559,ROW()-ROW($G$562)+1),"")</f>
        <v>0</v>
      </c>
      <c r="H677">
        <f>IFERROR(SMALL(H191:H559,ROW()-ROW($H$562)+1),"")</f>
        <v>0</v>
      </c>
      <c r="K677">
        <f>IFERROR(SMALL(K191:K559,ROW()-ROW($K$562)+1),"")</f>
        <v>0</v>
      </c>
      <c r="L677">
        <f>IFERROR(SMALL(L191:L559,ROW()-ROW($L$562)+1),"")</f>
        <v>0</v>
      </c>
      <c r="M677">
        <f>IFERROR(SMALL(M191:M559,ROW()-ROW($M$562)+1),"")</f>
        <v>0</v>
      </c>
      <c r="N677">
        <f>IFERROR(SMALL(N191:N559,ROW()-ROW($N$562)+1),"")</f>
        <v>0</v>
      </c>
    </row>
    <row r="678" spans="5:14">
      <c r="E678">
        <f>IFERROR(SMALL(E191:E559,ROW()-ROW($E$562)+1),"")</f>
        <v>0</v>
      </c>
      <c r="F678">
        <f>IFERROR(SMALL(F191:F559,ROW()-ROW($F$562)+1),"")</f>
        <v>0</v>
      </c>
      <c r="G678">
        <f>IFERROR(SMALL(G191:G559,ROW()-ROW($G$562)+1),"")</f>
        <v>0</v>
      </c>
      <c r="H678">
        <f>IFERROR(SMALL(H191:H559,ROW()-ROW($H$562)+1),"")</f>
        <v>0</v>
      </c>
      <c r="K678">
        <f>IFERROR(SMALL(K191:K559,ROW()-ROW($K$562)+1),"")</f>
        <v>0</v>
      </c>
      <c r="L678">
        <f>IFERROR(SMALL(L191:L559,ROW()-ROW($L$562)+1),"")</f>
        <v>0</v>
      </c>
      <c r="M678">
        <f>IFERROR(SMALL(M191:M559,ROW()-ROW($M$562)+1),"")</f>
        <v>0</v>
      </c>
      <c r="N678">
        <f>IFERROR(SMALL(N191:N559,ROW()-ROW($N$562)+1),"")</f>
        <v>0</v>
      </c>
    </row>
    <row r="679" spans="5:14">
      <c r="E679">
        <f>IFERROR(SMALL(E191:E559,ROW()-ROW($E$562)+1),"")</f>
        <v>0</v>
      </c>
      <c r="F679">
        <f>IFERROR(SMALL(F191:F559,ROW()-ROW($F$562)+1),"")</f>
        <v>0</v>
      </c>
      <c r="G679">
        <f>IFERROR(SMALL(G191:G559,ROW()-ROW($G$562)+1),"")</f>
        <v>0</v>
      </c>
      <c r="H679">
        <f>IFERROR(SMALL(H191:H559,ROW()-ROW($H$562)+1),"")</f>
        <v>0</v>
      </c>
      <c r="K679">
        <f>IFERROR(SMALL(K191:K559,ROW()-ROW($K$562)+1),"")</f>
        <v>0</v>
      </c>
      <c r="L679">
        <f>IFERROR(SMALL(L191:L559,ROW()-ROW($L$562)+1),"")</f>
        <v>0</v>
      </c>
      <c r="M679">
        <f>IFERROR(SMALL(M191:M559,ROW()-ROW($M$562)+1),"")</f>
        <v>0</v>
      </c>
      <c r="N679">
        <f>IFERROR(SMALL(N191:N559,ROW()-ROW($N$562)+1),"")</f>
        <v>0</v>
      </c>
    </row>
    <row r="680" spans="5:14">
      <c r="E680">
        <f>IFERROR(SMALL(E191:E559,ROW()-ROW($E$562)+1),"")</f>
        <v>0</v>
      </c>
      <c r="F680">
        <f>IFERROR(SMALL(F191:F559,ROW()-ROW($F$562)+1),"")</f>
        <v>0</v>
      </c>
      <c r="G680">
        <f>IFERROR(SMALL(G191:G559,ROW()-ROW($G$562)+1),"")</f>
        <v>0</v>
      </c>
      <c r="H680">
        <f>IFERROR(SMALL(H191:H559,ROW()-ROW($H$562)+1),"")</f>
        <v>0</v>
      </c>
      <c r="K680">
        <f>IFERROR(SMALL(K191:K559,ROW()-ROW($K$562)+1),"")</f>
        <v>0</v>
      </c>
      <c r="L680">
        <f>IFERROR(SMALL(L191:L559,ROW()-ROW($L$562)+1),"")</f>
        <v>0</v>
      </c>
      <c r="M680">
        <f>IFERROR(SMALL(M191:M559,ROW()-ROW($M$562)+1),"")</f>
        <v>0</v>
      </c>
      <c r="N680">
        <f>IFERROR(SMALL(N191:N559,ROW()-ROW($N$562)+1),"")</f>
        <v>0</v>
      </c>
    </row>
    <row r="681" spans="5:14">
      <c r="E681">
        <f>IFERROR(SMALL(E191:E559,ROW()-ROW($E$562)+1),"")</f>
        <v>0</v>
      </c>
      <c r="F681">
        <f>IFERROR(SMALL(F191:F559,ROW()-ROW($F$562)+1),"")</f>
        <v>0</v>
      </c>
      <c r="G681">
        <f>IFERROR(SMALL(G191:G559,ROW()-ROW($G$562)+1),"")</f>
        <v>0</v>
      </c>
      <c r="H681">
        <f>IFERROR(SMALL(H191:H559,ROW()-ROW($H$562)+1),"")</f>
        <v>0</v>
      </c>
      <c r="K681">
        <f>IFERROR(SMALL(K191:K559,ROW()-ROW($K$562)+1),"")</f>
        <v>0</v>
      </c>
      <c r="L681">
        <f>IFERROR(SMALL(L191:L559,ROW()-ROW($L$562)+1),"")</f>
        <v>0</v>
      </c>
      <c r="M681">
        <f>IFERROR(SMALL(M191:M559,ROW()-ROW($M$562)+1),"")</f>
        <v>0</v>
      </c>
      <c r="N681">
        <f>IFERROR(SMALL(N191:N559,ROW()-ROW($N$562)+1),"")</f>
        <v>0</v>
      </c>
    </row>
    <row r="682" spans="5:14">
      <c r="E682">
        <f>IFERROR(SMALL(E191:E559,ROW()-ROW($E$562)+1),"")</f>
        <v>0</v>
      </c>
      <c r="F682">
        <f>IFERROR(SMALL(F191:F559,ROW()-ROW($F$562)+1),"")</f>
        <v>0</v>
      </c>
      <c r="G682">
        <f>IFERROR(SMALL(G191:G559,ROW()-ROW($G$562)+1),"")</f>
        <v>0</v>
      </c>
      <c r="H682">
        <f>IFERROR(SMALL(H191:H559,ROW()-ROW($H$562)+1),"")</f>
        <v>0</v>
      </c>
      <c r="K682">
        <f>IFERROR(SMALL(K191:K559,ROW()-ROW($K$562)+1),"")</f>
        <v>0</v>
      </c>
      <c r="L682">
        <f>IFERROR(SMALL(L191:L559,ROW()-ROW($L$562)+1),"")</f>
        <v>0</v>
      </c>
      <c r="M682">
        <f>IFERROR(SMALL(M191:M559,ROW()-ROW($M$562)+1),"")</f>
        <v>0</v>
      </c>
      <c r="N682">
        <f>IFERROR(SMALL(N191:N559,ROW()-ROW($N$562)+1),"")</f>
        <v>0</v>
      </c>
    </row>
    <row r="683" spans="5:14">
      <c r="E683">
        <f>IFERROR(SMALL(E191:E559,ROW()-ROW($E$562)+1),"")</f>
        <v>0</v>
      </c>
      <c r="F683">
        <f>IFERROR(SMALL(F191:F559,ROW()-ROW($F$562)+1),"")</f>
        <v>0</v>
      </c>
      <c r="G683">
        <f>IFERROR(SMALL(G191:G559,ROW()-ROW($G$562)+1),"")</f>
        <v>0</v>
      </c>
      <c r="H683">
        <f>IFERROR(SMALL(H191:H559,ROW()-ROW($H$562)+1),"")</f>
        <v>0</v>
      </c>
      <c r="K683">
        <f>IFERROR(SMALL(K191:K559,ROW()-ROW($K$562)+1),"")</f>
        <v>0</v>
      </c>
      <c r="L683">
        <f>IFERROR(SMALL(L191:L559,ROW()-ROW($L$562)+1),"")</f>
        <v>0</v>
      </c>
      <c r="M683">
        <f>IFERROR(SMALL(M191:M559,ROW()-ROW($M$562)+1),"")</f>
        <v>0</v>
      </c>
      <c r="N683">
        <f>IFERROR(SMALL(N191:N559,ROW()-ROW($N$562)+1),"")</f>
        <v>0</v>
      </c>
    </row>
    <row r="684" spans="5:14">
      <c r="E684">
        <f>IFERROR(SMALL(E191:E559,ROW()-ROW($E$562)+1),"")</f>
        <v>0</v>
      </c>
      <c r="F684">
        <f>IFERROR(SMALL(F191:F559,ROW()-ROW($F$562)+1),"")</f>
        <v>0</v>
      </c>
      <c r="G684">
        <f>IFERROR(SMALL(G191:G559,ROW()-ROW($G$562)+1),"")</f>
        <v>0</v>
      </c>
      <c r="H684">
        <f>IFERROR(SMALL(H191:H559,ROW()-ROW($H$562)+1),"")</f>
        <v>0</v>
      </c>
      <c r="K684">
        <f>IFERROR(SMALL(K191:K559,ROW()-ROW($K$562)+1),"")</f>
        <v>0</v>
      </c>
      <c r="L684">
        <f>IFERROR(SMALL(L191:L559,ROW()-ROW($L$562)+1),"")</f>
        <v>0</v>
      </c>
      <c r="M684">
        <f>IFERROR(SMALL(M191:M559,ROW()-ROW($M$562)+1),"")</f>
        <v>0</v>
      </c>
      <c r="N684">
        <f>IFERROR(SMALL(N191:N559,ROW()-ROW($N$562)+1),"")</f>
        <v>0</v>
      </c>
    </row>
    <row r="685" spans="5:14">
      <c r="E685">
        <f>IFERROR(SMALL(E191:E559,ROW()-ROW($E$562)+1),"")</f>
        <v>0</v>
      </c>
      <c r="F685">
        <f>IFERROR(SMALL(F191:F559,ROW()-ROW($F$562)+1),"")</f>
        <v>0</v>
      </c>
      <c r="G685">
        <f>IFERROR(SMALL(G191:G559,ROW()-ROW($G$562)+1),"")</f>
        <v>0</v>
      </c>
      <c r="H685">
        <f>IFERROR(SMALL(H191:H559,ROW()-ROW($H$562)+1),"")</f>
        <v>0</v>
      </c>
      <c r="K685">
        <f>IFERROR(SMALL(K191:K559,ROW()-ROW($K$562)+1),"")</f>
        <v>0</v>
      </c>
      <c r="L685">
        <f>IFERROR(SMALL(L191:L559,ROW()-ROW($L$562)+1),"")</f>
        <v>0</v>
      </c>
      <c r="M685">
        <f>IFERROR(SMALL(M191:M559,ROW()-ROW($M$562)+1),"")</f>
        <v>0</v>
      </c>
      <c r="N685">
        <f>IFERROR(SMALL(N191:N559,ROW()-ROW($N$562)+1),"")</f>
        <v>0</v>
      </c>
    </row>
    <row r="686" spans="5:14">
      <c r="E686">
        <f>IFERROR(SMALL(E191:E559,ROW()-ROW($E$562)+1),"")</f>
        <v>0</v>
      </c>
      <c r="F686">
        <f>IFERROR(SMALL(F191:F559,ROW()-ROW($F$562)+1),"")</f>
        <v>0</v>
      </c>
      <c r="G686">
        <f>IFERROR(SMALL(G191:G559,ROW()-ROW($G$562)+1),"")</f>
        <v>0</v>
      </c>
      <c r="H686">
        <f>IFERROR(SMALL(H191:H559,ROW()-ROW($H$562)+1),"")</f>
        <v>0</v>
      </c>
      <c r="K686">
        <f>IFERROR(SMALL(K191:K559,ROW()-ROW($K$562)+1),"")</f>
        <v>0</v>
      </c>
      <c r="L686">
        <f>IFERROR(SMALL(L191:L559,ROW()-ROW($L$562)+1),"")</f>
        <v>0</v>
      </c>
      <c r="M686">
        <f>IFERROR(SMALL(M191:M559,ROW()-ROW($M$562)+1),"")</f>
        <v>0</v>
      </c>
      <c r="N686">
        <f>IFERROR(SMALL(N191:N559,ROW()-ROW($N$562)+1),"")</f>
        <v>0</v>
      </c>
    </row>
    <row r="687" spans="5:14">
      <c r="E687">
        <f>IFERROR(SMALL(E191:E559,ROW()-ROW($E$562)+1),"")</f>
        <v>0</v>
      </c>
      <c r="F687">
        <f>IFERROR(SMALL(F191:F559,ROW()-ROW($F$562)+1),"")</f>
        <v>0</v>
      </c>
      <c r="G687">
        <f>IFERROR(SMALL(G191:G559,ROW()-ROW($G$562)+1),"")</f>
        <v>0</v>
      </c>
      <c r="H687">
        <f>IFERROR(SMALL(H191:H559,ROW()-ROW($H$562)+1),"")</f>
        <v>0</v>
      </c>
      <c r="K687">
        <f>IFERROR(SMALL(K191:K559,ROW()-ROW($K$562)+1),"")</f>
        <v>0</v>
      </c>
      <c r="L687">
        <f>IFERROR(SMALL(L191:L559,ROW()-ROW($L$562)+1),"")</f>
        <v>0</v>
      </c>
      <c r="M687">
        <f>IFERROR(SMALL(M191:M559,ROW()-ROW($M$562)+1),"")</f>
        <v>0</v>
      </c>
      <c r="N687">
        <f>IFERROR(SMALL(N191:N559,ROW()-ROW($N$562)+1),"")</f>
        <v>0</v>
      </c>
    </row>
    <row r="688" spans="5:14">
      <c r="E688">
        <f>IFERROR(SMALL(E191:E559,ROW()-ROW($E$562)+1),"")</f>
        <v>0</v>
      </c>
      <c r="F688">
        <f>IFERROR(SMALL(F191:F559,ROW()-ROW($F$562)+1),"")</f>
        <v>0</v>
      </c>
      <c r="G688">
        <f>IFERROR(SMALL(G191:G559,ROW()-ROW($G$562)+1),"")</f>
        <v>0</v>
      </c>
      <c r="H688">
        <f>IFERROR(SMALL(H191:H559,ROW()-ROW($H$562)+1),"")</f>
        <v>0</v>
      </c>
      <c r="K688">
        <f>IFERROR(SMALL(K191:K559,ROW()-ROW($K$562)+1),"")</f>
        <v>0</v>
      </c>
      <c r="L688">
        <f>IFERROR(SMALL(L191:L559,ROW()-ROW($L$562)+1),"")</f>
        <v>0</v>
      </c>
      <c r="M688">
        <f>IFERROR(SMALL(M191:M559,ROW()-ROW($M$562)+1),"")</f>
        <v>0</v>
      </c>
      <c r="N688">
        <f>IFERROR(SMALL(N191:N559,ROW()-ROW($N$562)+1),"")</f>
        <v>0</v>
      </c>
    </row>
    <row r="689" spans="5:14">
      <c r="E689">
        <f>IFERROR(SMALL(E191:E559,ROW()-ROW($E$562)+1),"")</f>
        <v>0</v>
      </c>
      <c r="F689">
        <f>IFERROR(SMALL(F191:F559,ROW()-ROW($F$562)+1),"")</f>
        <v>0</v>
      </c>
      <c r="G689">
        <f>IFERROR(SMALL(G191:G559,ROW()-ROW($G$562)+1),"")</f>
        <v>0</v>
      </c>
      <c r="H689">
        <f>IFERROR(SMALL(H191:H559,ROW()-ROW($H$562)+1),"")</f>
        <v>0</v>
      </c>
      <c r="K689">
        <f>IFERROR(SMALL(K191:K559,ROW()-ROW($K$562)+1),"")</f>
        <v>0</v>
      </c>
      <c r="L689">
        <f>IFERROR(SMALL(L191:L559,ROW()-ROW($L$562)+1),"")</f>
        <v>0</v>
      </c>
      <c r="M689">
        <f>IFERROR(SMALL(M191:M559,ROW()-ROW($M$562)+1),"")</f>
        <v>0</v>
      </c>
      <c r="N689">
        <f>IFERROR(SMALL(N191:N559,ROW()-ROW($N$562)+1),"")</f>
        <v>0</v>
      </c>
    </row>
    <row r="690" spans="5:14">
      <c r="E690">
        <f>IFERROR(SMALL(E191:E559,ROW()-ROW($E$562)+1),"")</f>
        <v>0</v>
      </c>
      <c r="F690">
        <f>IFERROR(SMALL(F191:F559,ROW()-ROW($F$562)+1),"")</f>
        <v>0</v>
      </c>
      <c r="G690">
        <f>IFERROR(SMALL(G191:G559,ROW()-ROW($G$562)+1),"")</f>
        <v>0</v>
      </c>
      <c r="H690">
        <f>IFERROR(SMALL(H191:H559,ROW()-ROW($H$562)+1),"")</f>
        <v>0</v>
      </c>
      <c r="K690">
        <f>IFERROR(SMALL(K191:K559,ROW()-ROW($K$562)+1),"")</f>
        <v>0</v>
      </c>
      <c r="L690">
        <f>IFERROR(SMALL(L191:L559,ROW()-ROW($L$562)+1),"")</f>
        <v>0</v>
      </c>
      <c r="M690">
        <f>IFERROR(SMALL(M191:M559,ROW()-ROW($M$562)+1),"")</f>
        <v>0</v>
      </c>
      <c r="N690">
        <f>IFERROR(SMALL(N191:N559,ROW()-ROW($N$562)+1),"")</f>
        <v>0</v>
      </c>
    </row>
    <row r="691" spans="5:14">
      <c r="E691">
        <f>IFERROR(SMALL(E191:E559,ROW()-ROW($E$562)+1),"")</f>
        <v>0</v>
      </c>
      <c r="F691">
        <f>IFERROR(SMALL(F191:F559,ROW()-ROW($F$562)+1),"")</f>
        <v>0</v>
      </c>
      <c r="G691">
        <f>IFERROR(SMALL(G191:G559,ROW()-ROW($G$562)+1),"")</f>
        <v>0</v>
      </c>
      <c r="H691">
        <f>IFERROR(SMALL(H191:H559,ROW()-ROW($H$562)+1),"")</f>
        <v>0</v>
      </c>
      <c r="K691">
        <f>IFERROR(SMALL(K191:K559,ROW()-ROW($K$562)+1),"")</f>
        <v>0</v>
      </c>
      <c r="L691">
        <f>IFERROR(SMALL(L191:L559,ROW()-ROW($L$562)+1),"")</f>
        <v>0</v>
      </c>
      <c r="M691">
        <f>IFERROR(SMALL(M191:M559,ROW()-ROW($M$562)+1),"")</f>
        <v>0</v>
      </c>
      <c r="N691">
        <f>IFERROR(SMALL(N191:N559,ROW()-ROW($N$562)+1),"")</f>
        <v>0</v>
      </c>
    </row>
    <row r="692" spans="5:14">
      <c r="E692">
        <f>IFERROR(SMALL(E191:E559,ROW()-ROW($E$562)+1),"")</f>
        <v>0</v>
      </c>
      <c r="F692">
        <f>IFERROR(SMALL(F191:F559,ROW()-ROW($F$562)+1),"")</f>
        <v>0</v>
      </c>
      <c r="G692">
        <f>IFERROR(SMALL(G191:G559,ROW()-ROW($G$562)+1),"")</f>
        <v>0</v>
      </c>
      <c r="H692">
        <f>IFERROR(SMALL(H191:H559,ROW()-ROW($H$562)+1),"")</f>
        <v>0</v>
      </c>
      <c r="K692">
        <f>IFERROR(SMALL(K191:K559,ROW()-ROW($K$562)+1),"")</f>
        <v>0</v>
      </c>
      <c r="L692">
        <f>IFERROR(SMALL(L191:L559,ROW()-ROW($L$562)+1),"")</f>
        <v>0</v>
      </c>
      <c r="M692">
        <f>IFERROR(SMALL(M191:M559,ROW()-ROW($M$562)+1),"")</f>
        <v>0</v>
      </c>
      <c r="N692">
        <f>IFERROR(SMALL(N191:N559,ROW()-ROW($N$562)+1),"")</f>
        <v>0</v>
      </c>
    </row>
    <row r="693" spans="5:14">
      <c r="E693">
        <f>IFERROR(SMALL(E191:E559,ROW()-ROW($E$562)+1),"")</f>
        <v>0</v>
      </c>
      <c r="F693">
        <f>IFERROR(SMALL(F191:F559,ROW()-ROW($F$562)+1),"")</f>
        <v>0</v>
      </c>
      <c r="G693">
        <f>IFERROR(SMALL(G191:G559,ROW()-ROW($G$562)+1),"")</f>
        <v>0</v>
      </c>
      <c r="H693">
        <f>IFERROR(SMALL(H191:H559,ROW()-ROW($H$562)+1),"")</f>
        <v>0</v>
      </c>
      <c r="K693">
        <f>IFERROR(SMALL(K191:K559,ROW()-ROW($K$562)+1),"")</f>
        <v>0</v>
      </c>
      <c r="L693">
        <f>IFERROR(SMALL(L191:L559,ROW()-ROW($L$562)+1),"")</f>
        <v>0</v>
      </c>
      <c r="M693">
        <f>IFERROR(SMALL(M191:M559,ROW()-ROW($M$562)+1),"")</f>
        <v>0</v>
      </c>
      <c r="N693">
        <f>IFERROR(SMALL(N191:N559,ROW()-ROW($N$562)+1),"")</f>
        <v>0</v>
      </c>
    </row>
    <row r="694" spans="5:14">
      <c r="E694">
        <f>IFERROR(SMALL(E191:E559,ROW()-ROW($E$562)+1),"")</f>
        <v>0</v>
      </c>
      <c r="F694">
        <f>IFERROR(SMALL(F191:F559,ROW()-ROW($F$562)+1),"")</f>
        <v>0</v>
      </c>
      <c r="G694">
        <f>IFERROR(SMALL(G191:G559,ROW()-ROW($G$562)+1),"")</f>
        <v>0</v>
      </c>
      <c r="H694">
        <f>IFERROR(SMALL(H191:H559,ROW()-ROW($H$562)+1),"")</f>
        <v>0</v>
      </c>
      <c r="K694">
        <f>IFERROR(SMALL(K191:K559,ROW()-ROW($K$562)+1),"")</f>
        <v>0</v>
      </c>
      <c r="L694">
        <f>IFERROR(SMALL(L191:L559,ROW()-ROW($L$562)+1),"")</f>
        <v>0</v>
      </c>
      <c r="M694">
        <f>IFERROR(SMALL(M191:M559,ROW()-ROW($M$562)+1),"")</f>
        <v>0</v>
      </c>
      <c r="N694">
        <f>IFERROR(SMALL(N191:N559,ROW()-ROW($N$562)+1),"")</f>
        <v>0</v>
      </c>
    </row>
    <row r="695" spans="5:14">
      <c r="E695">
        <f>IFERROR(SMALL(E191:E559,ROW()-ROW($E$562)+1),"")</f>
        <v>0</v>
      </c>
      <c r="F695">
        <f>IFERROR(SMALL(F191:F559,ROW()-ROW($F$562)+1),"")</f>
        <v>0</v>
      </c>
      <c r="G695">
        <f>IFERROR(SMALL(G191:G559,ROW()-ROW($G$562)+1),"")</f>
        <v>0</v>
      </c>
      <c r="H695">
        <f>IFERROR(SMALL(H191:H559,ROW()-ROW($H$562)+1),"")</f>
        <v>0</v>
      </c>
      <c r="K695">
        <f>IFERROR(SMALL(K191:K559,ROW()-ROW($K$562)+1),"")</f>
        <v>0</v>
      </c>
      <c r="L695">
        <f>IFERROR(SMALL(L191:L559,ROW()-ROW($L$562)+1),"")</f>
        <v>0</v>
      </c>
      <c r="M695">
        <f>IFERROR(SMALL(M191:M559,ROW()-ROW($M$562)+1),"")</f>
        <v>0</v>
      </c>
      <c r="N695">
        <f>IFERROR(SMALL(N191:N559,ROW()-ROW($N$562)+1),"")</f>
        <v>0</v>
      </c>
    </row>
    <row r="696" spans="5:14">
      <c r="E696">
        <f>IFERROR(SMALL(E191:E559,ROW()-ROW($E$562)+1),"")</f>
        <v>0</v>
      </c>
      <c r="F696">
        <f>IFERROR(SMALL(F191:F559,ROW()-ROW($F$562)+1),"")</f>
        <v>0</v>
      </c>
      <c r="G696">
        <f>IFERROR(SMALL(G191:G559,ROW()-ROW($G$562)+1),"")</f>
        <v>0</v>
      </c>
      <c r="H696">
        <f>IFERROR(SMALL(H191:H559,ROW()-ROW($H$562)+1),"")</f>
        <v>0</v>
      </c>
      <c r="K696">
        <f>IFERROR(SMALL(K191:K559,ROW()-ROW($K$562)+1),"")</f>
        <v>0</v>
      </c>
      <c r="L696">
        <f>IFERROR(SMALL(L191:L559,ROW()-ROW($L$562)+1),"")</f>
        <v>0</v>
      </c>
      <c r="M696">
        <f>IFERROR(SMALL(M191:M559,ROW()-ROW($M$562)+1),"")</f>
        <v>0</v>
      </c>
      <c r="N696">
        <f>IFERROR(SMALL(N191:N559,ROW()-ROW($N$562)+1),"")</f>
        <v>0</v>
      </c>
    </row>
    <row r="697" spans="5:14">
      <c r="E697">
        <f>IFERROR(SMALL(E191:E559,ROW()-ROW($E$562)+1),"")</f>
        <v>0</v>
      </c>
      <c r="F697">
        <f>IFERROR(SMALL(F191:F559,ROW()-ROW($F$562)+1),"")</f>
        <v>0</v>
      </c>
      <c r="G697">
        <f>IFERROR(SMALL(G191:G559,ROW()-ROW($G$562)+1),"")</f>
        <v>0</v>
      </c>
      <c r="H697">
        <f>IFERROR(SMALL(H191:H559,ROW()-ROW($H$562)+1),"")</f>
        <v>0</v>
      </c>
      <c r="K697">
        <f>IFERROR(SMALL(K191:K559,ROW()-ROW($K$562)+1),"")</f>
        <v>0</v>
      </c>
      <c r="L697">
        <f>IFERROR(SMALL(L191:L559,ROW()-ROW($L$562)+1),"")</f>
        <v>0</v>
      </c>
      <c r="M697">
        <f>IFERROR(SMALL(M191:M559,ROW()-ROW($M$562)+1),"")</f>
        <v>0</v>
      </c>
      <c r="N697">
        <f>IFERROR(SMALL(N191:N559,ROW()-ROW($N$562)+1),"")</f>
        <v>0</v>
      </c>
    </row>
    <row r="698" spans="5:14">
      <c r="E698">
        <f>IFERROR(SMALL(E191:E559,ROW()-ROW($E$562)+1),"")</f>
        <v>0</v>
      </c>
      <c r="F698">
        <f>IFERROR(SMALL(F191:F559,ROW()-ROW($F$562)+1),"")</f>
        <v>0</v>
      </c>
      <c r="G698">
        <f>IFERROR(SMALL(G191:G559,ROW()-ROW($G$562)+1),"")</f>
        <v>0</v>
      </c>
      <c r="H698">
        <f>IFERROR(SMALL(H191:H559,ROW()-ROW($H$562)+1),"")</f>
        <v>0</v>
      </c>
      <c r="K698">
        <f>IFERROR(SMALL(K191:K559,ROW()-ROW($K$562)+1),"")</f>
        <v>0</v>
      </c>
      <c r="L698">
        <f>IFERROR(SMALL(L191:L559,ROW()-ROW($L$562)+1),"")</f>
        <v>0</v>
      </c>
      <c r="M698">
        <f>IFERROR(SMALL(M191:M559,ROW()-ROW($M$562)+1),"")</f>
        <v>0</v>
      </c>
      <c r="N698">
        <f>IFERROR(SMALL(N191:N559,ROW()-ROW($N$562)+1),"")</f>
        <v>0</v>
      </c>
    </row>
    <row r="699" spans="5:14">
      <c r="E699">
        <f>IFERROR(SMALL(E191:E559,ROW()-ROW($E$562)+1),"")</f>
        <v>0</v>
      </c>
      <c r="F699">
        <f>IFERROR(SMALL(F191:F559,ROW()-ROW($F$562)+1),"")</f>
        <v>0</v>
      </c>
      <c r="G699">
        <f>IFERROR(SMALL(G191:G559,ROW()-ROW($G$562)+1),"")</f>
        <v>0</v>
      </c>
      <c r="H699">
        <f>IFERROR(SMALL(H191:H559,ROW()-ROW($H$562)+1),"")</f>
        <v>0</v>
      </c>
      <c r="K699">
        <f>IFERROR(SMALL(K191:K559,ROW()-ROW($K$562)+1),"")</f>
        <v>0</v>
      </c>
      <c r="L699">
        <f>IFERROR(SMALL(L191:L559,ROW()-ROW($L$562)+1),"")</f>
        <v>0</v>
      </c>
      <c r="M699">
        <f>IFERROR(SMALL(M191:M559,ROW()-ROW($M$562)+1),"")</f>
        <v>0</v>
      </c>
      <c r="N699">
        <f>IFERROR(SMALL(N191:N559,ROW()-ROW($N$562)+1),"")</f>
        <v>0</v>
      </c>
    </row>
    <row r="700" spans="5:14">
      <c r="E700">
        <f>IFERROR(SMALL(E191:E559,ROW()-ROW($E$562)+1),"")</f>
        <v>0</v>
      </c>
      <c r="F700">
        <f>IFERROR(SMALL(F191:F559,ROW()-ROW($F$562)+1),"")</f>
        <v>0</v>
      </c>
      <c r="G700">
        <f>IFERROR(SMALL(G191:G559,ROW()-ROW($G$562)+1),"")</f>
        <v>0</v>
      </c>
      <c r="H700">
        <f>IFERROR(SMALL(H191:H559,ROW()-ROW($H$562)+1),"")</f>
        <v>0</v>
      </c>
      <c r="K700">
        <f>IFERROR(SMALL(K191:K559,ROW()-ROW($K$562)+1),"")</f>
        <v>0</v>
      </c>
      <c r="L700">
        <f>IFERROR(SMALL(L191:L559,ROW()-ROW($L$562)+1),"")</f>
        <v>0</v>
      </c>
      <c r="M700">
        <f>IFERROR(SMALL(M191:M559,ROW()-ROW($M$562)+1),"")</f>
        <v>0</v>
      </c>
      <c r="N700">
        <f>IFERROR(SMALL(N191:N559,ROW()-ROW($N$562)+1),"")</f>
        <v>0</v>
      </c>
    </row>
    <row r="701" spans="5:14">
      <c r="E701">
        <f>IFERROR(SMALL(E191:E559,ROW()-ROW($E$562)+1),"")</f>
        <v>0</v>
      </c>
      <c r="F701">
        <f>IFERROR(SMALL(F191:F559,ROW()-ROW($F$562)+1),"")</f>
        <v>0</v>
      </c>
      <c r="G701">
        <f>IFERROR(SMALL(G191:G559,ROW()-ROW($G$562)+1),"")</f>
        <v>0</v>
      </c>
      <c r="H701">
        <f>IFERROR(SMALL(H191:H559,ROW()-ROW($H$562)+1),"")</f>
        <v>0</v>
      </c>
      <c r="K701">
        <f>IFERROR(SMALL(K191:K559,ROW()-ROW($K$562)+1),"")</f>
        <v>0</v>
      </c>
      <c r="L701">
        <f>IFERROR(SMALL(L191:L559,ROW()-ROW($L$562)+1),"")</f>
        <v>0</v>
      </c>
      <c r="M701">
        <f>IFERROR(SMALL(M191:M559,ROW()-ROW($M$562)+1),"")</f>
        <v>0</v>
      </c>
      <c r="N701">
        <f>IFERROR(SMALL(N191:N559,ROW()-ROW($N$562)+1),"")</f>
        <v>0</v>
      </c>
    </row>
    <row r="702" spans="5:14">
      <c r="E702">
        <f>IFERROR(SMALL(E191:E559,ROW()-ROW($E$562)+1),"")</f>
        <v>0</v>
      </c>
      <c r="F702">
        <f>IFERROR(SMALL(F191:F559,ROW()-ROW($F$562)+1),"")</f>
        <v>0</v>
      </c>
      <c r="G702">
        <f>IFERROR(SMALL(G191:G559,ROW()-ROW($G$562)+1),"")</f>
        <v>0</v>
      </c>
      <c r="H702">
        <f>IFERROR(SMALL(H191:H559,ROW()-ROW($H$562)+1),"")</f>
        <v>0</v>
      </c>
      <c r="K702">
        <f>IFERROR(SMALL(K191:K559,ROW()-ROW($K$562)+1),"")</f>
        <v>0</v>
      </c>
      <c r="L702">
        <f>IFERROR(SMALL(L191:L559,ROW()-ROW($L$562)+1),"")</f>
        <v>0</v>
      </c>
      <c r="M702">
        <f>IFERROR(SMALL(M191:M559,ROW()-ROW($M$562)+1),"")</f>
        <v>0</v>
      </c>
      <c r="N702">
        <f>IFERROR(SMALL(N191:N559,ROW()-ROW($N$562)+1),"")</f>
        <v>0</v>
      </c>
    </row>
    <row r="703" spans="5:14">
      <c r="E703">
        <f>IFERROR(SMALL(E191:E559,ROW()-ROW($E$562)+1),"")</f>
        <v>0</v>
      </c>
      <c r="F703">
        <f>IFERROR(SMALL(F191:F559,ROW()-ROW($F$562)+1),"")</f>
        <v>0</v>
      </c>
      <c r="G703">
        <f>IFERROR(SMALL(G191:G559,ROW()-ROW($G$562)+1),"")</f>
        <v>0</v>
      </c>
      <c r="H703">
        <f>IFERROR(SMALL(H191:H559,ROW()-ROW($H$562)+1),"")</f>
        <v>0</v>
      </c>
      <c r="K703">
        <f>IFERROR(SMALL(K191:K559,ROW()-ROW($K$562)+1),"")</f>
        <v>0</v>
      </c>
      <c r="L703">
        <f>IFERROR(SMALL(L191:L559,ROW()-ROW($L$562)+1),"")</f>
        <v>0</v>
      </c>
      <c r="M703">
        <f>IFERROR(SMALL(M191:M559,ROW()-ROW($M$562)+1),"")</f>
        <v>0</v>
      </c>
      <c r="N703">
        <f>IFERROR(SMALL(N191:N559,ROW()-ROW($N$562)+1),"")</f>
        <v>0</v>
      </c>
    </row>
    <row r="704" spans="5:14">
      <c r="E704">
        <f>IFERROR(SMALL(E191:E559,ROW()-ROW($E$562)+1),"")</f>
        <v>0</v>
      </c>
      <c r="F704">
        <f>IFERROR(SMALL(F191:F559,ROW()-ROW($F$562)+1),"")</f>
        <v>0</v>
      </c>
      <c r="G704">
        <f>IFERROR(SMALL(G191:G559,ROW()-ROW($G$562)+1),"")</f>
        <v>0</v>
      </c>
      <c r="H704">
        <f>IFERROR(SMALL(H191:H559,ROW()-ROW($H$562)+1),"")</f>
        <v>0</v>
      </c>
      <c r="K704">
        <f>IFERROR(SMALL(K191:K559,ROW()-ROW($K$562)+1),"")</f>
        <v>0</v>
      </c>
      <c r="L704">
        <f>IFERROR(SMALL(L191:L559,ROW()-ROW($L$562)+1),"")</f>
        <v>0</v>
      </c>
      <c r="M704">
        <f>IFERROR(SMALL(M191:M559,ROW()-ROW($M$562)+1),"")</f>
        <v>0</v>
      </c>
      <c r="N704">
        <f>IFERROR(SMALL(N191:N559,ROW()-ROW($N$562)+1),"")</f>
        <v>0</v>
      </c>
    </row>
    <row r="705" spans="5:14">
      <c r="E705">
        <f>IFERROR(SMALL(E191:E559,ROW()-ROW($E$562)+1),"")</f>
        <v>0</v>
      </c>
      <c r="F705">
        <f>IFERROR(SMALL(F191:F559,ROW()-ROW($F$562)+1),"")</f>
        <v>0</v>
      </c>
      <c r="G705">
        <f>IFERROR(SMALL(G191:G559,ROW()-ROW($G$562)+1),"")</f>
        <v>0</v>
      </c>
      <c r="H705">
        <f>IFERROR(SMALL(H191:H559,ROW()-ROW($H$562)+1),"")</f>
        <v>0</v>
      </c>
      <c r="K705">
        <f>IFERROR(SMALL(K191:K559,ROW()-ROW($K$562)+1),"")</f>
        <v>0</v>
      </c>
      <c r="L705">
        <f>IFERROR(SMALL(L191:L559,ROW()-ROW($L$562)+1),"")</f>
        <v>0</v>
      </c>
      <c r="M705">
        <f>IFERROR(SMALL(M191:M559,ROW()-ROW($M$562)+1),"")</f>
        <v>0</v>
      </c>
      <c r="N705">
        <f>IFERROR(SMALL(N191:N559,ROW()-ROW($N$562)+1),"")</f>
        <v>0</v>
      </c>
    </row>
    <row r="706" spans="5:14">
      <c r="E706">
        <f>IFERROR(SMALL(E191:E559,ROW()-ROW($E$562)+1),"")</f>
        <v>0</v>
      </c>
      <c r="F706">
        <f>IFERROR(SMALL(F191:F559,ROW()-ROW($F$562)+1),"")</f>
        <v>0</v>
      </c>
      <c r="G706">
        <f>IFERROR(SMALL(G191:G559,ROW()-ROW($G$562)+1),"")</f>
        <v>0</v>
      </c>
      <c r="H706">
        <f>IFERROR(SMALL(H191:H559,ROW()-ROW($H$562)+1),"")</f>
        <v>0</v>
      </c>
      <c r="K706">
        <f>IFERROR(SMALL(K191:K559,ROW()-ROW($K$562)+1),"")</f>
        <v>0</v>
      </c>
      <c r="L706">
        <f>IFERROR(SMALL(L191:L559,ROW()-ROW($L$562)+1),"")</f>
        <v>0</v>
      </c>
      <c r="M706">
        <f>IFERROR(SMALL(M191:M559,ROW()-ROW($M$562)+1),"")</f>
        <v>0</v>
      </c>
      <c r="N706">
        <f>IFERROR(SMALL(N191:N559,ROW()-ROW($N$562)+1),"")</f>
        <v>0</v>
      </c>
    </row>
    <row r="707" spans="5:14">
      <c r="E707">
        <f>IFERROR(SMALL(E191:E559,ROW()-ROW($E$562)+1),"")</f>
        <v>0</v>
      </c>
      <c r="F707">
        <f>IFERROR(SMALL(F191:F559,ROW()-ROW($F$562)+1),"")</f>
        <v>0</v>
      </c>
      <c r="G707">
        <f>IFERROR(SMALL(G191:G559,ROW()-ROW($G$562)+1),"")</f>
        <v>0</v>
      </c>
      <c r="H707">
        <f>IFERROR(SMALL(H191:H559,ROW()-ROW($H$562)+1),"")</f>
        <v>0</v>
      </c>
      <c r="K707">
        <f>IFERROR(SMALL(K191:K559,ROW()-ROW($K$562)+1),"")</f>
        <v>0</v>
      </c>
      <c r="L707">
        <f>IFERROR(SMALL(L191:L559,ROW()-ROW($L$562)+1),"")</f>
        <v>0</v>
      </c>
      <c r="M707">
        <f>IFERROR(SMALL(M191:M559,ROW()-ROW($M$562)+1),"")</f>
        <v>0</v>
      </c>
      <c r="N707">
        <f>IFERROR(SMALL(N191:N559,ROW()-ROW($N$562)+1),"")</f>
        <v>0</v>
      </c>
    </row>
    <row r="708" spans="5:14">
      <c r="E708">
        <f>IFERROR(SMALL(E191:E559,ROW()-ROW($E$562)+1),"")</f>
        <v>0</v>
      </c>
      <c r="F708">
        <f>IFERROR(SMALL(F191:F559,ROW()-ROW($F$562)+1),"")</f>
        <v>0</v>
      </c>
      <c r="G708">
        <f>IFERROR(SMALL(G191:G559,ROW()-ROW($G$562)+1),"")</f>
        <v>0</v>
      </c>
      <c r="H708">
        <f>IFERROR(SMALL(H191:H559,ROW()-ROW($H$562)+1),"")</f>
        <v>0</v>
      </c>
      <c r="K708">
        <f>IFERROR(SMALL(K191:K559,ROW()-ROW($K$562)+1),"")</f>
        <v>0</v>
      </c>
      <c r="L708">
        <f>IFERROR(SMALL(L191:L559,ROW()-ROW($L$562)+1),"")</f>
        <v>0</v>
      </c>
      <c r="M708">
        <f>IFERROR(SMALL(M191:M559,ROW()-ROW($M$562)+1),"")</f>
        <v>0</v>
      </c>
      <c r="N708">
        <f>IFERROR(SMALL(N191:N559,ROW()-ROW($N$562)+1),"")</f>
        <v>0</v>
      </c>
    </row>
    <row r="709" spans="5:14">
      <c r="E709">
        <f>IFERROR(SMALL(E191:E559,ROW()-ROW($E$562)+1),"")</f>
        <v>0</v>
      </c>
      <c r="F709">
        <f>IFERROR(SMALL(F191:F559,ROW()-ROW($F$562)+1),"")</f>
        <v>0</v>
      </c>
      <c r="G709">
        <f>IFERROR(SMALL(G191:G559,ROW()-ROW($G$562)+1),"")</f>
        <v>0</v>
      </c>
      <c r="H709">
        <f>IFERROR(SMALL(H191:H559,ROW()-ROW($H$562)+1),"")</f>
        <v>0</v>
      </c>
      <c r="K709">
        <f>IFERROR(SMALL(K191:K559,ROW()-ROW($K$562)+1),"")</f>
        <v>0</v>
      </c>
      <c r="L709">
        <f>IFERROR(SMALL(L191:L559,ROW()-ROW($L$562)+1),"")</f>
        <v>0</v>
      </c>
      <c r="M709">
        <f>IFERROR(SMALL(M191:M559,ROW()-ROW($M$562)+1),"")</f>
        <v>0</v>
      </c>
      <c r="N709">
        <f>IFERROR(SMALL(N191:N559,ROW()-ROW($N$562)+1),"")</f>
        <v>0</v>
      </c>
    </row>
    <row r="710" spans="5:14">
      <c r="E710">
        <f>IFERROR(SMALL(E191:E559,ROW()-ROW($E$562)+1),"")</f>
        <v>0</v>
      </c>
      <c r="F710">
        <f>IFERROR(SMALL(F191:F559,ROW()-ROW($F$562)+1),"")</f>
        <v>0</v>
      </c>
      <c r="G710">
        <f>IFERROR(SMALL(G191:G559,ROW()-ROW($G$562)+1),"")</f>
        <v>0</v>
      </c>
      <c r="H710">
        <f>IFERROR(SMALL(H191:H559,ROW()-ROW($H$562)+1),"")</f>
        <v>0</v>
      </c>
      <c r="K710">
        <f>IFERROR(SMALL(K191:K559,ROW()-ROW($K$562)+1),"")</f>
        <v>0</v>
      </c>
      <c r="L710">
        <f>IFERROR(SMALL(L191:L559,ROW()-ROW($L$562)+1),"")</f>
        <v>0</v>
      </c>
      <c r="M710">
        <f>IFERROR(SMALL(M191:M559,ROW()-ROW($M$562)+1),"")</f>
        <v>0</v>
      </c>
      <c r="N710">
        <f>IFERROR(SMALL(N191:N559,ROW()-ROW($N$562)+1),"")</f>
        <v>0</v>
      </c>
    </row>
    <row r="711" spans="5:14">
      <c r="E711">
        <f>IFERROR(SMALL(E191:E559,ROW()-ROW($E$562)+1),"")</f>
        <v>0</v>
      </c>
      <c r="F711">
        <f>IFERROR(SMALL(F191:F559,ROW()-ROW($F$562)+1),"")</f>
        <v>0</v>
      </c>
      <c r="G711">
        <f>IFERROR(SMALL(G191:G559,ROW()-ROW($G$562)+1),"")</f>
        <v>0</v>
      </c>
      <c r="H711">
        <f>IFERROR(SMALL(H191:H559,ROW()-ROW($H$562)+1),"")</f>
        <v>0</v>
      </c>
      <c r="K711">
        <f>IFERROR(SMALL(K191:K559,ROW()-ROW($K$562)+1),"")</f>
        <v>0</v>
      </c>
      <c r="L711">
        <f>IFERROR(SMALL(L191:L559,ROW()-ROW($L$562)+1),"")</f>
        <v>0</v>
      </c>
      <c r="M711">
        <f>IFERROR(SMALL(M191:M559,ROW()-ROW($M$562)+1),"")</f>
        <v>0</v>
      </c>
      <c r="N711">
        <f>IFERROR(SMALL(N191:N559,ROW()-ROW($N$562)+1),"")</f>
        <v>0</v>
      </c>
    </row>
    <row r="712" spans="5:14">
      <c r="E712">
        <f>IFERROR(SMALL(E191:E559,ROW()-ROW($E$562)+1),"")</f>
        <v>0</v>
      </c>
      <c r="F712">
        <f>IFERROR(SMALL(F191:F559,ROW()-ROW($F$562)+1),"")</f>
        <v>0</v>
      </c>
      <c r="G712">
        <f>IFERROR(SMALL(G191:G559,ROW()-ROW($G$562)+1),"")</f>
        <v>0</v>
      </c>
      <c r="H712">
        <f>IFERROR(SMALL(H191:H559,ROW()-ROW($H$562)+1),"")</f>
        <v>0</v>
      </c>
      <c r="K712">
        <f>IFERROR(SMALL(K191:K559,ROW()-ROW($K$562)+1),"")</f>
        <v>0</v>
      </c>
      <c r="L712">
        <f>IFERROR(SMALL(L191:L559,ROW()-ROW($L$562)+1),"")</f>
        <v>0</v>
      </c>
      <c r="M712">
        <f>IFERROR(SMALL(M191:M559,ROW()-ROW($M$562)+1),"")</f>
        <v>0</v>
      </c>
      <c r="N712">
        <f>IFERROR(SMALL(N191:N559,ROW()-ROW($N$562)+1),"")</f>
        <v>0</v>
      </c>
    </row>
    <row r="713" spans="5:14">
      <c r="E713">
        <f>IFERROR(SMALL(E191:E559,ROW()-ROW($E$562)+1),"")</f>
        <v>0</v>
      </c>
      <c r="F713">
        <f>IFERROR(SMALL(F191:F559,ROW()-ROW($F$562)+1),"")</f>
        <v>0</v>
      </c>
      <c r="G713">
        <f>IFERROR(SMALL(G191:G559,ROW()-ROW($G$562)+1),"")</f>
        <v>0</v>
      </c>
      <c r="H713">
        <f>IFERROR(SMALL(H191:H559,ROW()-ROW($H$562)+1),"")</f>
        <v>0</v>
      </c>
      <c r="K713">
        <f>IFERROR(SMALL(K191:K559,ROW()-ROW($K$562)+1),"")</f>
        <v>0</v>
      </c>
      <c r="L713">
        <f>IFERROR(SMALL(L191:L559,ROW()-ROW($L$562)+1),"")</f>
        <v>0</v>
      </c>
      <c r="M713">
        <f>IFERROR(SMALL(M191:M559,ROW()-ROW($M$562)+1),"")</f>
        <v>0</v>
      </c>
      <c r="N713">
        <f>IFERROR(SMALL(N191:N559,ROW()-ROW($N$562)+1),"")</f>
        <v>0</v>
      </c>
    </row>
    <row r="714" spans="5:14">
      <c r="E714">
        <f>IFERROR(SMALL(E191:E559,ROW()-ROW($E$562)+1),"")</f>
        <v>0</v>
      </c>
      <c r="F714">
        <f>IFERROR(SMALL(F191:F559,ROW()-ROW($F$562)+1),"")</f>
        <v>0</v>
      </c>
      <c r="G714">
        <f>IFERROR(SMALL(G191:G559,ROW()-ROW($G$562)+1),"")</f>
        <v>0</v>
      </c>
      <c r="H714">
        <f>IFERROR(SMALL(H191:H559,ROW()-ROW($H$562)+1),"")</f>
        <v>0</v>
      </c>
      <c r="K714">
        <f>IFERROR(SMALL(K191:K559,ROW()-ROW($K$562)+1),"")</f>
        <v>0</v>
      </c>
      <c r="L714">
        <f>IFERROR(SMALL(L191:L559,ROW()-ROW($L$562)+1),"")</f>
        <v>0</v>
      </c>
      <c r="M714">
        <f>IFERROR(SMALL(M191:M559,ROW()-ROW($M$562)+1),"")</f>
        <v>0</v>
      </c>
      <c r="N714">
        <f>IFERROR(SMALL(N191:N559,ROW()-ROW($N$562)+1),"")</f>
        <v>0</v>
      </c>
    </row>
    <row r="715" spans="5:14">
      <c r="E715">
        <f>IFERROR(SMALL(E191:E559,ROW()-ROW($E$562)+1),"")</f>
        <v>0</v>
      </c>
      <c r="F715">
        <f>IFERROR(SMALL(F191:F559,ROW()-ROW($F$562)+1),"")</f>
        <v>0</v>
      </c>
      <c r="G715">
        <f>IFERROR(SMALL(G191:G559,ROW()-ROW($G$562)+1),"")</f>
        <v>0</v>
      </c>
      <c r="H715">
        <f>IFERROR(SMALL(H191:H559,ROW()-ROW($H$562)+1),"")</f>
        <v>0</v>
      </c>
      <c r="K715">
        <f>IFERROR(SMALL(K191:K559,ROW()-ROW($K$562)+1),"")</f>
        <v>0</v>
      </c>
      <c r="L715">
        <f>IFERROR(SMALL(L191:L559,ROW()-ROW($L$562)+1),"")</f>
        <v>0</v>
      </c>
      <c r="M715">
        <f>IFERROR(SMALL(M191:M559,ROW()-ROW($M$562)+1),"")</f>
        <v>0</v>
      </c>
      <c r="N715">
        <f>IFERROR(SMALL(N191:N559,ROW()-ROW($N$562)+1),"")</f>
        <v>0</v>
      </c>
    </row>
    <row r="716" spans="5:14">
      <c r="E716">
        <f>IFERROR(SMALL(E191:E559,ROW()-ROW($E$562)+1),"")</f>
        <v>0</v>
      </c>
      <c r="F716">
        <f>IFERROR(SMALL(F191:F559,ROW()-ROW($F$562)+1),"")</f>
        <v>0</v>
      </c>
      <c r="G716">
        <f>IFERROR(SMALL(G191:G559,ROW()-ROW($G$562)+1),"")</f>
        <v>0</v>
      </c>
      <c r="H716">
        <f>IFERROR(SMALL(H191:H559,ROW()-ROW($H$562)+1),"")</f>
        <v>0</v>
      </c>
      <c r="K716">
        <f>IFERROR(SMALL(K191:K559,ROW()-ROW($K$562)+1),"")</f>
        <v>0</v>
      </c>
      <c r="L716">
        <f>IFERROR(SMALL(L191:L559,ROW()-ROW($L$562)+1),"")</f>
        <v>0</v>
      </c>
      <c r="M716">
        <f>IFERROR(SMALL(M191:M559,ROW()-ROW($M$562)+1),"")</f>
        <v>0</v>
      </c>
      <c r="N716">
        <f>IFERROR(SMALL(N191:N559,ROW()-ROW($N$562)+1),"")</f>
        <v>0</v>
      </c>
    </row>
    <row r="717" spans="5:14">
      <c r="E717">
        <f>IFERROR(SMALL(E191:E559,ROW()-ROW($E$562)+1),"")</f>
        <v>0</v>
      </c>
      <c r="F717">
        <f>IFERROR(SMALL(F191:F559,ROW()-ROW($F$562)+1),"")</f>
        <v>0</v>
      </c>
      <c r="G717">
        <f>IFERROR(SMALL(G191:G559,ROW()-ROW($G$562)+1),"")</f>
        <v>0</v>
      </c>
      <c r="H717">
        <f>IFERROR(SMALL(H191:H559,ROW()-ROW($H$562)+1),"")</f>
        <v>0</v>
      </c>
      <c r="K717">
        <f>IFERROR(SMALL(K191:K559,ROW()-ROW($K$562)+1),"")</f>
        <v>0</v>
      </c>
      <c r="L717">
        <f>IFERROR(SMALL(L191:L559,ROW()-ROW($L$562)+1),"")</f>
        <v>0</v>
      </c>
      <c r="M717">
        <f>IFERROR(SMALL(M191:M559,ROW()-ROW($M$562)+1),"")</f>
        <v>0</v>
      </c>
      <c r="N717">
        <f>IFERROR(SMALL(N191:N559,ROW()-ROW($N$562)+1),"")</f>
        <v>0</v>
      </c>
    </row>
    <row r="718" spans="5:14">
      <c r="E718">
        <f>IFERROR(SMALL(E191:E559,ROW()-ROW($E$562)+1),"")</f>
        <v>0</v>
      </c>
      <c r="F718">
        <f>IFERROR(SMALL(F191:F559,ROW()-ROW($F$562)+1),"")</f>
        <v>0</v>
      </c>
      <c r="G718">
        <f>IFERROR(SMALL(G191:G559,ROW()-ROW($G$562)+1),"")</f>
        <v>0</v>
      </c>
      <c r="H718">
        <f>IFERROR(SMALL(H191:H559,ROW()-ROW($H$562)+1),"")</f>
        <v>0</v>
      </c>
      <c r="K718">
        <f>IFERROR(SMALL(K191:K559,ROW()-ROW($K$562)+1),"")</f>
        <v>0</v>
      </c>
      <c r="L718">
        <f>IFERROR(SMALL(L191:L559,ROW()-ROW($L$562)+1),"")</f>
        <v>0</v>
      </c>
      <c r="M718">
        <f>IFERROR(SMALL(M191:M559,ROW()-ROW($M$562)+1),"")</f>
        <v>0</v>
      </c>
      <c r="N718">
        <f>IFERROR(SMALL(N191:N559,ROW()-ROW($N$562)+1),"")</f>
        <v>0</v>
      </c>
    </row>
    <row r="719" spans="5:14">
      <c r="E719">
        <f>IFERROR(SMALL(E191:E559,ROW()-ROW($E$562)+1),"")</f>
        <v>0</v>
      </c>
      <c r="F719">
        <f>IFERROR(SMALL(F191:F559,ROW()-ROW($F$562)+1),"")</f>
        <v>0</v>
      </c>
      <c r="G719">
        <f>IFERROR(SMALL(G191:G559,ROW()-ROW($G$562)+1),"")</f>
        <v>0</v>
      </c>
      <c r="H719">
        <f>IFERROR(SMALL(H191:H559,ROW()-ROW($H$562)+1),"")</f>
        <v>0</v>
      </c>
      <c r="K719">
        <f>IFERROR(SMALL(K191:K559,ROW()-ROW($K$562)+1),"")</f>
        <v>0</v>
      </c>
      <c r="L719">
        <f>IFERROR(SMALL(L191:L559,ROW()-ROW($L$562)+1),"")</f>
        <v>0</v>
      </c>
      <c r="M719">
        <f>IFERROR(SMALL(M191:M559,ROW()-ROW($M$562)+1),"")</f>
        <v>0</v>
      </c>
      <c r="N719">
        <f>IFERROR(SMALL(N191:N559,ROW()-ROW($N$562)+1),"")</f>
        <v>0</v>
      </c>
    </row>
    <row r="720" spans="5:14">
      <c r="E720">
        <f>IFERROR(SMALL(E191:E559,ROW()-ROW($E$562)+1),"")</f>
        <v>0</v>
      </c>
      <c r="F720">
        <f>IFERROR(SMALL(F191:F559,ROW()-ROW($F$562)+1),"")</f>
        <v>0</v>
      </c>
      <c r="G720">
        <f>IFERROR(SMALL(G191:G559,ROW()-ROW($G$562)+1),"")</f>
        <v>0</v>
      </c>
      <c r="H720">
        <f>IFERROR(SMALL(H191:H559,ROW()-ROW($H$562)+1),"")</f>
        <v>0</v>
      </c>
      <c r="K720">
        <f>IFERROR(SMALL(K191:K559,ROW()-ROW($K$562)+1),"")</f>
        <v>0</v>
      </c>
      <c r="L720">
        <f>IFERROR(SMALL(L191:L559,ROW()-ROW($L$562)+1),"")</f>
        <v>0</v>
      </c>
      <c r="M720">
        <f>IFERROR(SMALL(M191:M559,ROW()-ROW($M$562)+1),"")</f>
        <v>0</v>
      </c>
      <c r="N720">
        <f>IFERROR(SMALL(N191:N559,ROW()-ROW($N$562)+1),"")</f>
        <v>0</v>
      </c>
    </row>
    <row r="721" spans="5:14">
      <c r="E721">
        <f>IFERROR(SMALL(E191:E559,ROW()-ROW($E$562)+1),"")</f>
        <v>0</v>
      </c>
      <c r="F721">
        <f>IFERROR(SMALL(F191:F559,ROW()-ROW($F$562)+1),"")</f>
        <v>0</v>
      </c>
      <c r="G721">
        <f>IFERROR(SMALL(G191:G559,ROW()-ROW($G$562)+1),"")</f>
        <v>0</v>
      </c>
      <c r="H721">
        <f>IFERROR(SMALL(H191:H559,ROW()-ROW($H$562)+1),"")</f>
        <v>0</v>
      </c>
      <c r="K721">
        <f>IFERROR(SMALL(K191:K559,ROW()-ROW($K$562)+1),"")</f>
        <v>0</v>
      </c>
      <c r="L721">
        <f>IFERROR(SMALL(L191:L559,ROW()-ROW($L$562)+1),"")</f>
        <v>0</v>
      </c>
      <c r="M721">
        <f>IFERROR(SMALL(M191:M559,ROW()-ROW($M$562)+1),"")</f>
        <v>0</v>
      </c>
      <c r="N721">
        <f>IFERROR(SMALL(N191:N559,ROW()-ROW($N$562)+1),"")</f>
        <v>0</v>
      </c>
    </row>
    <row r="722" spans="5:14">
      <c r="E722">
        <f>IFERROR(SMALL(E191:E559,ROW()-ROW($E$562)+1),"")</f>
        <v>0</v>
      </c>
      <c r="F722">
        <f>IFERROR(SMALL(F191:F559,ROW()-ROW($F$562)+1),"")</f>
        <v>0</v>
      </c>
      <c r="G722">
        <f>IFERROR(SMALL(G191:G559,ROW()-ROW($G$562)+1),"")</f>
        <v>0</v>
      </c>
      <c r="H722">
        <f>IFERROR(SMALL(H191:H559,ROW()-ROW($H$562)+1),"")</f>
        <v>0</v>
      </c>
      <c r="K722">
        <f>IFERROR(SMALL(K191:K559,ROW()-ROW($K$562)+1),"")</f>
        <v>0</v>
      </c>
      <c r="L722">
        <f>IFERROR(SMALL(L191:L559,ROW()-ROW($L$562)+1),"")</f>
        <v>0</v>
      </c>
      <c r="M722">
        <f>IFERROR(SMALL(M191:M559,ROW()-ROW($M$562)+1),"")</f>
        <v>0</v>
      </c>
      <c r="N722">
        <f>IFERROR(SMALL(N191:N559,ROW()-ROW($N$562)+1),"")</f>
        <v>0</v>
      </c>
    </row>
    <row r="723" spans="5:14">
      <c r="E723">
        <f>IFERROR(SMALL(E191:E559,ROW()-ROW($E$562)+1),"")</f>
        <v>0</v>
      </c>
      <c r="F723">
        <f>IFERROR(SMALL(F191:F559,ROW()-ROW($F$562)+1),"")</f>
        <v>0</v>
      </c>
      <c r="G723">
        <f>IFERROR(SMALL(G191:G559,ROW()-ROW($G$562)+1),"")</f>
        <v>0</v>
      </c>
      <c r="H723">
        <f>IFERROR(SMALL(H191:H559,ROW()-ROW($H$562)+1),"")</f>
        <v>0</v>
      </c>
      <c r="K723">
        <f>IFERROR(SMALL(K191:K559,ROW()-ROW($K$562)+1),"")</f>
        <v>0</v>
      </c>
      <c r="L723">
        <f>IFERROR(SMALL(L191:L559,ROW()-ROW($L$562)+1),"")</f>
        <v>0</v>
      </c>
      <c r="M723">
        <f>IFERROR(SMALL(M191:M559,ROW()-ROW($M$562)+1),"")</f>
        <v>0</v>
      </c>
      <c r="N723">
        <f>IFERROR(SMALL(N191:N559,ROW()-ROW($N$562)+1),"")</f>
        <v>0</v>
      </c>
    </row>
    <row r="724" spans="5:14">
      <c r="E724">
        <f>IFERROR(SMALL(E191:E559,ROW()-ROW($E$562)+1),"")</f>
        <v>0</v>
      </c>
      <c r="F724">
        <f>IFERROR(SMALL(F191:F559,ROW()-ROW($F$562)+1),"")</f>
        <v>0</v>
      </c>
      <c r="G724">
        <f>IFERROR(SMALL(G191:G559,ROW()-ROW($G$562)+1),"")</f>
        <v>0</v>
      </c>
      <c r="H724">
        <f>IFERROR(SMALL(H191:H559,ROW()-ROW($H$562)+1),"")</f>
        <v>0</v>
      </c>
      <c r="K724">
        <f>IFERROR(SMALL(K191:K559,ROW()-ROW($K$562)+1),"")</f>
        <v>0</v>
      </c>
      <c r="L724">
        <f>IFERROR(SMALL(L191:L559,ROW()-ROW($L$562)+1),"")</f>
        <v>0</v>
      </c>
      <c r="M724">
        <f>IFERROR(SMALL(M191:M559,ROW()-ROW($M$562)+1),"")</f>
        <v>0</v>
      </c>
      <c r="N724">
        <f>IFERROR(SMALL(N191:N559,ROW()-ROW($N$562)+1),"")</f>
        <v>0</v>
      </c>
    </row>
    <row r="725" spans="5:14">
      <c r="E725">
        <f>IFERROR(SMALL(E191:E559,ROW()-ROW($E$562)+1),"")</f>
        <v>0</v>
      </c>
      <c r="F725">
        <f>IFERROR(SMALL(F191:F559,ROW()-ROW($F$562)+1),"")</f>
        <v>0</v>
      </c>
      <c r="G725">
        <f>IFERROR(SMALL(G191:G559,ROW()-ROW($G$562)+1),"")</f>
        <v>0</v>
      </c>
      <c r="H725">
        <f>IFERROR(SMALL(H191:H559,ROW()-ROW($H$562)+1),"")</f>
        <v>0</v>
      </c>
      <c r="K725">
        <f>IFERROR(SMALL(K191:K559,ROW()-ROW($K$562)+1),"")</f>
        <v>0</v>
      </c>
      <c r="L725">
        <f>IFERROR(SMALL(L191:L559,ROW()-ROW($L$562)+1),"")</f>
        <v>0</v>
      </c>
      <c r="M725">
        <f>IFERROR(SMALL(M191:M559,ROW()-ROW($M$562)+1),"")</f>
        <v>0</v>
      </c>
      <c r="N725">
        <f>IFERROR(SMALL(N191:N559,ROW()-ROW($N$562)+1),"")</f>
        <v>0</v>
      </c>
    </row>
    <row r="726" spans="5:14">
      <c r="E726">
        <f>IFERROR(SMALL(E191:E559,ROW()-ROW($E$562)+1),"")</f>
        <v>0</v>
      </c>
      <c r="F726">
        <f>IFERROR(SMALL(F191:F559,ROW()-ROW($F$562)+1),"")</f>
        <v>0</v>
      </c>
      <c r="G726">
        <f>IFERROR(SMALL(G191:G559,ROW()-ROW($G$562)+1),"")</f>
        <v>0</v>
      </c>
      <c r="H726">
        <f>IFERROR(SMALL(H191:H559,ROW()-ROW($H$562)+1),"")</f>
        <v>0</v>
      </c>
      <c r="K726">
        <f>IFERROR(SMALL(K191:K559,ROW()-ROW($K$562)+1),"")</f>
        <v>0</v>
      </c>
      <c r="L726">
        <f>IFERROR(SMALL(L191:L559,ROW()-ROW($L$562)+1),"")</f>
        <v>0</v>
      </c>
      <c r="M726">
        <f>IFERROR(SMALL(M191:M559,ROW()-ROW($M$562)+1),"")</f>
        <v>0</v>
      </c>
      <c r="N726">
        <f>IFERROR(SMALL(N191:N559,ROW()-ROW($N$562)+1),"")</f>
        <v>0</v>
      </c>
    </row>
    <row r="727" spans="5:14">
      <c r="E727">
        <f>IFERROR(SMALL(E191:E559,ROW()-ROW($E$562)+1),"")</f>
        <v>0</v>
      </c>
      <c r="F727">
        <f>IFERROR(SMALL(F191:F559,ROW()-ROW($F$562)+1),"")</f>
        <v>0</v>
      </c>
      <c r="G727">
        <f>IFERROR(SMALL(G191:G559,ROW()-ROW($G$562)+1),"")</f>
        <v>0</v>
      </c>
      <c r="H727">
        <f>IFERROR(SMALL(H191:H559,ROW()-ROW($H$562)+1),"")</f>
        <v>0</v>
      </c>
      <c r="K727">
        <f>IFERROR(SMALL(K191:K559,ROW()-ROW($K$562)+1),"")</f>
        <v>0</v>
      </c>
      <c r="L727">
        <f>IFERROR(SMALL(L191:L559,ROW()-ROW($L$562)+1),"")</f>
        <v>0</v>
      </c>
      <c r="M727">
        <f>IFERROR(SMALL(M191:M559,ROW()-ROW($M$562)+1),"")</f>
        <v>0</v>
      </c>
      <c r="N727">
        <f>IFERROR(SMALL(N191:N559,ROW()-ROW($N$562)+1),"")</f>
        <v>0</v>
      </c>
    </row>
    <row r="728" spans="5:14">
      <c r="E728">
        <f>IFERROR(SMALL(E191:E559,ROW()-ROW($E$562)+1),"")</f>
        <v>0</v>
      </c>
      <c r="F728">
        <f>IFERROR(SMALL(F191:F559,ROW()-ROW($F$562)+1),"")</f>
        <v>0</v>
      </c>
      <c r="G728">
        <f>IFERROR(SMALL(G191:G559,ROW()-ROW($G$562)+1),"")</f>
        <v>0</v>
      </c>
      <c r="H728">
        <f>IFERROR(SMALL(H191:H559,ROW()-ROW($H$562)+1),"")</f>
        <v>0</v>
      </c>
      <c r="K728">
        <f>IFERROR(SMALL(K191:K559,ROW()-ROW($K$562)+1),"")</f>
        <v>0</v>
      </c>
      <c r="L728">
        <f>IFERROR(SMALL(L191:L559,ROW()-ROW($L$562)+1),"")</f>
        <v>0</v>
      </c>
      <c r="M728">
        <f>IFERROR(SMALL(M191:M559,ROW()-ROW($M$562)+1),"")</f>
        <v>0</v>
      </c>
      <c r="N728">
        <f>IFERROR(SMALL(N191:N559,ROW()-ROW($N$562)+1),"")</f>
        <v>0</v>
      </c>
    </row>
    <row r="729" spans="5:14">
      <c r="E729">
        <f>IFERROR(SMALL(E191:E559,ROW()-ROW($E$562)+1),"")</f>
        <v>0</v>
      </c>
      <c r="F729">
        <f>IFERROR(SMALL(F191:F559,ROW()-ROW($F$562)+1),"")</f>
        <v>0</v>
      </c>
      <c r="G729">
        <f>IFERROR(SMALL(G191:G559,ROW()-ROW($G$562)+1),"")</f>
        <v>0</v>
      </c>
      <c r="H729">
        <f>IFERROR(SMALL(H191:H559,ROW()-ROW($H$562)+1),"")</f>
        <v>0</v>
      </c>
      <c r="K729">
        <f>IFERROR(SMALL(K191:K559,ROW()-ROW($K$562)+1),"")</f>
        <v>0</v>
      </c>
      <c r="L729">
        <f>IFERROR(SMALL(L191:L559,ROW()-ROW($L$562)+1),"")</f>
        <v>0</v>
      </c>
      <c r="M729">
        <f>IFERROR(SMALL(M191:M559,ROW()-ROW($M$562)+1),"")</f>
        <v>0</v>
      </c>
      <c r="N729">
        <f>IFERROR(SMALL(N191:N559,ROW()-ROW($N$562)+1),"")</f>
        <v>0</v>
      </c>
    </row>
    <row r="730" spans="5:14">
      <c r="E730">
        <f>IFERROR(SMALL(E191:E559,ROW()-ROW($E$562)+1),"")</f>
        <v>0</v>
      </c>
      <c r="F730">
        <f>IFERROR(SMALL(F191:F559,ROW()-ROW($F$562)+1),"")</f>
        <v>0</v>
      </c>
      <c r="G730">
        <f>IFERROR(SMALL(G191:G559,ROW()-ROW($G$562)+1),"")</f>
        <v>0</v>
      </c>
      <c r="H730">
        <f>IFERROR(SMALL(H191:H559,ROW()-ROW($H$562)+1),"")</f>
        <v>0</v>
      </c>
      <c r="K730">
        <f>IFERROR(SMALL(K191:K559,ROW()-ROW($K$562)+1),"")</f>
        <v>0</v>
      </c>
      <c r="L730">
        <f>IFERROR(SMALL(L191:L559,ROW()-ROW($L$562)+1),"")</f>
        <v>0</v>
      </c>
      <c r="M730">
        <f>IFERROR(SMALL(M191:M559,ROW()-ROW($M$562)+1),"")</f>
        <v>0</v>
      </c>
      <c r="N730">
        <f>IFERROR(SMALL(N191:N559,ROW()-ROW($N$562)+1),"")</f>
        <v>0</v>
      </c>
    </row>
    <row r="731" spans="5:14">
      <c r="E731">
        <f>IFERROR(SMALL(E191:E559,ROW()-ROW($E$562)+1),"")</f>
        <v>0</v>
      </c>
      <c r="F731">
        <f>IFERROR(SMALL(F191:F559,ROW()-ROW($F$562)+1),"")</f>
        <v>0</v>
      </c>
      <c r="G731">
        <f>IFERROR(SMALL(G191:G559,ROW()-ROW($G$562)+1),"")</f>
        <v>0</v>
      </c>
      <c r="H731">
        <f>IFERROR(SMALL(H191:H559,ROW()-ROW($H$562)+1),"")</f>
        <v>0</v>
      </c>
      <c r="K731">
        <f>IFERROR(SMALL(K191:K559,ROW()-ROW($K$562)+1),"")</f>
        <v>0</v>
      </c>
      <c r="L731">
        <f>IFERROR(SMALL(L191:L559,ROW()-ROW($L$562)+1),"")</f>
        <v>0</v>
      </c>
      <c r="M731">
        <f>IFERROR(SMALL(M191:M559,ROW()-ROW($M$562)+1),"")</f>
        <v>0</v>
      </c>
      <c r="N731">
        <f>IFERROR(SMALL(N191:N559,ROW()-ROW($N$562)+1),"")</f>
        <v>0</v>
      </c>
    </row>
    <row r="732" spans="5:14">
      <c r="E732">
        <f>IFERROR(SMALL(E191:E559,ROW()-ROW($E$562)+1),"")</f>
        <v>0</v>
      </c>
      <c r="F732">
        <f>IFERROR(SMALL(F191:F559,ROW()-ROW($F$562)+1),"")</f>
        <v>0</v>
      </c>
      <c r="G732">
        <f>IFERROR(SMALL(G191:G559,ROW()-ROW($G$562)+1),"")</f>
        <v>0</v>
      </c>
      <c r="H732">
        <f>IFERROR(SMALL(H191:H559,ROW()-ROW($H$562)+1),"")</f>
        <v>0</v>
      </c>
      <c r="K732">
        <f>IFERROR(SMALL(K191:K559,ROW()-ROW($K$562)+1),"")</f>
        <v>0</v>
      </c>
      <c r="L732">
        <f>IFERROR(SMALL(L191:L559,ROW()-ROW($L$562)+1),"")</f>
        <v>0</v>
      </c>
      <c r="M732">
        <f>IFERROR(SMALL(M191:M559,ROW()-ROW($M$562)+1),"")</f>
        <v>0</v>
      </c>
      <c r="N732">
        <f>IFERROR(SMALL(N191:N559,ROW()-ROW($N$562)+1),"")</f>
        <v>0</v>
      </c>
    </row>
    <row r="733" spans="5:14">
      <c r="E733">
        <f>IFERROR(SMALL(E191:E559,ROW()-ROW($E$562)+1),"")</f>
        <v>0</v>
      </c>
      <c r="F733">
        <f>IFERROR(SMALL(F191:F559,ROW()-ROW($F$562)+1),"")</f>
        <v>0</v>
      </c>
      <c r="G733">
        <f>IFERROR(SMALL(G191:G559,ROW()-ROW($G$562)+1),"")</f>
        <v>0</v>
      </c>
      <c r="H733">
        <f>IFERROR(SMALL(H191:H559,ROW()-ROW($H$562)+1),"")</f>
        <v>0</v>
      </c>
      <c r="K733">
        <f>IFERROR(SMALL(K191:K559,ROW()-ROW($K$562)+1),"")</f>
        <v>0</v>
      </c>
      <c r="L733">
        <f>IFERROR(SMALL(L191:L559,ROW()-ROW($L$562)+1),"")</f>
        <v>0</v>
      </c>
      <c r="M733">
        <f>IFERROR(SMALL(M191:M559,ROW()-ROW($M$562)+1),"")</f>
        <v>0</v>
      </c>
      <c r="N733">
        <f>IFERROR(SMALL(N191:N559,ROW()-ROW($N$562)+1),"")</f>
        <v>0</v>
      </c>
    </row>
    <row r="734" spans="5:14">
      <c r="E734">
        <f>IFERROR(SMALL(E191:E559,ROW()-ROW($E$562)+1),"")</f>
        <v>0</v>
      </c>
      <c r="F734">
        <f>IFERROR(SMALL(F191:F559,ROW()-ROW($F$562)+1),"")</f>
        <v>0</v>
      </c>
      <c r="G734">
        <f>IFERROR(SMALL(G191:G559,ROW()-ROW($G$562)+1),"")</f>
        <v>0</v>
      </c>
      <c r="H734">
        <f>IFERROR(SMALL(H191:H559,ROW()-ROW($H$562)+1),"")</f>
        <v>0</v>
      </c>
      <c r="K734">
        <f>IFERROR(SMALL(K191:K559,ROW()-ROW($K$562)+1),"")</f>
        <v>0</v>
      </c>
      <c r="L734">
        <f>IFERROR(SMALL(L191:L559,ROW()-ROW($L$562)+1),"")</f>
        <v>0</v>
      </c>
      <c r="M734">
        <f>IFERROR(SMALL(M191:M559,ROW()-ROW($M$562)+1),"")</f>
        <v>0</v>
      </c>
      <c r="N734">
        <f>IFERROR(SMALL(N191:N559,ROW()-ROW($N$562)+1),"")</f>
        <v>0</v>
      </c>
    </row>
    <row r="735" spans="5:14">
      <c r="E735">
        <f>IFERROR(SMALL(E191:E559,ROW()-ROW($E$562)+1),"")</f>
        <v>0</v>
      </c>
      <c r="F735">
        <f>IFERROR(SMALL(F191:F559,ROW()-ROW($F$562)+1),"")</f>
        <v>0</v>
      </c>
      <c r="G735">
        <f>IFERROR(SMALL(G191:G559,ROW()-ROW($G$562)+1),"")</f>
        <v>0</v>
      </c>
      <c r="H735">
        <f>IFERROR(SMALL(H191:H559,ROW()-ROW($H$562)+1),"")</f>
        <v>0</v>
      </c>
      <c r="K735">
        <f>IFERROR(SMALL(K191:K559,ROW()-ROW($K$562)+1),"")</f>
        <v>0</v>
      </c>
      <c r="L735">
        <f>IFERROR(SMALL(L191:L559,ROW()-ROW($L$562)+1),"")</f>
        <v>0</v>
      </c>
      <c r="M735">
        <f>IFERROR(SMALL(M191:M559,ROW()-ROW($M$562)+1),"")</f>
        <v>0</v>
      </c>
      <c r="N735">
        <f>IFERROR(SMALL(N191:N559,ROW()-ROW($N$562)+1),"")</f>
        <v>0</v>
      </c>
    </row>
    <row r="736" spans="5:14">
      <c r="E736">
        <f>IFERROR(SMALL(E191:E559,ROW()-ROW($E$562)+1),"")</f>
        <v>0</v>
      </c>
      <c r="F736">
        <f>IFERROR(SMALL(F191:F559,ROW()-ROW($F$562)+1),"")</f>
        <v>0</v>
      </c>
      <c r="G736">
        <f>IFERROR(SMALL(G191:G559,ROW()-ROW($G$562)+1),"")</f>
        <v>0</v>
      </c>
      <c r="H736">
        <f>IFERROR(SMALL(H191:H559,ROW()-ROW($H$562)+1),"")</f>
        <v>0</v>
      </c>
      <c r="K736">
        <f>IFERROR(SMALL(K191:K559,ROW()-ROW($K$562)+1),"")</f>
        <v>0</v>
      </c>
      <c r="L736">
        <f>IFERROR(SMALL(L191:L559,ROW()-ROW($L$562)+1),"")</f>
        <v>0</v>
      </c>
      <c r="M736">
        <f>IFERROR(SMALL(M191:M559,ROW()-ROW($M$562)+1),"")</f>
        <v>0</v>
      </c>
      <c r="N736">
        <f>IFERROR(SMALL(N191:N559,ROW()-ROW($N$562)+1),"")</f>
        <v>0</v>
      </c>
    </row>
    <row r="737" spans="5:14">
      <c r="E737">
        <f>IFERROR(SMALL(E191:E559,ROW()-ROW($E$562)+1),"")</f>
        <v>0</v>
      </c>
      <c r="F737">
        <f>IFERROR(SMALL(F191:F559,ROW()-ROW($F$562)+1),"")</f>
        <v>0</v>
      </c>
      <c r="G737">
        <f>IFERROR(SMALL(G191:G559,ROW()-ROW($G$562)+1),"")</f>
        <v>0</v>
      </c>
      <c r="H737">
        <f>IFERROR(SMALL(H191:H559,ROW()-ROW($H$562)+1),"")</f>
        <v>0</v>
      </c>
      <c r="K737">
        <f>IFERROR(SMALL(K191:K559,ROW()-ROW($K$562)+1),"")</f>
        <v>0</v>
      </c>
      <c r="L737">
        <f>IFERROR(SMALL(L191:L559,ROW()-ROW($L$562)+1),"")</f>
        <v>0</v>
      </c>
      <c r="M737">
        <f>IFERROR(SMALL(M191:M559,ROW()-ROW($M$562)+1),"")</f>
        <v>0</v>
      </c>
      <c r="N737">
        <f>IFERROR(SMALL(N191:N559,ROW()-ROW($N$562)+1),"")</f>
        <v>0</v>
      </c>
    </row>
    <row r="738" spans="5:14">
      <c r="E738">
        <f>IFERROR(SMALL(E191:E559,ROW()-ROW($E$562)+1),"")</f>
        <v>0</v>
      </c>
      <c r="F738">
        <f>IFERROR(SMALL(F191:F559,ROW()-ROW($F$562)+1),"")</f>
        <v>0</v>
      </c>
      <c r="G738">
        <f>IFERROR(SMALL(G191:G559,ROW()-ROW($G$562)+1),"")</f>
        <v>0</v>
      </c>
      <c r="H738">
        <f>IFERROR(SMALL(H191:H559,ROW()-ROW($H$562)+1),"")</f>
        <v>0</v>
      </c>
      <c r="K738">
        <f>IFERROR(SMALL(K191:K559,ROW()-ROW($K$562)+1),"")</f>
        <v>0</v>
      </c>
      <c r="L738">
        <f>IFERROR(SMALL(L191:L559,ROW()-ROW($L$562)+1),"")</f>
        <v>0</v>
      </c>
      <c r="M738">
        <f>IFERROR(SMALL(M191:M559,ROW()-ROW($M$562)+1),"")</f>
        <v>0</v>
      </c>
      <c r="N738">
        <f>IFERROR(SMALL(N191:N559,ROW()-ROW($N$562)+1),"")</f>
        <v>0</v>
      </c>
    </row>
    <row r="739" spans="5:14">
      <c r="E739">
        <f>IFERROR(SMALL(E191:E559,ROW()-ROW($E$562)+1),"")</f>
        <v>0</v>
      </c>
      <c r="F739">
        <f>IFERROR(SMALL(F191:F559,ROW()-ROW($F$562)+1),"")</f>
        <v>0</v>
      </c>
      <c r="G739">
        <f>IFERROR(SMALL(G191:G559,ROW()-ROW($G$562)+1),"")</f>
        <v>0</v>
      </c>
      <c r="H739">
        <f>IFERROR(SMALL(H191:H559,ROW()-ROW($H$562)+1),"")</f>
        <v>0</v>
      </c>
      <c r="K739">
        <f>IFERROR(SMALL(K191:K559,ROW()-ROW($K$562)+1),"")</f>
        <v>0</v>
      </c>
      <c r="L739">
        <f>IFERROR(SMALL(L191:L559,ROW()-ROW($L$562)+1),"")</f>
        <v>0</v>
      </c>
      <c r="M739">
        <f>IFERROR(SMALL(M191:M559,ROW()-ROW($M$562)+1),"")</f>
        <v>0</v>
      </c>
      <c r="N739">
        <f>IFERROR(SMALL(N191:N559,ROW()-ROW($N$562)+1),"")</f>
        <v>0</v>
      </c>
    </row>
    <row r="740" spans="5:14">
      <c r="E740">
        <f>IFERROR(SMALL(E191:E559,ROW()-ROW($E$562)+1),"")</f>
        <v>0</v>
      </c>
      <c r="F740">
        <f>IFERROR(SMALL(F191:F559,ROW()-ROW($F$562)+1),"")</f>
        <v>0</v>
      </c>
      <c r="G740">
        <f>IFERROR(SMALL(G191:G559,ROW()-ROW($G$562)+1),"")</f>
        <v>0</v>
      </c>
      <c r="H740">
        <f>IFERROR(SMALL(H191:H559,ROW()-ROW($H$562)+1),"")</f>
        <v>0</v>
      </c>
      <c r="K740">
        <f>IFERROR(SMALL(K191:K559,ROW()-ROW($K$562)+1),"")</f>
        <v>0</v>
      </c>
      <c r="L740">
        <f>IFERROR(SMALL(L191:L559,ROW()-ROW($L$562)+1),"")</f>
        <v>0</v>
      </c>
      <c r="M740">
        <f>IFERROR(SMALL(M191:M559,ROW()-ROW($M$562)+1),"")</f>
        <v>0</v>
      </c>
      <c r="N740">
        <f>IFERROR(SMALL(N191:N559,ROW()-ROW($N$562)+1),"")</f>
        <v>0</v>
      </c>
    </row>
    <row r="741" spans="5:14">
      <c r="E741">
        <f>IFERROR(SMALL(E191:E559,ROW()-ROW($E$562)+1),"")</f>
        <v>0</v>
      </c>
      <c r="F741">
        <f>IFERROR(SMALL(F191:F559,ROW()-ROW($F$562)+1),"")</f>
        <v>0</v>
      </c>
      <c r="G741">
        <f>IFERROR(SMALL(G191:G559,ROW()-ROW($G$562)+1),"")</f>
        <v>0</v>
      </c>
      <c r="H741">
        <f>IFERROR(SMALL(H191:H559,ROW()-ROW($H$562)+1),"")</f>
        <v>0</v>
      </c>
      <c r="K741">
        <f>IFERROR(SMALL(K191:K559,ROW()-ROW($K$562)+1),"")</f>
        <v>0</v>
      </c>
      <c r="L741">
        <f>IFERROR(SMALL(L191:L559,ROW()-ROW($L$562)+1),"")</f>
        <v>0</v>
      </c>
      <c r="M741">
        <f>IFERROR(SMALL(M191:M559,ROW()-ROW($M$562)+1),"")</f>
        <v>0</v>
      </c>
      <c r="N741">
        <f>IFERROR(SMALL(N191:N559,ROW()-ROW($N$562)+1),"")</f>
        <v>0</v>
      </c>
    </row>
    <row r="742" spans="5:14">
      <c r="E742">
        <f>IFERROR(SMALL(E191:E559,ROW()-ROW($E$562)+1),"")</f>
        <v>0</v>
      </c>
      <c r="F742">
        <f>IFERROR(SMALL(F191:F559,ROW()-ROW($F$562)+1),"")</f>
        <v>0</v>
      </c>
      <c r="G742">
        <f>IFERROR(SMALL(G191:G559,ROW()-ROW($G$562)+1),"")</f>
        <v>0</v>
      </c>
      <c r="H742">
        <f>IFERROR(SMALL(H191:H559,ROW()-ROW($H$562)+1),"")</f>
        <v>0</v>
      </c>
      <c r="K742">
        <f>IFERROR(SMALL(K191:K559,ROW()-ROW($K$562)+1),"")</f>
        <v>0</v>
      </c>
      <c r="L742">
        <f>IFERROR(SMALL(L191:L559,ROW()-ROW($L$562)+1),"")</f>
        <v>0</v>
      </c>
      <c r="M742">
        <f>IFERROR(SMALL(M191:M559,ROW()-ROW($M$562)+1),"")</f>
        <v>0</v>
      </c>
      <c r="N742">
        <f>IFERROR(SMALL(N191:N559,ROW()-ROW($N$562)+1),"")</f>
        <v>0</v>
      </c>
    </row>
    <row r="743" spans="5:14">
      <c r="E743">
        <f>IFERROR(SMALL(E191:E559,ROW()-ROW($E$562)+1),"")</f>
        <v>0</v>
      </c>
      <c r="F743">
        <f>IFERROR(SMALL(F191:F559,ROW()-ROW($F$562)+1),"")</f>
        <v>0</v>
      </c>
      <c r="G743">
        <f>IFERROR(SMALL(G191:G559,ROW()-ROW($G$562)+1),"")</f>
        <v>0</v>
      </c>
      <c r="H743">
        <f>IFERROR(SMALL(H191:H559,ROW()-ROW($H$562)+1),"")</f>
        <v>0</v>
      </c>
      <c r="K743">
        <f>IFERROR(SMALL(K191:K559,ROW()-ROW($K$562)+1),"")</f>
        <v>0</v>
      </c>
      <c r="L743">
        <f>IFERROR(SMALL(L191:L559,ROW()-ROW($L$562)+1),"")</f>
        <v>0</v>
      </c>
      <c r="M743">
        <f>IFERROR(SMALL(M191:M559,ROW()-ROW($M$562)+1),"")</f>
        <v>0</v>
      </c>
      <c r="N743">
        <f>IFERROR(SMALL(N191:N559,ROW()-ROW($N$562)+1),"")</f>
        <v>0</v>
      </c>
    </row>
    <row r="744" spans="5:14">
      <c r="E744">
        <f>IFERROR(SMALL(E191:E559,ROW()-ROW($E$562)+1),"")</f>
        <v>0</v>
      </c>
      <c r="F744">
        <f>IFERROR(SMALL(F191:F559,ROW()-ROW($F$562)+1),"")</f>
        <v>0</v>
      </c>
      <c r="G744">
        <f>IFERROR(SMALL(G191:G559,ROW()-ROW($G$562)+1),"")</f>
        <v>0</v>
      </c>
      <c r="H744">
        <f>IFERROR(SMALL(H191:H559,ROW()-ROW($H$562)+1),"")</f>
        <v>0</v>
      </c>
      <c r="K744">
        <f>IFERROR(SMALL(K191:K559,ROW()-ROW($K$562)+1),"")</f>
        <v>0</v>
      </c>
      <c r="L744">
        <f>IFERROR(SMALL(L191:L559,ROW()-ROW($L$562)+1),"")</f>
        <v>0</v>
      </c>
      <c r="M744">
        <f>IFERROR(SMALL(M191:M559,ROW()-ROW($M$562)+1),"")</f>
        <v>0</v>
      </c>
      <c r="N744">
        <f>IFERROR(SMALL(N191:N559,ROW()-ROW($N$562)+1),"")</f>
        <v>0</v>
      </c>
    </row>
    <row r="745" spans="5:14">
      <c r="E745">
        <f>IFERROR(SMALL(E191:E559,ROW()-ROW($E$562)+1),"")</f>
        <v>0</v>
      </c>
      <c r="F745">
        <f>IFERROR(SMALL(F191:F559,ROW()-ROW($F$562)+1),"")</f>
        <v>0</v>
      </c>
      <c r="G745">
        <f>IFERROR(SMALL(G191:G559,ROW()-ROW($G$562)+1),"")</f>
        <v>0</v>
      </c>
      <c r="H745">
        <f>IFERROR(SMALL(H191:H559,ROW()-ROW($H$562)+1),"")</f>
        <v>0</v>
      </c>
      <c r="K745">
        <f>IFERROR(SMALL(K191:K559,ROW()-ROW($K$562)+1),"")</f>
        <v>0</v>
      </c>
      <c r="L745">
        <f>IFERROR(SMALL(L191:L559,ROW()-ROW($L$562)+1),"")</f>
        <v>0</v>
      </c>
      <c r="M745">
        <f>IFERROR(SMALL(M191:M559,ROW()-ROW($M$562)+1),"")</f>
        <v>0</v>
      </c>
      <c r="N745">
        <f>IFERROR(SMALL(N191:N559,ROW()-ROW($N$562)+1),"")</f>
        <v>0</v>
      </c>
    </row>
    <row r="746" spans="5:14">
      <c r="E746">
        <f>IFERROR(SMALL(E191:E559,ROW()-ROW($E$562)+1),"")</f>
        <v>0</v>
      </c>
      <c r="F746">
        <f>IFERROR(SMALL(F191:F559,ROW()-ROW($F$562)+1),"")</f>
        <v>0</v>
      </c>
      <c r="G746">
        <f>IFERROR(SMALL(G191:G559,ROW()-ROW($G$562)+1),"")</f>
        <v>0</v>
      </c>
      <c r="H746">
        <f>IFERROR(SMALL(H191:H559,ROW()-ROW($H$562)+1),"")</f>
        <v>0</v>
      </c>
      <c r="K746">
        <f>IFERROR(SMALL(K191:K559,ROW()-ROW($K$562)+1),"")</f>
        <v>0</v>
      </c>
      <c r="L746">
        <f>IFERROR(SMALL(L191:L559,ROW()-ROW($L$562)+1),"")</f>
        <v>0</v>
      </c>
      <c r="M746">
        <f>IFERROR(SMALL(M191:M559,ROW()-ROW($M$562)+1),"")</f>
        <v>0</v>
      </c>
      <c r="N746">
        <f>IFERROR(SMALL(N191:N559,ROW()-ROW($N$562)+1),"")</f>
        <v>0</v>
      </c>
    </row>
    <row r="747" spans="5:14">
      <c r="E747">
        <f>IFERROR(SMALL(E191:E559,ROW()-ROW($E$562)+1),"")</f>
        <v>0</v>
      </c>
      <c r="F747">
        <f>IFERROR(SMALL(F191:F559,ROW()-ROW($F$562)+1),"")</f>
        <v>0</v>
      </c>
      <c r="G747">
        <f>IFERROR(SMALL(G191:G559,ROW()-ROW($G$562)+1),"")</f>
        <v>0</v>
      </c>
      <c r="H747">
        <f>IFERROR(SMALL(H191:H559,ROW()-ROW($H$562)+1),"")</f>
        <v>0</v>
      </c>
      <c r="K747">
        <f>IFERROR(SMALL(K191:K559,ROW()-ROW($K$562)+1),"")</f>
        <v>0</v>
      </c>
      <c r="L747">
        <f>IFERROR(SMALL(L191:L559,ROW()-ROW($L$562)+1),"")</f>
        <v>0</v>
      </c>
      <c r="M747">
        <f>IFERROR(SMALL(M191:M559,ROW()-ROW($M$562)+1),"")</f>
        <v>0</v>
      </c>
      <c r="N747">
        <f>IFERROR(SMALL(N191:N559,ROW()-ROW($N$562)+1),"")</f>
        <v>0</v>
      </c>
    </row>
    <row r="748" spans="5:14">
      <c r="E748">
        <f>IFERROR(SMALL(E191:E559,ROW()-ROW($E$562)+1),"")</f>
        <v>0</v>
      </c>
      <c r="F748">
        <f>IFERROR(SMALL(F191:F559,ROW()-ROW($F$562)+1),"")</f>
        <v>0</v>
      </c>
      <c r="G748">
        <f>IFERROR(SMALL(G191:G559,ROW()-ROW($G$562)+1),"")</f>
        <v>0</v>
      </c>
      <c r="H748">
        <f>IFERROR(SMALL(H191:H559,ROW()-ROW($H$562)+1),"")</f>
        <v>0</v>
      </c>
      <c r="K748">
        <f>IFERROR(SMALL(K191:K559,ROW()-ROW($K$562)+1),"")</f>
        <v>0</v>
      </c>
      <c r="L748">
        <f>IFERROR(SMALL(L191:L559,ROW()-ROW($L$562)+1),"")</f>
        <v>0</v>
      </c>
      <c r="M748">
        <f>IFERROR(SMALL(M191:M559,ROW()-ROW($M$562)+1),"")</f>
        <v>0</v>
      </c>
      <c r="N748">
        <f>IFERROR(SMALL(N191:N559,ROW()-ROW($N$562)+1),"")</f>
        <v>0</v>
      </c>
    </row>
    <row r="749" spans="5:14">
      <c r="E749">
        <f>IFERROR(SMALL(E191:E559,ROW()-ROW($E$562)+1),"")</f>
        <v>0</v>
      </c>
      <c r="F749">
        <f>IFERROR(SMALL(F191:F559,ROW()-ROW($F$562)+1),"")</f>
        <v>0</v>
      </c>
      <c r="G749">
        <f>IFERROR(SMALL(G191:G559,ROW()-ROW($G$562)+1),"")</f>
        <v>0</v>
      </c>
      <c r="H749">
        <f>IFERROR(SMALL(H191:H559,ROW()-ROW($H$562)+1),"")</f>
        <v>0</v>
      </c>
      <c r="K749">
        <f>IFERROR(SMALL(K191:K559,ROW()-ROW($K$562)+1),"")</f>
        <v>0</v>
      </c>
      <c r="L749">
        <f>IFERROR(SMALL(L191:L559,ROW()-ROW($L$562)+1),"")</f>
        <v>0</v>
      </c>
      <c r="M749">
        <f>IFERROR(SMALL(M191:M559,ROW()-ROW($M$562)+1),"")</f>
        <v>0</v>
      </c>
      <c r="N749">
        <f>IFERROR(SMALL(N191:N559,ROW()-ROW($N$562)+1),"")</f>
        <v>0</v>
      </c>
    </row>
    <row r="750" spans="5:14">
      <c r="E750">
        <f>IFERROR(SMALL(E191:E559,ROW()-ROW($E$562)+1),"")</f>
        <v>0</v>
      </c>
      <c r="F750">
        <f>IFERROR(SMALL(F191:F559,ROW()-ROW($F$562)+1),"")</f>
        <v>0</v>
      </c>
      <c r="G750">
        <f>IFERROR(SMALL(G191:G559,ROW()-ROW($G$562)+1),"")</f>
        <v>0</v>
      </c>
      <c r="H750">
        <f>IFERROR(SMALL(H191:H559,ROW()-ROW($H$562)+1),"")</f>
        <v>0</v>
      </c>
      <c r="K750">
        <f>IFERROR(SMALL(K191:K559,ROW()-ROW($K$562)+1),"")</f>
        <v>0</v>
      </c>
      <c r="L750">
        <f>IFERROR(SMALL(L191:L559,ROW()-ROW($L$562)+1),"")</f>
        <v>0</v>
      </c>
      <c r="M750">
        <f>IFERROR(SMALL(M191:M559,ROW()-ROW($M$562)+1),"")</f>
        <v>0</v>
      </c>
      <c r="N750">
        <f>IFERROR(SMALL(N191:N559,ROW()-ROW($N$562)+1),"")</f>
        <v>0</v>
      </c>
    </row>
    <row r="751" spans="5:14">
      <c r="E751">
        <f>IFERROR(SMALL(E191:E559,ROW()-ROW($E$562)+1),"")</f>
        <v>0</v>
      </c>
      <c r="F751">
        <f>IFERROR(SMALL(F191:F559,ROW()-ROW($F$562)+1),"")</f>
        <v>0</v>
      </c>
      <c r="G751">
        <f>IFERROR(SMALL(G191:G559,ROW()-ROW($G$562)+1),"")</f>
        <v>0</v>
      </c>
      <c r="H751">
        <f>IFERROR(SMALL(H191:H559,ROW()-ROW($H$562)+1),"")</f>
        <v>0</v>
      </c>
      <c r="K751">
        <f>IFERROR(SMALL(K191:K559,ROW()-ROW($K$562)+1),"")</f>
        <v>0</v>
      </c>
      <c r="L751">
        <f>IFERROR(SMALL(L191:L559,ROW()-ROW($L$562)+1),"")</f>
        <v>0</v>
      </c>
      <c r="M751">
        <f>IFERROR(SMALL(M191:M559,ROW()-ROW($M$562)+1),"")</f>
        <v>0</v>
      </c>
      <c r="N751">
        <f>IFERROR(SMALL(N191:N559,ROW()-ROW($N$562)+1),"")</f>
        <v>0</v>
      </c>
    </row>
    <row r="752" spans="5:14">
      <c r="E752">
        <f>IFERROR(SMALL(E191:E559,ROW()-ROW($E$562)+1),"")</f>
        <v>0</v>
      </c>
      <c r="F752">
        <f>IFERROR(SMALL(F191:F559,ROW()-ROW($F$562)+1),"")</f>
        <v>0</v>
      </c>
      <c r="G752">
        <f>IFERROR(SMALL(G191:G559,ROW()-ROW($G$562)+1),"")</f>
        <v>0</v>
      </c>
      <c r="H752">
        <f>IFERROR(SMALL(H191:H559,ROW()-ROW($H$562)+1),"")</f>
        <v>0</v>
      </c>
      <c r="K752">
        <f>IFERROR(SMALL(K191:K559,ROW()-ROW($K$562)+1),"")</f>
        <v>0</v>
      </c>
      <c r="L752">
        <f>IFERROR(SMALL(L191:L559,ROW()-ROW($L$562)+1),"")</f>
        <v>0</v>
      </c>
      <c r="M752">
        <f>IFERROR(SMALL(M191:M559,ROW()-ROW($M$562)+1),"")</f>
        <v>0</v>
      </c>
      <c r="N752">
        <f>IFERROR(SMALL(N191:N559,ROW()-ROW($N$562)+1),"")</f>
        <v>0</v>
      </c>
    </row>
    <row r="753" spans="5:14">
      <c r="E753">
        <f>IFERROR(SMALL(E191:E559,ROW()-ROW($E$562)+1),"")</f>
        <v>0</v>
      </c>
      <c r="F753">
        <f>IFERROR(SMALL(F191:F559,ROW()-ROW($F$562)+1),"")</f>
        <v>0</v>
      </c>
      <c r="G753">
        <f>IFERROR(SMALL(G191:G559,ROW()-ROW($G$562)+1),"")</f>
        <v>0</v>
      </c>
      <c r="H753">
        <f>IFERROR(SMALL(H191:H559,ROW()-ROW($H$562)+1),"")</f>
        <v>0</v>
      </c>
      <c r="K753">
        <f>IFERROR(SMALL(K191:K559,ROW()-ROW($K$562)+1),"")</f>
        <v>0</v>
      </c>
      <c r="L753">
        <f>IFERROR(SMALL(L191:L559,ROW()-ROW($L$562)+1),"")</f>
        <v>0</v>
      </c>
      <c r="M753">
        <f>IFERROR(SMALL(M191:M559,ROW()-ROW($M$562)+1),"")</f>
        <v>0</v>
      </c>
      <c r="N753">
        <f>IFERROR(SMALL(N191:N559,ROW()-ROW($N$562)+1),"")</f>
        <v>0</v>
      </c>
    </row>
    <row r="754" spans="5:14">
      <c r="E754">
        <f>IFERROR(SMALL(E191:E559,ROW()-ROW($E$562)+1),"")</f>
        <v>0</v>
      </c>
      <c r="F754">
        <f>IFERROR(SMALL(F191:F559,ROW()-ROW($F$562)+1),"")</f>
        <v>0</v>
      </c>
      <c r="G754">
        <f>IFERROR(SMALL(G191:G559,ROW()-ROW($G$562)+1),"")</f>
        <v>0</v>
      </c>
      <c r="H754">
        <f>IFERROR(SMALL(H191:H559,ROW()-ROW($H$562)+1),"")</f>
        <v>0</v>
      </c>
      <c r="K754">
        <f>IFERROR(SMALL(K191:K559,ROW()-ROW($K$562)+1),"")</f>
        <v>0</v>
      </c>
      <c r="L754">
        <f>IFERROR(SMALL(L191:L559,ROW()-ROW($L$562)+1),"")</f>
        <v>0</v>
      </c>
      <c r="M754">
        <f>IFERROR(SMALL(M191:M559,ROW()-ROW($M$562)+1),"")</f>
        <v>0</v>
      </c>
      <c r="N754">
        <f>IFERROR(SMALL(N191:N559,ROW()-ROW($N$562)+1),"")</f>
        <v>0</v>
      </c>
    </row>
    <row r="755" spans="5:14">
      <c r="E755">
        <f>IFERROR(SMALL(E191:E559,ROW()-ROW($E$562)+1),"")</f>
        <v>0</v>
      </c>
      <c r="F755">
        <f>IFERROR(SMALL(F191:F559,ROW()-ROW($F$562)+1),"")</f>
        <v>0</v>
      </c>
      <c r="G755">
        <f>IFERROR(SMALL(G191:G559,ROW()-ROW($G$562)+1),"")</f>
        <v>0</v>
      </c>
      <c r="H755">
        <f>IFERROR(SMALL(H191:H559,ROW()-ROW($H$562)+1),"")</f>
        <v>0</v>
      </c>
      <c r="K755">
        <f>IFERROR(SMALL(K191:K559,ROW()-ROW($K$562)+1),"")</f>
        <v>0</v>
      </c>
      <c r="L755">
        <f>IFERROR(SMALL(L191:L559,ROW()-ROW($L$562)+1),"")</f>
        <v>0</v>
      </c>
      <c r="M755">
        <f>IFERROR(SMALL(M191:M559,ROW()-ROW($M$562)+1),"")</f>
        <v>0</v>
      </c>
      <c r="N755">
        <f>IFERROR(SMALL(N191:N559,ROW()-ROW($N$562)+1),"")</f>
        <v>0</v>
      </c>
    </row>
    <row r="756" spans="5:14">
      <c r="E756">
        <f>IFERROR(SMALL(E191:E559,ROW()-ROW($E$562)+1),"")</f>
        <v>0</v>
      </c>
      <c r="F756">
        <f>IFERROR(SMALL(F191:F559,ROW()-ROW($F$562)+1),"")</f>
        <v>0</v>
      </c>
      <c r="G756">
        <f>IFERROR(SMALL(G191:G559,ROW()-ROW($G$562)+1),"")</f>
        <v>0</v>
      </c>
      <c r="H756">
        <f>IFERROR(SMALL(H191:H559,ROW()-ROW($H$562)+1),"")</f>
        <v>0</v>
      </c>
      <c r="K756">
        <f>IFERROR(SMALL(K191:K559,ROW()-ROW($K$562)+1),"")</f>
        <v>0</v>
      </c>
      <c r="L756">
        <f>IFERROR(SMALL(L191:L559,ROW()-ROW($L$562)+1),"")</f>
        <v>0</v>
      </c>
      <c r="M756">
        <f>IFERROR(SMALL(M191:M559,ROW()-ROW($M$562)+1),"")</f>
        <v>0</v>
      </c>
      <c r="N756">
        <f>IFERROR(SMALL(N191:N559,ROW()-ROW($N$562)+1),"")</f>
        <v>0</v>
      </c>
    </row>
    <row r="757" spans="5:14">
      <c r="E757">
        <f>IFERROR(SMALL(E191:E559,ROW()-ROW($E$562)+1),"")</f>
        <v>0</v>
      </c>
      <c r="F757">
        <f>IFERROR(SMALL(F191:F559,ROW()-ROW($F$562)+1),"")</f>
        <v>0</v>
      </c>
      <c r="G757">
        <f>IFERROR(SMALL(G191:G559,ROW()-ROW($G$562)+1),"")</f>
        <v>0</v>
      </c>
      <c r="H757">
        <f>IFERROR(SMALL(H191:H559,ROW()-ROW($H$562)+1),"")</f>
        <v>0</v>
      </c>
      <c r="K757">
        <f>IFERROR(SMALL(K191:K559,ROW()-ROW($K$562)+1),"")</f>
        <v>0</v>
      </c>
      <c r="L757">
        <f>IFERROR(SMALL(L191:L559,ROW()-ROW($L$562)+1),"")</f>
        <v>0</v>
      </c>
      <c r="M757">
        <f>IFERROR(SMALL(M191:M559,ROW()-ROW($M$562)+1),"")</f>
        <v>0</v>
      </c>
      <c r="N757">
        <f>IFERROR(SMALL(N191:N559,ROW()-ROW($N$562)+1),"")</f>
        <v>0</v>
      </c>
    </row>
    <row r="758" spans="5:14">
      <c r="E758">
        <f>IFERROR(SMALL(E191:E559,ROW()-ROW($E$562)+1),"")</f>
        <v>0</v>
      </c>
      <c r="F758">
        <f>IFERROR(SMALL(F191:F559,ROW()-ROW($F$562)+1),"")</f>
        <v>0</v>
      </c>
      <c r="G758">
        <f>IFERROR(SMALL(G191:G559,ROW()-ROW($G$562)+1),"")</f>
        <v>0</v>
      </c>
      <c r="H758">
        <f>IFERROR(SMALL(H191:H559,ROW()-ROW($H$562)+1),"")</f>
        <v>0</v>
      </c>
      <c r="K758">
        <f>IFERROR(SMALL(K191:K559,ROW()-ROW($K$562)+1),"")</f>
        <v>0</v>
      </c>
      <c r="L758">
        <f>IFERROR(SMALL(L191:L559,ROW()-ROW($L$562)+1),"")</f>
        <v>0</v>
      </c>
      <c r="M758">
        <f>IFERROR(SMALL(M191:M559,ROW()-ROW($M$562)+1),"")</f>
        <v>0</v>
      </c>
      <c r="N758">
        <f>IFERROR(SMALL(N191:N559,ROW()-ROW($N$562)+1),"")</f>
        <v>0</v>
      </c>
    </row>
    <row r="759" spans="5:14">
      <c r="E759">
        <f>IFERROR(SMALL(E191:E559,ROW()-ROW($E$562)+1),"")</f>
        <v>0</v>
      </c>
      <c r="F759">
        <f>IFERROR(SMALL(F191:F559,ROW()-ROW($F$562)+1),"")</f>
        <v>0</v>
      </c>
      <c r="G759">
        <f>IFERROR(SMALL(G191:G559,ROW()-ROW($G$562)+1),"")</f>
        <v>0</v>
      </c>
      <c r="H759">
        <f>IFERROR(SMALL(H191:H559,ROW()-ROW($H$562)+1),"")</f>
        <v>0</v>
      </c>
      <c r="K759">
        <f>IFERROR(SMALL(K191:K559,ROW()-ROW($K$562)+1),"")</f>
        <v>0</v>
      </c>
      <c r="L759">
        <f>IFERROR(SMALL(L191:L559,ROW()-ROW($L$562)+1),"")</f>
        <v>0</v>
      </c>
      <c r="M759">
        <f>IFERROR(SMALL(M191:M559,ROW()-ROW($M$562)+1),"")</f>
        <v>0</v>
      </c>
      <c r="N759">
        <f>IFERROR(SMALL(N191:N559,ROW()-ROW($N$562)+1),"")</f>
        <v>0</v>
      </c>
    </row>
    <row r="760" spans="5:14">
      <c r="E760">
        <f>IFERROR(SMALL(E191:E559,ROW()-ROW($E$562)+1),"")</f>
        <v>0</v>
      </c>
      <c r="F760">
        <f>IFERROR(SMALL(F191:F559,ROW()-ROW($F$562)+1),"")</f>
        <v>0</v>
      </c>
      <c r="G760">
        <f>IFERROR(SMALL(G191:G559,ROW()-ROW($G$562)+1),"")</f>
        <v>0</v>
      </c>
      <c r="H760">
        <f>IFERROR(SMALL(H191:H559,ROW()-ROW($H$562)+1),"")</f>
        <v>0</v>
      </c>
      <c r="K760">
        <f>IFERROR(SMALL(K191:K559,ROW()-ROW($K$562)+1),"")</f>
        <v>0</v>
      </c>
      <c r="L760">
        <f>IFERROR(SMALL(L191:L559,ROW()-ROW($L$562)+1),"")</f>
        <v>0</v>
      </c>
      <c r="M760">
        <f>IFERROR(SMALL(M191:M559,ROW()-ROW($M$562)+1),"")</f>
        <v>0</v>
      </c>
      <c r="N760">
        <f>IFERROR(SMALL(N191:N559,ROW()-ROW($N$562)+1),"")</f>
        <v>0</v>
      </c>
    </row>
    <row r="761" spans="5:14">
      <c r="E761">
        <f>IFERROR(SMALL(E191:E559,ROW()-ROW($E$562)+1),"")</f>
        <v>0</v>
      </c>
      <c r="F761">
        <f>IFERROR(SMALL(F191:F559,ROW()-ROW($F$562)+1),"")</f>
        <v>0</v>
      </c>
      <c r="G761">
        <f>IFERROR(SMALL(G191:G559,ROW()-ROW($G$562)+1),"")</f>
        <v>0</v>
      </c>
      <c r="H761">
        <f>IFERROR(SMALL(H191:H559,ROW()-ROW($H$562)+1),"")</f>
        <v>0</v>
      </c>
      <c r="K761">
        <f>IFERROR(SMALL(K191:K559,ROW()-ROW($K$562)+1),"")</f>
        <v>0</v>
      </c>
      <c r="L761">
        <f>IFERROR(SMALL(L191:L559,ROW()-ROW($L$562)+1),"")</f>
        <v>0</v>
      </c>
      <c r="M761">
        <f>IFERROR(SMALL(M191:M559,ROW()-ROW($M$562)+1),"")</f>
        <v>0</v>
      </c>
      <c r="N761">
        <f>IFERROR(SMALL(N191:N559,ROW()-ROW($N$562)+1),"")</f>
        <v>0</v>
      </c>
    </row>
    <row r="762" spans="5:14">
      <c r="E762">
        <f>IFERROR(SMALL(E191:E559,ROW()-ROW($E$562)+1),"")</f>
        <v>0</v>
      </c>
      <c r="F762">
        <f>IFERROR(SMALL(F191:F559,ROW()-ROW($F$562)+1),"")</f>
        <v>0</v>
      </c>
      <c r="G762">
        <f>IFERROR(SMALL(G191:G559,ROW()-ROW($G$562)+1),"")</f>
        <v>0</v>
      </c>
      <c r="H762">
        <f>IFERROR(SMALL(H191:H559,ROW()-ROW($H$562)+1),"")</f>
        <v>0</v>
      </c>
      <c r="K762">
        <f>IFERROR(SMALL(K191:K559,ROW()-ROW($K$562)+1),"")</f>
        <v>0</v>
      </c>
      <c r="L762">
        <f>IFERROR(SMALL(L191:L559,ROW()-ROW($L$562)+1),"")</f>
        <v>0</v>
      </c>
      <c r="M762">
        <f>IFERROR(SMALL(M191:M559,ROW()-ROW($M$562)+1),"")</f>
        <v>0</v>
      </c>
      <c r="N762">
        <f>IFERROR(SMALL(N191:N559,ROW()-ROW($N$562)+1),"")</f>
        <v>0</v>
      </c>
    </row>
    <row r="763" spans="5:14">
      <c r="E763">
        <f>IFERROR(SMALL(E191:E559,ROW()-ROW($E$562)+1),"")</f>
        <v>0</v>
      </c>
      <c r="F763">
        <f>IFERROR(SMALL(F191:F559,ROW()-ROW($F$562)+1),"")</f>
        <v>0</v>
      </c>
      <c r="G763">
        <f>IFERROR(SMALL(G191:G559,ROW()-ROW($G$562)+1),"")</f>
        <v>0</v>
      </c>
      <c r="H763">
        <f>IFERROR(SMALL(H191:H559,ROW()-ROW($H$562)+1),"")</f>
        <v>0</v>
      </c>
      <c r="K763">
        <f>IFERROR(SMALL(K191:K559,ROW()-ROW($K$562)+1),"")</f>
        <v>0</v>
      </c>
      <c r="L763">
        <f>IFERROR(SMALL(L191:L559,ROW()-ROW($L$562)+1),"")</f>
        <v>0</v>
      </c>
      <c r="M763">
        <f>IFERROR(SMALL(M191:M559,ROW()-ROW($M$562)+1),"")</f>
        <v>0</v>
      </c>
      <c r="N763">
        <f>IFERROR(SMALL(N191:N559,ROW()-ROW($N$562)+1),"")</f>
        <v>0</v>
      </c>
    </row>
    <row r="764" spans="5:14">
      <c r="E764">
        <f>IFERROR(SMALL(E191:E559,ROW()-ROW($E$562)+1),"")</f>
        <v>0</v>
      </c>
      <c r="F764">
        <f>IFERROR(SMALL(F191:F559,ROW()-ROW($F$562)+1),"")</f>
        <v>0</v>
      </c>
      <c r="G764">
        <f>IFERROR(SMALL(G191:G559,ROW()-ROW($G$562)+1),"")</f>
        <v>0</v>
      </c>
      <c r="H764">
        <f>IFERROR(SMALL(H191:H559,ROW()-ROW($H$562)+1),"")</f>
        <v>0</v>
      </c>
      <c r="K764">
        <f>IFERROR(SMALL(K191:K559,ROW()-ROW($K$562)+1),"")</f>
        <v>0</v>
      </c>
      <c r="L764">
        <f>IFERROR(SMALL(L191:L559,ROW()-ROW($L$562)+1),"")</f>
        <v>0</v>
      </c>
      <c r="M764">
        <f>IFERROR(SMALL(M191:M559,ROW()-ROW($M$562)+1),"")</f>
        <v>0</v>
      </c>
      <c r="N764">
        <f>IFERROR(SMALL(N191:N559,ROW()-ROW($N$562)+1),"")</f>
        <v>0</v>
      </c>
    </row>
    <row r="765" spans="5:14">
      <c r="E765">
        <f>IFERROR(SMALL(E191:E559,ROW()-ROW($E$562)+1),"")</f>
        <v>0</v>
      </c>
      <c r="F765">
        <f>IFERROR(SMALL(F191:F559,ROW()-ROW($F$562)+1),"")</f>
        <v>0</v>
      </c>
      <c r="G765">
        <f>IFERROR(SMALL(G191:G559,ROW()-ROW($G$562)+1),"")</f>
        <v>0</v>
      </c>
      <c r="H765">
        <f>IFERROR(SMALL(H191:H559,ROW()-ROW($H$562)+1),"")</f>
        <v>0</v>
      </c>
      <c r="K765">
        <f>IFERROR(SMALL(K191:K559,ROW()-ROW($K$562)+1),"")</f>
        <v>0</v>
      </c>
      <c r="L765">
        <f>IFERROR(SMALL(L191:L559,ROW()-ROW($L$562)+1),"")</f>
        <v>0</v>
      </c>
      <c r="M765">
        <f>IFERROR(SMALL(M191:M559,ROW()-ROW($M$562)+1),"")</f>
        <v>0</v>
      </c>
      <c r="N765">
        <f>IFERROR(SMALL(N191:N559,ROW()-ROW($N$562)+1),"")</f>
        <v>0</v>
      </c>
    </row>
    <row r="766" spans="5:14">
      <c r="E766">
        <f>IFERROR(SMALL(E191:E559,ROW()-ROW($E$562)+1),"")</f>
        <v>0</v>
      </c>
      <c r="F766">
        <f>IFERROR(SMALL(F191:F559,ROW()-ROW($F$562)+1),"")</f>
        <v>0</v>
      </c>
      <c r="G766">
        <f>IFERROR(SMALL(G191:G559,ROW()-ROW($G$562)+1),"")</f>
        <v>0</v>
      </c>
      <c r="H766">
        <f>IFERROR(SMALL(H191:H559,ROW()-ROW($H$562)+1),"")</f>
        <v>0</v>
      </c>
      <c r="K766">
        <f>IFERROR(SMALL(K191:K559,ROW()-ROW($K$562)+1),"")</f>
        <v>0</v>
      </c>
      <c r="L766">
        <f>IFERROR(SMALL(L191:L559,ROW()-ROW($L$562)+1),"")</f>
        <v>0</v>
      </c>
      <c r="M766">
        <f>IFERROR(SMALL(M191:M559,ROW()-ROW($M$562)+1),"")</f>
        <v>0</v>
      </c>
      <c r="N766">
        <f>IFERROR(SMALL(N191:N559,ROW()-ROW($N$562)+1),"")</f>
        <v>0</v>
      </c>
    </row>
    <row r="767" spans="5:14">
      <c r="E767">
        <f>IFERROR(SMALL(E191:E559,ROW()-ROW($E$562)+1),"")</f>
        <v>0</v>
      </c>
      <c r="F767">
        <f>IFERROR(SMALL(F191:F559,ROW()-ROW($F$562)+1),"")</f>
        <v>0</v>
      </c>
      <c r="G767">
        <f>IFERROR(SMALL(G191:G559,ROW()-ROW($G$562)+1),"")</f>
        <v>0</v>
      </c>
      <c r="H767">
        <f>IFERROR(SMALL(H191:H559,ROW()-ROW($H$562)+1),"")</f>
        <v>0</v>
      </c>
      <c r="K767">
        <f>IFERROR(SMALL(K191:K559,ROW()-ROW($K$562)+1),"")</f>
        <v>0</v>
      </c>
      <c r="L767">
        <f>IFERROR(SMALL(L191:L559,ROW()-ROW($L$562)+1),"")</f>
        <v>0</v>
      </c>
      <c r="M767">
        <f>IFERROR(SMALL(M191:M559,ROW()-ROW($M$562)+1),"")</f>
        <v>0</v>
      </c>
      <c r="N767">
        <f>IFERROR(SMALL(N191:N559,ROW()-ROW($N$562)+1),"")</f>
        <v>0</v>
      </c>
    </row>
    <row r="768" spans="5:14">
      <c r="E768">
        <f>IFERROR(SMALL(E191:E559,ROW()-ROW($E$562)+1),"")</f>
        <v>0</v>
      </c>
      <c r="F768">
        <f>IFERROR(SMALL(F191:F559,ROW()-ROW($F$562)+1),"")</f>
        <v>0</v>
      </c>
      <c r="G768">
        <f>IFERROR(SMALL(G191:G559,ROW()-ROW($G$562)+1),"")</f>
        <v>0</v>
      </c>
      <c r="H768">
        <f>IFERROR(SMALL(H191:H559,ROW()-ROW($H$562)+1),"")</f>
        <v>0</v>
      </c>
      <c r="K768">
        <f>IFERROR(SMALL(K191:K559,ROW()-ROW($K$562)+1),"")</f>
        <v>0</v>
      </c>
      <c r="L768">
        <f>IFERROR(SMALL(L191:L559,ROW()-ROW($L$562)+1),"")</f>
        <v>0</v>
      </c>
      <c r="M768">
        <f>IFERROR(SMALL(M191:M559,ROW()-ROW($M$562)+1),"")</f>
        <v>0</v>
      </c>
      <c r="N768">
        <f>IFERROR(SMALL(N191:N559,ROW()-ROW($N$562)+1),"")</f>
        <v>0</v>
      </c>
    </row>
    <row r="769" spans="5:14">
      <c r="E769">
        <f>IFERROR(SMALL(E191:E559,ROW()-ROW($E$562)+1),"")</f>
        <v>0</v>
      </c>
      <c r="F769">
        <f>IFERROR(SMALL(F191:F559,ROW()-ROW($F$562)+1),"")</f>
        <v>0</v>
      </c>
      <c r="G769">
        <f>IFERROR(SMALL(G191:G559,ROW()-ROW($G$562)+1),"")</f>
        <v>0</v>
      </c>
      <c r="H769">
        <f>IFERROR(SMALL(H191:H559,ROW()-ROW($H$562)+1),"")</f>
        <v>0</v>
      </c>
      <c r="K769">
        <f>IFERROR(SMALL(K191:K559,ROW()-ROW($K$562)+1),"")</f>
        <v>0</v>
      </c>
      <c r="L769">
        <f>IFERROR(SMALL(L191:L559,ROW()-ROW($L$562)+1),"")</f>
        <v>0</v>
      </c>
      <c r="M769">
        <f>IFERROR(SMALL(M191:M559,ROW()-ROW($M$562)+1),"")</f>
        <v>0</v>
      </c>
      <c r="N769">
        <f>IFERROR(SMALL(N191:N559,ROW()-ROW($N$562)+1),"")</f>
        <v>0</v>
      </c>
    </row>
    <row r="770" spans="5:14">
      <c r="E770">
        <f>IFERROR(SMALL(E191:E559,ROW()-ROW($E$562)+1),"")</f>
        <v>0</v>
      </c>
      <c r="F770">
        <f>IFERROR(SMALL(F191:F559,ROW()-ROW($F$562)+1),"")</f>
        <v>0</v>
      </c>
      <c r="G770">
        <f>IFERROR(SMALL(G191:G559,ROW()-ROW($G$562)+1),"")</f>
        <v>0</v>
      </c>
      <c r="H770">
        <f>IFERROR(SMALL(H191:H559,ROW()-ROW($H$562)+1),"")</f>
        <v>0</v>
      </c>
      <c r="K770">
        <f>IFERROR(SMALL(K191:K559,ROW()-ROW($K$562)+1),"")</f>
        <v>0</v>
      </c>
      <c r="L770">
        <f>IFERROR(SMALL(L191:L559,ROW()-ROW($L$562)+1),"")</f>
        <v>0</v>
      </c>
      <c r="M770">
        <f>IFERROR(SMALL(M191:M559,ROW()-ROW($M$562)+1),"")</f>
        <v>0</v>
      </c>
      <c r="N770">
        <f>IFERROR(SMALL(N191:N559,ROW()-ROW($N$562)+1),"")</f>
        <v>0</v>
      </c>
    </row>
    <row r="771" spans="5:14">
      <c r="E771">
        <f>IFERROR(SMALL(E191:E559,ROW()-ROW($E$562)+1),"")</f>
        <v>0</v>
      </c>
      <c r="F771">
        <f>IFERROR(SMALL(F191:F559,ROW()-ROW($F$562)+1),"")</f>
        <v>0</v>
      </c>
      <c r="G771">
        <f>IFERROR(SMALL(G191:G559,ROW()-ROW($G$562)+1),"")</f>
        <v>0</v>
      </c>
      <c r="H771">
        <f>IFERROR(SMALL(H191:H559,ROW()-ROW($H$562)+1),"")</f>
        <v>0</v>
      </c>
      <c r="K771">
        <f>IFERROR(SMALL(K191:K559,ROW()-ROW($K$562)+1),"")</f>
        <v>0</v>
      </c>
      <c r="L771">
        <f>IFERROR(SMALL(L191:L559,ROW()-ROW($L$562)+1),"")</f>
        <v>0</v>
      </c>
      <c r="M771">
        <f>IFERROR(SMALL(M191:M559,ROW()-ROW($M$562)+1),"")</f>
        <v>0</v>
      </c>
      <c r="N771">
        <f>IFERROR(SMALL(N191:N559,ROW()-ROW($N$562)+1),"")</f>
        <v>0</v>
      </c>
    </row>
    <row r="772" spans="5:14">
      <c r="E772">
        <f>IFERROR(SMALL(E191:E559,ROW()-ROW($E$562)+1),"")</f>
        <v>0</v>
      </c>
      <c r="F772">
        <f>IFERROR(SMALL(F191:F559,ROW()-ROW($F$562)+1),"")</f>
        <v>0</v>
      </c>
      <c r="G772">
        <f>IFERROR(SMALL(G191:G559,ROW()-ROW($G$562)+1),"")</f>
        <v>0</v>
      </c>
      <c r="H772">
        <f>IFERROR(SMALL(H191:H559,ROW()-ROW($H$562)+1),"")</f>
        <v>0</v>
      </c>
      <c r="K772">
        <f>IFERROR(SMALL(K191:K559,ROW()-ROW($K$562)+1),"")</f>
        <v>0</v>
      </c>
      <c r="L772">
        <f>IFERROR(SMALL(L191:L559,ROW()-ROW($L$562)+1),"")</f>
        <v>0</v>
      </c>
      <c r="M772">
        <f>IFERROR(SMALL(M191:M559,ROW()-ROW($M$562)+1),"")</f>
        <v>0</v>
      </c>
      <c r="N772">
        <f>IFERROR(SMALL(N191:N559,ROW()-ROW($N$562)+1),"")</f>
        <v>0</v>
      </c>
    </row>
    <row r="773" spans="5:14">
      <c r="E773">
        <f>IFERROR(SMALL(E191:E559,ROW()-ROW($E$562)+1),"")</f>
        <v>0</v>
      </c>
      <c r="F773">
        <f>IFERROR(SMALL(F191:F559,ROW()-ROW($F$562)+1),"")</f>
        <v>0</v>
      </c>
      <c r="G773">
        <f>IFERROR(SMALL(G191:G559,ROW()-ROW($G$562)+1),"")</f>
        <v>0</v>
      </c>
      <c r="H773">
        <f>IFERROR(SMALL(H191:H559,ROW()-ROW($H$562)+1),"")</f>
        <v>0</v>
      </c>
      <c r="K773">
        <f>IFERROR(SMALL(K191:K559,ROW()-ROW($K$562)+1),"")</f>
        <v>0</v>
      </c>
      <c r="L773">
        <f>IFERROR(SMALL(L191:L559,ROW()-ROW($L$562)+1),"")</f>
        <v>0</v>
      </c>
      <c r="M773">
        <f>IFERROR(SMALL(M191:M559,ROW()-ROW($M$562)+1),"")</f>
        <v>0</v>
      </c>
      <c r="N773">
        <f>IFERROR(SMALL(N191:N559,ROW()-ROW($N$562)+1),"")</f>
        <v>0</v>
      </c>
    </row>
    <row r="774" spans="5:14">
      <c r="E774">
        <f>IFERROR(SMALL(E191:E559,ROW()-ROW($E$562)+1),"")</f>
        <v>0</v>
      </c>
      <c r="F774">
        <f>IFERROR(SMALL(F191:F559,ROW()-ROW($F$562)+1),"")</f>
        <v>0</v>
      </c>
      <c r="G774">
        <f>IFERROR(SMALL(G191:G559,ROW()-ROW($G$562)+1),"")</f>
        <v>0</v>
      </c>
      <c r="H774">
        <f>IFERROR(SMALL(H191:H559,ROW()-ROW($H$562)+1),"")</f>
        <v>0</v>
      </c>
      <c r="K774">
        <f>IFERROR(SMALL(K191:K559,ROW()-ROW($K$562)+1),"")</f>
        <v>0</v>
      </c>
      <c r="L774">
        <f>IFERROR(SMALL(L191:L559,ROW()-ROW($L$562)+1),"")</f>
        <v>0</v>
      </c>
      <c r="M774">
        <f>IFERROR(SMALL(M191:M559,ROW()-ROW($M$562)+1),"")</f>
        <v>0</v>
      </c>
      <c r="N774">
        <f>IFERROR(SMALL(N191:N559,ROW()-ROW($N$562)+1),"")</f>
        <v>0</v>
      </c>
    </row>
    <row r="775" spans="5:14">
      <c r="E775">
        <f>IFERROR(SMALL(E191:E559,ROW()-ROW($E$562)+1),"")</f>
        <v>0</v>
      </c>
      <c r="F775">
        <f>IFERROR(SMALL(F191:F559,ROW()-ROW($F$562)+1),"")</f>
        <v>0</v>
      </c>
      <c r="G775">
        <f>IFERROR(SMALL(G191:G559,ROW()-ROW($G$562)+1),"")</f>
        <v>0</v>
      </c>
      <c r="H775">
        <f>IFERROR(SMALL(H191:H559,ROW()-ROW($H$562)+1),"")</f>
        <v>0</v>
      </c>
      <c r="K775">
        <f>IFERROR(SMALL(K191:K559,ROW()-ROW($K$562)+1),"")</f>
        <v>0</v>
      </c>
      <c r="L775">
        <f>IFERROR(SMALL(L191:L559,ROW()-ROW($L$562)+1),"")</f>
        <v>0</v>
      </c>
      <c r="M775">
        <f>IFERROR(SMALL(M191:M559,ROW()-ROW($M$562)+1),"")</f>
        <v>0</v>
      </c>
      <c r="N775">
        <f>IFERROR(SMALL(N191:N559,ROW()-ROW($N$562)+1),"")</f>
        <v>0</v>
      </c>
    </row>
    <row r="776" spans="5:14">
      <c r="E776">
        <f>IFERROR(SMALL(E191:E559,ROW()-ROW($E$562)+1),"")</f>
        <v>0</v>
      </c>
      <c r="F776">
        <f>IFERROR(SMALL(F191:F559,ROW()-ROW($F$562)+1),"")</f>
        <v>0</v>
      </c>
      <c r="G776">
        <f>IFERROR(SMALL(G191:G559,ROW()-ROW($G$562)+1),"")</f>
        <v>0</v>
      </c>
      <c r="H776">
        <f>IFERROR(SMALL(H191:H559,ROW()-ROW($H$562)+1),"")</f>
        <v>0</v>
      </c>
      <c r="K776">
        <f>IFERROR(SMALL(K191:K559,ROW()-ROW($K$562)+1),"")</f>
        <v>0</v>
      </c>
      <c r="L776">
        <f>IFERROR(SMALL(L191:L559,ROW()-ROW($L$562)+1),"")</f>
        <v>0</v>
      </c>
      <c r="M776">
        <f>IFERROR(SMALL(M191:M559,ROW()-ROW($M$562)+1),"")</f>
        <v>0</v>
      </c>
      <c r="N776">
        <f>IFERROR(SMALL(N191:N559,ROW()-ROW($N$562)+1),"")</f>
        <v>0</v>
      </c>
    </row>
    <row r="777" spans="5:14">
      <c r="E777">
        <f>IFERROR(SMALL(E191:E559,ROW()-ROW($E$562)+1),"")</f>
        <v>0</v>
      </c>
      <c r="F777">
        <f>IFERROR(SMALL(F191:F559,ROW()-ROW($F$562)+1),"")</f>
        <v>0</v>
      </c>
      <c r="G777">
        <f>IFERROR(SMALL(G191:G559,ROW()-ROW($G$562)+1),"")</f>
        <v>0</v>
      </c>
      <c r="H777">
        <f>IFERROR(SMALL(H191:H559,ROW()-ROW($H$562)+1),"")</f>
        <v>0</v>
      </c>
      <c r="K777">
        <f>IFERROR(SMALL(K191:K559,ROW()-ROW($K$562)+1),"")</f>
        <v>0</v>
      </c>
      <c r="L777">
        <f>IFERROR(SMALL(L191:L559,ROW()-ROW($L$562)+1),"")</f>
        <v>0</v>
      </c>
      <c r="M777">
        <f>IFERROR(SMALL(M191:M559,ROW()-ROW($M$562)+1),"")</f>
        <v>0</v>
      </c>
      <c r="N777">
        <f>IFERROR(SMALL(N191:N559,ROW()-ROW($N$562)+1),"")</f>
        <v>0</v>
      </c>
    </row>
    <row r="778" spans="5:14">
      <c r="E778">
        <f>IFERROR(SMALL(E191:E559,ROW()-ROW($E$562)+1),"")</f>
        <v>0</v>
      </c>
      <c r="F778">
        <f>IFERROR(SMALL(F191:F559,ROW()-ROW($F$562)+1),"")</f>
        <v>0</v>
      </c>
      <c r="G778">
        <f>IFERROR(SMALL(G191:G559,ROW()-ROW($G$562)+1),"")</f>
        <v>0</v>
      </c>
      <c r="H778">
        <f>IFERROR(SMALL(H191:H559,ROW()-ROW($H$562)+1),"")</f>
        <v>0</v>
      </c>
      <c r="K778">
        <f>IFERROR(SMALL(K191:K559,ROW()-ROW($K$562)+1),"")</f>
        <v>0</v>
      </c>
      <c r="L778">
        <f>IFERROR(SMALL(L191:L559,ROW()-ROW($L$562)+1),"")</f>
        <v>0</v>
      </c>
      <c r="M778">
        <f>IFERROR(SMALL(M191:M559,ROW()-ROW($M$562)+1),"")</f>
        <v>0</v>
      </c>
      <c r="N778">
        <f>IFERROR(SMALL(N191:N559,ROW()-ROW($N$562)+1),"")</f>
        <v>0</v>
      </c>
    </row>
    <row r="779" spans="5:14">
      <c r="E779">
        <f>IFERROR(SMALL(E191:E559,ROW()-ROW($E$562)+1),"")</f>
        <v>0</v>
      </c>
      <c r="F779">
        <f>IFERROR(SMALL(F191:F559,ROW()-ROW($F$562)+1),"")</f>
        <v>0</v>
      </c>
      <c r="G779">
        <f>IFERROR(SMALL(G191:G559,ROW()-ROW($G$562)+1),"")</f>
        <v>0</v>
      </c>
      <c r="H779">
        <f>IFERROR(SMALL(H191:H559,ROW()-ROW($H$562)+1),"")</f>
        <v>0</v>
      </c>
      <c r="K779">
        <f>IFERROR(SMALL(K191:K559,ROW()-ROW($K$562)+1),"")</f>
        <v>0</v>
      </c>
      <c r="L779">
        <f>IFERROR(SMALL(L191:L559,ROW()-ROW($L$562)+1),"")</f>
        <v>0</v>
      </c>
      <c r="M779">
        <f>IFERROR(SMALL(M191:M559,ROW()-ROW($M$562)+1),"")</f>
        <v>0</v>
      </c>
      <c r="N779">
        <f>IFERROR(SMALL(N191:N559,ROW()-ROW($N$562)+1),"")</f>
        <v>0</v>
      </c>
    </row>
    <row r="780" spans="5:14">
      <c r="E780">
        <f>IFERROR(SMALL(E191:E559,ROW()-ROW($E$562)+1),"")</f>
        <v>0</v>
      </c>
      <c r="F780">
        <f>IFERROR(SMALL(F191:F559,ROW()-ROW($F$562)+1),"")</f>
        <v>0</v>
      </c>
      <c r="G780">
        <f>IFERROR(SMALL(G191:G559,ROW()-ROW($G$562)+1),"")</f>
        <v>0</v>
      </c>
      <c r="H780">
        <f>IFERROR(SMALL(H191:H559,ROW()-ROW($H$562)+1),"")</f>
        <v>0</v>
      </c>
      <c r="K780">
        <f>IFERROR(SMALL(K191:K559,ROW()-ROW($K$562)+1),"")</f>
        <v>0</v>
      </c>
      <c r="L780">
        <f>IFERROR(SMALL(L191:L559,ROW()-ROW($L$562)+1),"")</f>
        <v>0</v>
      </c>
      <c r="M780">
        <f>IFERROR(SMALL(M191:M559,ROW()-ROW($M$562)+1),"")</f>
        <v>0</v>
      </c>
      <c r="N780">
        <f>IFERROR(SMALL(N191:N559,ROW()-ROW($N$562)+1),"")</f>
        <v>0</v>
      </c>
    </row>
    <row r="781" spans="5:14">
      <c r="E781">
        <f>IFERROR(SMALL(E191:E559,ROW()-ROW($E$562)+1),"")</f>
        <v>0</v>
      </c>
      <c r="F781">
        <f>IFERROR(SMALL(F191:F559,ROW()-ROW($F$562)+1),"")</f>
        <v>0</v>
      </c>
      <c r="G781">
        <f>IFERROR(SMALL(G191:G559,ROW()-ROW($G$562)+1),"")</f>
        <v>0</v>
      </c>
      <c r="H781">
        <f>IFERROR(SMALL(H191:H559,ROW()-ROW($H$562)+1),"")</f>
        <v>0</v>
      </c>
      <c r="K781">
        <f>IFERROR(SMALL(K191:K559,ROW()-ROW($K$562)+1),"")</f>
        <v>0</v>
      </c>
      <c r="L781">
        <f>IFERROR(SMALL(L191:L559,ROW()-ROW($L$562)+1),"")</f>
        <v>0</v>
      </c>
      <c r="M781">
        <f>IFERROR(SMALL(M191:M559,ROW()-ROW($M$562)+1),"")</f>
        <v>0</v>
      </c>
      <c r="N781">
        <f>IFERROR(SMALL(N191:N559,ROW()-ROW($N$562)+1),"")</f>
        <v>0</v>
      </c>
    </row>
    <row r="782" spans="5:14">
      <c r="E782">
        <f>IFERROR(SMALL(E191:E559,ROW()-ROW($E$562)+1),"")</f>
        <v>0</v>
      </c>
      <c r="F782">
        <f>IFERROR(SMALL(F191:F559,ROW()-ROW($F$562)+1),"")</f>
        <v>0</v>
      </c>
      <c r="G782">
        <f>IFERROR(SMALL(G191:G559,ROW()-ROW($G$562)+1),"")</f>
        <v>0</v>
      </c>
      <c r="H782">
        <f>IFERROR(SMALL(H191:H559,ROW()-ROW($H$562)+1),"")</f>
        <v>0</v>
      </c>
      <c r="K782">
        <f>IFERROR(SMALL(K191:K559,ROW()-ROW($K$562)+1),"")</f>
        <v>0</v>
      </c>
      <c r="L782">
        <f>IFERROR(SMALL(L191:L559,ROW()-ROW($L$562)+1),"")</f>
        <v>0</v>
      </c>
      <c r="M782">
        <f>IFERROR(SMALL(M191:M559,ROW()-ROW($M$562)+1),"")</f>
        <v>0</v>
      </c>
      <c r="N782">
        <f>IFERROR(SMALL(N191:N559,ROW()-ROW($N$562)+1),"")</f>
        <v>0</v>
      </c>
    </row>
    <row r="783" spans="5:14">
      <c r="E783">
        <f>IFERROR(SMALL(E191:E559,ROW()-ROW($E$562)+1),"")</f>
        <v>0</v>
      </c>
      <c r="F783">
        <f>IFERROR(SMALL(F191:F559,ROW()-ROW($F$562)+1),"")</f>
        <v>0</v>
      </c>
      <c r="G783">
        <f>IFERROR(SMALL(G191:G559,ROW()-ROW($G$562)+1),"")</f>
        <v>0</v>
      </c>
      <c r="H783">
        <f>IFERROR(SMALL(H191:H559,ROW()-ROW($H$562)+1),"")</f>
        <v>0</v>
      </c>
      <c r="K783">
        <f>IFERROR(SMALL(K191:K559,ROW()-ROW($K$562)+1),"")</f>
        <v>0</v>
      </c>
      <c r="L783">
        <f>IFERROR(SMALL(L191:L559,ROW()-ROW($L$562)+1),"")</f>
        <v>0</v>
      </c>
      <c r="M783">
        <f>IFERROR(SMALL(M191:M559,ROW()-ROW($M$562)+1),"")</f>
        <v>0</v>
      </c>
      <c r="N783">
        <f>IFERROR(SMALL(N191:N559,ROW()-ROW($N$562)+1),"")</f>
        <v>0</v>
      </c>
    </row>
    <row r="784" spans="5:14">
      <c r="E784">
        <f>IFERROR(SMALL(E191:E559,ROW()-ROW($E$562)+1),"")</f>
        <v>0</v>
      </c>
      <c r="F784">
        <f>IFERROR(SMALL(F191:F559,ROW()-ROW($F$562)+1),"")</f>
        <v>0</v>
      </c>
      <c r="G784">
        <f>IFERROR(SMALL(G191:G559,ROW()-ROW($G$562)+1),"")</f>
        <v>0</v>
      </c>
      <c r="H784">
        <f>IFERROR(SMALL(H191:H559,ROW()-ROW($H$562)+1),"")</f>
        <v>0</v>
      </c>
      <c r="K784">
        <f>IFERROR(SMALL(K191:K559,ROW()-ROW($K$562)+1),"")</f>
        <v>0</v>
      </c>
      <c r="L784">
        <f>IFERROR(SMALL(L191:L559,ROW()-ROW($L$562)+1),"")</f>
        <v>0</v>
      </c>
      <c r="M784">
        <f>IFERROR(SMALL(M191:M559,ROW()-ROW($M$562)+1),"")</f>
        <v>0</v>
      </c>
      <c r="N784">
        <f>IFERROR(SMALL(N191:N559,ROW()-ROW($N$562)+1),"")</f>
        <v>0</v>
      </c>
    </row>
    <row r="785" spans="5:14">
      <c r="E785">
        <f>IFERROR(SMALL(E191:E559,ROW()-ROW($E$562)+1),"")</f>
        <v>0</v>
      </c>
      <c r="F785">
        <f>IFERROR(SMALL(F191:F559,ROW()-ROW($F$562)+1),"")</f>
        <v>0</v>
      </c>
      <c r="G785">
        <f>IFERROR(SMALL(G191:G559,ROW()-ROW($G$562)+1),"")</f>
        <v>0</v>
      </c>
      <c r="H785">
        <f>IFERROR(SMALL(H191:H559,ROW()-ROW($H$562)+1),"")</f>
        <v>0</v>
      </c>
      <c r="K785">
        <f>IFERROR(SMALL(K191:K559,ROW()-ROW($K$562)+1),"")</f>
        <v>0</v>
      </c>
      <c r="L785">
        <f>IFERROR(SMALL(L191:L559,ROW()-ROW($L$562)+1),"")</f>
        <v>0</v>
      </c>
      <c r="M785">
        <f>IFERROR(SMALL(M191:M559,ROW()-ROW($M$562)+1),"")</f>
        <v>0</v>
      </c>
      <c r="N785">
        <f>IFERROR(SMALL(N191:N559,ROW()-ROW($N$562)+1),"")</f>
        <v>0</v>
      </c>
    </row>
    <row r="786" spans="5:14">
      <c r="E786">
        <f>IFERROR(SMALL(E191:E559,ROW()-ROW($E$562)+1),"")</f>
        <v>0</v>
      </c>
      <c r="F786">
        <f>IFERROR(SMALL(F191:F559,ROW()-ROW($F$562)+1),"")</f>
        <v>0</v>
      </c>
      <c r="G786">
        <f>IFERROR(SMALL(G191:G559,ROW()-ROW($G$562)+1),"")</f>
        <v>0</v>
      </c>
      <c r="H786">
        <f>IFERROR(SMALL(H191:H559,ROW()-ROW($H$562)+1),"")</f>
        <v>0</v>
      </c>
      <c r="K786">
        <f>IFERROR(SMALL(K191:K559,ROW()-ROW($K$562)+1),"")</f>
        <v>0</v>
      </c>
      <c r="L786">
        <f>IFERROR(SMALL(L191:L559,ROW()-ROW($L$562)+1),"")</f>
        <v>0</v>
      </c>
      <c r="M786">
        <f>IFERROR(SMALL(M191:M559,ROW()-ROW($M$562)+1),"")</f>
        <v>0</v>
      </c>
      <c r="N786">
        <f>IFERROR(SMALL(N191:N559,ROW()-ROW($N$562)+1),"")</f>
        <v>0</v>
      </c>
    </row>
    <row r="787" spans="5:14">
      <c r="E787">
        <f>IFERROR(SMALL(E191:E559,ROW()-ROW($E$562)+1),"")</f>
        <v>0</v>
      </c>
      <c r="F787">
        <f>IFERROR(SMALL(F191:F559,ROW()-ROW($F$562)+1),"")</f>
        <v>0</v>
      </c>
      <c r="G787">
        <f>IFERROR(SMALL(G191:G559,ROW()-ROW($G$562)+1),"")</f>
        <v>0</v>
      </c>
      <c r="H787">
        <f>IFERROR(SMALL(H191:H559,ROW()-ROW($H$562)+1),"")</f>
        <v>0</v>
      </c>
      <c r="K787">
        <f>IFERROR(SMALL(K191:K559,ROW()-ROW($K$562)+1),"")</f>
        <v>0</v>
      </c>
      <c r="L787">
        <f>IFERROR(SMALL(L191:L559,ROW()-ROW($L$562)+1),"")</f>
        <v>0</v>
      </c>
      <c r="M787">
        <f>IFERROR(SMALL(M191:M559,ROW()-ROW($M$562)+1),"")</f>
        <v>0</v>
      </c>
      <c r="N787">
        <f>IFERROR(SMALL(N191:N559,ROW()-ROW($N$562)+1),"")</f>
        <v>0</v>
      </c>
    </row>
    <row r="788" spans="5:14">
      <c r="E788">
        <f>IFERROR(SMALL(E191:E559,ROW()-ROW($E$562)+1),"")</f>
        <v>0</v>
      </c>
      <c r="F788">
        <f>IFERROR(SMALL(F191:F559,ROW()-ROW($F$562)+1),"")</f>
        <v>0</v>
      </c>
      <c r="G788">
        <f>IFERROR(SMALL(G191:G559,ROW()-ROW($G$562)+1),"")</f>
        <v>0</v>
      </c>
      <c r="H788">
        <f>IFERROR(SMALL(H191:H559,ROW()-ROW($H$562)+1),"")</f>
        <v>0</v>
      </c>
      <c r="K788">
        <f>IFERROR(SMALL(K191:K559,ROW()-ROW($K$562)+1),"")</f>
        <v>0</v>
      </c>
      <c r="L788">
        <f>IFERROR(SMALL(L191:L559,ROW()-ROW($L$562)+1),"")</f>
        <v>0</v>
      </c>
      <c r="M788">
        <f>IFERROR(SMALL(M191:M559,ROW()-ROW($M$562)+1),"")</f>
        <v>0</v>
      </c>
      <c r="N788">
        <f>IFERROR(SMALL(N191:N559,ROW()-ROW($N$562)+1),"")</f>
        <v>0</v>
      </c>
    </row>
    <row r="789" spans="5:14">
      <c r="E789">
        <f>IFERROR(SMALL(E191:E559,ROW()-ROW($E$562)+1),"")</f>
        <v>0</v>
      </c>
      <c r="F789">
        <f>IFERROR(SMALL(F191:F559,ROW()-ROW($F$562)+1),"")</f>
        <v>0</v>
      </c>
      <c r="G789">
        <f>IFERROR(SMALL(G191:G559,ROW()-ROW($G$562)+1),"")</f>
        <v>0</v>
      </c>
      <c r="H789">
        <f>IFERROR(SMALL(H191:H559,ROW()-ROW($H$562)+1),"")</f>
        <v>0</v>
      </c>
      <c r="K789">
        <f>IFERROR(SMALL(K191:K559,ROW()-ROW($K$562)+1),"")</f>
        <v>0</v>
      </c>
      <c r="L789">
        <f>IFERROR(SMALL(L191:L559,ROW()-ROW($L$562)+1),"")</f>
        <v>0</v>
      </c>
      <c r="M789">
        <f>IFERROR(SMALL(M191:M559,ROW()-ROW($M$562)+1),"")</f>
        <v>0</v>
      </c>
      <c r="N789">
        <f>IFERROR(SMALL(N191:N559,ROW()-ROW($N$562)+1),"")</f>
        <v>0</v>
      </c>
    </row>
    <row r="790" spans="5:14">
      <c r="E790">
        <f>IFERROR(SMALL(E191:E559,ROW()-ROW($E$562)+1),"")</f>
        <v>0</v>
      </c>
      <c r="F790">
        <f>IFERROR(SMALL(F191:F559,ROW()-ROW($F$562)+1),"")</f>
        <v>0</v>
      </c>
      <c r="G790">
        <f>IFERROR(SMALL(G191:G559,ROW()-ROW($G$562)+1),"")</f>
        <v>0</v>
      </c>
      <c r="H790">
        <f>IFERROR(SMALL(H191:H559,ROW()-ROW($H$562)+1),"")</f>
        <v>0</v>
      </c>
      <c r="K790">
        <f>IFERROR(SMALL(K191:K559,ROW()-ROW($K$562)+1),"")</f>
        <v>0</v>
      </c>
      <c r="L790">
        <f>IFERROR(SMALL(L191:L559,ROW()-ROW($L$562)+1),"")</f>
        <v>0</v>
      </c>
      <c r="M790">
        <f>IFERROR(SMALL(M191:M559,ROW()-ROW($M$562)+1),"")</f>
        <v>0</v>
      </c>
      <c r="N790">
        <f>IFERROR(SMALL(N191:N559,ROW()-ROW($N$562)+1),"")</f>
        <v>0</v>
      </c>
    </row>
    <row r="791" spans="5:14">
      <c r="E791">
        <f>IFERROR(SMALL(E191:E559,ROW()-ROW($E$562)+1),"")</f>
        <v>0</v>
      </c>
      <c r="F791">
        <f>IFERROR(SMALL(F191:F559,ROW()-ROW($F$562)+1),"")</f>
        <v>0</v>
      </c>
      <c r="G791">
        <f>IFERROR(SMALL(G191:G559,ROW()-ROW($G$562)+1),"")</f>
        <v>0</v>
      </c>
      <c r="H791">
        <f>IFERROR(SMALL(H191:H559,ROW()-ROW($H$562)+1),"")</f>
        <v>0</v>
      </c>
      <c r="K791">
        <f>IFERROR(SMALL(K191:K559,ROW()-ROW($K$562)+1),"")</f>
        <v>0</v>
      </c>
      <c r="L791">
        <f>IFERROR(SMALL(L191:L559,ROW()-ROW($L$562)+1),"")</f>
        <v>0</v>
      </c>
      <c r="M791">
        <f>IFERROR(SMALL(M191:M559,ROW()-ROW($M$562)+1),"")</f>
        <v>0</v>
      </c>
      <c r="N791">
        <f>IFERROR(SMALL(N191:N559,ROW()-ROW($N$562)+1),"")</f>
        <v>0</v>
      </c>
    </row>
    <row r="792" spans="5:14">
      <c r="E792">
        <f>IFERROR(SMALL(E191:E559,ROW()-ROW($E$562)+1),"")</f>
        <v>0</v>
      </c>
      <c r="F792">
        <f>IFERROR(SMALL(F191:F559,ROW()-ROW($F$562)+1),"")</f>
        <v>0</v>
      </c>
      <c r="G792">
        <f>IFERROR(SMALL(G191:G559,ROW()-ROW($G$562)+1),"")</f>
        <v>0</v>
      </c>
      <c r="H792">
        <f>IFERROR(SMALL(H191:H559,ROW()-ROW($H$562)+1),"")</f>
        <v>0</v>
      </c>
      <c r="K792">
        <f>IFERROR(SMALL(K191:K559,ROW()-ROW($K$562)+1),"")</f>
        <v>0</v>
      </c>
      <c r="L792">
        <f>IFERROR(SMALL(L191:L559,ROW()-ROW($L$562)+1),"")</f>
        <v>0</v>
      </c>
      <c r="M792">
        <f>IFERROR(SMALL(M191:M559,ROW()-ROW($M$562)+1),"")</f>
        <v>0</v>
      </c>
      <c r="N792">
        <f>IFERROR(SMALL(N191:N559,ROW()-ROW($N$562)+1),"")</f>
        <v>0</v>
      </c>
    </row>
    <row r="793" spans="5:14">
      <c r="E793">
        <f>IFERROR(SMALL(E191:E559,ROW()-ROW($E$562)+1),"")</f>
        <v>0</v>
      </c>
      <c r="F793">
        <f>IFERROR(SMALL(F191:F559,ROW()-ROW($F$562)+1),"")</f>
        <v>0</v>
      </c>
      <c r="G793">
        <f>IFERROR(SMALL(G191:G559,ROW()-ROW($G$562)+1),"")</f>
        <v>0</v>
      </c>
      <c r="H793">
        <f>IFERROR(SMALL(H191:H559,ROW()-ROW($H$562)+1),"")</f>
        <v>0</v>
      </c>
      <c r="K793">
        <f>IFERROR(SMALL(K191:K559,ROW()-ROW($K$562)+1),"")</f>
        <v>0</v>
      </c>
      <c r="L793">
        <f>IFERROR(SMALL(L191:L559,ROW()-ROW($L$562)+1),"")</f>
        <v>0</v>
      </c>
      <c r="M793">
        <f>IFERROR(SMALL(M191:M559,ROW()-ROW($M$562)+1),"")</f>
        <v>0</v>
      </c>
      <c r="N793">
        <f>IFERROR(SMALL(N191:N559,ROW()-ROW($N$562)+1),"")</f>
        <v>0</v>
      </c>
    </row>
    <row r="794" spans="5:14">
      <c r="E794">
        <f>IFERROR(SMALL(E191:E559,ROW()-ROW($E$562)+1),"")</f>
        <v>0</v>
      </c>
      <c r="F794">
        <f>IFERROR(SMALL(F191:F559,ROW()-ROW($F$562)+1),"")</f>
        <v>0</v>
      </c>
      <c r="G794">
        <f>IFERROR(SMALL(G191:G559,ROW()-ROW($G$562)+1),"")</f>
        <v>0</v>
      </c>
      <c r="H794">
        <f>IFERROR(SMALL(H191:H559,ROW()-ROW($H$562)+1),"")</f>
        <v>0</v>
      </c>
      <c r="K794">
        <f>IFERROR(SMALL(K191:K559,ROW()-ROW($K$562)+1),"")</f>
        <v>0</v>
      </c>
      <c r="L794">
        <f>IFERROR(SMALL(L191:L559,ROW()-ROW($L$562)+1),"")</f>
        <v>0</v>
      </c>
      <c r="M794">
        <f>IFERROR(SMALL(M191:M559,ROW()-ROW($M$562)+1),"")</f>
        <v>0</v>
      </c>
      <c r="N794">
        <f>IFERROR(SMALL(N191:N559,ROW()-ROW($N$562)+1),"")</f>
        <v>0</v>
      </c>
    </row>
    <row r="795" spans="5:14">
      <c r="E795">
        <f>IFERROR(SMALL(E191:E559,ROW()-ROW($E$562)+1),"")</f>
        <v>0</v>
      </c>
      <c r="F795">
        <f>IFERROR(SMALL(F191:F559,ROW()-ROW($F$562)+1),"")</f>
        <v>0</v>
      </c>
      <c r="G795">
        <f>IFERROR(SMALL(G191:G559,ROW()-ROW($G$562)+1),"")</f>
        <v>0</v>
      </c>
      <c r="H795">
        <f>IFERROR(SMALL(H191:H559,ROW()-ROW($H$562)+1),"")</f>
        <v>0</v>
      </c>
      <c r="K795">
        <f>IFERROR(SMALL(K191:K559,ROW()-ROW($K$562)+1),"")</f>
        <v>0</v>
      </c>
      <c r="L795">
        <f>IFERROR(SMALL(L191:L559,ROW()-ROW($L$562)+1),"")</f>
        <v>0</v>
      </c>
      <c r="M795">
        <f>IFERROR(SMALL(M191:M559,ROW()-ROW($M$562)+1),"")</f>
        <v>0</v>
      </c>
      <c r="N795">
        <f>IFERROR(SMALL(N191:N559,ROW()-ROW($N$562)+1),"")</f>
        <v>0</v>
      </c>
    </row>
    <row r="796" spans="5:14">
      <c r="E796">
        <f>IFERROR(SMALL(E191:E559,ROW()-ROW($E$562)+1),"")</f>
        <v>0</v>
      </c>
      <c r="F796">
        <f>IFERROR(SMALL(F191:F559,ROW()-ROW($F$562)+1),"")</f>
        <v>0</v>
      </c>
      <c r="G796">
        <f>IFERROR(SMALL(G191:G559,ROW()-ROW($G$562)+1),"")</f>
        <v>0</v>
      </c>
      <c r="H796">
        <f>IFERROR(SMALL(H191:H559,ROW()-ROW($H$562)+1),"")</f>
        <v>0</v>
      </c>
      <c r="K796">
        <f>IFERROR(SMALL(K191:K559,ROW()-ROW($K$562)+1),"")</f>
        <v>0</v>
      </c>
      <c r="L796">
        <f>IFERROR(SMALL(L191:L559,ROW()-ROW($L$562)+1),"")</f>
        <v>0</v>
      </c>
      <c r="M796">
        <f>IFERROR(SMALL(M191:M559,ROW()-ROW($M$562)+1),"")</f>
        <v>0</v>
      </c>
      <c r="N796">
        <f>IFERROR(SMALL(N191:N559,ROW()-ROW($N$562)+1),"")</f>
        <v>0</v>
      </c>
    </row>
    <row r="797" spans="5:14">
      <c r="E797">
        <f>IFERROR(SMALL(E191:E559,ROW()-ROW($E$562)+1),"")</f>
        <v>0</v>
      </c>
      <c r="F797">
        <f>IFERROR(SMALL(F191:F559,ROW()-ROW($F$562)+1),"")</f>
        <v>0</v>
      </c>
      <c r="G797">
        <f>IFERROR(SMALL(G191:G559,ROW()-ROW($G$562)+1),"")</f>
        <v>0</v>
      </c>
      <c r="H797">
        <f>IFERROR(SMALL(H191:H559,ROW()-ROW($H$562)+1),"")</f>
        <v>0</v>
      </c>
      <c r="K797">
        <f>IFERROR(SMALL(K191:K559,ROW()-ROW($K$562)+1),"")</f>
        <v>0</v>
      </c>
      <c r="L797">
        <f>IFERROR(SMALL(L191:L559,ROW()-ROW($L$562)+1),"")</f>
        <v>0</v>
      </c>
      <c r="M797">
        <f>IFERROR(SMALL(M191:M559,ROW()-ROW($M$562)+1),"")</f>
        <v>0</v>
      </c>
      <c r="N797">
        <f>IFERROR(SMALL(N191:N559,ROW()-ROW($N$562)+1),"")</f>
        <v>0</v>
      </c>
    </row>
    <row r="798" spans="5:14">
      <c r="E798">
        <f>IFERROR(SMALL(E191:E559,ROW()-ROW($E$562)+1),"")</f>
        <v>0</v>
      </c>
      <c r="F798">
        <f>IFERROR(SMALL(F191:F559,ROW()-ROW($F$562)+1),"")</f>
        <v>0</v>
      </c>
      <c r="G798">
        <f>IFERROR(SMALL(G191:G559,ROW()-ROW($G$562)+1),"")</f>
        <v>0</v>
      </c>
      <c r="H798">
        <f>IFERROR(SMALL(H191:H559,ROW()-ROW($H$562)+1),"")</f>
        <v>0</v>
      </c>
      <c r="K798">
        <f>IFERROR(SMALL(K191:K559,ROW()-ROW($K$562)+1),"")</f>
        <v>0</v>
      </c>
      <c r="L798">
        <f>IFERROR(SMALL(L191:L559,ROW()-ROW($L$562)+1),"")</f>
        <v>0</v>
      </c>
      <c r="M798">
        <f>IFERROR(SMALL(M191:M559,ROW()-ROW($M$562)+1),"")</f>
        <v>0</v>
      </c>
      <c r="N798">
        <f>IFERROR(SMALL(N191:N559,ROW()-ROW($N$562)+1),"")</f>
        <v>0</v>
      </c>
    </row>
    <row r="799" spans="5:14">
      <c r="E799">
        <f>IFERROR(SMALL(E191:E559,ROW()-ROW($E$562)+1),"")</f>
        <v>0</v>
      </c>
      <c r="F799">
        <f>IFERROR(SMALL(F191:F559,ROW()-ROW($F$562)+1),"")</f>
        <v>0</v>
      </c>
      <c r="G799">
        <f>IFERROR(SMALL(G191:G559,ROW()-ROW($G$562)+1),"")</f>
        <v>0</v>
      </c>
      <c r="H799">
        <f>IFERROR(SMALL(H191:H559,ROW()-ROW($H$562)+1),"")</f>
        <v>0</v>
      </c>
      <c r="K799">
        <f>IFERROR(SMALL(K191:K559,ROW()-ROW($K$562)+1),"")</f>
        <v>0</v>
      </c>
      <c r="L799">
        <f>IFERROR(SMALL(L191:L559,ROW()-ROW($L$562)+1),"")</f>
        <v>0</v>
      </c>
      <c r="M799">
        <f>IFERROR(SMALL(M191:M559,ROW()-ROW($M$562)+1),"")</f>
        <v>0</v>
      </c>
      <c r="N799">
        <f>IFERROR(SMALL(N191:N559,ROW()-ROW($N$562)+1),"")</f>
        <v>0</v>
      </c>
    </row>
    <row r="800" spans="5:14">
      <c r="E800">
        <f>IFERROR(SMALL(E191:E559,ROW()-ROW($E$562)+1),"")</f>
        <v>0</v>
      </c>
      <c r="F800">
        <f>IFERROR(SMALL(F191:F559,ROW()-ROW($F$562)+1),"")</f>
        <v>0</v>
      </c>
      <c r="G800">
        <f>IFERROR(SMALL(G191:G559,ROW()-ROW($G$562)+1),"")</f>
        <v>0</v>
      </c>
      <c r="H800">
        <f>IFERROR(SMALL(H191:H559,ROW()-ROW($H$562)+1),"")</f>
        <v>0</v>
      </c>
      <c r="K800">
        <f>IFERROR(SMALL(K191:K559,ROW()-ROW($K$562)+1),"")</f>
        <v>0</v>
      </c>
      <c r="L800">
        <f>IFERROR(SMALL(L191:L559,ROW()-ROW($L$562)+1),"")</f>
        <v>0</v>
      </c>
      <c r="M800">
        <f>IFERROR(SMALL(M191:M559,ROW()-ROW($M$562)+1),"")</f>
        <v>0</v>
      </c>
      <c r="N800">
        <f>IFERROR(SMALL(N191:N559,ROW()-ROW($N$562)+1),"")</f>
        <v>0</v>
      </c>
    </row>
    <row r="801" spans="5:14">
      <c r="E801">
        <f>IFERROR(SMALL(E191:E559,ROW()-ROW($E$562)+1),"")</f>
        <v>0</v>
      </c>
      <c r="F801">
        <f>IFERROR(SMALL(F191:F559,ROW()-ROW($F$562)+1),"")</f>
        <v>0</v>
      </c>
      <c r="G801">
        <f>IFERROR(SMALL(G191:G559,ROW()-ROW($G$562)+1),"")</f>
        <v>0</v>
      </c>
      <c r="H801">
        <f>IFERROR(SMALL(H191:H559,ROW()-ROW($H$562)+1),"")</f>
        <v>0</v>
      </c>
      <c r="K801">
        <f>IFERROR(SMALL(K191:K559,ROW()-ROW($K$562)+1),"")</f>
        <v>0</v>
      </c>
      <c r="L801">
        <f>IFERROR(SMALL(L191:L559,ROW()-ROW($L$562)+1),"")</f>
        <v>0</v>
      </c>
      <c r="M801">
        <f>IFERROR(SMALL(M191:M559,ROW()-ROW($M$562)+1),"")</f>
        <v>0</v>
      </c>
      <c r="N801">
        <f>IFERROR(SMALL(N191:N559,ROW()-ROW($N$562)+1),"")</f>
        <v>0</v>
      </c>
    </row>
    <row r="802" spans="5:14">
      <c r="E802">
        <f>IFERROR(SMALL(E191:E559,ROW()-ROW($E$562)+1),"")</f>
        <v>0</v>
      </c>
      <c r="F802">
        <f>IFERROR(SMALL(F191:F559,ROW()-ROW($F$562)+1),"")</f>
        <v>0</v>
      </c>
      <c r="G802">
        <f>IFERROR(SMALL(G191:G559,ROW()-ROW($G$562)+1),"")</f>
        <v>0</v>
      </c>
      <c r="H802">
        <f>IFERROR(SMALL(H191:H559,ROW()-ROW($H$562)+1),"")</f>
        <v>0</v>
      </c>
      <c r="K802">
        <f>IFERROR(SMALL(K191:K559,ROW()-ROW($K$562)+1),"")</f>
        <v>0</v>
      </c>
      <c r="L802">
        <f>IFERROR(SMALL(L191:L559,ROW()-ROW($L$562)+1),"")</f>
        <v>0</v>
      </c>
      <c r="M802">
        <f>IFERROR(SMALL(M191:M559,ROW()-ROW($M$562)+1),"")</f>
        <v>0</v>
      </c>
      <c r="N802">
        <f>IFERROR(SMALL(N191:N559,ROW()-ROW($N$562)+1),"")</f>
        <v>0</v>
      </c>
    </row>
    <row r="803" spans="5:14">
      <c r="E803">
        <f>IFERROR(SMALL(E191:E559,ROW()-ROW($E$562)+1),"")</f>
        <v>0</v>
      </c>
      <c r="F803">
        <f>IFERROR(SMALL(F191:F559,ROW()-ROW($F$562)+1),"")</f>
        <v>0</v>
      </c>
      <c r="G803">
        <f>IFERROR(SMALL(G191:G559,ROW()-ROW($G$562)+1),"")</f>
        <v>0</v>
      </c>
      <c r="H803">
        <f>IFERROR(SMALL(H191:H559,ROW()-ROW($H$562)+1),"")</f>
        <v>0</v>
      </c>
      <c r="K803">
        <f>IFERROR(SMALL(K191:K559,ROW()-ROW($K$562)+1),"")</f>
        <v>0</v>
      </c>
      <c r="L803">
        <f>IFERROR(SMALL(L191:L559,ROW()-ROW($L$562)+1),"")</f>
        <v>0</v>
      </c>
      <c r="M803">
        <f>IFERROR(SMALL(M191:M559,ROW()-ROW($M$562)+1),"")</f>
        <v>0</v>
      </c>
      <c r="N803">
        <f>IFERROR(SMALL(N191:N559,ROW()-ROW($N$562)+1),"")</f>
        <v>0</v>
      </c>
    </row>
    <row r="804" spans="5:14">
      <c r="E804">
        <f>IFERROR(SMALL(E191:E559,ROW()-ROW($E$562)+1),"")</f>
        <v>0</v>
      </c>
      <c r="F804">
        <f>IFERROR(SMALL(F191:F559,ROW()-ROW($F$562)+1),"")</f>
        <v>0</v>
      </c>
      <c r="G804">
        <f>IFERROR(SMALL(G191:G559,ROW()-ROW($G$562)+1),"")</f>
        <v>0</v>
      </c>
      <c r="H804">
        <f>IFERROR(SMALL(H191:H559,ROW()-ROW($H$562)+1),"")</f>
        <v>0</v>
      </c>
      <c r="K804">
        <f>IFERROR(SMALL(K191:K559,ROW()-ROW($K$562)+1),"")</f>
        <v>0</v>
      </c>
      <c r="L804">
        <f>IFERROR(SMALL(L191:L559,ROW()-ROW($L$562)+1),"")</f>
        <v>0</v>
      </c>
      <c r="M804">
        <f>IFERROR(SMALL(M191:M559,ROW()-ROW($M$562)+1),"")</f>
        <v>0</v>
      </c>
      <c r="N804">
        <f>IFERROR(SMALL(N191:N559,ROW()-ROW($N$562)+1),"")</f>
        <v>0</v>
      </c>
    </row>
    <row r="805" spans="5:14">
      <c r="E805">
        <f>IFERROR(SMALL(E191:E559,ROW()-ROW($E$562)+1),"")</f>
        <v>0</v>
      </c>
      <c r="F805">
        <f>IFERROR(SMALL(F191:F559,ROW()-ROW($F$562)+1),"")</f>
        <v>0</v>
      </c>
      <c r="G805">
        <f>IFERROR(SMALL(G191:G559,ROW()-ROW($G$562)+1),"")</f>
        <v>0</v>
      </c>
      <c r="H805">
        <f>IFERROR(SMALL(H191:H559,ROW()-ROW($H$562)+1),"")</f>
        <v>0</v>
      </c>
      <c r="K805">
        <f>IFERROR(SMALL(K191:K559,ROW()-ROW($K$562)+1),"")</f>
        <v>0</v>
      </c>
      <c r="L805">
        <f>IFERROR(SMALL(L191:L559,ROW()-ROW($L$562)+1),"")</f>
        <v>0</v>
      </c>
      <c r="M805">
        <f>IFERROR(SMALL(M191:M559,ROW()-ROW($M$562)+1),"")</f>
        <v>0</v>
      </c>
      <c r="N805">
        <f>IFERROR(SMALL(N191:N559,ROW()-ROW($N$562)+1),"")</f>
        <v>0</v>
      </c>
    </row>
    <row r="806" spans="5:14">
      <c r="E806">
        <f>IFERROR(SMALL(E191:E559,ROW()-ROW($E$562)+1),"")</f>
        <v>0</v>
      </c>
      <c r="F806">
        <f>IFERROR(SMALL(F191:F559,ROW()-ROW($F$562)+1),"")</f>
        <v>0</v>
      </c>
      <c r="G806">
        <f>IFERROR(SMALL(G191:G559,ROW()-ROW($G$562)+1),"")</f>
        <v>0</v>
      </c>
      <c r="H806">
        <f>IFERROR(SMALL(H191:H559,ROW()-ROW($H$562)+1),"")</f>
        <v>0</v>
      </c>
      <c r="K806">
        <f>IFERROR(SMALL(K191:K559,ROW()-ROW($K$562)+1),"")</f>
        <v>0</v>
      </c>
      <c r="L806">
        <f>IFERROR(SMALL(L191:L559,ROW()-ROW($L$562)+1),"")</f>
        <v>0</v>
      </c>
      <c r="M806">
        <f>IFERROR(SMALL(M191:M559,ROW()-ROW($M$562)+1),"")</f>
        <v>0</v>
      </c>
      <c r="N806">
        <f>IFERROR(SMALL(N191:N559,ROW()-ROW($N$562)+1),"")</f>
        <v>0</v>
      </c>
    </row>
    <row r="807" spans="5:14">
      <c r="E807">
        <f>IFERROR(SMALL(E191:E559,ROW()-ROW($E$562)+1),"")</f>
        <v>0</v>
      </c>
      <c r="F807">
        <f>IFERROR(SMALL(F191:F559,ROW()-ROW($F$562)+1),"")</f>
        <v>0</v>
      </c>
      <c r="G807">
        <f>IFERROR(SMALL(G191:G559,ROW()-ROW($G$562)+1),"")</f>
        <v>0</v>
      </c>
      <c r="H807">
        <f>IFERROR(SMALL(H191:H559,ROW()-ROW($H$562)+1),"")</f>
        <v>0</v>
      </c>
      <c r="K807">
        <f>IFERROR(SMALL(K191:K559,ROW()-ROW($K$562)+1),"")</f>
        <v>0</v>
      </c>
      <c r="L807">
        <f>IFERROR(SMALL(L191:L559,ROW()-ROW($L$562)+1),"")</f>
        <v>0</v>
      </c>
      <c r="M807">
        <f>IFERROR(SMALL(M191:M559,ROW()-ROW($M$562)+1),"")</f>
        <v>0</v>
      </c>
      <c r="N807">
        <f>IFERROR(SMALL(N191:N559,ROW()-ROW($N$562)+1),"")</f>
        <v>0</v>
      </c>
    </row>
    <row r="808" spans="5:14">
      <c r="E808">
        <f>IFERROR(SMALL(E191:E559,ROW()-ROW($E$562)+1),"")</f>
        <v>0</v>
      </c>
      <c r="F808">
        <f>IFERROR(SMALL(F191:F559,ROW()-ROW($F$562)+1),"")</f>
        <v>0</v>
      </c>
      <c r="G808">
        <f>IFERROR(SMALL(G191:G559,ROW()-ROW($G$562)+1),"")</f>
        <v>0</v>
      </c>
      <c r="H808">
        <f>IFERROR(SMALL(H191:H559,ROW()-ROW($H$562)+1),"")</f>
        <v>0</v>
      </c>
      <c r="K808">
        <f>IFERROR(SMALL(K191:K559,ROW()-ROW($K$562)+1),"")</f>
        <v>0</v>
      </c>
      <c r="L808">
        <f>IFERROR(SMALL(L191:L559,ROW()-ROW($L$562)+1),"")</f>
        <v>0</v>
      </c>
      <c r="M808">
        <f>IFERROR(SMALL(M191:M559,ROW()-ROW($M$562)+1),"")</f>
        <v>0</v>
      </c>
      <c r="N808">
        <f>IFERROR(SMALL(N191:N559,ROW()-ROW($N$562)+1),"")</f>
        <v>0</v>
      </c>
    </row>
    <row r="809" spans="5:14">
      <c r="E809">
        <f>IFERROR(SMALL(E191:E559,ROW()-ROW($E$562)+1),"")</f>
        <v>0</v>
      </c>
      <c r="F809">
        <f>IFERROR(SMALL(F191:F559,ROW()-ROW($F$562)+1),"")</f>
        <v>0</v>
      </c>
      <c r="G809">
        <f>IFERROR(SMALL(G191:G559,ROW()-ROW($G$562)+1),"")</f>
        <v>0</v>
      </c>
      <c r="H809">
        <f>IFERROR(SMALL(H191:H559,ROW()-ROW($H$562)+1),"")</f>
        <v>0</v>
      </c>
      <c r="K809">
        <f>IFERROR(SMALL(K191:K559,ROW()-ROW($K$562)+1),"")</f>
        <v>0</v>
      </c>
      <c r="L809">
        <f>IFERROR(SMALL(L191:L559,ROW()-ROW($L$562)+1),"")</f>
        <v>0</v>
      </c>
      <c r="M809">
        <f>IFERROR(SMALL(M191:M559,ROW()-ROW($M$562)+1),"")</f>
        <v>0</v>
      </c>
      <c r="N809">
        <f>IFERROR(SMALL(N191:N559,ROW()-ROW($N$562)+1),"")</f>
        <v>0</v>
      </c>
    </row>
    <row r="810" spans="5:14">
      <c r="E810">
        <f>IFERROR(SMALL(E191:E559,ROW()-ROW($E$562)+1),"")</f>
        <v>0</v>
      </c>
      <c r="F810">
        <f>IFERROR(SMALL(F191:F559,ROW()-ROW($F$562)+1),"")</f>
        <v>0</v>
      </c>
      <c r="G810">
        <f>IFERROR(SMALL(G191:G559,ROW()-ROW($G$562)+1),"")</f>
        <v>0</v>
      </c>
      <c r="H810">
        <f>IFERROR(SMALL(H191:H559,ROW()-ROW($H$562)+1),"")</f>
        <v>0</v>
      </c>
      <c r="K810">
        <f>IFERROR(SMALL(K191:K559,ROW()-ROW($K$562)+1),"")</f>
        <v>0</v>
      </c>
      <c r="L810">
        <f>IFERROR(SMALL(L191:L559,ROW()-ROW($L$562)+1),"")</f>
        <v>0</v>
      </c>
      <c r="M810">
        <f>IFERROR(SMALL(M191:M559,ROW()-ROW($M$562)+1),"")</f>
        <v>0</v>
      </c>
      <c r="N810">
        <f>IFERROR(SMALL(N191:N559,ROW()-ROW($N$562)+1),"")</f>
        <v>0</v>
      </c>
    </row>
    <row r="811" spans="5:14">
      <c r="E811">
        <f>IFERROR(SMALL(E191:E559,ROW()-ROW($E$562)+1),"")</f>
        <v>0</v>
      </c>
      <c r="F811">
        <f>IFERROR(SMALL(F191:F559,ROW()-ROW($F$562)+1),"")</f>
        <v>0</v>
      </c>
      <c r="G811">
        <f>IFERROR(SMALL(G191:G559,ROW()-ROW($G$562)+1),"")</f>
        <v>0</v>
      </c>
      <c r="H811">
        <f>IFERROR(SMALL(H191:H559,ROW()-ROW($H$562)+1),"")</f>
        <v>0</v>
      </c>
      <c r="K811">
        <f>IFERROR(SMALL(K191:K559,ROW()-ROW($K$562)+1),"")</f>
        <v>0</v>
      </c>
      <c r="L811">
        <f>IFERROR(SMALL(L191:L559,ROW()-ROW($L$562)+1),"")</f>
        <v>0</v>
      </c>
      <c r="M811">
        <f>IFERROR(SMALL(M191:M559,ROW()-ROW($M$562)+1),"")</f>
        <v>0</v>
      </c>
      <c r="N811">
        <f>IFERROR(SMALL(N191:N559,ROW()-ROW($N$562)+1),"")</f>
        <v>0</v>
      </c>
    </row>
    <row r="812" spans="5:14">
      <c r="E812">
        <f>IFERROR(SMALL(E191:E559,ROW()-ROW($E$562)+1),"")</f>
        <v>0</v>
      </c>
      <c r="F812">
        <f>IFERROR(SMALL(F191:F559,ROW()-ROW($F$562)+1),"")</f>
        <v>0</v>
      </c>
      <c r="G812">
        <f>IFERROR(SMALL(G191:G559,ROW()-ROW($G$562)+1),"")</f>
        <v>0</v>
      </c>
      <c r="H812">
        <f>IFERROR(SMALL(H191:H559,ROW()-ROW($H$562)+1),"")</f>
        <v>0</v>
      </c>
      <c r="K812">
        <f>IFERROR(SMALL(K191:K559,ROW()-ROW($K$562)+1),"")</f>
        <v>0</v>
      </c>
      <c r="L812">
        <f>IFERROR(SMALL(L191:L559,ROW()-ROW($L$562)+1),"")</f>
        <v>0</v>
      </c>
      <c r="M812">
        <f>IFERROR(SMALL(M191:M559,ROW()-ROW($M$562)+1),"")</f>
        <v>0</v>
      </c>
      <c r="N812">
        <f>IFERROR(SMALL(N191:N559,ROW()-ROW($N$562)+1),"")</f>
        <v>0</v>
      </c>
    </row>
    <row r="813" spans="5:14">
      <c r="E813">
        <f>IFERROR(SMALL(E191:E559,ROW()-ROW($E$562)+1),"")</f>
        <v>0</v>
      </c>
      <c r="F813">
        <f>IFERROR(SMALL(F191:F559,ROW()-ROW($F$562)+1),"")</f>
        <v>0</v>
      </c>
      <c r="G813">
        <f>IFERROR(SMALL(G191:G559,ROW()-ROW($G$562)+1),"")</f>
        <v>0</v>
      </c>
      <c r="H813">
        <f>IFERROR(SMALL(H191:H559,ROW()-ROW($H$562)+1),"")</f>
        <v>0</v>
      </c>
      <c r="K813">
        <f>IFERROR(SMALL(K191:K559,ROW()-ROW($K$562)+1),"")</f>
        <v>0</v>
      </c>
      <c r="L813">
        <f>IFERROR(SMALL(L191:L559,ROW()-ROW($L$562)+1),"")</f>
        <v>0</v>
      </c>
      <c r="M813">
        <f>IFERROR(SMALL(M191:M559,ROW()-ROW($M$562)+1),"")</f>
        <v>0</v>
      </c>
      <c r="N813">
        <f>IFERROR(SMALL(N191:N559,ROW()-ROW($N$562)+1),"")</f>
        <v>0</v>
      </c>
    </row>
    <row r="814" spans="5:14">
      <c r="E814">
        <f>IFERROR(SMALL(E191:E559,ROW()-ROW($E$562)+1),"")</f>
        <v>0</v>
      </c>
      <c r="F814">
        <f>IFERROR(SMALL(F191:F559,ROW()-ROW($F$562)+1),"")</f>
        <v>0</v>
      </c>
      <c r="G814">
        <f>IFERROR(SMALL(G191:G559,ROW()-ROW($G$562)+1),"")</f>
        <v>0</v>
      </c>
      <c r="H814">
        <f>IFERROR(SMALL(H191:H559,ROW()-ROW($H$562)+1),"")</f>
        <v>0</v>
      </c>
      <c r="K814">
        <f>IFERROR(SMALL(K191:K559,ROW()-ROW($K$562)+1),"")</f>
        <v>0</v>
      </c>
      <c r="L814">
        <f>IFERROR(SMALL(L191:L559,ROW()-ROW($L$562)+1),"")</f>
        <v>0</v>
      </c>
      <c r="M814">
        <f>IFERROR(SMALL(M191:M559,ROW()-ROW($M$562)+1),"")</f>
        <v>0</v>
      </c>
      <c r="N814">
        <f>IFERROR(SMALL(N191:N559,ROW()-ROW($N$562)+1),"")</f>
        <v>0</v>
      </c>
    </row>
    <row r="815" spans="5:14">
      <c r="E815">
        <f>IFERROR(SMALL(E191:E559,ROW()-ROW($E$562)+1),"")</f>
        <v>0</v>
      </c>
      <c r="F815">
        <f>IFERROR(SMALL(F191:F559,ROW()-ROW($F$562)+1),"")</f>
        <v>0</v>
      </c>
      <c r="G815">
        <f>IFERROR(SMALL(G191:G559,ROW()-ROW($G$562)+1),"")</f>
        <v>0</v>
      </c>
      <c r="H815">
        <f>IFERROR(SMALL(H191:H559,ROW()-ROW($H$562)+1),"")</f>
        <v>0</v>
      </c>
      <c r="K815">
        <f>IFERROR(SMALL(K191:K559,ROW()-ROW($K$562)+1),"")</f>
        <v>0</v>
      </c>
      <c r="L815">
        <f>IFERROR(SMALL(L191:L559,ROW()-ROW($L$562)+1),"")</f>
        <v>0</v>
      </c>
      <c r="M815">
        <f>IFERROR(SMALL(M191:M559,ROW()-ROW($M$562)+1),"")</f>
        <v>0</v>
      </c>
      <c r="N815">
        <f>IFERROR(SMALL(N191:N559,ROW()-ROW($N$562)+1),"")</f>
        <v>0</v>
      </c>
    </row>
    <row r="816" spans="5:14">
      <c r="E816">
        <f>IFERROR(SMALL(E191:E559,ROW()-ROW($E$562)+1),"")</f>
        <v>0</v>
      </c>
      <c r="F816">
        <f>IFERROR(SMALL(F191:F559,ROW()-ROW($F$562)+1),"")</f>
        <v>0</v>
      </c>
      <c r="G816">
        <f>IFERROR(SMALL(G191:G559,ROW()-ROW($G$562)+1),"")</f>
        <v>0</v>
      </c>
      <c r="H816">
        <f>IFERROR(SMALL(H191:H559,ROW()-ROW($H$562)+1),"")</f>
        <v>0</v>
      </c>
      <c r="K816">
        <f>IFERROR(SMALL(K191:K559,ROW()-ROW($K$562)+1),"")</f>
        <v>0</v>
      </c>
      <c r="L816">
        <f>IFERROR(SMALL(L191:L559,ROW()-ROW($L$562)+1),"")</f>
        <v>0</v>
      </c>
      <c r="M816">
        <f>IFERROR(SMALL(M191:M559,ROW()-ROW($M$562)+1),"")</f>
        <v>0</v>
      </c>
      <c r="N816">
        <f>IFERROR(SMALL(N191:N559,ROW()-ROW($N$562)+1),"")</f>
        <v>0</v>
      </c>
    </row>
    <row r="817" spans="5:14">
      <c r="E817">
        <f>IFERROR(SMALL(E191:E559,ROW()-ROW($E$562)+1),"")</f>
        <v>0</v>
      </c>
      <c r="F817">
        <f>IFERROR(SMALL(F191:F559,ROW()-ROW($F$562)+1),"")</f>
        <v>0</v>
      </c>
      <c r="G817">
        <f>IFERROR(SMALL(G191:G559,ROW()-ROW($G$562)+1),"")</f>
        <v>0</v>
      </c>
      <c r="H817">
        <f>IFERROR(SMALL(H191:H559,ROW()-ROW($H$562)+1),"")</f>
        <v>0</v>
      </c>
      <c r="K817">
        <f>IFERROR(SMALL(K191:K559,ROW()-ROW($K$562)+1),"")</f>
        <v>0</v>
      </c>
      <c r="L817">
        <f>IFERROR(SMALL(L191:L559,ROW()-ROW($L$562)+1),"")</f>
        <v>0</v>
      </c>
      <c r="M817">
        <f>IFERROR(SMALL(M191:M559,ROW()-ROW($M$562)+1),"")</f>
        <v>0</v>
      </c>
      <c r="N817">
        <f>IFERROR(SMALL(N191:N559,ROW()-ROW($N$562)+1),"")</f>
        <v>0</v>
      </c>
    </row>
    <row r="818" spans="5:14">
      <c r="E818">
        <f>IFERROR(SMALL(E191:E559,ROW()-ROW($E$562)+1),"")</f>
        <v>0</v>
      </c>
      <c r="F818">
        <f>IFERROR(SMALL(F191:F559,ROW()-ROW($F$562)+1),"")</f>
        <v>0</v>
      </c>
      <c r="G818">
        <f>IFERROR(SMALL(G191:G559,ROW()-ROW($G$562)+1),"")</f>
        <v>0</v>
      </c>
      <c r="H818">
        <f>IFERROR(SMALL(H191:H559,ROW()-ROW($H$562)+1),"")</f>
        <v>0</v>
      </c>
      <c r="K818">
        <f>IFERROR(SMALL(K191:K559,ROW()-ROW($K$562)+1),"")</f>
        <v>0</v>
      </c>
      <c r="L818">
        <f>IFERROR(SMALL(L191:L559,ROW()-ROW($L$562)+1),"")</f>
        <v>0</v>
      </c>
      <c r="M818">
        <f>IFERROR(SMALL(M191:M559,ROW()-ROW($M$562)+1),"")</f>
        <v>0</v>
      </c>
      <c r="N818">
        <f>IFERROR(SMALL(N191:N559,ROW()-ROW($N$562)+1),"")</f>
        <v>0</v>
      </c>
    </row>
    <row r="819" spans="5:14">
      <c r="E819">
        <f>IFERROR(SMALL(E191:E559,ROW()-ROW($E$562)+1),"")</f>
        <v>0</v>
      </c>
      <c r="F819">
        <f>IFERROR(SMALL(F191:F559,ROW()-ROW($F$562)+1),"")</f>
        <v>0</v>
      </c>
      <c r="G819">
        <f>IFERROR(SMALL(G191:G559,ROW()-ROW($G$562)+1),"")</f>
        <v>0</v>
      </c>
      <c r="H819">
        <f>IFERROR(SMALL(H191:H559,ROW()-ROW($H$562)+1),"")</f>
        <v>0</v>
      </c>
      <c r="K819">
        <f>IFERROR(SMALL(K191:K559,ROW()-ROW($K$562)+1),"")</f>
        <v>0</v>
      </c>
      <c r="L819">
        <f>IFERROR(SMALL(L191:L559,ROW()-ROW($L$562)+1),"")</f>
        <v>0</v>
      </c>
      <c r="M819">
        <f>IFERROR(SMALL(M191:M559,ROW()-ROW($M$562)+1),"")</f>
        <v>0</v>
      </c>
      <c r="N819">
        <f>IFERROR(SMALL(N191:N559,ROW()-ROW($N$562)+1),"")</f>
        <v>0</v>
      </c>
    </row>
    <row r="820" spans="5:14">
      <c r="E820">
        <f>IFERROR(SMALL(E191:E559,ROW()-ROW($E$562)+1),"")</f>
        <v>0</v>
      </c>
      <c r="F820">
        <f>IFERROR(SMALL(F191:F559,ROW()-ROW($F$562)+1),"")</f>
        <v>0</v>
      </c>
      <c r="G820">
        <f>IFERROR(SMALL(G191:G559,ROW()-ROW($G$562)+1),"")</f>
        <v>0</v>
      </c>
      <c r="H820">
        <f>IFERROR(SMALL(H191:H559,ROW()-ROW($H$562)+1),"")</f>
        <v>0</v>
      </c>
      <c r="K820">
        <f>IFERROR(SMALL(K191:K559,ROW()-ROW($K$562)+1),"")</f>
        <v>0</v>
      </c>
      <c r="L820">
        <f>IFERROR(SMALL(L191:L559,ROW()-ROW($L$562)+1),"")</f>
        <v>0</v>
      </c>
      <c r="M820">
        <f>IFERROR(SMALL(M191:M559,ROW()-ROW($M$562)+1),"")</f>
        <v>0</v>
      </c>
      <c r="N820">
        <f>IFERROR(SMALL(N191:N559,ROW()-ROW($N$562)+1),"")</f>
        <v>0</v>
      </c>
    </row>
    <row r="821" spans="5:14">
      <c r="E821">
        <f>IFERROR(SMALL(E191:E559,ROW()-ROW($E$562)+1),"")</f>
        <v>0</v>
      </c>
      <c r="F821">
        <f>IFERROR(SMALL(F191:F559,ROW()-ROW($F$562)+1),"")</f>
        <v>0</v>
      </c>
      <c r="G821">
        <f>IFERROR(SMALL(G191:G559,ROW()-ROW($G$562)+1),"")</f>
        <v>0</v>
      </c>
      <c r="H821">
        <f>IFERROR(SMALL(H191:H559,ROW()-ROW($H$562)+1),"")</f>
        <v>0</v>
      </c>
      <c r="K821">
        <f>IFERROR(SMALL(K191:K559,ROW()-ROW($K$562)+1),"")</f>
        <v>0</v>
      </c>
      <c r="L821">
        <f>IFERROR(SMALL(L191:L559,ROW()-ROW($L$562)+1),"")</f>
        <v>0</v>
      </c>
      <c r="M821">
        <f>IFERROR(SMALL(M191:M559,ROW()-ROW($M$562)+1),"")</f>
        <v>0</v>
      </c>
      <c r="N821">
        <f>IFERROR(SMALL(N191:N559,ROW()-ROW($N$562)+1),"")</f>
        <v>0</v>
      </c>
    </row>
    <row r="822" spans="5:14">
      <c r="E822">
        <f>IFERROR(SMALL(E191:E559,ROW()-ROW($E$562)+1),"")</f>
        <v>0</v>
      </c>
      <c r="F822">
        <f>IFERROR(SMALL(F191:F559,ROW()-ROW($F$562)+1),"")</f>
        <v>0</v>
      </c>
      <c r="G822">
        <f>IFERROR(SMALL(G191:G559,ROW()-ROW($G$562)+1),"")</f>
        <v>0</v>
      </c>
      <c r="H822">
        <f>IFERROR(SMALL(H191:H559,ROW()-ROW($H$562)+1),"")</f>
        <v>0</v>
      </c>
      <c r="K822">
        <f>IFERROR(SMALL(K191:K559,ROW()-ROW($K$562)+1),"")</f>
        <v>0</v>
      </c>
      <c r="L822">
        <f>IFERROR(SMALL(L191:L559,ROW()-ROW($L$562)+1),"")</f>
        <v>0</v>
      </c>
      <c r="M822">
        <f>IFERROR(SMALL(M191:M559,ROW()-ROW($M$562)+1),"")</f>
        <v>0</v>
      </c>
      <c r="N822">
        <f>IFERROR(SMALL(N191:N559,ROW()-ROW($N$562)+1),"")</f>
        <v>0</v>
      </c>
    </row>
    <row r="823" spans="5:14">
      <c r="E823">
        <f>IFERROR(SMALL(E191:E559,ROW()-ROW($E$562)+1),"")</f>
        <v>0</v>
      </c>
      <c r="F823">
        <f>IFERROR(SMALL(F191:F559,ROW()-ROW($F$562)+1),"")</f>
        <v>0</v>
      </c>
      <c r="G823">
        <f>IFERROR(SMALL(G191:G559,ROW()-ROW($G$562)+1),"")</f>
        <v>0</v>
      </c>
      <c r="H823">
        <f>IFERROR(SMALL(H191:H559,ROW()-ROW($H$562)+1),"")</f>
        <v>0</v>
      </c>
      <c r="K823">
        <f>IFERROR(SMALL(K191:K559,ROW()-ROW($K$562)+1),"")</f>
        <v>0</v>
      </c>
      <c r="L823">
        <f>IFERROR(SMALL(L191:L559,ROW()-ROW($L$562)+1),"")</f>
        <v>0</v>
      </c>
      <c r="M823">
        <f>IFERROR(SMALL(M191:M559,ROW()-ROW($M$562)+1),"")</f>
        <v>0</v>
      </c>
      <c r="N823">
        <f>IFERROR(SMALL(N191:N559,ROW()-ROW($N$562)+1),"")</f>
        <v>0</v>
      </c>
    </row>
    <row r="824" spans="5:14">
      <c r="E824">
        <f>IFERROR(SMALL(E191:E559,ROW()-ROW($E$562)+1),"")</f>
        <v>0</v>
      </c>
      <c r="F824">
        <f>IFERROR(SMALL(F191:F559,ROW()-ROW($F$562)+1),"")</f>
        <v>0</v>
      </c>
      <c r="G824">
        <f>IFERROR(SMALL(G191:G559,ROW()-ROW($G$562)+1),"")</f>
        <v>0</v>
      </c>
      <c r="H824">
        <f>IFERROR(SMALL(H191:H559,ROW()-ROW($H$562)+1),"")</f>
        <v>0</v>
      </c>
      <c r="K824">
        <f>IFERROR(SMALL(K191:K559,ROW()-ROW($K$562)+1),"")</f>
        <v>0</v>
      </c>
      <c r="L824">
        <f>IFERROR(SMALL(L191:L559,ROW()-ROW($L$562)+1),"")</f>
        <v>0</v>
      </c>
      <c r="M824">
        <f>IFERROR(SMALL(M191:M559,ROW()-ROW($M$562)+1),"")</f>
        <v>0</v>
      </c>
      <c r="N824">
        <f>IFERROR(SMALL(N191:N559,ROW()-ROW($N$562)+1),"")</f>
        <v>0</v>
      </c>
    </row>
    <row r="825" spans="5:14">
      <c r="E825">
        <f>IFERROR(SMALL(E191:E559,ROW()-ROW($E$562)+1),"")</f>
        <v>0</v>
      </c>
      <c r="F825">
        <f>IFERROR(SMALL(F191:F559,ROW()-ROW($F$562)+1),"")</f>
        <v>0</v>
      </c>
      <c r="G825">
        <f>IFERROR(SMALL(G191:G559,ROW()-ROW($G$562)+1),"")</f>
        <v>0</v>
      </c>
      <c r="H825">
        <f>IFERROR(SMALL(H191:H559,ROW()-ROW($H$562)+1),"")</f>
        <v>0</v>
      </c>
      <c r="K825">
        <f>IFERROR(SMALL(K191:K559,ROW()-ROW($K$562)+1),"")</f>
        <v>0</v>
      </c>
      <c r="L825">
        <f>IFERROR(SMALL(L191:L559,ROW()-ROW($L$562)+1),"")</f>
        <v>0</v>
      </c>
      <c r="M825">
        <f>IFERROR(SMALL(M191:M559,ROW()-ROW($M$562)+1),"")</f>
        <v>0</v>
      </c>
      <c r="N825">
        <f>IFERROR(SMALL(N191:N559,ROW()-ROW($N$562)+1),"")</f>
        <v>0</v>
      </c>
    </row>
    <row r="826" spans="5:14">
      <c r="E826">
        <f>IFERROR(SMALL(E191:E559,ROW()-ROW($E$562)+1),"")</f>
        <v>0</v>
      </c>
      <c r="F826">
        <f>IFERROR(SMALL(F191:F559,ROW()-ROW($F$562)+1),"")</f>
        <v>0</v>
      </c>
      <c r="G826">
        <f>IFERROR(SMALL(G191:G559,ROW()-ROW($G$562)+1),"")</f>
        <v>0</v>
      </c>
      <c r="H826">
        <f>IFERROR(SMALL(H191:H559,ROW()-ROW($H$562)+1),"")</f>
        <v>0</v>
      </c>
      <c r="K826">
        <f>IFERROR(SMALL(K191:K559,ROW()-ROW($K$562)+1),"")</f>
        <v>0</v>
      </c>
      <c r="L826">
        <f>IFERROR(SMALL(L191:L559,ROW()-ROW($L$562)+1),"")</f>
        <v>0</v>
      </c>
      <c r="M826">
        <f>IFERROR(SMALL(M191:M559,ROW()-ROW($M$562)+1),"")</f>
        <v>0</v>
      </c>
      <c r="N826">
        <f>IFERROR(SMALL(N191:N559,ROW()-ROW($N$562)+1),"")</f>
        <v>0</v>
      </c>
    </row>
    <row r="827" spans="5:14">
      <c r="E827">
        <f>IFERROR(SMALL(E191:E559,ROW()-ROW($E$562)+1),"")</f>
        <v>0</v>
      </c>
      <c r="F827">
        <f>IFERROR(SMALL(F191:F559,ROW()-ROW($F$562)+1),"")</f>
        <v>0</v>
      </c>
      <c r="G827">
        <f>IFERROR(SMALL(G191:G559,ROW()-ROW($G$562)+1),"")</f>
        <v>0</v>
      </c>
      <c r="H827">
        <f>IFERROR(SMALL(H191:H559,ROW()-ROW($H$562)+1),"")</f>
        <v>0</v>
      </c>
      <c r="K827">
        <f>IFERROR(SMALL(K191:K559,ROW()-ROW($K$562)+1),"")</f>
        <v>0</v>
      </c>
      <c r="L827">
        <f>IFERROR(SMALL(L191:L559,ROW()-ROW($L$562)+1),"")</f>
        <v>0</v>
      </c>
      <c r="M827">
        <f>IFERROR(SMALL(M191:M559,ROW()-ROW($M$562)+1),"")</f>
        <v>0</v>
      </c>
      <c r="N827">
        <f>IFERROR(SMALL(N191:N559,ROW()-ROW($N$562)+1),"")</f>
        <v>0</v>
      </c>
    </row>
    <row r="828" spans="5:14">
      <c r="E828">
        <f>IFERROR(SMALL(E191:E559,ROW()-ROW($E$562)+1),"")</f>
        <v>0</v>
      </c>
      <c r="F828">
        <f>IFERROR(SMALL(F191:F559,ROW()-ROW($F$562)+1),"")</f>
        <v>0</v>
      </c>
      <c r="G828">
        <f>IFERROR(SMALL(G191:G559,ROW()-ROW($G$562)+1),"")</f>
        <v>0</v>
      </c>
      <c r="H828">
        <f>IFERROR(SMALL(H191:H559,ROW()-ROW($H$562)+1),"")</f>
        <v>0</v>
      </c>
      <c r="K828">
        <f>IFERROR(SMALL(K191:K559,ROW()-ROW($K$562)+1),"")</f>
        <v>0</v>
      </c>
      <c r="L828">
        <f>IFERROR(SMALL(L191:L559,ROW()-ROW($L$562)+1),"")</f>
        <v>0</v>
      </c>
      <c r="M828">
        <f>IFERROR(SMALL(M191:M559,ROW()-ROW($M$562)+1),"")</f>
        <v>0</v>
      </c>
      <c r="N828">
        <f>IFERROR(SMALL(N191:N559,ROW()-ROW($N$562)+1),"")</f>
        <v>0</v>
      </c>
    </row>
    <row r="829" spans="5:14">
      <c r="E829">
        <f>IFERROR(SMALL(E191:E559,ROW()-ROW($E$562)+1),"")</f>
        <v>0</v>
      </c>
      <c r="F829">
        <f>IFERROR(SMALL(F191:F559,ROW()-ROW($F$562)+1),"")</f>
        <v>0</v>
      </c>
      <c r="G829">
        <f>IFERROR(SMALL(G191:G559,ROW()-ROW($G$562)+1),"")</f>
        <v>0</v>
      </c>
      <c r="H829">
        <f>IFERROR(SMALL(H191:H559,ROW()-ROW($H$562)+1),"")</f>
        <v>0</v>
      </c>
      <c r="K829">
        <f>IFERROR(SMALL(K191:K559,ROW()-ROW($K$562)+1),"")</f>
        <v>0</v>
      </c>
      <c r="L829">
        <f>IFERROR(SMALL(L191:L559,ROW()-ROW($L$562)+1),"")</f>
        <v>0</v>
      </c>
      <c r="M829">
        <f>IFERROR(SMALL(M191:M559,ROW()-ROW($M$562)+1),"")</f>
        <v>0</v>
      </c>
      <c r="N829">
        <f>IFERROR(SMALL(N191:N559,ROW()-ROW($N$562)+1),"")</f>
        <v>0</v>
      </c>
    </row>
    <row r="830" spans="5:14">
      <c r="E830">
        <f>IFERROR(SMALL(E191:E559,ROW()-ROW($E$562)+1),"")</f>
        <v>0</v>
      </c>
      <c r="F830">
        <f>IFERROR(SMALL(F191:F559,ROW()-ROW($F$562)+1),"")</f>
        <v>0</v>
      </c>
      <c r="G830">
        <f>IFERROR(SMALL(G191:G559,ROW()-ROW($G$562)+1),"")</f>
        <v>0</v>
      </c>
      <c r="H830">
        <f>IFERROR(SMALL(H191:H559,ROW()-ROW($H$562)+1),"")</f>
        <v>0</v>
      </c>
      <c r="K830">
        <f>IFERROR(SMALL(K191:K559,ROW()-ROW($K$562)+1),"")</f>
        <v>0</v>
      </c>
      <c r="L830">
        <f>IFERROR(SMALL(L191:L559,ROW()-ROW($L$562)+1),"")</f>
        <v>0</v>
      </c>
      <c r="M830">
        <f>IFERROR(SMALL(M191:M559,ROW()-ROW($M$562)+1),"")</f>
        <v>0</v>
      </c>
      <c r="N830">
        <f>IFERROR(SMALL(N191:N559,ROW()-ROW($N$562)+1),"")</f>
        <v>0</v>
      </c>
    </row>
    <row r="831" spans="5:14">
      <c r="E831">
        <f>IFERROR(SMALL(E191:E559,ROW()-ROW($E$562)+1),"")</f>
        <v>0</v>
      </c>
      <c r="F831">
        <f>IFERROR(SMALL(F191:F559,ROW()-ROW($F$562)+1),"")</f>
        <v>0</v>
      </c>
      <c r="G831">
        <f>IFERROR(SMALL(G191:G559,ROW()-ROW($G$562)+1),"")</f>
        <v>0</v>
      </c>
      <c r="H831">
        <f>IFERROR(SMALL(H191:H559,ROW()-ROW($H$562)+1),"")</f>
        <v>0</v>
      </c>
      <c r="K831">
        <f>IFERROR(SMALL(K191:K559,ROW()-ROW($K$562)+1),"")</f>
        <v>0</v>
      </c>
      <c r="L831">
        <f>IFERROR(SMALL(L191:L559,ROW()-ROW($L$562)+1),"")</f>
        <v>0</v>
      </c>
      <c r="M831">
        <f>IFERROR(SMALL(M191:M559,ROW()-ROW($M$562)+1),"")</f>
        <v>0</v>
      </c>
      <c r="N831">
        <f>IFERROR(SMALL(N191:N559,ROW()-ROW($N$562)+1),"")</f>
        <v>0</v>
      </c>
    </row>
    <row r="832" spans="5:14">
      <c r="E832">
        <f>IFERROR(SMALL(E191:E559,ROW()-ROW($E$562)+1),"")</f>
        <v>0</v>
      </c>
      <c r="F832">
        <f>IFERROR(SMALL(F191:F559,ROW()-ROW($F$562)+1),"")</f>
        <v>0</v>
      </c>
      <c r="G832">
        <f>IFERROR(SMALL(G191:G559,ROW()-ROW($G$562)+1),"")</f>
        <v>0</v>
      </c>
      <c r="H832">
        <f>IFERROR(SMALL(H191:H559,ROW()-ROW($H$562)+1),"")</f>
        <v>0</v>
      </c>
      <c r="K832">
        <f>IFERROR(SMALL(K191:K559,ROW()-ROW($K$562)+1),"")</f>
        <v>0</v>
      </c>
      <c r="L832">
        <f>IFERROR(SMALL(L191:L559,ROW()-ROW($L$562)+1),"")</f>
        <v>0</v>
      </c>
      <c r="M832">
        <f>IFERROR(SMALL(M191:M559,ROW()-ROW($M$562)+1),"")</f>
        <v>0</v>
      </c>
      <c r="N832">
        <f>IFERROR(SMALL(N191:N559,ROW()-ROW($N$562)+1),"")</f>
        <v>0</v>
      </c>
    </row>
    <row r="833" spans="5:14">
      <c r="E833">
        <f>IFERROR(SMALL(E191:E559,ROW()-ROW($E$562)+1),"")</f>
        <v>0</v>
      </c>
      <c r="F833">
        <f>IFERROR(SMALL(F191:F559,ROW()-ROW($F$562)+1),"")</f>
        <v>0</v>
      </c>
      <c r="G833">
        <f>IFERROR(SMALL(G191:G559,ROW()-ROW($G$562)+1),"")</f>
        <v>0</v>
      </c>
      <c r="H833">
        <f>IFERROR(SMALL(H191:H559,ROW()-ROW($H$562)+1),"")</f>
        <v>0</v>
      </c>
      <c r="K833">
        <f>IFERROR(SMALL(K191:K559,ROW()-ROW($K$562)+1),"")</f>
        <v>0</v>
      </c>
      <c r="L833">
        <f>IFERROR(SMALL(L191:L559,ROW()-ROW($L$562)+1),"")</f>
        <v>0</v>
      </c>
      <c r="M833">
        <f>IFERROR(SMALL(M191:M559,ROW()-ROW($M$562)+1),"")</f>
        <v>0</v>
      </c>
      <c r="N833">
        <f>IFERROR(SMALL(N191:N559,ROW()-ROW($N$562)+1),"")</f>
        <v>0</v>
      </c>
    </row>
    <row r="834" spans="5:14">
      <c r="E834">
        <f>IFERROR(SMALL(E191:E559,ROW()-ROW($E$562)+1),"")</f>
        <v>0</v>
      </c>
      <c r="F834">
        <f>IFERROR(SMALL(F191:F559,ROW()-ROW($F$562)+1),"")</f>
        <v>0</v>
      </c>
      <c r="G834">
        <f>IFERROR(SMALL(G191:G559,ROW()-ROW($G$562)+1),"")</f>
        <v>0</v>
      </c>
      <c r="H834">
        <f>IFERROR(SMALL(H191:H559,ROW()-ROW($H$562)+1),"")</f>
        <v>0</v>
      </c>
      <c r="K834">
        <f>IFERROR(SMALL(K191:K559,ROW()-ROW($K$562)+1),"")</f>
        <v>0</v>
      </c>
      <c r="L834">
        <f>IFERROR(SMALL(L191:L559,ROW()-ROW($L$562)+1),"")</f>
        <v>0</v>
      </c>
      <c r="M834">
        <f>IFERROR(SMALL(M191:M559,ROW()-ROW($M$562)+1),"")</f>
        <v>0</v>
      </c>
      <c r="N834">
        <f>IFERROR(SMALL(N191:N559,ROW()-ROW($N$562)+1),"")</f>
        <v>0</v>
      </c>
    </row>
    <row r="835" spans="5:14">
      <c r="E835">
        <f>IFERROR(SMALL(E191:E559,ROW()-ROW($E$562)+1),"")</f>
        <v>0</v>
      </c>
      <c r="F835">
        <f>IFERROR(SMALL(F191:F559,ROW()-ROW($F$562)+1),"")</f>
        <v>0</v>
      </c>
      <c r="G835">
        <f>IFERROR(SMALL(G191:G559,ROW()-ROW($G$562)+1),"")</f>
        <v>0</v>
      </c>
      <c r="H835">
        <f>IFERROR(SMALL(H191:H559,ROW()-ROW($H$562)+1),"")</f>
        <v>0</v>
      </c>
      <c r="K835">
        <f>IFERROR(SMALL(K191:K559,ROW()-ROW($K$562)+1),"")</f>
        <v>0</v>
      </c>
      <c r="L835">
        <f>IFERROR(SMALL(L191:L559,ROW()-ROW($L$562)+1),"")</f>
        <v>0</v>
      </c>
      <c r="M835">
        <f>IFERROR(SMALL(M191:M559,ROW()-ROW($M$562)+1),"")</f>
        <v>0</v>
      </c>
      <c r="N835">
        <f>IFERROR(SMALL(N191:N559,ROW()-ROW($N$562)+1),"")</f>
        <v>0</v>
      </c>
    </row>
    <row r="836" spans="5:14">
      <c r="E836">
        <f>IFERROR(SMALL(E191:E559,ROW()-ROW($E$562)+1),"")</f>
        <v>0</v>
      </c>
      <c r="F836">
        <f>IFERROR(SMALL(F191:F559,ROW()-ROW($F$562)+1),"")</f>
        <v>0</v>
      </c>
      <c r="G836">
        <f>IFERROR(SMALL(G191:G559,ROW()-ROW($G$562)+1),"")</f>
        <v>0</v>
      </c>
      <c r="H836">
        <f>IFERROR(SMALL(H191:H559,ROW()-ROW($H$562)+1),"")</f>
        <v>0</v>
      </c>
      <c r="K836">
        <f>IFERROR(SMALL(K191:K559,ROW()-ROW($K$562)+1),"")</f>
        <v>0</v>
      </c>
      <c r="L836">
        <f>IFERROR(SMALL(L191:L559,ROW()-ROW($L$562)+1),"")</f>
        <v>0</v>
      </c>
      <c r="M836">
        <f>IFERROR(SMALL(M191:M559,ROW()-ROW($M$562)+1),"")</f>
        <v>0</v>
      </c>
      <c r="N836">
        <f>IFERROR(SMALL(N191:N559,ROW()-ROW($N$562)+1),"")</f>
        <v>0</v>
      </c>
    </row>
    <row r="837" spans="5:14">
      <c r="E837">
        <f>IFERROR(SMALL(E191:E559,ROW()-ROW($E$562)+1),"")</f>
        <v>0</v>
      </c>
      <c r="F837">
        <f>IFERROR(SMALL(F191:F559,ROW()-ROW($F$562)+1),"")</f>
        <v>0</v>
      </c>
      <c r="G837">
        <f>IFERROR(SMALL(G191:G559,ROW()-ROW($G$562)+1),"")</f>
        <v>0</v>
      </c>
      <c r="H837">
        <f>IFERROR(SMALL(H191:H559,ROW()-ROW($H$562)+1),"")</f>
        <v>0</v>
      </c>
      <c r="K837">
        <f>IFERROR(SMALL(K191:K559,ROW()-ROW($K$562)+1),"")</f>
        <v>0</v>
      </c>
      <c r="L837">
        <f>IFERROR(SMALL(L191:L559,ROW()-ROW($L$562)+1),"")</f>
        <v>0</v>
      </c>
      <c r="M837">
        <f>IFERROR(SMALL(M191:M559,ROW()-ROW($M$562)+1),"")</f>
        <v>0</v>
      </c>
      <c r="N837">
        <f>IFERROR(SMALL(N191:N559,ROW()-ROW($N$562)+1),"")</f>
        <v>0</v>
      </c>
    </row>
    <row r="838" spans="5:14">
      <c r="E838">
        <f>IFERROR(SMALL(E191:E559,ROW()-ROW($E$562)+1),"")</f>
        <v>0</v>
      </c>
      <c r="F838">
        <f>IFERROR(SMALL(F191:F559,ROW()-ROW($F$562)+1),"")</f>
        <v>0</v>
      </c>
      <c r="G838">
        <f>IFERROR(SMALL(G191:G559,ROW()-ROW($G$562)+1),"")</f>
        <v>0</v>
      </c>
      <c r="H838">
        <f>IFERROR(SMALL(H191:H559,ROW()-ROW($H$562)+1),"")</f>
        <v>0</v>
      </c>
      <c r="K838">
        <f>IFERROR(SMALL(K191:K559,ROW()-ROW($K$562)+1),"")</f>
        <v>0</v>
      </c>
      <c r="L838">
        <f>IFERROR(SMALL(L191:L559,ROW()-ROW($L$562)+1),"")</f>
        <v>0</v>
      </c>
      <c r="M838">
        <f>IFERROR(SMALL(M191:M559,ROW()-ROW($M$562)+1),"")</f>
        <v>0</v>
      </c>
      <c r="N838">
        <f>IFERROR(SMALL(N191:N559,ROW()-ROW($N$562)+1),"")</f>
        <v>0</v>
      </c>
    </row>
    <row r="839" spans="5:14">
      <c r="E839">
        <f>IFERROR(SMALL(E191:E559,ROW()-ROW($E$562)+1),"")</f>
        <v>0</v>
      </c>
      <c r="F839">
        <f>IFERROR(SMALL(F191:F559,ROW()-ROW($F$562)+1),"")</f>
        <v>0</v>
      </c>
      <c r="G839">
        <f>IFERROR(SMALL(G191:G559,ROW()-ROW($G$562)+1),"")</f>
        <v>0</v>
      </c>
      <c r="H839">
        <f>IFERROR(SMALL(H191:H559,ROW()-ROW($H$562)+1),"")</f>
        <v>0</v>
      </c>
      <c r="K839">
        <f>IFERROR(SMALL(K191:K559,ROW()-ROW($K$562)+1),"")</f>
        <v>0</v>
      </c>
      <c r="L839">
        <f>IFERROR(SMALL(L191:L559,ROW()-ROW($L$562)+1),"")</f>
        <v>0</v>
      </c>
      <c r="M839">
        <f>IFERROR(SMALL(M191:M559,ROW()-ROW($M$562)+1),"")</f>
        <v>0</v>
      </c>
      <c r="N839">
        <f>IFERROR(SMALL(N191:N559,ROW()-ROW($N$562)+1),"")</f>
        <v>0</v>
      </c>
    </row>
    <row r="840" spans="5:14">
      <c r="E840">
        <f>IFERROR(SMALL(E191:E559,ROW()-ROW($E$562)+1),"")</f>
        <v>0</v>
      </c>
      <c r="F840">
        <f>IFERROR(SMALL(F191:F559,ROW()-ROW($F$562)+1),"")</f>
        <v>0</v>
      </c>
      <c r="G840">
        <f>IFERROR(SMALL(G191:G559,ROW()-ROW($G$562)+1),"")</f>
        <v>0</v>
      </c>
      <c r="H840">
        <f>IFERROR(SMALL(H191:H559,ROW()-ROW($H$562)+1),"")</f>
        <v>0</v>
      </c>
      <c r="K840">
        <f>IFERROR(SMALL(K191:K559,ROW()-ROW($K$562)+1),"")</f>
        <v>0</v>
      </c>
      <c r="L840">
        <f>IFERROR(SMALL(L191:L559,ROW()-ROW($L$562)+1),"")</f>
        <v>0</v>
      </c>
      <c r="M840">
        <f>IFERROR(SMALL(M191:M559,ROW()-ROW($M$562)+1),"")</f>
        <v>0</v>
      </c>
      <c r="N840">
        <f>IFERROR(SMALL(N191:N559,ROW()-ROW($N$562)+1),"")</f>
        <v>0</v>
      </c>
    </row>
    <row r="841" spans="5:14">
      <c r="E841">
        <f>IFERROR(SMALL(E191:E559,ROW()-ROW($E$562)+1),"")</f>
        <v>0</v>
      </c>
      <c r="F841">
        <f>IFERROR(SMALL(F191:F559,ROW()-ROW($F$562)+1),"")</f>
        <v>0</v>
      </c>
      <c r="G841">
        <f>IFERROR(SMALL(G191:G559,ROW()-ROW($G$562)+1),"")</f>
        <v>0</v>
      </c>
      <c r="H841">
        <f>IFERROR(SMALL(H191:H559,ROW()-ROW($H$562)+1),"")</f>
        <v>0</v>
      </c>
      <c r="K841">
        <f>IFERROR(SMALL(K191:K559,ROW()-ROW($K$562)+1),"")</f>
        <v>0</v>
      </c>
      <c r="L841">
        <f>IFERROR(SMALL(L191:L559,ROW()-ROW($L$562)+1),"")</f>
        <v>0</v>
      </c>
      <c r="M841">
        <f>IFERROR(SMALL(M191:M559,ROW()-ROW($M$562)+1),"")</f>
        <v>0</v>
      </c>
      <c r="N841">
        <f>IFERROR(SMALL(N191:N559,ROW()-ROW($N$562)+1),"")</f>
        <v>0</v>
      </c>
    </row>
    <row r="842" spans="5:14">
      <c r="E842">
        <f>IFERROR(SMALL(E191:E559,ROW()-ROW($E$562)+1),"")</f>
        <v>0</v>
      </c>
      <c r="F842">
        <f>IFERROR(SMALL(F191:F559,ROW()-ROW($F$562)+1),"")</f>
        <v>0</v>
      </c>
      <c r="G842">
        <f>IFERROR(SMALL(G191:G559,ROW()-ROW($G$562)+1),"")</f>
        <v>0</v>
      </c>
      <c r="H842">
        <f>IFERROR(SMALL(H191:H559,ROW()-ROW($H$562)+1),"")</f>
        <v>0</v>
      </c>
      <c r="K842">
        <f>IFERROR(SMALL(K191:K559,ROW()-ROW($K$562)+1),"")</f>
        <v>0</v>
      </c>
      <c r="L842">
        <f>IFERROR(SMALL(L191:L559,ROW()-ROW($L$562)+1),"")</f>
        <v>0</v>
      </c>
      <c r="M842">
        <f>IFERROR(SMALL(M191:M559,ROW()-ROW($M$562)+1),"")</f>
        <v>0</v>
      </c>
      <c r="N842">
        <f>IFERROR(SMALL(N191:N559,ROW()-ROW($N$562)+1),"")</f>
        <v>0</v>
      </c>
    </row>
    <row r="843" spans="5:14">
      <c r="E843">
        <f>IFERROR(SMALL(E191:E559,ROW()-ROW($E$562)+1),"")</f>
        <v>0</v>
      </c>
      <c r="F843">
        <f>IFERROR(SMALL(F191:F559,ROW()-ROW($F$562)+1),"")</f>
        <v>0</v>
      </c>
      <c r="G843">
        <f>IFERROR(SMALL(G191:G559,ROW()-ROW($G$562)+1),"")</f>
        <v>0</v>
      </c>
      <c r="H843">
        <f>IFERROR(SMALL(H191:H559,ROW()-ROW($H$562)+1),"")</f>
        <v>0</v>
      </c>
      <c r="K843">
        <f>IFERROR(SMALL(K191:K559,ROW()-ROW($K$562)+1),"")</f>
        <v>0</v>
      </c>
      <c r="L843">
        <f>IFERROR(SMALL(L191:L559,ROW()-ROW($L$562)+1),"")</f>
        <v>0</v>
      </c>
      <c r="M843">
        <f>IFERROR(SMALL(M191:M559,ROW()-ROW($M$562)+1),"")</f>
        <v>0</v>
      </c>
      <c r="N843">
        <f>IFERROR(SMALL(N191:N559,ROW()-ROW($N$562)+1),"")</f>
        <v>0</v>
      </c>
    </row>
    <row r="844" spans="5:14">
      <c r="E844">
        <f>IFERROR(SMALL(E191:E559,ROW()-ROW($E$562)+1),"")</f>
        <v>0</v>
      </c>
      <c r="F844">
        <f>IFERROR(SMALL(F191:F559,ROW()-ROW($F$562)+1),"")</f>
        <v>0</v>
      </c>
      <c r="G844">
        <f>IFERROR(SMALL(G191:G559,ROW()-ROW($G$562)+1),"")</f>
        <v>0</v>
      </c>
      <c r="H844">
        <f>IFERROR(SMALL(H191:H559,ROW()-ROW($H$562)+1),"")</f>
        <v>0</v>
      </c>
      <c r="K844">
        <f>IFERROR(SMALL(K191:K559,ROW()-ROW($K$562)+1),"")</f>
        <v>0</v>
      </c>
      <c r="L844">
        <f>IFERROR(SMALL(L191:L559,ROW()-ROW($L$562)+1),"")</f>
        <v>0</v>
      </c>
      <c r="M844">
        <f>IFERROR(SMALL(M191:M559,ROW()-ROW($M$562)+1),"")</f>
        <v>0</v>
      </c>
      <c r="N844">
        <f>IFERROR(SMALL(N191:N559,ROW()-ROW($N$562)+1),"")</f>
        <v>0</v>
      </c>
    </row>
    <row r="845" spans="5:14">
      <c r="E845">
        <f>IFERROR(SMALL(E191:E559,ROW()-ROW($E$562)+1),"")</f>
        <v>0</v>
      </c>
      <c r="F845">
        <f>IFERROR(SMALL(F191:F559,ROW()-ROW($F$562)+1),"")</f>
        <v>0</v>
      </c>
      <c r="G845">
        <f>IFERROR(SMALL(G191:G559,ROW()-ROW($G$562)+1),"")</f>
        <v>0</v>
      </c>
      <c r="H845">
        <f>IFERROR(SMALL(H191:H559,ROW()-ROW($H$562)+1),"")</f>
        <v>0</v>
      </c>
      <c r="K845">
        <f>IFERROR(SMALL(K191:K559,ROW()-ROW($K$562)+1),"")</f>
        <v>0</v>
      </c>
      <c r="L845">
        <f>IFERROR(SMALL(L191:L559,ROW()-ROW($L$562)+1),"")</f>
        <v>0</v>
      </c>
      <c r="M845">
        <f>IFERROR(SMALL(M191:M559,ROW()-ROW($M$562)+1),"")</f>
        <v>0</v>
      </c>
      <c r="N845">
        <f>IFERROR(SMALL(N191:N559,ROW()-ROW($N$562)+1),"")</f>
        <v>0</v>
      </c>
    </row>
    <row r="846" spans="5:14">
      <c r="E846">
        <f>IFERROR(SMALL(E191:E559,ROW()-ROW($E$562)+1),"")</f>
        <v>0</v>
      </c>
      <c r="F846">
        <f>IFERROR(SMALL(F191:F559,ROW()-ROW($F$562)+1),"")</f>
        <v>0</v>
      </c>
      <c r="G846">
        <f>IFERROR(SMALL(G191:G559,ROW()-ROW($G$562)+1),"")</f>
        <v>0</v>
      </c>
      <c r="H846">
        <f>IFERROR(SMALL(H191:H559,ROW()-ROW($H$562)+1),"")</f>
        <v>0</v>
      </c>
      <c r="K846">
        <f>IFERROR(SMALL(K191:K559,ROW()-ROW($K$562)+1),"")</f>
        <v>0</v>
      </c>
      <c r="L846">
        <f>IFERROR(SMALL(L191:L559,ROW()-ROW($L$562)+1),"")</f>
        <v>0</v>
      </c>
      <c r="M846">
        <f>IFERROR(SMALL(M191:M559,ROW()-ROW($M$562)+1),"")</f>
        <v>0</v>
      </c>
      <c r="N846">
        <f>IFERROR(SMALL(N191:N559,ROW()-ROW($N$562)+1),"")</f>
        <v>0</v>
      </c>
    </row>
    <row r="847" spans="5:14">
      <c r="E847">
        <f>IFERROR(SMALL(E191:E559,ROW()-ROW($E$562)+1),"")</f>
        <v>0</v>
      </c>
      <c r="F847">
        <f>IFERROR(SMALL(F191:F559,ROW()-ROW($F$562)+1),"")</f>
        <v>0</v>
      </c>
      <c r="G847">
        <f>IFERROR(SMALL(G191:G559,ROW()-ROW($G$562)+1),"")</f>
        <v>0</v>
      </c>
      <c r="H847">
        <f>IFERROR(SMALL(H191:H559,ROW()-ROW($H$562)+1),"")</f>
        <v>0</v>
      </c>
      <c r="K847">
        <f>IFERROR(SMALL(K191:K559,ROW()-ROW($K$562)+1),"")</f>
        <v>0</v>
      </c>
      <c r="L847">
        <f>IFERROR(SMALL(L191:L559,ROW()-ROW($L$562)+1),"")</f>
        <v>0</v>
      </c>
      <c r="M847">
        <f>IFERROR(SMALL(M191:M559,ROW()-ROW($M$562)+1),"")</f>
        <v>0</v>
      </c>
      <c r="N847">
        <f>IFERROR(SMALL(N191:N559,ROW()-ROW($N$562)+1),"")</f>
        <v>0</v>
      </c>
    </row>
    <row r="848" spans="5:14">
      <c r="E848">
        <f>IFERROR(SMALL(E191:E559,ROW()-ROW($E$562)+1),"")</f>
        <v>0</v>
      </c>
      <c r="F848">
        <f>IFERROR(SMALL(F191:F559,ROW()-ROW($F$562)+1),"")</f>
        <v>0</v>
      </c>
      <c r="G848">
        <f>IFERROR(SMALL(G191:G559,ROW()-ROW($G$562)+1),"")</f>
        <v>0</v>
      </c>
      <c r="H848">
        <f>IFERROR(SMALL(H191:H559,ROW()-ROW($H$562)+1),"")</f>
        <v>0</v>
      </c>
      <c r="K848">
        <f>IFERROR(SMALL(K191:K559,ROW()-ROW($K$562)+1),"")</f>
        <v>0</v>
      </c>
      <c r="L848">
        <f>IFERROR(SMALL(L191:L559,ROW()-ROW($L$562)+1),"")</f>
        <v>0</v>
      </c>
      <c r="M848">
        <f>IFERROR(SMALL(M191:M559,ROW()-ROW($M$562)+1),"")</f>
        <v>0</v>
      </c>
      <c r="N848">
        <f>IFERROR(SMALL(N191:N559,ROW()-ROW($N$562)+1),"")</f>
        <v>0</v>
      </c>
    </row>
    <row r="849" spans="5:14">
      <c r="E849">
        <f>IFERROR(SMALL(E191:E559,ROW()-ROW($E$562)+1),"")</f>
        <v>0</v>
      </c>
      <c r="F849">
        <f>IFERROR(SMALL(F191:F559,ROW()-ROW($F$562)+1),"")</f>
        <v>0</v>
      </c>
      <c r="G849">
        <f>IFERROR(SMALL(G191:G559,ROW()-ROW($G$562)+1),"")</f>
        <v>0</v>
      </c>
      <c r="H849">
        <f>IFERROR(SMALL(H191:H559,ROW()-ROW($H$562)+1),"")</f>
        <v>0</v>
      </c>
      <c r="K849">
        <f>IFERROR(SMALL(K191:K559,ROW()-ROW($K$562)+1),"")</f>
        <v>0</v>
      </c>
      <c r="L849">
        <f>IFERROR(SMALL(L191:L559,ROW()-ROW($L$562)+1),"")</f>
        <v>0</v>
      </c>
      <c r="M849">
        <f>IFERROR(SMALL(M191:M559,ROW()-ROW($M$562)+1),"")</f>
        <v>0</v>
      </c>
      <c r="N849">
        <f>IFERROR(SMALL(N191:N559,ROW()-ROW($N$562)+1),"")</f>
        <v>0</v>
      </c>
    </row>
    <row r="850" spans="5:14">
      <c r="E850">
        <f>IFERROR(SMALL(E191:E559,ROW()-ROW($E$562)+1),"")</f>
        <v>0</v>
      </c>
      <c r="F850">
        <f>IFERROR(SMALL(F191:F559,ROW()-ROW($F$562)+1),"")</f>
        <v>0</v>
      </c>
      <c r="G850">
        <f>IFERROR(SMALL(G191:G559,ROW()-ROW($G$562)+1),"")</f>
        <v>0</v>
      </c>
      <c r="H850">
        <f>IFERROR(SMALL(H191:H559,ROW()-ROW($H$562)+1),"")</f>
        <v>0</v>
      </c>
      <c r="K850">
        <f>IFERROR(SMALL(K191:K559,ROW()-ROW($K$562)+1),"")</f>
        <v>0</v>
      </c>
      <c r="L850">
        <f>IFERROR(SMALL(L191:L559,ROW()-ROW($L$562)+1),"")</f>
        <v>0</v>
      </c>
      <c r="M850">
        <f>IFERROR(SMALL(M191:M559,ROW()-ROW($M$562)+1),"")</f>
        <v>0</v>
      </c>
      <c r="N850">
        <f>IFERROR(SMALL(N191:N559,ROW()-ROW($N$562)+1),"")</f>
        <v>0</v>
      </c>
    </row>
    <row r="851" spans="5:14">
      <c r="E851">
        <f>IFERROR(SMALL(E191:E559,ROW()-ROW($E$562)+1),"")</f>
        <v>0</v>
      </c>
      <c r="F851">
        <f>IFERROR(SMALL(F191:F559,ROW()-ROW($F$562)+1),"")</f>
        <v>0</v>
      </c>
      <c r="G851">
        <f>IFERROR(SMALL(G191:G559,ROW()-ROW($G$562)+1),"")</f>
        <v>0</v>
      </c>
      <c r="H851">
        <f>IFERROR(SMALL(H191:H559,ROW()-ROW($H$562)+1),"")</f>
        <v>0</v>
      </c>
      <c r="K851">
        <f>IFERROR(SMALL(K191:K559,ROW()-ROW($K$562)+1),"")</f>
        <v>0</v>
      </c>
      <c r="L851">
        <f>IFERROR(SMALL(L191:L559,ROW()-ROW($L$562)+1),"")</f>
        <v>0</v>
      </c>
      <c r="M851">
        <f>IFERROR(SMALL(M191:M559,ROW()-ROW($M$562)+1),"")</f>
        <v>0</v>
      </c>
      <c r="N851">
        <f>IFERROR(SMALL(N191:N559,ROW()-ROW($N$562)+1),"")</f>
        <v>0</v>
      </c>
    </row>
    <row r="852" spans="5:14">
      <c r="E852">
        <f>IFERROR(SMALL(E191:E559,ROW()-ROW($E$562)+1),"")</f>
        <v>0</v>
      </c>
      <c r="F852">
        <f>IFERROR(SMALL(F191:F559,ROW()-ROW($F$562)+1),"")</f>
        <v>0</v>
      </c>
      <c r="G852">
        <f>IFERROR(SMALL(G191:G559,ROW()-ROW($G$562)+1),"")</f>
        <v>0</v>
      </c>
      <c r="H852">
        <f>IFERROR(SMALL(H191:H559,ROW()-ROW($H$562)+1),"")</f>
        <v>0</v>
      </c>
      <c r="K852">
        <f>IFERROR(SMALL(K191:K559,ROW()-ROW($K$562)+1),"")</f>
        <v>0</v>
      </c>
      <c r="L852">
        <f>IFERROR(SMALL(L191:L559,ROW()-ROW($L$562)+1),"")</f>
        <v>0</v>
      </c>
      <c r="M852">
        <f>IFERROR(SMALL(M191:M559,ROW()-ROW($M$562)+1),"")</f>
        <v>0</v>
      </c>
      <c r="N852">
        <f>IFERROR(SMALL(N191:N559,ROW()-ROW($N$562)+1),"")</f>
        <v>0</v>
      </c>
    </row>
    <row r="853" spans="5:14">
      <c r="E853">
        <f>IFERROR(SMALL(E191:E559,ROW()-ROW($E$562)+1),"")</f>
        <v>0</v>
      </c>
      <c r="F853">
        <f>IFERROR(SMALL(F191:F559,ROW()-ROW($F$562)+1),"")</f>
        <v>0</v>
      </c>
      <c r="G853">
        <f>IFERROR(SMALL(G191:G559,ROW()-ROW($G$562)+1),"")</f>
        <v>0</v>
      </c>
      <c r="H853">
        <f>IFERROR(SMALL(H191:H559,ROW()-ROW($H$562)+1),"")</f>
        <v>0</v>
      </c>
      <c r="K853">
        <f>IFERROR(SMALL(K191:K559,ROW()-ROW($K$562)+1),"")</f>
        <v>0</v>
      </c>
      <c r="L853">
        <f>IFERROR(SMALL(L191:L559,ROW()-ROW($L$562)+1),"")</f>
        <v>0</v>
      </c>
      <c r="M853">
        <f>IFERROR(SMALL(M191:M559,ROW()-ROW($M$562)+1),"")</f>
        <v>0</v>
      </c>
      <c r="N853">
        <f>IFERROR(SMALL(N191:N559,ROW()-ROW($N$562)+1),"")</f>
        <v>0</v>
      </c>
    </row>
    <row r="854" spans="5:14">
      <c r="E854">
        <f>IFERROR(SMALL(E191:E559,ROW()-ROW($E$562)+1),"")</f>
        <v>0</v>
      </c>
      <c r="F854">
        <f>IFERROR(SMALL(F191:F559,ROW()-ROW($F$562)+1),"")</f>
        <v>0</v>
      </c>
      <c r="G854">
        <f>IFERROR(SMALL(G191:G559,ROW()-ROW($G$562)+1),"")</f>
        <v>0</v>
      </c>
      <c r="H854">
        <f>IFERROR(SMALL(H191:H559,ROW()-ROW($H$562)+1),"")</f>
        <v>0</v>
      </c>
      <c r="K854">
        <f>IFERROR(SMALL(K191:K559,ROW()-ROW($K$562)+1),"")</f>
        <v>0</v>
      </c>
      <c r="L854">
        <f>IFERROR(SMALL(L191:L559,ROW()-ROW($L$562)+1),"")</f>
        <v>0</v>
      </c>
      <c r="M854">
        <f>IFERROR(SMALL(M191:M559,ROW()-ROW($M$562)+1),"")</f>
        <v>0</v>
      </c>
      <c r="N854">
        <f>IFERROR(SMALL(N191:N559,ROW()-ROW($N$562)+1),"")</f>
        <v>0</v>
      </c>
    </row>
    <row r="855" spans="5:14">
      <c r="E855">
        <f>IFERROR(SMALL(E191:E559,ROW()-ROW($E$562)+1),"")</f>
        <v>0</v>
      </c>
      <c r="F855">
        <f>IFERROR(SMALL(F191:F559,ROW()-ROW($F$562)+1),"")</f>
        <v>0</v>
      </c>
      <c r="G855">
        <f>IFERROR(SMALL(G191:G559,ROW()-ROW($G$562)+1),"")</f>
        <v>0</v>
      </c>
      <c r="H855">
        <f>IFERROR(SMALL(H191:H559,ROW()-ROW($H$562)+1),"")</f>
        <v>0</v>
      </c>
      <c r="K855">
        <f>IFERROR(SMALL(K191:K559,ROW()-ROW($K$562)+1),"")</f>
        <v>0</v>
      </c>
      <c r="L855">
        <f>IFERROR(SMALL(L191:L559,ROW()-ROW($L$562)+1),"")</f>
        <v>0</v>
      </c>
      <c r="M855">
        <f>IFERROR(SMALL(M191:M559,ROW()-ROW($M$562)+1),"")</f>
        <v>0</v>
      </c>
      <c r="N855">
        <f>IFERROR(SMALL(N191:N559,ROW()-ROW($N$562)+1),"")</f>
        <v>0</v>
      </c>
    </row>
    <row r="856" spans="5:14">
      <c r="E856">
        <f>IFERROR(SMALL(E191:E559,ROW()-ROW($E$562)+1),"")</f>
        <v>0</v>
      </c>
      <c r="F856">
        <f>IFERROR(SMALL(F191:F559,ROW()-ROW($F$562)+1),"")</f>
        <v>0</v>
      </c>
      <c r="G856">
        <f>IFERROR(SMALL(G191:G559,ROW()-ROW($G$562)+1),"")</f>
        <v>0</v>
      </c>
      <c r="H856">
        <f>IFERROR(SMALL(H191:H559,ROW()-ROW($H$562)+1),"")</f>
        <v>0</v>
      </c>
      <c r="K856">
        <f>IFERROR(SMALL(K191:K559,ROW()-ROW($K$562)+1),"")</f>
        <v>0</v>
      </c>
      <c r="L856">
        <f>IFERROR(SMALL(L191:L559,ROW()-ROW($L$562)+1),"")</f>
        <v>0</v>
      </c>
      <c r="M856">
        <f>IFERROR(SMALL(M191:M559,ROW()-ROW($M$562)+1),"")</f>
        <v>0</v>
      </c>
      <c r="N856">
        <f>IFERROR(SMALL(N191:N559,ROW()-ROW($N$562)+1),"")</f>
        <v>0</v>
      </c>
    </row>
    <row r="857" spans="5:14">
      <c r="E857">
        <f>IFERROR(SMALL(E191:E559,ROW()-ROW($E$562)+1),"")</f>
        <v>0</v>
      </c>
      <c r="F857">
        <f>IFERROR(SMALL(F191:F559,ROW()-ROW($F$562)+1),"")</f>
        <v>0</v>
      </c>
      <c r="G857">
        <f>IFERROR(SMALL(G191:G559,ROW()-ROW($G$562)+1),"")</f>
        <v>0</v>
      </c>
      <c r="H857">
        <f>IFERROR(SMALL(H191:H559,ROW()-ROW($H$562)+1),"")</f>
        <v>0</v>
      </c>
      <c r="K857">
        <f>IFERROR(SMALL(K191:K559,ROW()-ROW($K$562)+1),"")</f>
        <v>0</v>
      </c>
      <c r="L857">
        <f>IFERROR(SMALL(L191:L559,ROW()-ROW($L$562)+1),"")</f>
        <v>0</v>
      </c>
      <c r="M857">
        <f>IFERROR(SMALL(M191:M559,ROW()-ROW($M$562)+1),"")</f>
        <v>0</v>
      </c>
      <c r="N857">
        <f>IFERROR(SMALL(N191:N559,ROW()-ROW($N$562)+1),"")</f>
        <v>0</v>
      </c>
    </row>
    <row r="858" spans="5:14">
      <c r="E858">
        <f>IFERROR(SMALL(E191:E559,ROW()-ROW($E$562)+1),"")</f>
        <v>0</v>
      </c>
      <c r="F858">
        <f>IFERROR(SMALL(F191:F559,ROW()-ROW($F$562)+1),"")</f>
        <v>0</v>
      </c>
      <c r="G858">
        <f>IFERROR(SMALL(G191:G559,ROW()-ROW($G$562)+1),"")</f>
        <v>0</v>
      </c>
      <c r="H858">
        <f>IFERROR(SMALL(H191:H559,ROW()-ROW($H$562)+1),"")</f>
        <v>0</v>
      </c>
      <c r="K858">
        <f>IFERROR(SMALL(K191:K559,ROW()-ROW($K$562)+1),"")</f>
        <v>0</v>
      </c>
      <c r="L858">
        <f>IFERROR(SMALL(L191:L559,ROW()-ROW($L$562)+1),"")</f>
        <v>0</v>
      </c>
      <c r="M858">
        <f>IFERROR(SMALL(M191:M559,ROW()-ROW($M$562)+1),"")</f>
        <v>0</v>
      </c>
      <c r="N858">
        <f>IFERROR(SMALL(N191:N559,ROW()-ROW($N$562)+1),"")</f>
        <v>0</v>
      </c>
    </row>
    <row r="859" spans="5:14">
      <c r="E859">
        <f>IFERROR(SMALL(E191:E559,ROW()-ROW($E$562)+1),"")</f>
        <v>0</v>
      </c>
      <c r="F859">
        <f>IFERROR(SMALL(F191:F559,ROW()-ROW($F$562)+1),"")</f>
        <v>0</v>
      </c>
      <c r="G859">
        <f>IFERROR(SMALL(G191:G559,ROW()-ROW($G$562)+1),"")</f>
        <v>0</v>
      </c>
      <c r="H859">
        <f>IFERROR(SMALL(H191:H559,ROW()-ROW($H$562)+1),"")</f>
        <v>0</v>
      </c>
      <c r="K859">
        <f>IFERROR(SMALL(K191:K559,ROW()-ROW($K$562)+1),"")</f>
        <v>0</v>
      </c>
      <c r="L859">
        <f>IFERROR(SMALL(L191:L559,ROW()-ROW($L$562)+1),"")</f>
        <v>0</v>
      </c>
      <c r="M859">
        <f>IFERROR(SMALL(M191:M559,ROW()-ROW($M$562)+1),"")</f>
        <v>0</v>
      </c>
      <c r="N859">
        <f>IFERROR(SMALL(N191:N559,ROW()-ROW($N$562)+1),"")</f>
        <v>0</v>
      </c>
    </row>
    <row r="860" spans="5:14">
      <c r="E860">
        <f>IFERROR(SMALL(E191:E559,ROW()-ROW($E$562)+1),"")</f>
        <v>0</v>
      </c>
      <c r="F860">
        <f>IFERROR(SMALL(F191:F559,ROW()-ROW($F$562)+1),"")</f>
        <v>0</v>
      </c>
      <c r="G860">
        <f>IFERROR(SMALL(G191:G559,ROW()-ROW($G$562)+1),"")</f>
        <v>0</v>
      </c>
      <c r="H860">
        <f>IFERROR(SMALL(H191:H559,ROW()-ROW($H$562)+1),"")</f>
        <v>0</v>
      </c>
      <c r="K860">
        <f>IFERROR(SMALL(K191:K559,ROW()-ROW($K$562)+1),"")</f>
        <v>0</v>
      </c>
      <c r="L860">
        <f>IFERROR(SMALL(L191:L559,ROW()-ROW($L$562)+1),"")</f>
        <v>0</v>
      </c>
      <c r="M860">
        <f>IFERROR(SMALL(M191:M559,ROW()-ROW($M$562)+1),"")</f>
        <v>0</v>
      </c>
      <c r="N860">
        <f>IFERROR(SMALL(N191:N559,ROW()-ROW($N$562)+1),"")</f>
        <v>0</v>
      </c>
    </row>
    <row r="861" spans="5:14">
      <c r="E861">
        <f>IFERROR(SMALL(E191:E559,ROW()-ROW($E$562)+1),"")</f>
        <v>0</v>
      </c>
      <c r="F861">
        <f>IFERROR(SMALL(F191:F559,ROW()-ROW($F$562)+1),"")</f>
        <v>0</v>
      </c>
      <c r="G861">
        <f>IFERROR(SMALL(G191:G559,ROW()-ROW($G$562)+1),"")</f>
        <v>0</v>
      </c>
      <c r="H861">
        <f>IFERROR(SMALL(H191:H559,ROW()-ROW($H$562)+1),"")</f>
        <v>0</v>
      </c>
      <c r="K861">
        <f>IFERROR(SMALL(K191:K559,ROW()-ROW($K$562)+1),"")</f>
        <v>0</v>
      </c>
      <c r="L861">
        <f>IFERROR(SMALL(L191:L559,ROW()-ROW($L$562)+1),"")</f>
        <v>0</v>
      </c>
      <c r="M861">
        <f>IFERROR(SMALL(M191:M559,ROW()-ROW($M$562)+1),"")</f>
        <v>0</v>
      </c>
      <c r="N861">
        <f>IFERROR(SMALL(N191:N559,ROW()-ROW($N$562)+1),"")</f>
        <v>0</v>
      </c>
    </row>
    <row r="862" spans="5:14">
      <c r="E862">
        <f>IFERROR(SMALL(E191:E559,ROW()-ROW($E$562)+1),"")</f>
        <v>0</v>
      </c>
      <c r="F862">
        <f>IFERROR(SMALL(F191:F559,ROW()-ROW($F$562)+1),"")</f>
        <v>0</v>
      </c>
      <c r="G862">
        <f>IFERROR(SMALL(G191:G559,ROW()-ROW($G$562)+1),"")</f>
        <v>0</v>
      </c>
      <c r="H862">
        <f>IFERROR(SMALL(H191:H559,ROW()-ROW($H$562)+1),"")</f>
        <v>0</v>
      </c>
      <c r="K862">
        <f>IFERROR(SMALL(K191:K559,ROW()-ROW($K$562)+1),"")</f>
        <v>0</v>
      </c>
      <c r="L862">
        <f>IFERROR(SMALL(L191:L559,ROW()-ROW($L$562)+1),"")</f>
        <v>0</v>
      </c>
      <c r="M862">
        <f>IFERROR(SMALL(M191:M559,ROW()-ROW($M$562)+1),"")</f>
        <v>0</v>
      </c>
      <c r="N862">
        <f>IFERROR(SMALL(N191:N559,ROW()-ROW($N$562)+1),"")</f>
        <v>0</v>
      </c>
    </row>
    <row r="863" spans="5:14">
      <c r="E863">
        <f>IFERROR(SMALL(E191:E559,ROW()-ROW($E$562)+1),"")</f>
        <v>0</v>
      </c>
      <c r="F863">
        <f>IFERROR(SMALL(F191:F559,ROW()-ROW($F$562)+1),"")</f>
        <v>0</v>
      </c>
      <c r="G863">
        <f>IFERROR(SMALL(G191:G559,ROW()-ROW($G$562)+1),"")</f>
        <v>0</v>
      </c>
      <c r="H863">
        <f>IFERROR(SMALL(H191:H559,ROW()-ROW($H$562)+1),"")</f>
        <v>0</v>
      </c>
      <c r="K863">
        <f>IFERROR(SMALL(K191:K559,ROW()-ROW($K$562)+1),"")</f>
        <v>0</v>
      </c>
      <c r="L863">
        <f>IFERROR(SMALL(L191:L559,ROW()-ROW($L$562)+1),"")</f>
        <v>0</v>
      </c>
      <c r="M863">
        <f>IFERROR(SMALL(M191:M559,ROW()-ROW($M$562)+1),"")</f>
        <v>0</v>
      </c>
      <c r="N863">
        <f>IFERROR(SMALL(N191:N559,ROW()-ROW($N$562)+1),"")</f>
        <v>0</v>
      </c>
    </row>
    <row r="864" spans="5:14">
      <c r="E864">
        <f>IFERROR(SMALL(E191:E559,ROW()-ROW($E$562)+1),"")</f>
        <v>0</v>
      </c>
      <c r="F864">
        <f>IFERROR(SMALL(F191:F559,ROW()-ROW($F$562)+1),"")</f>
        <v>0</v>
      </c>
      <c r="G864">
        <f>IFERROR(SMALL(G191:G559,ROW()-ROW($G$562)+1),"")</f>
        <v>0</v>
      </c>
      <c r="H864">
        <f>IFERROR(SMALL(H191:H559,ROW()-ROW($H$562)+1),"")</f>
        <v>0</v>
      </c>
      <c r="K864">
        <f>IFERROR(SMALL(K191:K559,ROW()-ROW($K$562)+1),"")</f>
        <v>0</v>
      </c>
      <c r="L864">
        <f>IFERROR(SMALL(L191:L559,ROW()-ROW($L$562)+1),"")</f>
        <v>0</v>
      </c>
      <c r="M864">
        <f>IFERROR(SMALL(M191:M559,ROW()-ROW($M$562)+1),"")</f>
        <v>0</v>
      </c>
      <c r="N864">
        <f>IFERROR(SMALL(N191:N559,ROW()-ROW($N$562)+1),"")</f>
        <v>0</v>
      </c>
    </row>
    <row r="865" spans="5:14">
      <c r="E865">
        <f>IFERROR(SMALL(E191:E559,ROW()-ROW($E$562)+1),"")</f>
        <v>0</v>
      </c>
      <c r="F865">
        <f>IFERROR(SMALL(F191:F559,ROW()-ROW($F$562)+1),"")</f>
        <v>0</v>
      </c>
      <c r="G865">
        <f>IFERROR(SMALL(G191:G559,ROW()-ROW($G$562)+1),"")</f>
        <v>0</v>
      </c>
      <c r="H865">
        <f>IFERROR(SMALL(H191:H559,ROW()-ROW($H$562)+1),"")</f>
        <v>0</v>
      </c>
      <c r="K865">
        <f>IFERROR(SMALL(K191:K559,ROW()-ROW($K$562)+1),"")</f>
        <v>0</v>
      </c>
      <c r="L865">
        <f>IFERROR(SMALL(L191:L559,ROW()-ROW($L$562)+1),"")</f>
        <v>0</v>
      </c>
      <c r="M865">
        <f>IFERROR(SMALL(M191:M559,ROW()-ROW($M$562)+1),"")</f>
        <v>0</v>
      </c>
      <c r="N865">
        <f>IFERROR(SMALL(N191:N559,ROW()-ROW($N$562)+1),"")</f>
        <v>0</v>
      </c>
    </row>
    <row r="866" spans="5:14">
      <c r="E866">
        <f>IFERROR(SMALL(E191:E559,ROW()-ROW($E$562)+1),"")</f>
        <v>0</v>
      </c>
      <c r="F866">
        <f>IFERROR(SMALL(F191:F559,ROW()-ROW($F$562)+1),"")</f>
        <v>0</v>
      </c>
      <c r="G866">
        <f>IFERROR(SMALL(G191:G559,ROW()-ROW($G$562)+1),"")</f>
        <v>0</v>
      </c>
      <c r="H866">
        <f>IFERROR(SMALL(H191:H559,ROW()-ROW($H$562)+1),"")</f>
        <v>0</v>
      </c>
      <c r="K866">
        <f>IFERROR(SMALL(K191:K559,ROW()-ROW($K$562)+1),"")</f>
        <v>0</v>
      </c>
      <c r="L866">
        <f>IFERROR(SMALL(L191:L559,ROW()-ROW($L$562)+1),"")</f>
        <v>0</v>
      </c>
      <c r="M866">
        <f>IFERROR(SMALL(M191:M559,ROW()-ROW($M$562)+1),"")</f>
        <v>0</v>
      </c>
      <c r="N866">
        <f>IFERROR(SMALL(N191:N559,ROW()-ROW($N$562)+1),"")</f>
        <v>0</v>
      </c>
    </row>
    <row r="867" spans="5:14">
      <c r="E867">
        <f>IFERROR(SMALL(E191:E559,ROW()-ROW($E$562)+1),"")</f>
        <v>0</v>
      </c>
      <c r="F867">
        <f>IFERROR(SMALL(F191:F559,ROW()-ROW($F$562)+1),"")</f>
        <v>0</v>
      </c>
      <c r="G867">
        <f>IFERROR(SMALL(G191:G559,ROW()-ROW($G$562)+1),"")</f>
        <v>0</v>
      </c>
      <c r="H867">
        <f>IFERROR(SMALL(H191:H559,ROW()-ROW($H$562)+1),"")</f>
        <v>0</v>
      </c>
      <c r="K867">
        <f>IFERROR(SMALL(K191:K559,ROW()-ROW($K$562)+1),"")</f>
        <v>0</v>
      </c>
      <c r="L867">
        <f>IFERROR(SMALL(L191:L559,ROW()-ROW($L$562)+1),"")</f>
        <v>0</v>
      </c>
      <c r="M867">
        <f>IFERROR(SMALL(M191:M559,ROW()-ROW($M$562)+1),"")</f>
        <v>0</v>
      </c>
      <c r="N867">
        <f>IFERROR(SMALL(N191:N559,ROW()-ROW($N$562)+1),"")</f>
        <v>0</v>
      </c>
    </row>
    <row r="868" spans="5:14">
      <c r="E868">
        <f>IFERROR(SMALL(E191:E559,ROW()-ROW($E$562)+1),"")</f>
        <v>0</v>
      </c>
      <c r="F868">
        <f>IFERROR(SMALL(F191:F559,ROW()-ROW($F$562)+1),"")</f>
        <v>0</v>
      </c>
      <c r="G868">
        <f>IFERROR(SMALL(G191:G559,ROW()-ROW($G$562)+1),"")</f>
        <v>0</v>
      </c>
      <c r="H868">
        <f>IFERROR(SMALL(H191:H559,ROW()-ROW($H$562)+1),"")</f>
        <v>0</v>
      </c>
      <c r="K868">
        <f>IFERROR(SMALL(K191:K559,ROW()-ROW($K$562)+1),"")</f>
        <v>0</v>
      </c>
      <c r="L868">
        <f>IFERROR(SMALL(L191:L559,ROW()-ROW($L$562)+1),"")</f>
        <v>0</v>
      </c>
      <c r="M868">
        <f>IFERROR(SMALL(M191:M559,ROW()-ROW($M$562)+1),"")</f>
        <v>0</v>
      </c>
      <c r="N868">
        <f>IFERROR(SMALL(N191:N559,ROW()-ROW($N$562)+1),"")</f>
        <v>0</v>
      </c>
    </row>
    <row r="869" spans="5:14">
      <c r="E869">
        <f>IFERROR(SMALL(E191:E559,ROW()-ROW($E$562)+1),"")</f>
        <v>0</v>
      </c>
      <c r="F869">
        <f>IFERROR(SMALL(F191:F559,ROW()-ROW($F$562)+1),"")</f>
        <v>0</v>
      </c>
      <c r="G869">
        <f>IFERROR(SMALL(G191:G559,ROW()-ROW($G$562)+1),"")</f>
        <v>0</v>
      </c>
      <c r="H869">
        <f>IFERROR(SMALL(H191:H559,ROW()-ROW($H$562)+1),"")</f>
        <v>0</v>
      </c>
      <c r="K869">
        <f>IFERROR(SMALL(K191:K559,ROW()-ROW($K$562)+1),"")</f>
        <v>0</v>
      </c>
      <c r="L869">
        <f>IFERROR(SMALL(L191:L559,ROW()-ROW($L$562)+1),"")</f>
        <v>0</v>
      </c>
      <c r="M869">
        <f>IFERROR(SMALL(M191:M559,ROW()-ROW($M$562)+1),"")</f>
        <v>0</v>
      </c>
      <c r="N869">
        <f>IFERROR(SMALL(N191:N559,ROW()-ROW($N$562)+1),"")</f>
        <v>0</v>
      </c>
    </row>
    <row r="870" spans="5:14">
      <c r="E870">
        <f>IFERROR(SMALL(E191:E559,ROW()-ROW($E$562)+1),"")</f>
        <v>0</v>
      </c>
      <c r="F870">
        <f>IFERROR(SMALL(F191:F559,ROW()-ROW($F$562)+1),"")</f>
        <v>0</v>
      </c>
      <c r="G870">
        <f>IFERROR(SMALL(G191:G559,ROW()-ROW($G$562)+1),"")</f>
        <v>0</v>
      </c>
      <c r="H870">
        <f>IFERROR(SMALL(H191:H559,ROW()-ROW($H$562)+1),"")</f>
        <v>0</v>
      </c>
      <c r="K870">
        <f>IFERROR(SMALL(K191:K559,ROW()-ROW($K$562)+1),"")</f>
        <v>0</v>
      </c>
      <c r="L870">
        <f>IFERROR(SMALL(L191:L559,ROW()-ROW($L$562)+1),"")</f>
        <v>0</v>
      </c>
      <c r="M870">
        <f>IFERROR(SMALL(M191:M559,ROW()-ROW($M$562)+1),"")</f>
        <v>0</v>
      </c>
      <c r="N870">
        <f>IFERROR(SMALL(N191:N559,ROW()-ROW($N$562)+1),"")</f>
        <v>0</v>
      </c>
    </row>
    <row r="871" spans="5:14">
      <c r="E871">
        <f>IFERROR(SMALL(E191:E559,ROW()-ROW($E$562)+1),"")</f>
        <v>0</v>
      </c>
      <c r="F871">
        <f>IFERROR(SMALL(F191:F559,ROW()-ROW($F$562)+1),"")</f>
        <v>0</v>
      </c>
      <c r="G871">
        <f>IFERROR(SMALL(G191:G559,ROW()-ROW($G$562)+1),"")</f>
        <v>0</v>
      </c>
      <c r="H871">
        <f>IFERROR(SMALL(H191:H559,ROW()-ROW($H$562)+1),"")</f>
        <v>0</v>
      </c>
      <c r="K871">
        <f>IFERROR(SMALL(K191:K559,ROW()-ROW($K$562)+1),"")</f>
        <v>0</v>
      </c>
      <c r="L871">
        <f>IFERROR(SMALL(L191:L559,ROW()-ROW($L$562)+1),"")</f>
        <v>0</v>
      </c>
      <c r="M871">
        <f>IFERROR(SMALL(M191:M559,ROW()-ROW($M$562)+1),"")</f>
        <v>0</v>
      </c>
      <c r="N871">
        <f>IFERROR(SMALL(N191:N559,ROW()-ROW($N$562)+1),"")</f>
        <v>0</v>
      </c>
    </row>
    <row r="872" spans="5:14">
      <c r="E872">
        <f>IFERROR(SMALL(E191:E559,ROW()-ROW($E$562)+1),"")</f>
        <v>0</v>
      </c>
      <c r="F872">
        <f>IFERROR(SMALL(F191:F559,ROW()-ROW($F$562)+1),"")</f>
        <v>0</v>
      </c>
      <c r="G872">
        <f>IFERROR(SMALL(G191:G559,ROW()-ROW($G$562)+1),"")</f>
        <v>0</v>
      </c>
      <c r="H872">
        <f>IFERROR(SMALL(H191:H559,ROW()-ROW($H$562)+1),"")</f>
        <v>0</v>
      </c>
      <c r="K872">
        <f>IFERROR(SMALL(K191:K559,ROW()-ROW($K$562)+1),"")</f>
        <v>0</v>
      </c>
      <c r="L872">
        <f>IFERROR(SMALL(L191:L559,ROW()-ROW($L$562)+1),"")</f>
        <v>0</v>
      </c>
      <c r="M872">
        <f>IFERROR(SMALL(M191:M559,ROW()-ROW($M$562)+1),"")</f>
        <v>0</v>
      </c>
      <c r="N872">
        <f>IFERROR(SMALL(N191:N559,ROW()-ROW($N$562)+1),"")</f>
        <v>0</v>
      </c>
    </row>
    <row r="873" spans="5:14">
      <c r="E873">
        <f>IFERROR(SMALL(E191:E559,ROW()-ROW($E$562)+1),"")</f>
        <v>0</v>
      </c>
      <c r="F873">
        <f>IFERROR(SMALL(F191:F559,ROW()-ROW($F$562)+1),"")</f>
        <v>0</v>
      </c>
      <c r="G873">
        <f>IFERROR(SMALL(G191:G559,ROW()-ROW($G$562)+1),"")</f>
        <v>0</v>
      </c>
      <c r="H873">
        <f>IFERROR(SMALL(H191:H559,ROW()-ROW($H$562)+1),"")</f>
        <v>0</v>
      </c>
      <c r="K873">
        <f>IFERROR(SMALL(K191:K559,ROW()-ROW($K$562)+1),"")</f>
        <v>0</v>
      </c>
      <c r="L873">
        <f>IFERROR(SMALL(L191:L559,ROW()-ROW($L$562)+1),"")</f>
        <v>0</v>
      </c>
      <c r="M873">
        <f>IFERROR(SMALL(M191:M559,ROW()-ROW($M$562)+1),"")</f>
        <v>0</v>
      </c>
      <c r="N873">
        <f>IFERROR(SMALL(N191:N559,ROW()-ROW($N$562)+1),"")</f>
        <v>0</v>
      </c>
    </row>
    <row r="874" spans="5:14">
      <c r="E874">
        <f>IFERROR(SMALL(E191:E559,ROW()-ROW($E$562)+1),"")</f>
        <v>0</v>
      </c>
      <c r="F874">
        <f>IFERROR(SMALL(F191:F559,ROW()-ROW($F$562)+1),"")</f>
        <v>0</v>
      </c>
      <c r="G874">
        <f>IFERROR(SMALL(G191:G559,ROW()-ROW($G$562)+1),"")</f>
        <v>0</v>
      </c>
      <c r="H874">
        <f>IFERROR(SMALL(H191:H559,ROW()-ROW($H$562)+1),"")</f>
        <v>0</v>
      </c>
      <c r="K874">
        <f>IFERROR(SMALL(K191:K559,ROW()-ROW($K$562)+1),"")</f>
        <v>0</v>
      </c>
      <c r="L874">
        <f>IFERROR(SMALL(L191:L559,ROW()-ROW($L$562)+1),"")</f>
        <v>0</v>
      </c>
      <c r="M874">
        <f>IFERROR(SMALL(M191:M559,ROW()-ROW($M$562)+1),"")</f>
        <v>0</v>
      </c>
      <c r="N874">
        <f>IFERROR(SMALL(N191:N559,ROW()-ROW($N$562)+1),"")</f>
        <v>0</v>
      </c>
    </row>
    <row r="875" spans="5:14">
      <c r="E875">
        <f>IFERROR(SMALL(E191:E559,ROW()-ROW($E$562)+1),"")</f>
        <v>0</v>
      </c>
      <c r="F875">
        <f>IFERROR(SMALL(F191:F559,ROW()-ROW($F$562)+1),"")</f>
        <v>0</v>
      </c>
      <c r="G875">
        <f>IFERROR(SMALL(G191:G559,ROW()-ROW($G$562)+1),"")</f>
        <v>0</v>
      </c>
      <c r="H875">
        <f>IFERROR(SMALL(H191:H559,ROW()-ROW($H$562)+1),"")</f>
        <v>0</v>
      </c>
      <c r="K875">
        <f>IFERROR(SMALL(K191:K559,ROW()-ROW($K$562)+1),"")</f>
        <v>0</v>
      </c>
      <c r="L875">
        <f>IFERROR(SMALL(L191:L559,ROW()-ROW($L$562)+1),"")</f>
        <v>0</v>
      </c>
      <c r="M875">
        <f>IFERROR(SMALL(M191:M559,ROW()-ROW($M$562)+1),"")</f>
        <v>0</v>
      </c>
      <c r="N875">
        <f>IFERROR(SMALL(N191:N559,ROW()-ROW($N$562)+1),"")</f>
        <v>0</v>
      </c>
    </row>
    <row r="876" spans="5:14">
      <c r="E876">
        <f>IFERROR(SMALL(E191:E559,ROW()-ROW($E$562)+1),"")</f>
        <v>0</v>
      </c>
      <c r="F876">
        <f>IFERROR(SMALL(F191:F559,ROW()-ROW($F$562)+1),"")</f>
        <v>0</v>
      </c>
      <c r="G876">
        <f>IFERROR(SMALL(G191:G559,ROW()-ROW($G$562)+1),"")</f>
        <v>0</v>
      </c>
      <c r="H876">
        <f>IFERROR(SMALL(H191:H559,ROW()-ROW($H$562)+1),"")</f>
        <v>0</v>
      </c>
      <c r="K876">
        <f>IFERROR(SMALL(K191:K559,ROW()-ROW($K$562)+1),"")</f>
        <v>0</v>
      </c>
      <c r="L876">
        <f>IFERROR(SMALL(L191:L559,ROW()-ROW($L$562)+1),"")</f>
        <v>0</v>
      </c>
      <c r="M876">
        <f>IFERROR(SMALL(M191:M559,ROW()-ROW($M$562)+1),"")</f>
        <v>0</v>
      </c>
      <c r="N876">
        <f>IFERROR(SMALL(N191:N559,ROW()-ROW($N$562)+1),"")</f>
        <v>0</v>
      </c>
    </row>
    <row r="877" spans="5:14">
      <c r="E877">
        <f>IFERROR(SMALL(E191:E559,ROW()-ROW($E$562)+1),"")</f>
        <v>0</v>
      </c>
      <c r="F877">
        <f>IFERROR(SMALL(F191:F559,ROW()-ROW($F$562)+1),"")</f>
        <v>0</v>
      </c>
      <c r="G877">
        <f>IFERROR(SMALL(G191:G559,ROW()-ROW($G$562)+1),"")</f>
        <v>0</v>
      </c>
      <c r="H877">
        <f>IFERROR(SMALL(H191:H559,ROW()-ROW($H$562)+1),"")</f>
        <v>0</v>
      </c>
      <c r="K877">
        <f>IFERROR(SMALL(K191:K559,ROW()-ROW($K$562)+1),"")</f>
        <v>0</v>
      </c>
      <c r="L877">
        <f>IFERROR(SMALL(L191:L559,ROW()-ROW($L$562)+1),"")</f>
        <v>0</v>
      </c>
      <c r="M877">
        <f>IFERROR(SMALL(M191:M559,ROW()-ROW($M$562)+1),"")</f>
        <v>0</v>
      </c>
      <c r="N877">
        <f>IFERROR(SMALL(N191:N559,ROW()-ROW($N$562)+1),"")</f>
        <v>0</v>
      </c>
    </row>
    <row r="878" spans="5:14">
      <c r="E878">
        <f>IFERROR(SMALL(E191:E559,ROW()-ROW($E$562)+1),"")</f>
        <v>0</v>
      </c>
      <c r="F878">
        <f>IFERROR(SMALL(F191:F559,ROW()-ROW($F$562)+1),"")</f>
        <v>0</v>
      </c>
      <c r="G878">
        <f>IFERROR(SMALL(G191:G559,ROW()-ROW($G$562)+1),"")</f>
        <v>0</v>
      </c>
      <c r="H878">
        <f>IFERROR(SMALL(H191:H559,ROW()-ROW($H$562)+1),"")</f>
        <v>0</v>
      </c>
      <c r="K878">
        <f>IFERROR(SMALL(K191:K559,ROW()-ROW($K$562)+1),"")</f>
        <v>0</v>
      </c>
      <c r="L878">
        <f>IFERROR(SMALL(L191:L559,ROW()-ROW($L$562)+1),"")</f>
        <v>0</v>
      </c>
      <c r="M878">
        <f>IFERROR(SMALL(M191:M559,ROW()-ROW($M$562)+1),"")</f>
        <v>0</v>
      </c>
      <c r="N878">
        <f>IFERROR(SMALL(N191:N559,ROW()-ROW($N$562)+1),"")</f>
        <v>0</v>
      </c>
    </row>
    <row r="879" spans="5:14">
      <c r="E879">
        <f>IFERROR(SMALL(E191:E559,ROW()-ROW($E$562)+1),"")</f>
        <v>0</v>
      </c>
      <c r="F879">
        <f>IFERROR(SMALL(F191:F559,ROW()-ROW($F$562)+1),"")</f>
        <v>0</v>
      </c>
      <c r="G879">
        <f>IFERROR(SMALL(G191:G559,ROW()-ROW($G$562)+1),"")</f>
        <v>0</v>
      </c>
      <c r="H879">
        <f>IFERROR(SMALL(H191:H559,ROW()-ROW($H$562)+1),"")</f>
        <v>0</v>
      </c>
      <c r="K879">
        <f>IFERROR(SMALL(K191:K559,ROW()-ROW($K$562)+1),"")</f>
        <v>0</v>
      </c>
      <c r="L879">
        <f>IFERROR(SMALL(L191:L559,ROW()-ROW($L$562)+1),"")</f>
        <v>0</v>
      </c>
      <c r="M879">
        <f>IFERROR(SMALL(M191:M559,ROW()-ROW($M$562)+1),"")</f>
        <v>0</v>
      </c>
      <c r="N879">
        <f>IFERROR(SMALL(N191:N559,ROW()-ROW($N$562)+1),"")</f>
        <v>0</v>
      </c>
    </row>
    <row r="880" spans="5:14">
      <c r="E880">
        <f>IFERROR(SMALL(E191:E559,ROW()-ROW($E$562)+1),"")</f>
        <v>0</v>
      </c>
      <c r="F880">
        <f>IFERROR(SMALL(F191:F559,ROW()-ROW($F$562)+1),"")</f>
        <v>0</v>
      </c>
      <c r="G880">
        <f>IFERROR(SMALL(G191:G559,ROW()-ROW($G$562)+1),"")</f>
        <v>0</v>
      </c>
      <c r="H880">
        <f>IFERROR(SMALL(H191:H559,ROW()-ROW($H$562)+1),"")</f>
        <v>0</v>
      </c>
      <c r="K880">
        <f>IFERROR(SMALL(K191:K559,ROW()-ROW($K$562)+1),"")</f>
        <v>0</v>
      </c>
      <c r="L880">
        <f>IFERROR(SMALL(L191:L559,ROW()-ROW($L$562)+1),"")</f>
        <v>0</v>
      </c>
      <c r="M880">
        <f>IFERROR(SMALL(M191:M559,ROW()-ROW($M$562)+1),"")</f>
        <v>0</v>
      </c>
      <c r="N880">
        <f>IFERROR(SMALL(N191:N559,ROW()-ROW($N$562)+1),"")</f>
        <v>0</v>
      </c>
    </row>
    <row r="881" spans="5:14">
      <c r="E881">
        <f>IFERROR(SMALL(E191:E559,ROW()-ROW($E$562)+1),"")</f>
        <v>0</v>
      </c>
      <c r="F881">
        <f>IFERROR(SMALL(F191:F559,ROW()-ROW($F$562)+1),"")</f>
        <v>0</v>
      </c>
      <c r="G881">
        <f>IFERROR(SMALL(G191:G559,ROW()-ROW($G$562)+1),"")</f>
        <v>0</v>
      </c>
      <c r="H881">
        <f>IFERROR(SMALL(H191:H559,ROW()-ROW($H$562)+1),"")</f>
        <v>0</v>
      </c>
      <c r="K881">
        <f>IFERROR(SMALL(K191:K559,ROW()-ROW($K$562)+1),"")</f>
        <v>0</v>
      </c>
      <c r="L881">
        <f>IFERROR(SMALL(L191:L559,ROW()-ROW($L$562)+1),"")</f>
        <v>0</v>
      </c>
      <c r="M881">
        <f>IFERROR(SMALL(M191:M559,ROW()-ROW($M$562)+1),"")</f>
        <v>0</v>
      </c>
      <c r="N881">
        <f>IFERROR(SMALL(N191:N559,ROW()-ROW($N$562)+1),"")</f>
        <v>0</v>
      </c>
    </row>
    <row r="882" spans="5:14">
      <c r="E882">
        <f>IFERROR(SMALL(E191:E559,ROW()-ROW($E$562)+1),"")</f>
        <v>0</v>
      </c>
      <c r="F882">
        <f>IFERROR(SMALL(F191:F559,ROW()-ROW($F$562)+1),"")</f>
        <v>0</v>
      </c>
      <c r="G882">
        <f>IFERROR(SMALL(G191:G559,ROW()-ROW($G$562)+1),"")</f>
        <v>0</v>
      </c>
      <c r="H882">
        <f>IFERROR(SMALL(H191:H559,ROW()-ROW($H$562)+1),"")</f>
        <v>0</v>
      </c>
      <c r="K882">
        <f>IFERROR(SMALL(K191:K559,ROW()-ROW($K$562)+1),"")</f>
        <v>0</v>
      </c>
      <c r="L882">
        <f>IFERROR(SMALL(L191:L559,ROW()-ROW($L$562)+1),"")</f>
        <v>0</v>
      </c>
      <c r="M882">
        <f>IFERROR(SMALL(M191:M559,ROW()-ROW($M$562)+1),"")</f>
        <v>0</v>
      </c>
      <c r="N882">
        <f>IFERROR(SMALL(N191:N559,ROW()-ROW($N$562)+1),"")</f>
        <v>0</v>
      </c>
    </row>
    <row r="883" spans="5:14">
      <c r="E883">
        <f>IFERROR(SMALL(E191:E559,ROW()-ROW($E$562)+1),"")</f>
        <v>0</v>
      </c>
      <c r="F883">
        <f>IFERROR(SMALL(F191:F559,ROW()-ROW($F$562)+1),"")</f>
        <v>0</v>
      </c>
      <c r="G883">
        <f>IFERROR(SMALL(G191:G559,ROW()-ROW($G$562)+1),"")</f>
        <v>0</v>
      </c>
      <c r="H883">
        <f>IFERROR(SMALL(H191:H559,ROW()-ROW($H$562)+1),"")</f>
        <v>0</v>
      </c>
      <c r="K883">
        <f>IFERROR(SMALL(K191:K559,ROW()-ROW($K$562)+1),"")</f>
        <v>0</v>
      </c>
      <c r="L883">
        <f>IFERROR(SMALL(L191:L559,ROW()-ROW($L$562)+1),"")</f>
        <v>0</v>
      </c>
      <c r="M883">
        <f>IFERROR(SMALL(M191:M559,ROW()-ROW($M$562)+1),"")</f>
        <v>0</v>
      </c>
      <c r="N883">
        <f>IFERROR(SMALL(N191:N559,ROW()-ROW($N$562)+1),"")</f>
        <v>0</v>
      </c>
    </row>
    <row r="884" spans="5:14">
      <c r="E884">
        <f>IFERROR(SMALL(E191:E559,ROW()-ROW($E$562)+1),"")</f>
        <v>0</v>
      </c>
      <c r="F884">
        <f>IFERROR(SMALL(F191:F559,ROW()-ROW($F$562)+1),"")</f>
        <v>0</v>
      </c>
      <c r="G884">
        <f>IFERROR(SMALL(G191:G559,ROW()-ROW($G$562)+1),"")</f>
        <v>0</v>
      </c>
      <c r="H884">
        <f>IFERROR(SMALL(H191:H559,ROW()-ROW($H$562)+1),"")</f>
        <v>0</v>
      </c>
      <c r="K884">
        <f>IFERROR(SMALL(K191:K559,ROW()-ROW($K$562)+1),"")</f>
        <v>0</v>
      </c>
      <c r="L884">
        <f>IFERROR(SMALL(L191:L559,ROW()-ROW($L$562)+1),"")</f>
        <v>0</v>
      </c>
      <c r="M884">
        <f>IFERROR(SMALL(M191:M559,ROW()-ROW($M$562)+1),"")</f>
        <v>0</v>
      </c>
      <c r="N884">
        <f>IFERROR(SMALL(N191:N559,ROW()-ROW($N$562)+1),"")</f>
        <v>0</v>
      </c>
    </row>
    <row r="885" spans="5:14">
      <c r="E885">
        <f>IFERROR(SMALL(E191:E559,ROW()-ROW($E$562)+1),"")</f>
        <v>0</v>
      </c>
      <c r="F885">
        <f>IFERROR(SMALL(F191:F559,ROW()-ROW($F$562)+1),"")</f>
        <v>0</v>
      </c>
      <c r="G885">
        <f>IFERROR(SMALL(G191:G559,ROW()-ROW($G$562)+1),"")</f>
        <v>0</v>
      </c>
      <c r="H885">
        <f>IFERROR(SMALL(H191:H559,ROW()-ROW($H$562)+1),"")</f>
        <v>0</v>
      </c>
      <c r="K885">
        <f>IFERROR(SMALL(K191:K559,ROW()-ROW($K$562)+1),"")</f>
        <v>0</v>
      </c>
      <c r="L885">
        <f>IFERROR(SMALL(L191:L559,ROW()-ROW($L$562)+1),"")</f>
        <v>0</v>
      </c>
      <c r="M885">
        <f>IFERROR(SMALL(M191:M559,ROW()-ROW($M$562)+1),"")</f>
        <v>0</v>
      </c>
      <c r="N885">
        <f>IFERROR(SMALL(N191:N559,ROW()-ROW($N$562)+1),"")</f>
        <v>0</v>
      </c>
    </row>
    <row r="886" spans="5:14">
      <c r="E886">
        <f>IFERROR(SMALL(E191:E559,ROW()-ROW($E$562)+1),"")</f>
        <v>0</v>
      </c>
      <c r="F886">
        <f>IFERROR(SMALL(F191:F559,ROW()-ROW($F$562)+1),"")</f>
        <v>0</v>
      </c>
      <c r="G886">
        <f>IFERROR(SMALL(G191:G559,ROW()-ROW($G$562)+1),"")</f>
        <v>0</v>
      </c>
      <c r="H886">
        <f>IFERROR(SMALL(H191:H559,ROW()-ROW($H$562)+1),"")</f>
        <v>0</v>
      </c>
      <c r="K886">
        <f>IFERROR(SMALL(K191:K559,ROW()-ROW($K$562)+1),"")</f>
        <v>0</v>
      </c>
      <c r="L886">
        <f>IFERROR(SMALL(L191:L559,ROW()-ROW($L$562)+1),"")</f>
        <v>0</v>
      </c>
      <c r="M886">
        <f>IFERROR(SMALL(M191:M559,ROW()-ROW($M$562)+1),"")</f>
        <v>0</v>
      </c>
      <c r="N886">
        <f>IFERROR(SMALL(N191:N559,ROW()-ROW($N$562)+1),"")</f>
        <v>0</v>
      </c>
    </row>
    <row r="887" spans="5:14">
      <c r="E887">
        <f>IFERROR(SMALL(E191:E559,ROW()-ROW($E$562)+1),"")</f>
        <v>0</v>
      </c>
      <c r="F887">
        <f>IFERROR(SMALL(F191:F559,ROW()-ROW($F$562)+1),"")</f>
        <v>0</v>
      </c>
      <c r="G887">
        <f>IFERROR(SMALL(G191:G559,ROW()-ROW($G$562)+1),"")</f>
        <v>0</v>
      </c>
      <c r="H887">
        <f>IFERROR(SMALL(H191:H559,ROW()-ROW($H$562)+1),"")</f>
        <v>0</v>
      </c>
      <c r="K887">
        <f>IFERROR(SMALL(K191:K559,ROW()-ROW($K$562)+1),"")</f>
        <v>0</v>
      </c>
      <c r="L887">
        <f>IFERROR(SMALL(L191:L559,ROW()-ROW($L$562)+1),"")</f>
        <v>0</v>
      </c>
      <c r="M887">
        <f>IFERROR(SMALL(M191:M559,ROW()-ROW($M$562)+1),"")</f>
        <v>0</v>
      </c>
      <c r="N887">
        <f>IFERROR(SMALL(N191:N559,ROW()-ROW($N$562)+1),"")</f>
        <v>0</v>
      </c>
    </row>
    <row r="888" spans="5:14">
      <c r="E888">
        <f>IFERROR(SMALL(E191:E559,ROW()-ROW($E$562)+1),"")</f>
        <v>0</v>
      </c>
      <c r="F888">
        <f>IFERROR(SMALL(F191:F559,ROW()-ROW($F$562)+1),"")</f>
        <v>0</v>
      </c>
      <c r="G888">
        <f>IFERROR(SMALL(G191:G559,ROW()-ROW($G$562)+1),"")</f>
        <v>0</v>
      </c>
      <c r="H888">
        <f>IFERROR(SMALL(H191:H559,ROW()-ROW($H$562)+1),"")</f>
        <v>0</v>
      </c>
      <c r="K888">
        <f>IFERROR(SMALL(K191:K559,ROW()-ROW($K$562)+1),"")</f>
        <v>0</v>
      </c>
      <c r="L888">
        <f>IFERROR(SMALL(L191:L559,ROW()-ROW($L$562)+1),"")</f>
        <v>0</v>
      </c>
      <c r="M888">
        <f>IFERROR(SMALL(M191:M559,ROW()-ROW($M$562)+1),"")</f>
        <v>0</v>
      </c>
      <c r="N888">
        <f>IFERROR(SMALL(N191:N559,ROW()-ROW($N$562)+1),"")</f>
        <v>0</v>
      </c>
    </row>
    <row r="889" spans="5:14">
      <c r="E889">
        <f>IFERROR(SMALL(E191:E559,ROW()-ROW($E$562)+1),"")</f>
        <v>0</v>
      </c>
      <c r="F889">
        <f>IFERROR(SMALL(F191:F559,ROW()-ROW($F$562)+1),"")</f>
        <v>0</v>
      </c>
      <c r="G889">
        <f>IFERROR(SMALL(G191:G559,ROW()-ROW($G$562)+1),"")</f>
        <v>0</v>
      </c>
      <c r="H889">
        <f>IFERROR(SMALL(H191:H559,ROW()-ROW($H$562)+1),"")</f>
        <v>0</v>
      </c>
      <c r="K889">
        <f>IFERROR(SMALL(K191:K559,ROW()-ROW($K$562)+1),"")</f>
        <v>0</v>
      </c>
      <c r="L889">
        <f>IFERROR(SMALL(L191:L559,ROW()-ROW($L$562)+1),"")</f>
        <v>0</v>
      </c>
      <c r="M889">
        <f>IFERROR(SMALL(M191:M559,ROW()-ROW($M$562)+1),"")</f>
        <v>0</v>
      </c>
      <c r="N889">
        <f>IFERROR(SMALL(N191:N559,ROW()-ROW($N$562)+1),"")</f>
        <v>0</v>
      </c>
    </row>
    <row r="890" spans="5:14">
      <c r="E890">
        <f>IFERROR(SMALL(E191:E559,ROW()-ROW($E$562)+1),"")</f>
        <v>0</v>
      </c>
      <c r="F890">
        <f>IFERROR(SMALL(F191:F559,ROW()-ROW($F$562)+1),"")</f>
        <v>0</v>
      </c>
      <c r="G890">
        <f>IFERROR(SMALL(G191:G559,ROW()-ROW($G$562)+1),"")</f>
        <v>0</v>
      </c>
      <c r="H890">
        <f>IFERROR(SMALL(H191:H559,ROW()-ROW($H$562)+1),"")</f>
        <v>0</v>
      </c>
      <c r="K890">
        <f>IFERROR(SMALL(K191:K559,ROW()-ROW($K$562)+1),"")</f>
        <v>0</v>
      </c>
      <c r="L890">
        <f>IFERROR(SMALL(L191:L559,ROW()-ROW($L$562)+1),"")</f>
        <v>0</v>
      </c>
      <c r="M890">
        <f>IFERROR(SMALL(M191:M559,ROW()-ROW($M$562)+1),"")</f>
        <v>0</v>
      </c>
      <c r="N890">
        <f>IFERROR(SMALL(N191:N559,ROW()-ROW($N$562)+1),"")</f>
        <v>0</v>
      </c>
    </row>
    <row r="891" spans="5:14">
      <c r="E891">
        <f>IFERROR(SMALL(E191:E559,ROW()-ROW($E$562)+1),"")</f>
        <v>0</v>
      </c>
      <c r="F891">
        <f>IFERROR(SMALL(F191:F559,ROW()-ROW($F$562)+1),"")</f>
        <v>0</v>
      </c>
      <c r="G891">
        <f>IFERROR(SMALL(G191:G559,ROW()-ROW($G$562)+1),"")</f>
        <v>0</v>
      </c>
      <c r="H891">
        <f>IFERROR(SMALL(H191:H559,ROW()-ROW($H$562)+1),"")</f>
        <v>0</v>
      </c>
      <c r="K891">
        <f>IFERROR(SMALL(K191:K559,ROW()-ROW($K$562)+1),"")</f>
        <v>0</v>
      </c>
      <c r="L891">
        <f>IFERROR(SMALL(L191:L559,ROW()-ROW($L$562)+1),"")</f>
        <v>0</v>
      </c>
      <c r="M891">
        <f>IFERROR(SMALL(M191:M559,ROW()-ROW($M$562)+1),"")</f>
        <v>0</v>
      </c>
      <c r="N891">
        <f>IFERROR(SMALL(N191:N559,ROW()-ROW($N$562)+1),"")</f>
        <v>0</v>
      </c>
    </row>
    <row r="892" spans="5:14">
      <c r="E892">
        <f>IFERROR(SMALL(E191:E559,ROW()-ROW($E$562)+1),"")</f>
        <v>0</v>
      </c>
      <c r="F892">
        <f>IFERROR(SMALL(F191:F559,ROW()-ROW($F$562)+1),"")</f>
        <v>0</v>
      </c>
      <c r="G892">
        <f>IFERROR(SMALL(G191:G559,ROW()-ROW($G$562)+1),"")</f>
        <v>0</v>
      </c>
      <c r="H892">
        <f>IFERROR(SMALL(H191:H559,ROW()-ROW($H$562)+1),"")</f>
        <v>0</v>
      </c>
      <c r="K892">
        <f>IFERROR(SMALL(K191:K559,ROW()-ROW($K$562)+1),"")</f>
        <v>0</v>
      </c>
      <c r="L892">
        <f>IFERROR(SMALL(L191:L559,ROW()-ROW($L$562)+1),"")</f>
        <v>0</v>
      </c>
      <c r="M892">
        <f>IFERROR(SMALL(M191:M559,ROW()-ROW($M$562)+1),"")</f>
        <v>0</v>
      </c>
      <c r="N892">
        <f>IFERROR(SMALL(N191:N559,ROW()-ROW($N$562)+1),"")</f>
        <v>0</v>
      </c>
    </row>
    <row r="893" spans="5:14">
      <c r="E893">
        <f>IFERROR(SMALL(E191:E559,ROW()-ROW($E$562)+1),"")</f>
        <v>0</v>
      </c>
      <c r="F893">
        <f>IFERROR(SMALL(F191:F559,ROW()-ROW($F$562)+1),"")</f>
        <v>0</v>
      </c>
      <c r="G893">
        <f>IFERROR(SMALL(G191:G559,ROW()-ROW($G$562)+1),"")</f>
        <v>0</v>
      </c>
      <c r="H893">
        <f>IFERROR(SMALL(H191:H559,ROW()-ROW($H$562)+1),"")</f>
        <v>0</v>
      </c>
      <c r="K893">
        <f>IFERROR(SMALL(K191:K559,ROW()-ROW($K$562)+1),"")</f>
        <v>0</v>
      </c>
      <c r="L893">
        <f>IFERROR(SMALL(L191:L559,ROW()-ROW($L$562)+1),"")</f>
        <v>0</v>
      </c>
      <c r="M893">
        <f>IFERROR(SMALL(M191:M559,ROW()-ROW($M$562)+1),"")</f>
        <v>0</v>
      </c>
      <c r="N893">
        <f>IFERROR(SMALL(N191:N559,ROW()-ROW($N$562)+1),"")</f>
        <v>0</v>
      </c>
    </row>
    <row r="894" spans="5:14">
      <c r="E894">
        <f>IFERROR(SMALL(E191:E559,ROW()-ROW($E$562)+1),"")</f>
        <v>0</v>
      </c>
      <c r="F894">
        <f>IFERROR(SMALL(F191:F559,ROW()-ROW($F$562)+1),"")</f>
        <v>0</v>
      </c>
      <c r="G894">
        <f>IFERROR(SMALL(G191:G559,ROW()-ROW($G$562)+1),"")</f>
        <v>0</v>
      </c>
      <c r="H894">
        <f>IFERROR(SMALL(H191:H559,ROW()-ROW($H$562)+1),"")</f>
        <v>0</v>
      </c>
      <c r="K894">
        <f>IFERROR(SMALL(K191:K559,ROW()-ROW($K$562)+1),"")</f>
        <v>0</v>
      </c>
      <c r="L894">
        <f>IFERROR(SMALL(L191:L559,ROW()-ROW($L$562)+1),"")</f>
        <v>0</v>
      </c>
      <c r="M894">
        <f>IFERROR(SMALL(M191:M559,ROW()-ROW($M$562)+1),"")</f>
        <v>0</v>
      </c>
      <c r="N894">
        <f>IFERROR(SMALL(N191:N559,ROW()-ROW($N$562)+1),"")</f>
        <v>0</v>
      </c>
    </row>
    <row r="895" spans="5:14">
      <c r="E895">
        <f>IFERROR(SMALL(E191:E559,ROW()-ROW($E$562)+1),"")</f>
        <v>0</v>
      </c>
      <c r="F895">
        <f>IFERROR(SMALL(F191:F559,ROW()-ROW($F$562)+1),"")</f>
        <v>0</v>
      </c>
      <c r="G895">
        <f>IFERROR(SMALL(G191:G559,ROW()-ROW($G$562)+1),"")</f>
        <v>0</v>
      </c>
      <c r="H895">
        <f>IFERROR(SMALL(H191:H559,ROW()-ROW($H$562)+1),"")</f>
        <v>0</v>
      </c>
      <c r="K895">
        <f>IFERROR(SMALL(K191:K559,ROW()-ROW($K$562)+1),"")</f>
        <v>0</v>
      </c>
      <c r="L895">
        <f>IFERROR(SMALL(L191:L559,ROW()-ROW($L$562)+1),"")</f>
        <v>0</v>
      </c>
      <c r="M895">
        <f>IFERROR(SMALL(M191:M559,ROW()-ROW($M$562)+1),"")</f>
        <v>0</v>
      </c>
      <c r="N895">
        <f>IFERROR(SMALL(N191:N559,ROW()-ROW($N$562)+1),"")</f>
        <v>0</v>
      </c>
    </row>
    <row r="896" spans="5:14">
      <c r="E896">
        <f>IFERROR(SMALL(E191:E559,ROW()-ROW($E$562)+1),"")</f>
        <v>0</v>
      </c>
      <c r="F896">
        <f>IFERROR(SMALL(F191:F559,ROW()-ROW($F$562)+1),"")</f>
        <v>0</v>
      </c>
      <c r="G896">
        <f>IFERROR(SMALL(G191:G559,ROW()-ROW($G$562)+1),"")</f>
        <v>0</v>
      </c>
      <c r="H896">
        <f>IFERROR(SMALL(H191:H559,ROW()-ROW($H$562)+1),"")</f>
        <v>0</v>
      </c>
      <c r="K896">
        <f>IFERROR(SMALL(K191:K559,ROW()-ROW($K$562)+1),"")</f>
        <v>0</v>
      </c>
      <c r="L896">
        <f>IFERROR(SMALL(L191:L559,ROW()-ROW($L$562)+1),"")</f>
        <v>0</v>
      </c>
      <c r="M896">
        <f>IFERROR(SMALL(M191:M559,ROW()-ROW($M$562)+1),"")</f>
        <v>0</v>
      </c>
      <c r="N896">
        <f>IFERROR(SMALL(N191:N559,ROW()-ROW($N$562)+1),"")</f>
        <v>0</v>
      </c>
    </row>
    <row r="897" spans="5:14">
      <c r="E897">
        <f>IFERROR(SMALL(E191:E559,ROW()-ROW($E$562)+1),"")</f>
        <v>0</v>
      </c>
      <c r="F897">
        <f>IFERROR(SMALL(F191:F559,ROW()-ROW($F$562)+1),"")</f>
        <v>0</v>
      </c>
      <c r="G897">
        <f>IFERROR(SMALL(G191:G559,ROW()-ROW($G$562)+1),"")</f>
        <v>0</v>
      </c>
      <c r="H897">
        <f>IFERROR(SMALL(H191:H559,ROW()-ROW($H$562)+1),"")</f>
        <v>0</v>
      </c>
      <c r="K897">
        <f>IFERROR(SMALL(K191:K559,ROW()-ROW($K$562)+1),"")</f>
        <v>0</v>
      </c>
      <c r="L897">
        <f>IFERROR(SMALL(L191:L559,ROW()-ROW($L$562)+1),"")</f>
        <v>0</v>
      </c>
      <c r="M897">
        <f>IFERROR(SMALL(M191:M559,ROW()-ROW($M$562)+1),"")</f>
        <v>0</v>
      </c>
      <c r="N897">
        <f>IFERROR(SMALL(N191:N559,ROW()-ROW($N$562)+1),"")</f>
        <v>0</v>
      </c>
    </row>
    <row r="898" spans="5:14">
      <c r="E898">
        <f>IFERROR(SMALL(E191:E559,ROW()-ROW($E$562)+1),"")</f>
        <v>0</v>
      </c>
      <c r="F898">
        <f>IFERROR(SMALL(F191:F559,ROW()-ROW($F$562)+1),"")</f>
        <v>0</v>
      </c>
      <c r="G898">
        <f>IFERROR(SMALL(G191:G559,ROW()-ROW($G$562)+1),"")</f>
        <v>0</v>
      </c>
      <c r="H898">
        <f>IFERROR(SMALL(H191:H559,ROW()-ROW($H$562)+1),"")</f>
        <v>0</v>
      </c>
      <c r="K898">
        <f>IFERROR(SMALL(K191:K559,ROW()-ROW($K$562)+1),"")</f>
        <v>0</v>
      </c>
      <c r="L898">
        <f>IFERROR(SMALL(L191:L559,ROW()-ROW($L$562)+1),"")</f>
        <v>0</v>
      </c>
      <c r="M898">
        <f>IFERROR(SMALL(M191:M559,ROW()-ROW($M$562)+1),"")</f>
        <v>0</v>
      </c>
      <c r="N898">
        <f>IFERROR(SMALL(N191:N559,ROW()-ROW($N$562)+1),"")</f>
        <v>0</v>
      </c>
    </row>
    <row r="899" spans="5:14">
      <c r="E899">
        <f>IFERROR(SMALL(E191:E559,ROW()-ROW($E$562)+1),"")</f>
        <v>0</v>
      </c>
      <c r="F899">
        <f>IFERROR(SMALL(F191:F559,ROW()-ROW($F$562)+1),"")</f>
        <v>0</v>
      </c>
      <c r="G899">
        <f>IFERROR(SMALL(G191:G559,ROW()-ROW($G$562)+1),"")</f>
        <v>0</v>
      </c>
      <c r="H899">
        <f>IFERROR(SMALL(H191:H559,ROW()-ROW($H$562)+1),"")</f>
        <v>0</v>
      </c>
      <c r="K899">
        <f>IFERROR(SMALL(K191:K559,ROW()-ROW($K$562)+1),"")</f>
        <v>0</v>
      </c>
      <c r="L899">
        <f>IFERROR(SMALL(L191:L559,ROW()-ROW($L$562)+1),"")</f>
        <v>0</v>
      </c>
      <c r="M899">
        <f>IFERROR(SMALL(M191:M559,ROW()-ROW($M$562)+1),"")</f>
        <v>0</v>
      </c>
      <c r="N899">
        <f>IFERROR(SMALL(N191:N559,ROW()-ROW($N$562)+1),"")</f>
        <v>0</v>
      </c>
    </row>
    <row r="900" spans="5:14">
      <c r="E900">
        <f>IFERROR(SMALL(E191:E559,ROW()-ROW($E$562)+1),"")</f>
        <v>0</v>
      </c>
      <c r="F900">
        <f>IFERROR(SMALL(F191:F559,ROW()-ROW($F$562)+1),"")</f>
        <v>0</v>
      </c>
      <c r="G900">
        <f>IFERROR(SMALL(G191:G559,ROW()-ROW($G$562)+1),"")</f>
        <v>0</v>
      </c>
      <c r="H900">
        <f>IFERROR(SMALL(H191:H559,ROW()-ROW($H$562)+1),"")</f>
        <v>0</v>
      </c>
      <c r="K900">
        <f>IFERROR(SMALL(K191:K559,ROW()-ROW($K$562)+1),"")</f>
        <v>0</v>
      </c>
      <c r="L900">
        <f>IFERROR(SMALL(L191:L559,ROW()-ROW($L$562)+1),"")</f>
        <v>0</v>
      </c>
      <c r="M900">
        <f>IFERROR(SMALL(M191:M559,ROW()-ROW($M$562)+1),"")</f>
        <v>0</v>
      </c>
      <c r="N900">
        <f>IFERROR(SMALL(N191:N559,ROW()-ROW($N$562)+1),"")</f>
        <v>0</v>
      </c>
    </row>
    <row r="901" spans="5:14">
      <c r="E901">
        <f>IFERROR(SMALL(E191:E559,ROW()-ROW($E$562)+1),"")</f>
        <v>0</v>
      </c>
      <c r="F901">
        <f>IFERROR(SMALL(F191:F559,ROW()-ROW($F$562)+1),"")</f>
        <v>0</v>
      </c>
      <c r="G901">
        <f>IFERROR(SMALL(G191:G559,ROW()-ROW($G$562)+1),"")</f>
        <v>0</v>
      </c>
      <c r="H901">
        <f>IFERROR(SMALL(H191:H559,ROW()-ROW($H$562)+1),"")</f>
        <v>0</v>
      </c>
      <c r="K901">
        <f>IFERROR(SMALL(K191:K559,ROW()-ROW($K$562)+1),"")</f>
        <v>0</v>
      </c>
      <c r="L901">
        <f>IFERROR(SMALL(L191:L559,ROW()-ROW($L$562)+1),"")</f>
        <v>0</v>
      </c>
      <c r="M901">
        <f>IFERROR(SMALL(M191:M559,ROW()-ROW($M$562)+1),"")</f>
        <v>0</v>
      </c>
      <c r="N901">
        <f>IFERROR(SMALL(N191:N559,ROW()-ROW($N$562)+1),"")</f>
        <v>0</v>
      </c>
    </row>
    <row r="902" spans="5:14">
      <c r="E902">
        <f>IFERROR(SMALL(E191:E559,ROW()-ROW($E$562)+1),"")</f>
        <v>0</v>
      </c>
      <c r="F902">
        <f>IFERROR(SMALL(F191:F559,ROW()-ROW($F$562)+1),"")</f>
        <v>0</v>
      </c>
      <c r="G902">
        <f>IFERROR(SMALL(G191:G559,ROW()-ROW($G$562)+1),"")</f>
        <v>0</v>
      </c>
      <c r="H902">
        <f>IFERROR(SMALL(H191:H559,ROW()-ROW($H$562)+1),"")</f>
        <v>0</v>
      </c>
      <c r="K902">
        <f>IFERROR(SMALL(K191:K559,ROW()-ROW($K$562)+1),"")</f>
        <v>0</v>
      </c>
      <c r="L902">
        <f>IFERROR(SMALL(L191:L559,ROW()-ROW($L$562)+1),"")</f>
        <v>0</v>
      </c>
      <c r="M902">
        <f>IFERROR(SMALL(M191:M559,ROW()-ROW($M$562)+1),"")</f>
        <v>0</v>
      </c>
      <c r="N902">
        <f>IFERROR(SMALL(N191:N559,ROW()-ROW($N$562)+1),"")</f>
        <v>0</v>
      </c>
    </row>
    <row r="903" spans="5:14">
      <c r="E903">
        <f>IFERROR(SMALL(E191:E559,ROW()-ROW($E$562)+1),"")</f>
        <v>0</v>
      </c>
      <c r="F903">
        <f>IFERROR(SMALL(F191:F559,ROW()-ROW($F$562)+1),"")</f>
        <v>0</v>
      </c>
      <c r="G903">
        <f>IFERROR(SMALL(G191:G559,ROW()-ROW($G$562)+1),"")</f>
        <v>0</v>
      </c>
      <c r="H903">
        <f>IFERROR(SMALL(H191:H559,ROW()-ROW($H$562)+1),"")</f>
        <v>0</v>
      </c>
      <c r="K903">
        <f>IFERROR(SMALL(K191:K559,ROW()-ROW($K$562)+1),"")</f>
        <v>0</v>
      </c>
      <c r="L903">
        <f>IFERROR(SMALL(L191:L559,ROW()-ROW($L$562)+1),"")</f>
        <v>0</v>
      </c>
      <c r="M903">
        <f>IFERROR(SMALL(M191:M559,ROW()-ROW($M$562)+1),"")</f>
        <v>0</v>
      </c>
      <c r="N903">
        <f>IFERROR(SMALL(N191:N559,ROW()-ROW($N$562)+1),"")</f>
        <v>0</v>
      </c>
    </row>
    <row r="904" spans="5:14">
      <c r="E904">
        <f>IFERROR(SMALL(E191:E559,ROW()-ROW($E$562)+1),"")</f>
        <v>0</v>
      </c>
      <c r="F904">
        <f>IFERROR(SMALL(F191:F559,ROW()-ROW($F$562)+1),"")</f>
        <v>0</v>
      </c>
      <c r="G904">
        <f>IFERROR(SMALL(G191:G559,ROW()-ROW($G$562)+1),"")</f>
        <v>0</v>
      </c>
      <c r="H904">
        <f>IFERROR(SMALL(H191:H559,ROW()-ROW($H$562)+1),"")</f>
        <v>0</v>
      </c>
      <c r="K904">
        <f>IFERROR(SMALL(K191:K559,ROW()-ROW($K$562)+1),"")</f>
        <v>0</v>
      </c>
      <c r="L904">
        <f>IFERROR(SMALL(L191:L559,ROW()-ROW($L$562)+1),"")</f>
        <v>0</v>
      </c>
      <c r="M904">
        <f>IFERROR(SMALL(M191:M559,ROW()-ROW($M$562)+1),"")</f>
        <v>0</v>
      </c>
      <c r="N904">
        <f>IFERROR(SMALL(N191:N559,ROW()-ROW($N$562)+1),"")</f>
        <v>0</v>
      </c>
    </row>
    <row r="905" spans="5:14">
      <c r="E905">
        <f>IFERROR(SMALL(E191:E559,ROW()-ROW($E$562)+1),"")</f>
        <v>0</v>
      </c>
      <c r="F905">
        <f>IFERROR(SMALL(F191:F559,ROW()-ROW($F$562)+1),"")</f>
        <v>0</v>
      </c>
      <c r="G905">
        <f>IFERROR(SMALL(G191:G559,ROW()-ROW($G$562)+1),"")</f>
        <v>0</v>
      </c>
      <c r="H905">
        <f>IFERROR(SMALL(H191:H559,ROW()-ROW($H$562)+1),"")</f>
        <v>0</v>
      </c>
      <c r="K905">
        <f>IFERROR(SMALL(K191:K559,ROW()-ROW($K$562)+1),"")</f>
        <v>0</v>
      </c>
      <c r="L905">
        <f>IFERROR(SMALL(L191:L559,ROW()-ROW($L$562)+1),"")</f>
        <v>0</v>
      </c>
      <c r="M905">
        <f>IFERROR(SMALL(M191:M559,ROW()-ROW($M$562)+1),"")</f>
        <v>0</v>
      </c>
      <c r="N905">
        <f>IFERROR(SMALL(N191:N559,ROW()-ROW($N$562)+1),"")</f>
        <v>0</v>
      </c>
    </row>
    <row r="906" spans="5:14">
      <c r="E906">
        <f>IFERROR(SMALL(E191:E559,ROW()-ROW($E$562)+1),"")</f>
        <v>0</v>
      </c>
      <c r="F906">
        <f>IFERROR(SMALL(F191:F559,ROW()-ROW($F$562)+1),"")</f>
        <v>0</v>
      </c>
      <c r="G906">
        <f>IFERROR(SMALL(G191:G559,ROW()-ROW($G$562)+1),"")</f>
        <v>0</v>
      </c>
      <c r="H906">
        <f>IFERROR(SMALL(H191:H559,ROW()-ROW($H$562)+1),"")</f>
        <v>0</v>
      </c>
      <c r="K906">
        <f>IFERROR(SMALL(K191:K559,ROW()-ROW($K$562)+1),"")</f>
        <v>0</v>
      </c>
      <c r="L906">
        <f>IFERROR(SMALL(L191:L559,ROW()-ROW($L$562)+1),"")</f>
        <v>0</v>
      </c>
      <c r="M906">
        <f>IFERROR(SMALL(M191:M559,ROW()-ROW($M$562)+1),"")</f>
        <v>0</v>
      </c>
      <c r="N906">
        <f>IFERROR(SMALL(N191:N559,ROW()-ROW($N$562)+1),"")</f>
        <v>0</v>
      </c>
    </row>
    <row r="907" spans="5:14">
      <c r="E907">
        <f>IFERROR(SMALL(E191:E559,ROW()-ROW($E$562)+1),"")</f>
        <v>0</v>
      </c>
      <c r="F907">
        <f>IFERROR(SMALL(F191:F559,ROW()-ROW($F$562)+1),"")</f>
        <v>0</v>
      </c>
      <c r="G907">
        <f>IFERROR(SMALL(G191:G559,ROW()-ROW($G$562)+1),"")</f>
        <v>0</v>
      </c>
      <c r="H907">
        <f>IFERROR(SMALL(H191:H559,ROW()-ROW($H$562)+1),"")</f>
        <v>0</v>
      </c>
      <c r="K907">
        <f>IFERROR(SMALL(K191:K559,ROW()-ROW($K$562)+1),"")</f>
        <v>0</v>
      </c>
      <c r="L907">
        <f>IFERROR(SMALL(L191:L559,ROW()-ROW($L$562)+1),"")</f>
        <v>0</v>
      </c>
      <c r="M907">
        <f>IFERROR(SMALL(M191:M559,ROW()-ROW($M$562)+1),"")</f>
        <v>0</v>
      </c>
      <c r="N907">
        <f>IFERROR(SMALL(N191:N559,ROW()-ROW($N$562)+1),"")</f>
        <v>0</v>
      </c>
    </row>
    <row r="908" spans="5:14">
      <c r="E908">
        <f>IFERROR(SMALL(E191:E559,ROW()-ROW($E$562)+1),"")</f>
        <v>0</v>
      </c>
      <c r="F908">
        <f>IFERROR(SMALL(F191:F559,ROW()-ROW($F$562)+1),"")</f>
        <v>0</v>
      </c>
      <c r="G908">
        <f>IFERROR(SMALL(G191:G559,ROW()-ROW($G$562)+1),"")</f>
        <v>0</v>
      </c>
      <c r="H908">
        <f>IFERROR(SMALL(H191:H559,ROW()-ROW($H$562)+1),"")</f>
        <v>0</v>
      </c>
      <c r="K908">
        <f>IFERROR(SMALL(K191:K559,ROW()-ROW($K$562)+1),"")</f>
        <v>0</v>
      </c>
      <c r="L908">
        <f>IFERROR(SMALL(L191:L559,ROW()-ROW($L$562)+1),"")</f>
        <v>0</v>
      </c>
      <c r="M908">
        <f>IFERROR(SMALL(M191:M559,ROW()-ROW($M$562)+1),"")</f>
        <v>0</v>
      </c>
      <c r="N908">
        <f>IFERROR(SMALL(N191:N559,ROW()-ROW($N$562)+1),"")</f>
        <v>0</v>
      </c>
    </row>
    <row r="909" spans="5:14">
      <c r="E909">
        <f>IFERROR(SMALL(E191:E559,ROW()-ROW($E$562)+1),"")</f>
        <v>0</v>
      </c>
      <c r="F909">
        <f>IFERROR(SMALL(F191:F559,ROW()-ROW($F$562)+1),"")</f>
        <v>0</v>
      </c>
      <c r="G909">
        <f>IFERROR(SMALL(G191:G559,ROW()-ROW($G$562)+1),"")</f>
        <v>0</v>
      </c>
      <c r="H909">
        <f>IFERROR(SMALL(H191:H559,ROW()-ROW($H$562)+1),"")</f>
        <v>0</v>
      </c>
      <c r="K909">
        <f>IFERROR(SMALL(K191:K559,ROW()-ROW($K$562)+1),"")</f>
        <v>0</v>
      </c>
      <c r="L909">
        <f>IFERROR(SMALL(L191:L559,ROW()-ROW($L$562)+1),"")</f>
        <v>0</v>
      </c>
      <c r="M909">
        <f>IFERROR(SMALL(M191:M559,ROW()-ROW($M$562)+1),"")</f>
        <v>0</v>
      </c>
      <c r="N909">
        <f>IFERROR(SMALL(N191:N559,ROW()-ROW($N$562)+1),"")</f>
        <v>0</v>
      </c>
    </row>
    <row r="910" spans="5:14">
      <c r="E910">
        <f>IFERROR(SMALL(E191:E559,ROW()-ROW($E$562)+1),"")</f>
        <v>0</v>
      </c>
      <c r="F910">
        <f>IFERROR(SMALL(F191:F559,ROW()-ROW($F$562)+1),"")</f>
        <v>0</v>
      </c>
      <c r="G910">
        <f>IFERROR(SMALL(G191:G559,ROW()-ROW($G$562)+1),"")</f>
        <v>0</v>
      </c>
      <c r="H910">
        <f>IFERROR(SMALL(H191:H559,ROW()-ROW($H$562)+1),"")</f>
        <v>0</v>
      </c>
      <c r="K910">
        <f>IFERROR(SMALL(K191:K559,ROW()-ROW($K$562)+1),"")</f>
        <v>0</v>
      </c>
      <c r="L910">
        <f>IFERROR(SMALL(L191:L559,ROW()-ROW($L$562)+1),"")</f>
        <v>0</v>
      </c>
      <c r="M910">
        <f>IFERROR(SMALL(M191:M559,ROW()-ROW($M$562)+1),"")</f>
        <v>0</v>
      </c>
      <c r="N910">
        <f>IFERROR(SMALL(N191:N559,ROW()-ROW($N$562)+1),"")</f>
        <v>0</v>
      </c>
    </row>
    <row r="911" spans="5:14">
      <c r="E911">
        <f>IFERROR(SMALL(E191:E559,ROW()-ROW($E$562)+1),"")</f>
        <v>0</v>
      </c>
      <c r="F911">
        <f>IFERROR(SMALL(F191:F559,ROW()-ROW($F$562)+1),"")</f>
        <v>0</v>
      </c>
      <c r="G911">
        <f>IFERROR(SMALL(G191:G559,ROW()-ROW($G$562)+1),"")</f>
        <v>0</v>
      </c>
      <c r="H911">
        <f>IFERROR(SMALL(H191:H559,ROW()-ROW($H$562)+1),"")</f>
        <v>0</v>
      </c>
      <c r="K911">
        <f>IFERROR(SMALL(K191:K559,ROW()-ROW($K$562)+1),"")</f>
        <v>0</v>
      </c>
      <c r="L911">
        <f>IFERROR(SMALL(L191:L559,ROW()-ROW($L$562)+1),"")</f>
        <v>0</v>
      </c>
      <c r="M911">
        <f>IFERROR(SMALL(M191:M559,ROW()-ROW($M$562)+1),"")</f>
        <v>0</v>
      </c>
      <c r="N911">
        <f>IFERROR(SMALL(N191:N559,ROW()-ROW($N$562)+1),"")</f>
        <v>0</v>
      </c>
    </row>
    <row r="912" spans="5:14">
      <c r="E912">
        <f>IFERROR(SMALL(E191:E559,ROW()-ROW($E$562)+1),"")</f>
        <v>0</v>
      </c>
      <c r="F912">
        <f>IFERROR(SMALL(F191:F559,ROW()-ROW($F$562)+1),"")</f>
        <v>0</v>
      </c>
      <c r="G912">
        <f>IFERROR(SMALL(G191:G559,ROW()-ROW($G$562)+1),"")</f>
        <v>0</v>
      </c>
      <c r="H912">
        <f>IFERROR(SMALL(H191:H559,ROW()-ROW($H$562)+1),"")</f>
        <v>0</v>
      </c>
      <c r="K912">
        <f>IFERROR(SMALL(K191:K559,ROW()-ROW($K$562)+1),"")</f>
        <v>0</v>
      </c>
      <c r="L912">
        <f>IFERROR(SMALL(L191:L559,ROW()-ROW($L$562)+1),"")</f>
        <v>0</v>
      </c>
      <c r="M912">
        <f>IFERROR(SMALL(M191:M559,ROW()-ROW($M$562)+1),"")</f>
        <v>0</v>
      </c>
      <c r="N912">
        <f>IFERROR(SMALL(N191:N559,ROW()-ROW($N$562)+1),"")</f>
        <v>0</v>
      </c>
    </row>
    <row r="913" spans="5:14">
      <c r="E913">
        <f>IFERROR(SMALL(E191:E559,ROW()-ROW($E$562)+1),"")</f>
        <v>0</v>
      </c>
      <c r="F913">
        <f>IFERROR(SMALL(F191:F559,ROW()-ROW($F$562)+1),"")</f>
        <v>0</v>
      </c>
      <c r="G913">
        <f>IFERROR(SMALL(G191:G559,ROW()-ROW($G$562)+1),"")</f>
        <v>0</v>
      </c>
      <c r="H913">
        <f>IFERROR(SMALL(H191:H559,ROW()-ROW($H$562)+1),"")</f>
        <v>0</v>
      </c>
      <c r="K913">
        <f>IFERROR(SMALL(K191:K559,ROW()-ROW($K$562)+1),"")</f>
        <v>0</v>
      </c>
      <c r="L913">
        <f>IFERROR(SMALL(L191:L559,ROW()-ROW($L$562)+1),"")</f>
        <v>0</v>
      </c>
      <c r="M913">
        <f>IFERROR(SMALL(M191:M559,ROW()-ROW($M$562)+1),"")</f>
        <v>0</v>
      </c>
      <c r="N913">
        <f>IFERROR(SMALL(N191:N559,ROW()-ROW($N$562)+1),"")</f>
        <v>0</v>
      </c>
    </row>
    <row r="914" spans="5:14">
      <c r="E914">
        <f>IFERROR(SMALL(E191:E559,ROW()-ROW($E$562)+1),"")</f>
        <v>0</v>
      </c>
      <c r="F914">
        <f>IFERROR(SMALL(F191:F559,ROW()-ROW($F$562)+1),"")</f>
        <v>0</v>
      </c>
      <c r="G914">
        <f>IFERROR(SMALL(G191:G559,ROW()-ROW($G$562)+1),"")</f>
        <v>0</v>
      </c>
      <c r="H914">
        <f>IFERROR(SMALL(H191:H559,ROW()-ROW($H$562)+1),"")</f>
        <v>0</v>
      </c>
      <c r="K914">
        <f>IFERROR(SMALL(K191:K559,ROW()-ROW($K$562)+1),"")</f>
        <v>0</v>
      </c>
      <c r="L914">
        <f>IFERROR(SMALL(L191:L559,ROW()-ROW($L$562)+1),"")</f>
        <v>0</v>
      </c>
      <c r="M914">
        <f>IFERROR(SMALL(M191:M559,ROW()-ROW($M$562)+1),"")</f>
        <v>0</v>
      </c>
      <c r="N914">
        <f>IFERROR(SMALL(N191:N559,ROW()-ROW($N$562)+1),"")</f>
        <v>0</v>
      </c>
    </row>
    <row r="915" spans="5:14">
      <c r="E915">
        <f>IFERROR(SMALL(E191:E559,ROW()-ROW($E$562)+1),"")</f>
        <v>0</v>
      </c>
      <c r="F915">
        <f>IFERROR(SMALL(F191:F559,ROW()-ROW($F$562)+1),"")</f>
        <v>0</v>
      </c>
      <c r="G915">
        <f>IFERROR(SMALL(G191:G559,ROW()-ROW($G$562)+1),"")</f>
        <v>0</v>
      </c>
      <c r="H915">
        <f>IFERROR(SMALL(H191:H559,ROW()-ROW($H$562)+1),"")</f>
        <v>0</v>
      </c>
      <c r="K915">
        <f>IFERROR(SMALL(K191:K559,ROW()-ROW($K$562)+1),"")</f>
        <v>0</v>
      </c>
      <c r="L915">
        <f>IFERROR(SMALL(L191:L559,ROW()-ROW($L$562)+1),"")</f>
        <v>0</v>
      </c>
      <c r="M915">
        <f>IFERROR(SMALL(M191:M559,ROW()-ROW($M$562)+1),"")</f>
        <v>0</v>
      </c>
      <c r="N915">
        <f>IFERROR(SMALL(N191:N559,ROW()-ROW($N$562)+1),"")</f>
        <v>0</v>
      </c>
    </row>
    <row r="916" spans="5:14">
      <c r="E916">
        <f>IFERROR(SMALL(E191:E559,ROW()-ROW($E$562)+1),"")</f>
        <v>0</v>
      </c>
      <c r="F916">
        <f>IFERROR(SMALL(F191:F559,ROW()-ROW($F$562)+1),"")</f>
        <v>0</v>
      </c>
      <c r="G916">
        <f>IFERROR(SMALL(G191:G559,ROW()-ROW($G$562)+1),"")</f>
        <v>0</v>
      </c>
      <c r="H916">
        <f>IFERROR(SMALL(H191:H559,ROW()-ROW($H$562)+1),"")</f>
        <v>0</v>
      </c>
      <c r="K916">
        <f>IFERROR(SMALL(K191:K559,ROW()-ROW($K$562)+1),"")</f>
        <v>0</v>
      </c>
      <c r="L916">
        <f>IFERROR(SMALL(L191:L559,ROW()-ROW($L$562)+1),"")</f>
        <v>0</v>
      </c>
      <c r="M916">
        <f>IFERROR(SMALL(M191:M559,ROW()-ROW($M$562)+1),"")</f>
        <v>0</v>
      </c>
      <c r="N916">
        <f>IFERROR(SMALL(N191:N559,ROW()-ROW($N$562)+1),"")</f>
        <v>0</v>
      </c>
    </row>
    <row r="917" spans="5:14">
      <c r="E917">
        <f>IFERROR(SMALL(E191:E559,ROW()-ROW($E$562)+1),"")</f>
        <v>0</v>
      </c>
      <c r="F917">
        <f>IFERROR(SMALL(F191:F559,ROW()-ROW($F$562)+1),"")</f>
        <v>0</v>
      </c>
      <c r="G917">
        <f>IFERROR(SMALL(G191:G559,ROW()-ROW($G$562)+1),"")</f>
        <v>0</v>
      </c>
      <c r="H917">
        <f>IFERROR(SMALL(H191:H559,ROW()-ROW($H$562)+1),"")</f>
        <v>0</v>
      </c>
      <c r="K917">
        <f>IFERROR(SMALL(K191:K559,ROW()-ROW($K$562)+1),"")</f>
        <v>0</v>
      </c>
      <c r="L917">
        <f>IFERROR(SMALL(L191:L559,ROW()-ROW($L$562)+1),"")</f>
        <v>0</v>
      </c>
      <c r="M917">
        <f>IFERROR(SMALL(M191:M559,ROW()-ROW($M$562)+1),"")</f>
        <v>0</v>
      </c>
      <c r="N917">
        <f>IFERROR(SMALL(N191:N559,ROW()-ROW($N$562)+1),"")</f>
        <v>0</v>
      </c>
    </row>
    <row r="918" spans="5:14">
      <c r="E918">
        <f>IFERROR(SMALL(E191:E559,ROW()-ROW($E$562)+1),"")</f>
        <v>0</v>
      </c>
      <c r="F918">
        <f>IFERROR(SMALL(F191:F559,ROW()-ROW($F$562)+1),"")</f>
        <v>0</v>
      </c>
      <c r="G918">
        <f>IFERROR(SMALL(G191:G559,ROW()-ROW($G$562)+1),"")</f>
        <v>0</v>
      </c>
      <c r="H918">
        <f>IFERROR(SMALL(H191:H559,ROW()-ROW($H$562)+1),"")</f>
        <v>0</v>
      </c>
      <c r="K918">
        <f>IFERROR(SMALL(K191:K559,ROW()-ROW($K$562)+1),"")</f>
        <v>0</v>
      </c>
      <c r="L918">
        <f>IFERROR(SMALL(L191:L559,ROW()-ROW($L$562)+1),"")</f>
        <v>0</v>
      </c>
      <c r="M918">
        <f>IFERROR(SMALL(M191:M559,ROW()-ROW($M$562)+1),"")</f>
        <v>0</v>
      </c>
      <c r="N918">
        <f>IFERROR(SMALL(N191:N559,ROW()-ROW($N$562)+1),"")</f>
        <v>0</v>
      </c>
    </row>
    <row r="919" spans="5:14">
      <c r="E919">
        <f>IFERROR(SMALL(E191:E559,ROW()-ROW($E$562)+1),"")</f>
        <v>0</v>
      </c>
      <c r="F919">
        <f>IFERROR(SMALL(F191:F559,ROW()-ROW($F$562)+1),"")</f>
        <v>0</v>
      </c>
      <c r="G919">
        <f>IFERROR(SMALL(G191:G559,ROW()-ROW($G$562)+1),"")</f>
        <v>0</v>
      </c>
      <c r="H919">
        <f>IFERROR(SMALL(H191:H559,ROW()-ROW($H$562)+1),"")</f>
        <v>0</v>
      </c>
      <c r="K919">
        <f>IFERROR(SMALL(K191:K559,ROW()-ROW($K$562)+1),"")</f>
        <v>0</v>
      </c>
      <c r="L919">
        <f>IFERROR(SMALL(L191:L559,ROW()-ROW($L$562)+1),"")</f>
        <v>0</v>
      </c>
      <c r="M919">
        <f>IFERROR(SMALL(M191:M559,ROW()-ROW($M$562)+1),"")</f>
        <v>0</v>
      </c>
      <c r="N919">
        <f>IFERROR(SMALL(N191:N559,ROW()-ROW($N$562)+1),"")</f>
        <v>0</v>
      </c>
    </row>
    <row r="920" spans="5:14">
      <c r="E920">
        <f>IFERROR(SMALL(E191:E559,ROW()-ROW($E$562)+1),"")</f>
        <v>0</v>
      </c>
      <c r="F920">
        <f>IFERROR(SMALL(F191:F559,ROW()-ROW($F$562)+1),"")</f>
        <v>0</v>
      </c>
      <c r="G920">
        <f>IFERROR(SMALL(G191:G559,ROW()-ROW($G$562)+1),"")</f>
        <v>0</v>
      </c>
      <c r="H920">
        <f>IFERROR(SMALL(H191:H559,ROW()-ROW($H$562)+1),"")</f>
        <v>0</v>
      </c>
      <c r="K920">
        <f>IFERROR(SMALL(K191:K559,ROW()-ROW($K$562)+1),"")</f>
        <v>0</v>
      </c>
      <c r="L920">
        <f>IFERROR(SMALL(L191:L559,ROW()-ROW($L$562)+1),"")</f>
        <v>0</v>
      </c>
      <c r="M920">
        <f>IFERROR(SMALL(M191:M559,ROW()-ROW($M$562)+1),"")</f>
        <v>0</v>
      </c>
      <c r="N920">
        <f>IFERROR(SMALL(N191:N559,ROW()-ROW($N$562)+1),"")</f>
        <v>0</v>
      </c>
    </row>
    <row r="921" spans="5:14">
      <c r="E921">
        <f>IFERROR(SMALL(E191:E559,ROW()-ROW($E$562)+1),"")</f>
        <v>0</v>
      </c>
      <c r="F921">
        <f>IFERROR(SMALL(F191:F559,ROW()-ROW($F$562)+1),"")</f>
        <v>0</v>
      </c>
      <c r="G921">
        <f>IFERROR(SMALL(G191:G559,ROW()-ROW($G$562)+1),"")</f>
        <v>0</v>
      </c>
      <c r="H921">
        <f>IFERROR(SMALL(H191:H559,ROW()-ROW($H$562)+1),"")</f>
        <v>0</v>
      </c>
      <c r="K921">
        <f>IFERROR(SMALL(K191:K559,ROW()-ROW($K$562)+1),"")</f>
        <v>0</v>
      </c>
      <c r="L921">
        <f>IFERROR(SMALL(L191:L559,ROW()-ROW($L$562)+1),"")</f>
        <v>0</v>
      </c>
      <c r="M921">
        <f>IFERROR(SMALL(M191:M559,ROW()-ROW($M$562)+1),"")</f>
        <v>0</v>
      </c>
      <c r="N921">
        <f>IFERROR(SMALL(N191:N559,ROW()-ROW($N$562)+1),"")</f>
        <v>0</v>
      </c>
    </row>
    <row r="922" spans="5:14">
      <c r="E922">
        <f>IFERROR(SMALL(E191:E559,ROW()-ROW($E$562)+1),"")</f>
        <v>0</v>
      </c>
      <c r="F922">
        <f>IFERROR(SMALL(F191:F559,ROW()-ROW($F$562)+1),"")</f>
        <v>0</v>
      </c>
      <c r="G922">
        <f>IFERROR(SMALL(G191:G559,ROW()-ROW($G$562)+1),"")</f>
        <v>0</v>
      </c>
      <c r="H922">
        <f>IFERROR(SMALL(H191:H559,ROW()-ROW($H$562)+1),"")</f>
        <v>0</v>
      </c>
      <c r="K922">
        <f>IFERROR(SMALL(K191:K559,ROW()-ROW($K$562)+1),"")</f>
        <v>0</v>
      </c>
      <c r="L922">
        <f>IFERROR(SMALL(L191:L559,ROW()-ROW($L$562)+1),"")</f>
        <v>0</v>
      </c>
      <c r="M922">
        <f>IFERROR(SMALL(M191:M559,ROW()-ROW($M$562)+1),"")</f>
        <v>0</v>
      </c>
      <c r="N922">
        <f>IFERROR(SMALL(N191:N559,ROW()-ROW($N$562)+1),"")</f>
        <v>0</v>
      </c>
    </row>
    <row r="923" spans="5:14">
      <c r="E923">
        <f>IFERROR(SMALL(E191:E559,ROW()-ROW($E$562)+1),"")</f>
        <v>0</v>
      </c>
      <c r="F923">
        <f>IFERROR(SMALL(F191:F559,ROW()-ROW($F$562)+1),"")</f>
        <v>0</v>
      </c>
      <c r="G923">
        <f>IFERROR(SMALL(G191:G559,ROW()-ROW($G$562)+1),"")</f>
        <v>0</v>
      </c>
      <c r="H923">
        <f>IFERROR(SMALL(H191:H559,ROW()-ROW($H$562)+1),"")</f>
        <v>0</v>
      </c>
      <c r="K923">
        <f>IFERROR(SMALL(K191:K559,ROW()-ROW($K$562)+1),"")</f>
        <v>0</v>
      </c>
      <c r="L923">
        <f>IFERROR(SMALL(L191:L559,ROW()-ROW($L$562)+1),"")</f>
        <v>0</v>
      </c>
      <c r="M923">
        <f>IFERROR(SMALL(M191:M559,ROW()-ROW($M$562)+1),"")</f>
        <v>0</v>
      </c>
      <c r="N923">
        <f>IFERROR(SMALL(N191:N559,ROW()-ROW($N$562)+1),"")</f>
        <v>0</v>
      </c>
    </row>
    <row r="924" spans="5:14">
      <c r="E924">
        <f>IFERROR(SMALL(E191:E559,ROW()-ROW($E$562)+1),"")</f>
        <v>0</v>
      </c>
      <c r="F924">
        <f>IFERROR(SMALL(F191:F559,ROW()-ROW($F$562)+1),"")</f>
        <v>0</v>
      </c>
      <c r="G924">
        <f>IFERROR(SMALL(G191:G559,ROW()-ROW($G$562)+1),"")</f>
        <v>0</v>
      </c>
      <c r="H924">
        <f>IFERROR(SMALL(H191:H559,ROW()-ROW($H$562)+1),"")</f>
        <v>0</v>
      </c>
      <c r="K924">
        <f>IFERROR(SMALL(K191:K559,ROW()-ROW($K$562)+1),"")</f>
        <v>0</v>
      </c>
      <c r="L924">
        <f>IFERROR(SMALL(L191:L559,ROW()-ROW($L$562)+1),"")</f>
        <v>0</v>
      </c>
      <c r="M924">
        <f>IFERROR(SMALL(M191:M559,ROW()-ROW($M$562)+1),"")</f>
        <v>0</v>
      </c>
      <c r="N924">
        <f>IFERROR(SMALL(N191:N559,ROW()-ROW($N$562)+1),"")</f>
        <v>0</v>
      </c>
    </row>
    <row r="925" spans="5:14">
      <c r="E925">
        <f>IFERROR(SMALL(E191:E559,ROW()-ROW($E$562)+1),"")</f>
        <v>0</v>
      </c>
      <c r="F925">
        <f>IFERROR(SMALL(F191:F559,ROW()-ROW($F$562)+1),"")</f>
        <v>0</v>
      </c>
      <c r="G925">
        <f>IFERROR(SMALL(G191:G559,ROW()-ROW($G$562)+1),"")</f>
        <v>0</v>
      </c>
      <c r="H925">
        <f>IFERROR(SMALL(H191:H559,ROW()-ROW($H$562)+1),"")</f>
        <v>0</v>
      </c>
      <c r="K925">
        <f>IFERROR(SMALL(K191:K559,ROW()-ROW($K$562)+1),"")</f>
        <v>0</v>
      </c>
      <c r="L925">
        <f>IFERROR(SMALL(L191:L559,ROW()-ROW($L$562)+1),"")</f>
        <v>0</v>
      </c>
      <c r="M925">
        <f>IFERROR(SMALL(M191:M559,ROW()-ROW($M$562)+1),"")</f>
        <v>0</v>
      </c>
      <c r="N925">
        <f>IFERROR(SMALL(N191:N559,ROW()-ROW($N$562)+1),"")</f>
        <v>0</v>
      </c>
    </row>
    <row r="926" spans="5:14">
      <c r="E926">
        <f>IFERROR(SMALL(E191:E559,ROW()-ROW($E$562)+1),"")</f>
        <v>0</v>
      </c>
      <c r="F926">
        <f>IFERROR(SMALL(F191:F559,ROW()-ROW($F$562)+1),"")</f>
        <v>0</v>
      </c>
      <c r="G926">
        <f>IFERROR(SMALL(G191:G559,ROW()-ROW($G$562)+1),"")</f>
        <v>0</v>
      </c>
      <c r="H926">
        <f>IFERROR(SMALL(H191:H559,ROW()-ROW($H$562)+1),"")</f>
        <v>0</v>
      </c>
      <c r="K926">
        <f>IFERROR(SMALL(K191:K559,ROW()-ROW($K$562)+1),"")</f>
        <v>0</v>
      </c>
      <c r="L926">
        <f>IFERROR(SMALL(L191:L559,ROW()-ROW($L$562)+1),"")</f>
        <v>0</v>
      </c>
      <c r="M926">
        <f>IFERROR(SMALL(M191:M559,ROW()-ROW($M$562)+1),"")</f>
        <v>0</v>
      </c>
      <c r="N926">
        <f>IFERROR(SMALL(N191:N559,ROW()-ROW($N$562)+1),"")</f>
        <v>0</v>
      </c>
    </row>
    <row r="927" spans="5:14">
      <c r="E927">
        <f>IFERROR(SMALL(E191:E559,ROW()-ROW($E$562)+1),"")</f>
        <v>0</v>
      </c>
      <c r="F927">
        <f>IFERROR(SMALL(F191:F559,ROW()-ROW($F$562)+1),"")</f>
        <v>0</v>
      </c>
      <c r="G927">
        <f>IFERROR(SMALL(G191:G559,ROW()-ROW($G$562)+1),"")</f>
        <v>0</v>
      </c>
      <c r="H927">
        <f>IFERROR(SMALL(H191:H559,ROW()-ROW($H$562)+1),"")</f>
        <v>0</v>
      </c>
      <c r="K927">
        <f>IFERROR(SMALL(K191:K559,ROW()-ROW($K$562)+1),"")</f>
        <v>0</v>
      </c>
      <c r="L927">
        <f>IFERROR(SMALL(L191:L559,ROW()-ROW($L$562)+1),"")</f>
        <v>0</v>
      </c>
      <c r="M927">
        <f>IFERROR(SMALL(M191:M559,ROW()-ROW($M$562)+1),"")</f>
        <v>0</v>
      </c>
      <c r="N927">
        <f>IFERROR(SMALL(N191:N559,ROW()-ROW($N$562)+1),"")</f>
        <v>0</v>
      </c>
    </row>
    <row r="928" spans="5:14">
      <c r="E928">
        <f>IFERROR(SMALL(E191:E559,ROW()-ROW($E$562)+1),"")</f>
        <v>0</v>
      </c>
      <c r="F928">
        <f>IFERROR(SMALL(F191:F559,ROW()-ROW($F$562)+1),"")</f>
        <v>0</v>
      </c>
      <c r="G928">
        <f>IFERROR(SMALL(G191:G559,ROW()-ROW($G$562)+1),"")</f>
        <v>0</v>
      </c>
      <c r="H928">
        <f>IFERROR(SMALL(H191:H559,ROW()-ROW($H$562)+1),"")</f>
        <v>0</v>
      </c>
      <c r="K928">
        <f>IFERROR(SMALL(K191:K559,ROW()-ROW($K$562)+1),"")</f>
        <v>0</v>
      </c>
      <c r="L928">
        <f>IFERROR(SMALL(L191:L559,ROW()-ROW($L$562)+1),"")</f>
        <v>0</v>
      </c>
      <c r="M928">
        <f>IFERROR(SMALL(M191:M559,ROW()-ROW($M$562)+1),"")</f>
        <v>0</v>
      </c>
      <c r="N928">
        <f>IFERROR(SMALL(N191:N559,ROW()-ROW($N$562)+1),"")</f>
        <v>0</v>
      </c>
    </row>
    <row r="929" spans="4:14">
      <c r="E929">
        <f>IFERROR(SMALL(E191:E559,ROW()-ROW($E$562)+1),"")</f>
        <v>0</v>
      </c>
      <c r="F929">
        <f>IFERROR(SMALL(F191:F559,ROW()-ROW($F$562)+1),"")</f>
        <v>0</v>
      </c>
      <c r="G929">
        <f>IFERROR(SMALL(G191:G559,ROW()-ROW($G$562)+1),"")</f>
        <v>0</v>
      </c>
      <c r="H929">
        <f>IFERROR(SMALL(H191:H559,ROW()-ROW($H$562)+1),"")</f>
        <v>0</v>
      </c>
      <c r="K929">
        <f>IFERROR(SMALL(K191:K559,ROW()-ROW($K$562)+1),"")</f>
        <v>0</v>
      </c>
      <c r="L929">
        <f>IFERROR(SMALL(L191:L559,ROW()-ROW($L$562)+1),"")</f>
        <v>0</v>
      </c>
      <c r="M929">
        <f>IFERROR(SMALL(M191:M559,ROW()-ROW($M$562)+1),"")</f>
        <v>0</v>
      </c>
      <c r="N929">
        <f>IFERROR(SMALL(N191:N559,ROW()-ROW($N$562)+1),"")</f>
        <v>0</v>
      </c>
    </row>
    <row r="931" spans="4:14">
      <c r="D931" t="s">
        <v>223</v>
      </c>
      <c r="E931" t="s">
        <v>220</v>
      </c>
      <c r="F931" t="s">
        <v>225</v>
      </c>
      <c r="G931" t="s">
        <v>220</v>
      </c>
      <c r="H931" t="s">
        <v>226</v>
      </c>
      <c r="J931" t="s">
        <v>223</v>
      </c>
      <c r="K931" t="s">
        <v>220</v>
      </c>
      <c r="L931" t="s">
        <v>225</v>
      </c>
      <c r="M931" t="s">
        <v>220</v>
      </c>
      <c r="N931" t="s">
        <v>226</v>
      </c>
    </row>
    <row r="932" spans="4:14">
      <c r="E932">
        <f>IF(ISNA(F932),NA(),E562)</f>
        <v>0</v>
      </c>
      <c r="F932">
        <f>IF(F562="",NA(),F562)</f>
        <v>0</v>
      </c>
      <c r="G932">
        <f>IF(ISNA(H932),NA(),G562)</f>
        <v>0</v>
      </c>
      <c r="H932">
        <f>IF(H562="",NA(),H562)</f>
        <v>0</v>
      </c>
      <c r="K932">
        <f>IF(ISNA(L932),NA(),K562)</f>
        <v>0</v>
      </c>
      <c r="L932">
        <f>IF(L562="",NA(),L562)</f>
        <v>0</v>
      </c>
      <c r="M932">
        <f>IF(ISNA(N932),NA(),M562)</f>
        <v>0</v>
      </c>
      <c r="N932">
        <f>IF(N562="",NA(),N562)</f>
        <v>0</v>
      </c>
    </row>
    <row r="933" spans="4:14">
      <c r="E933">
        <f>IF(ISNA(F933),NA(),E563)</f>
        <v>0</v>
      </c>
      <c r="F933">
        <f>IF(OR(F563="",AND(F563=F562,F563=F564)),NA(), F563)</f>
        <v>0</v>
      </c>
      <c r="G933">
        <f>IF(ISNA(H933),NA(),G563)</f>
        <v>0</v>
      </c>
      <c r="H933">
        <f>IF(OR(H563="",AND(H563=H562,H563=H564)),NA(), H563)</f>
        <v>0</v>
      </c>
      <c r="K933">
        <f>IF(ISNA(L933),NA(),K563)</f>
        <v>0</v>
      </c>
      <c r="L933">
        <f>IF(OR(L563="",AND(L563=L562,L563=L564)),NA(), L563)</f>
        <v>0</v>
      </c>
      <c r="M933">
        <f>IF(ISNA(N933),NA(),M563)</f>
        <v>0</v>
      </c>
      <c r="N933">
        <f>IF(OR(N563="",AND(N563=N562,N563=N564)),NA(), N563)</f>
        <v>0</v>
      </c>
    </row>
    <row r="934" spans="4:14">
      <c r="E934">
        <f>IF(ISNA(F934),NA(),E564)</f>
        <v>0</v>
      </c>
      <c r="F934">
        <f>IF(OR(F564="",AND(F564=F563,F564=F565)),NA(), F564)</f>
        <v>0</v>
      </c>
      <c r="G934">
        <f>IF(ISNA(H934),NA(),G564)</f>
        <v>0</v>
      </c>
      <c r="H934">
        <f>IF(OR(H564="",AND(H564=H563,H564=H565)),NA(), H564)</f>
        <v>0</v>
      </c>
      <c r="K934">
        <f>IF(ISNA(L934),NA(),K564)</f>
        <v>0</v>
      </c>
      <c r="L934">
        <f>IF(OR(L564="",AND(L564=L563,L564=L565)),NA(), L564)</f>
        <v>0</v>
      </c>
      <c r="M934">
        <f>IF(ISNA(N934),NA(),M564)</f>
        <v>0</v>
      </c>
      <c r="N934">
        <f>IF(OR(N564="",AND(N564=N563,N564=N565)),NA(), N564)</f>
        <v>0</v>
      </c>
    </row>
    <row r="935" spans="4:14">
      <c r="E935">
        <f>IF(ISNA(F935),NA(),E565)</f>
        <v>0</v>
      </c>
      <c r="F935">
        <f>IF(OR(F565="",AND(F565=F564,F565=F566)),NA(), F565)</f>
        <v>0</v>
      </c>
      <c r="G935">
        <f>IF(ISNA(H935),NA(),G565)</f>
        <v>0</v>
      </c>
      <c r="H935">
        <f>IF(OR(H565="",AND(H565=H564,H565=H566)),NA(), H565)</f>
        <v>0</v>
      </c>
      <c r="K935">
        <f>IF(ISNA(L935),NA(),K565)</f>
        <v>0</v>
      </c>
      <c r="L935">
        <f>IF(OR(L565="",AND(L565=L564,L565=L566)),NA(), L565)</f>
        <v>0</v>
      </c>
      <c r="M935">
        <f>IF(ISNA(N935),NA(),M565)</f>
        <v>0</v>
      </c>
      <c r="N935">
        <f>IF(OR(N565="",AND(N565=N564,N565=N566)),NA(), N565)</f>
        <v>0</v>
      </c>
    </row>
    <row r="936" spans="4:14">
      <c r="E936">
        <f>IF(ISNA(F936),NA(),E566)</f>
        <v>0</v>
      </c>
      <c r="F936">
        <f>IF(OR(F566="",AND(F566=F565,F566=F567)),NA(), F566)</f>
        <v>0</v>
      </c>
      <c r="G936">
        <f>IF(ISNA(H936),NA(),G566)</f>
        <v>0</v>
      </c>
      <c r="H936">
        <f>IF(OR(H566="",AND(H566=H565,H566=H567)),NA(), H566)</f>
        <v>0</v>
      </c>
      <c r="K936">
        <f>IF(ISNA(L936),NA(),K566)</f>
        <v>0</v>
      </c>
      <c r="L936">
        <f>IF(OR(L566="",AND(L566=L565,L566=L567)),NA(), L566)</f>
        <v>0</v>
      </c>
      <c r="M936">
        <f>IF(ISNA(N936),NA(),M566)</f>
        <v>0</v>
      </c>
      <c r="N936">
        <f>IF(OR(N566="",AND(N566=N565,N566=N567)),NA(), N566)</f>
        <v>0</v>
      </c>
    </row>
    <row r="937" spans="4:14">
      <c r="E937">
        <f>IF(ISNA(F937),NA(),E567)</f>
        <v>0</v>
      </c>
      <c r="F937">
        <f>IF(OR(F567="",AND(F567=F566,F567=F568)),NA(), F567)</f>
        <v>0</v>
      </c>
      <c r="G937">
        <f>IF(ISNA(H937),NA(),G567)</f>
        <v>0</v>
      </c>
      <c r="H937">
        <f>IF(OR(H567="",AND(H567=H566,H567=H568)),NA(), H567)</f>
        <v>0</v>
      </c>
      <c r="K937">
        <f>IF(ISNA(L937),NA(),K567)</f>
        <v>0</v>
      </c>
      <c r="L937">
        <f>IF(OR(L567="",AND(L567=L566,L567=L568)),NA(), L567)</f>
        <v>0</v>
      </c>
      <c r="M937">
        <f>IF(ISNA(N937),NA(),M567)</f>
        <v>0</v>
      </c>
      <c r="N937">
        <f>IF(OR(N567="",AND(N567=N566,N567=N568)),NA(), N567)</f>
        <v>0</v>
      </c>
    </row>
    <row r="938" spans="4:14">
      <c r="E938">
        <f>IF(ISNA(F938),NA(),E568)</f>
        <v>0</v>
      </c>
      <c r="F938">
        <f>IF(OR(F568="",AND(F568=F567,F568=F569)),NA(), F568)</f>
        <v>0</v>
      </c>
      <c r="G938">
        <f>IF(ISNA(H938),NA(),G568)</f>
        <v>0</v>
      </c>
      <c r="H938">
        <f>IF(OR(H568="",AND(H568=H567,H568=H569)),NA(), H568)</f>
        <v>0</v>
      </c>
      <c r="K938">
        <f>IF(ISNA(L938),NA(),K568)</f>
        <v>0</v>
      </c>
      <c r="L938">
        <f>IF(OR(L568="",AND(L568=L567,L568=L569)),NA(), L568)</f>
        <v>0</v>
      </c>
      <c r="M938">
        <f>IF(ISNA(N938),NA(),M568)</f>
        <v>0</v>
      </c>
      <c r="N938">
        <f>IF(OR(N568="",AND(N568=N567,N568=N569)),NA(), N568)</f>
        <v>0</v>
      </c>
    </row>
    <row r="939" spans="4:14">
      <c r="E939">
        <f>IF(ISNA(F939),NA(),E569)</f>
        <v>0</v>
      </c>
      <c r="F939">
        <f>IF(OR(F569="",AND(F569=F568,F569=F570)),NA(), F569)</f>
        <v>0</v>
      </c>
      <c r="G939">
        <f>IF(ISNA(H939),NA(),G569)</f>
        <v>0</v>
      </c>
      <c r="H939">
        <f>IF(OR(H569="",AND(H569=H568,H569=H570)),NA(), H569)</f>
        <v>0</v>
      </c>
      <c r="K939">
        <f>IF(ISNA(L939),NA(),K569)</f>
        <v>0</v>
      </c>
      <c r="L939">
        <f>IF(OR(L569="",AND(L569=L568,L569=L570)),NA(), L569)</f>
        <v>0</v>
      </c>
      <c r="M939">
        <f>IF(ISNA(N939),NA(),M569)</f>
        <v>0</v>
      </c>
      <c r="N939">
        <f>IF(OR(N569="",AND(N569=N568,N569=N570)),NA(), N569)</f>
        <v>0</v>
      </c>
    </row>
    <row r="940" spans="4:14">
      <c r="E940">
        <f>IF(ISNA(F940),NA(),E570)</f>
        <v>0</v>
      </c>
      <c r="F940">
        <f>IF(OR(F570="",AND(F570=F569,F570=F571)),NA(), F570)</f>
        <v>0</v>
      </c>
      <c r="G940">
        <f>IF(ISNA(H940),NA(),G570)</f>
        <v>0</v>
      </c>
      <c r="H940">
        <f>IF(OR(H570="",AND(H570=H569,H570=H571)),NA(), H570)</f>
        <v>0</v>
      </c>
      <c r="K940">
        <f>IF(ISNA(L940),NA(),K570)</f>
        <v>0</v>
      </c>
      <c r="L940">
        <f>IF(OR(L570="",AND(L570=L569,L570=L571)),NA(), L570)</f>
        <v>0</v>
      </c>
      <c r="M940">
        <f>IF(ISNA(N940),NA(),M570)</f>
        <v>0</v>
      </c>
      <c r="N940">
        <f>IF(OR(N570="",AND(N570=N569,N570=N571)),NA(), N570)</f>
        <v>0</v>
      </c>
    </row>
    <row r="941" spans="4:14">
      <c r="E941">
        <f>IF(ISNA(F941),NA(),E571)</f>
        <v>0</v>
      </c>
      <c r="F941">
        <f>IF(OR(F571="",AND(F571=F570,F571=F572)),NA(), F571)</f>
        <v>0</v>
      </c>
      <c r="G941">
        <f>IF(ISNA(H941),NA(),G571)</f>
        <v>0</v>
      </c>
      <c r="H941">
        <f>IF(OR(H571="",AND(H571=H570,H571=H572)),NA(), H571)</f>
        <v>0</v>
      </c>
      <c r="K941">
        <f>IF(ISNA(L941),NA(),K571)</f>
        <v>0</v>
      </c>
      <c r="L941">
        <f>IF(OR(L571="",AND(L571=L570,L571=L572)),NA(), L571)</f>
        <v>0</v>
      </c>
      <c r="M941">
        <f>IF(ISNA(N941),NA(),M571)</f>
        <v>0</v>
      </c>
      <c r="N941">
        <f>IF(OR(N571="",AND(N571=N570,N571=N572)),NA(), N571)</f>
        <v>0</v>
      </c>
    </row>
    <row r="942" spans="4:14">
      <c r="E942">
        <f>IF(ISNA(F942),NA(),E572)</f>
        <v>0</v>
      </c>
      <c r="F942">
        <f>IF(OR(F572="",AND(F572=F571,F572=F573)),NA(), F572)</f>
        <v>0</v>
      </c>
      <c r="G942">
        <f>IF(ISNA(H942),NA(),G572)</f>
        <v>0</v>
      </c>
      <c r="H942">
        <f>IF(OR(H572="",AND(H572=H571,H572=H573)),NA(), H572)</f>
        <v>0</v>
      </c>
      <c r="K942">
        <f>IF(ISNA(L942),NA(),K572)</f>
        <v>0</v>
      </c>
      <c r="L942">
        <f>IF(OR(L572="",AND(L572=L571,L572=L573)),NA(), L572)</f>
        <v>0</v>
      </c>
      <c r="M942">
        <f>IF(ISNA(N942),NA(),M572)</f>
        <v>0</v>
      </c>
      <c r="N942">
        <f>IF(OR(N572="",AND(N572=N571,N572=N573)),NA(), N572)</f>
        <v>0</v>
      </c>
    </row>
    <row r="943" spans="4:14">
      <c r="E943">
        <f>IF(ISNA(F943),NA(),E573)</f>
        <v>0</v>
      </c>
      <c r="F943">
        <f>IF(OR(F573="",AND(F573=F572,F573=F574)),NA(), F573)</f>
        <v>0</v>
      </c>
      <c r="G943">
        <f>IF(ISNA(H943),NA(),G573)</f>
        <v>0</v>
      </c>
      <c r="H943">
        <f>IF(OR(H573="",AND(H573=H572,H573=H574)),NA(), H573)</f>
        <v>0</v>
      </c>
      <c r="K943">
        <f>IF(ISNA(L943),NA(),K573)</f>
        <v>0</v>
      </c>
      <c r="L943">
        <f>IF(OR(L573="",AND(L573=L572,L573=L574)),NA(), L573)</f>
        <v>0</v>
      </c>
      <c r="M943">
        <f>IF(ISNA(N943),NA(),M573)</f>
        <v>0</v>
      </c>
      <c r="N943">
        <f>IF(OR(N573="",AND(N573=N572,N573=N574)),NA(), N573)</f>
        <v>0</v>
      </c>
    </row>
    <row r="944" spans="4:14">
      <c r="E944">
        <f>IF(ISNA(F944),NA(),E574)</f>
        <v>0</v>
      </c>
      <c r="F944">
        <f>IF(OR(F574="",AND(F574=F573,F574=F575)),NA(), F574)</f>
        <v>0</v>
      </c>
      <c r="G944">
        <f>IF(ISNA(H944),NA(),G574)</f>
        <v>0</v>
      </c>
      <c r="H944">
        <f>IF(OR(H574="",AND(H574=H573,H574=H575)),NA(), H574)</f>
        <v>0</v>
      </c>
      <c r="K944">
        <f>IF(ISNA(L944),NA(),K574)</f>
        <v>0</v>
      </c>
      <c r="L944">
        <f>IF(OR(L574="",AND(L574=L573,L574=L575)),NA(), L574)</f>
        <v>0</v>
      </c>
      <c r="M944">
        <f>IF(ISNA(N944),NA(),M574)</f>
        <v>0</v>
      </c>
      <c r="N944">
        <f>IF(OR(N574="",AND(N574=N573,N574=N575)),NA(), N574)</f>
        <v>0</v>
      </c>
    </row>
    <row r="945" spans="5:14">
      <c r="E945">
        <f>IF(ISNA(F945),NA(),E575)</f>
        <v>0</v>
      </c>
      <c r="F945">
        <f>IF(OR(F575="",AND(F575=F574,F575=F576)),NA(), F575)</f>
        <v>0</v>
      </c>
      <c r="G945">
        <f>IF(ISNA(H945),NA(),G575)</f>
        <v>0</v>
      </c>
      <c r="H945">
        <f>IF(OR(H575="",AND(H575=H574,H575=H576)),NA(), H575)</f>
        <v>0</v>
      </c>
      <c r="K945">
        <f>IF(ISNA(L945),NA(),K575)</f>
        <v>0</v>
      </c>
      <c r="L945">
        <f>IF(OR(L575="",AND(L575=L574,L575=L576)),NA(), L575)</f>
        <v>0</v>
      </c>
      <c r="M945">
        <f>IF(ISNA(N945),NA(),M575)</f>
        <v>0</v>
      </c>
      <c r="N945">
        <f>IF(OR(N575="",AND(N575=N574,N575=N576)),NA(), N575)</f>
        <v>0</v>
      </c>
    </row>
    <row r="946" spans="5:14">
      <c r="E946">
        <f>IF(ISNA(F946),NA(),E576)</f>
        <v>0</v>
      </c>
      <c r="F946">
        <f>IF(OR(F576="",AND(F576=F575,F576=F577)),NA(), F576)</f>
        <v>0</v>
      </c>
      <c r="G946">
        <f>IF(ISNA(H946),NA(),G576)</f>
        <v>0</v>
      </c>
      <c r="H946">
        <f>IF(OR(H576="",AND(H576=H575,H576=H577)),NA(), H576)</f>
        <v>0</v>
      </c>
      <c r="K946">
        <f>IF(ISNA(L946),NA(),K576)</f>
        <v>0</v>
      </c>
      <c r="L946">
        <f>IF(OR(L576="",AND(L576=L575,L576=L577)),NA(), L576)</f>
        <v>0</v>
      </c>
      <c r="M946">
        <f>IF(ISNA(N946),NA(),M576)</f>
        <v>0</v>
      </c>
      <c r="N946">
        <f>IF(OR(N576="",AND(N576=N575,N576=N577)),NA(), N576)</f>
        <v>0</v>
      </c>
    </row>
    <row r="947" spans="5:14">
      <c r="E947">
        <f>IF(ISNA(F947),NA(),E577)</f>
        <v>0</v>
      </c>
      <c r="F947">
        <f>IF(OR(F577="",AND(F577=F576,F577=F578)),NA(), F577)</f>
        <v>0</v>
      </c>
      <c r="G947">
        <f>IF(ISNA(H947),NA(),G577)</f>
        <v>0</v>
      </c>
      <c r="H947">
        <f>IF(OR(H577="",AND(H577=H576,H577=H578)),NA(), H577)</f>
        <v>0</v>
      </c>
      <c r="K947">
        <f>IF(ISNA(L947),NA(),K577)</f>
        <v>0</v>
      </c>
      <c r="L947">
        <f>IF(OR(L577="",AND(L577=L576,L577=L578)),NA(), L577)</f>
        <v>0</v>
      </c>
      <c r="M947">
        <f>IF(ISNA(N947),NA(),M577)</f>
        <v>0</v>
      </c>
      <c r="N947">
        <f>IF(OR(N577="",AND(N577=N576,N577=N578)),NA(), N577)</f>
        <v>0</v>
      </c>
    </row>
    <row r="948" spans="5:14">
      <c r="E948">
        <f>IF(ISNA(F948),NA(),E578)</f>
        <v>0</v>
      </c>
      <c r="F948">
        <f>IF(OR(F578="",AND(F578=F577,F578=F579)),NA(), F578)</f>
        <v>0</v>
      </c>
      <c r="G948">
        <f>IF(ISNA(H948),NA(),G578)</f>
        <v>0</v>
      </c>
      <c r="H948">
        <f>IF(OR(H578="",AND(H578=H577,H578=H579)),NA(), H578)</f>
        <v>0</v>
      </c>
      <c r="K948">
        <f>IF(ISNA(L948),NA(),K578)</f>
        <v>0</v>
      </c>
      <c r="L948">
        <f>IF(OR(L578="",AND(L578=L577,L578=L579)),NA(), L578)</f>
        <v>0</v>
      </c>
      <c r="M948">
        <f>IF(ISNA(N948),NA(),M578)</f>
        <v>0</v>
      </c>
      <c r="N948">
        <f>IF(OR(N578="",AND(N578=N577,N578=N579)),NA(), N578)</f>
        <v>0</v>
      </c>
    </row>
    <row r="949" spans="5:14">
      <c r="E949">
        <f>IF(ISNA(F949),NA(),E579)</f>
        <v>0</v>
      </c>
      <c r="F949">
        <f>IF(OR(F579="",AND(F579=F578,F579=F580)),NA(), F579)</f>
        <v>0</v>
      </c>
      <c r="G949">
        <f>IF(ISNA(H949),NA(),G579)</f>
        <v>0</v>
      </c>
      <c r="H949">
        <f>IF(OR(H579="",AND(H579=H578,H579=H580)),NA(), H579)</f>
        <v>0</v>
      </c>
      <c r="K949">
        <f>IF(ISNA(L949),NA(),K579)</f>
        <v>0</v>
      </c>
      <c r="L949">
        <f>IF(OR(L579="",AND(L579=L578,L579=L580)),NA(), L579)</f>
        <v>0</v>
      </c>
      <c r="M949">
        <f>IF(ISNA(N949),NA(),M579)</f>
        <v>0</v>
      </c>
      <c r="N949">
        <f>IF(OR(N579="",AND(N579=N578,N579=N580)),NA(), N579)</f>
        <v>0</v>
      </c>
    </row>
    <row r="950" spans="5:14">
      <c r="E950">
        <f>IF(ISNA(F950),NA(),E580)</f>
        <v>0</v>
      </c>
      <c r="F950">
        <f>IF(OR(F580="",AND(F580=F579,F580=F581)),NA(), F580)</f>
        <v>0</v>
      </c>
      <c r="G950">
        <f>IF(ISNA(H950),NA(),G580)</f>
        <v>0</v>
      </c>
      <c r="H950">
        <f>IF(OR(H580="",AND(H580=H579,H580=H581)),NA(), H580)</f>
        <v>0</v>
      </c>
      <c r="K950">
        <f>IF(ISNA(L950),NA(),K580)</f>
        <v>0</v>
      </c>
      <c r="L950">
        <f>IF(OR(L580="",AND(L580=L579,L580=L581)),NA(), L580)</f>
        <v>0</v>
      </c>
      <c r="M950">
        <f>IF(ISNA(N950),NA(),M580)</f>
        <v>0</v>
      </c>
      <c r="N950">
        <f>IF(OR(N580="",AND(N580=N579,N580=N581)),NA(), N580)</f>
        <v>0</v>
      </c>
    </row>
    <row r="951" spans="5:14">
      <c r="E951">
        <f>IF(ISNA(F951),NA(),E581)</f>
        <v>0</v>
      </c>
      <c r="F951">
        <f>IF(OR(F581="",AND(F581=F580,F581=F582)),NA(), F581)</f>
        <v>0</v>
      </c>
      <c r="G951">
        <f>IF(ISNA(H951),NA(),G581)</f>
        <v>0</v>
      </c>
      <c r="H951">
        <f>IF(OR(H581="",AND(H581=H580,H581=H582)),NA(), H581)</f>
        <v>0</v>
      </c>
      <c r="K951">
        <f>IF(ISNA(L951),NA(),K581)</f>
        <v>0</v>
      </c>
      <c r="L951">
        <f>IF(OR(L581="",AND(L581=L580,L581=L582)),NA(), L581)</f>
        <v>0</v>
      </c>
      <c r="M951">
        <f>IF(ISNA(N951),NA(),M581)</f>
        <v>0</v>
      </c>
      <c r="N951">
        <f>IF(OR(N581="",AND(N581=N580,N581=N582)),NA(), N581)</f>
        <v>0</v>
      </c>
    </row>
    <row r="952" spans="5:14">
      <c r="E952">
        <f>IF(ISNA(F952),NA(),E582)</f>
        <v>0</v>
      </c>
      <c r="F952">
        <f>IF(OR(F582="",AND(F582=F581,F582=F583)),NA(), F582)</f>
        <v>0</v>
      </c>
      <c r="G952">
        <f>IF(ISNA(H952),NA(),G582)</f>
        <v>0</v>
      </c>
      <c r="H952">
        <f>IF(OR(H582="",AND(H582=H581,H582=H583)),NA(), H582)</f>
        <v>0</v>
      </c>
      <c r="K952">
        <f>IF(ISNA(L952),NA(),K582)</f>
        <v>0</v>
      </c>
      <c r="L952">
        <f>IF(OR(L582="",AND(L582=L581,L582=L583)),NA(), L582)</f>
        <v>0</v>
      </c>
      <c r="M952">
        <f>IF(ISNA(N952),NA(),M582)</f>
        <v>0</v>
      </c>
      <c r="N952">
        <f>IF(OR(N582="",AND(N582=N581,N582=N583)),NA(), N582)</f>
        <v>0</v>
      </c>
    </row>
    <row r="953" spans="5:14">
      <c r="E953">
        <f>IF(ISNA(F953),NA(),E583)</f>
        <v>0</v>
      </c>
      <c r="F953">
        <f>IF(OR(F583="",AND(F583=F582,F583=F584)),NA(), F583)</f>
        <v>0</v>
      </c>
      <c r="G953">
        <f>IF(ISNA(H953),NA(),G583)</f>
        <v>0</v>
      </c>
      <c r="H953">
        <f>IF(OR(H583="",AND(H583=H582,H583=H584)),NA(), H583)</f>
        <v>0</v>
      </c>
      <c r="K953">
        <f>IF(ISNA(L953),NA(),K583)</f>
        <v>0</v>
      </c>
      <c r="L953">
        <f>IF(OR(L583="",AND(L583=L582,L583=L584)),NA(), L583)</f>
        <v>0</v>
      </c>
      <c r="M953">
        <f>IF(ISNA(N953),NA(),M583)</f>
        <v>0</v>
      </c>
      <c r="N953">
        <f>IF(OR(N583="",AND(N583=N582,N583=N584)),NA(), N583)</f>
        <v>0</v>
      </c>
    </row>
    <row r="954" spans="5:14">
      <c r="E954">
        <f>IF(ISNA(F954),NA(),E584)</f>
        <v>0</v>
      </c>
      <c r="F954">
        <f>IF(OR(F584="",AND(F584=F583,F584=F585)),NA(), F584)</f>
        <v>0</v>
      </c>
      <c r="G954">
        <f>IF(ISNA(H954),NA(),G584)</f>
        <v>0</v>
      </c>
      <c r="H954">
        <f>IF(OR(H584="",AND(H584=H583,H584=H585)),NA(), H584)</f>
        <v>0</v>
      </c>
      <c r="K954">
        <f>IF(ISNA(L954),NA(),K584)</f>
        <v>0</v>
      </c>
      <c r="L954">
        <f>IF(OR(L584="",AND(L584=L583,L584=L585)),NA(), L584)</f>
        <v>0</v>
      </c>
      <c r="M954">
        <f>IF(ISNA(N954),NA(),M584)</f>
        <v>0</v>
      </c>
      <c r="N954">
        <f>IF(OR(N584="",AND(N584=N583,N584=N585)),NA(), N584)</f>
        <v>0</v>
      </c>
    </row>
    <row r="955" spans="5:14">
      <c r="E955">
        <f>IF(ISNA(F955),NA(),E585)</f>
        <v>0</v>
      </c>
      <c r="F955">
        <f>IF(OR(F585="",AND(F585=F584,F585=F586)),NA(), F585)</f>
        <v>0</v>
      </c>
      <c r="G955">
        <f>IF(ISNA(H955),NA(),G585)</f>
        <v>0</v>
      </c>
      <c r="H955">
        <f>IF(OR(H585="",AND(H585=H584,H585=H586)),NA(), H585)</f>
        <v>0</v>
      </c>
      <c r="K955">
        <f>IF(ISNA(L955),NA(),K585)</f>
        <v>0</v>
      </c>
      <c r="L955">
        <f>IF(OR(L585="",AND(L585=L584,L585=L586)),NA(), L585)</f>
        <v>0</v>
      </c>
      <c r="M955">
        <f>IF(ISNA(N955),NA(),M585)</f>
        <v>0</v>
      </c>
      <c r="N955">
        <f>IF(OR(N585="",AND(N585=N584,N585=N586)),NA(), N585)</f>
        <v>0</v>
      </c>
    </row>
    <row r="956" spans="5:14">
      <c r="E956">
        <f>IF(ISNA(F956),NA(),E586)</f>
        <v>0</v>
      </c>
      <c r="F956">
        <f>IF(OR(F586="",AND(F586=F585,F586=F587)),NA(), F586)</f>
        <v>0</v>
      </c>
      <c r="G956">
        <f>IF(ISNA(H956),NA(),G586)</f>
        <v>0</v>
      </c>
      <c r="H956">
        <f>IF(OR(H586="",AND(H586=H585,H586=H587)),NA(), H586)</f>
        <v>0</v>
      </c>
      <c r="K956">
        <f>IF(ISNA(L956),NA(),K586)</f>
        <v>0</v>
      </c>
      <c r="L956">
        <f>IF(OR(L586="",AND(L586=L585,L586=L587)),NA(), L586)</f>
        <v>0</v>
      </c>
      <c r="M956">
        <f>IF(ISNA(N956),NA(),M586)</f>
        <v>0</v>
      </c>
      <c r="N956">
        <f>IF(OR(N586="",AND(N586=N585,N586=N587)),NA(), N586)</f>
        <v>0</v>
      </c>
    </row>
    <row r="957" spans="5:14">
      <c r="E957">
        <f>IF(ISNA(F957),NA(),E587)</f>
        <v>0</v>
      </c>
      <c r="F957">
        <f>IF(OR(F587="",AND(F587=F586,F587=F588)),NA(), F587)</f>
        <v>0</v>
      </c>
      <c r="G957">
        <f>IF(ISNA(H957),NA(),G587)</f>
        <v>0</v>
      </c>
      <c r="H957">
        <f>IF(OR(H587="",AND(H587=H586,H587=H588)),NA(), H587)</f>
        <v>0</v>
      </c>
      <c r="K957">
        <f>IF(ISNA(L957),NA(),K587)</f>
        <v>0</v>
      </c>
      <c r="L957">
        <f>IF(OR(L587="",AND(L587=L586,L587=L588)),NA(), L587)</f>
        <v>0</v>
      </c>
      <c r="M957">
        <f>IF(ISNA(N957),NA(),M587)</f>
        <v>0</v>
      </c>
      <c r="N957">
        <f>IF(OR(N587="",AND(N587=N586,N587=N588)),NA(), N587)</f>
        <v>0</v>
      </c>
    </row>
    <row r="958" spans="5:14">
      <c r="E958">
        <f>IF(ISNA(F958),NA(),E588)</f>
        <v>0</v>
      </c>
      <c r="F958">
        <f>IF(OR(F588="",AND(F588=F587,F588=F589)),NA(), F588)</f>
        <v>0</v>
      </c>
      <c r="G958">
        <f>IF(ISNA(H958),NA(),G588)</f>
        <v>0</v>
      </c>
      <c r="H958">
        <f>IF(OR(H588="",AND(H588=H587,H588=H589)),NA(), H588)</f>
        <v>0</v>
      </c>
      <c r="K958">
        <f>IF(ISNA(L958),NA(),K588)</f>
        <v>0</v>
      </c>
      <c r="L958">
        <f>IF(OR(L588="",AND(L588=L587,L588=L589)),NA(), L588)</f>
        <v>0</v>
      </c>
      <c r="M958">
        <f>IF(ISNA(N958),NA(),M588)</f>
        <v>0</v>
      </c>
      <c r="N958">
        <f>IF(OR(N588="",AND(N588=N587,N588=N589)),NA(), N588)</f>
        <v>0</v>
      </c>
    </row>
    <row r="959" spans="5:14">
      <c r="E959">
        <f>IF(ISNA(F959),NA(),E589)</f>
        <v>0</v>
      </c>
      <c r="F959">
        <f>IF(OR(F589="",AND(F589=F588,F589=F590)),NA(), F589)</f>
        <v>0</v>
      </c>
      <c r="G959">
        <f>IF(ISNA(H959),NA(),G589)</f>
        <v>0</v>
      </c>
      <c r="H959">
        <f>IF(OR(H589="",AND(H589=H588,H589=H590)),NA(), H589)</f>
        <v>0</v>
      </c>
      <c r="K959">
        <f>IF(ISNA(L959),NA(),K589)</f>
        <v>0</v>
      </c>
      <c r="L959">
        <f>IF(OR(L589="",AND(L589=L588,L589=L590)),NA(), L589)</f>
        <v>0</v>
      </c>
      <c r="M959">
        <f>IF(ISNA(N959),NA(),M589)</f>
        <v>0</v>
      </c>
      <c r="N959">
        <f>IF(OR(N589="",AND(N589=N588,N589=N590)),NA(), N589)</f>
        <v>0</v>
      </c>
    </row>
    <row r="960" spans="5:14">
      <c r="E960">
        <f>IF(ISNA(F960),NA(),E590)</f>
        <v>0</v>
      </c>
      <c r="F960">
        <f>IF(OR(F590="",AND(F590=F589,F590=F591)),NA(), F590)</f>
        <v>0</v>
      </c>
      <c r="G960">
        <f>IF(ISNA(H960),NA(),G590)</f>
        <v>0</v>
      </c>
      <c r="H960">
        <f>IF(OR(H590="",AND(H590=H589,H590=H591)),NA(), H590)</f>
        <v>0</v>
      </c>
      <c r="K960">
        <f>IF(ISNA(L960),NA(),K590)</f>
        <v>0</v>
      </c>
      <c r="L960">
        <f>IF(OR(L590="",AND(L590=L589,L590=L591)),NA(), L590)</f>
        <v>0</v>
      </c>
      <c r="M960">
        <f>IF(ISNA(N960),NA(),M590)</f>
        <v>0</v>
      </c>
      <c r="N960">
        <f>IF(OR(N590="",AND(N590=N589,N590=N591)),NA(), N590)</f>
        <v>0</v>
      </c>
    </row>
    <row r="961" spans="5:14">
      <c r="E961">
        <f>IF(ISNA(F961),NA(),E591)</f>
        <v>0</v>
      </c>
      <c r="F961">
        <f>IF(OR(F591="",AND(F591=F590,F591=F592)),NA(), F591)</f>
        <v>0</v>
      </c>
      <c r="G961">
        <f>IF(ISNA(H961),NA(),G591)</f>
        <v>0</v>
      </c>
      <c r="H961">
        <f>IF(OR(H591="",AND(H591=H590,H591=H592)),NA(), H591)</f>
        <v>0</v>
      </c>
      <c r="K961">
        <f>IF(ISNA(L961),NA(),K591)</f>
        <v>0</v>
      </c>
      <c r="L961">
        <f>IF(OR(L591="",AND(L591=L590,L591=L592)),NA(), L591)</f>
        <v>0</v>
      </c>
      <c r="M961">
        <f>IF(ISNA(N961),NA(),M591)</f>
        <v>0</v>
      </c>
      <c r="N961">
        <f>IF(OR(N591="",AND(N591=N590,N591=N592)),NA(), N591)</f>
        <v>0</v>
      </c>
    </row>
    <row r="962" spans="5:14">
      <c r="E962">
        <f>IF(ISNA(F962),NA(),E592)</f>
        <v>0</v>
      </c>
      <c r="F962">
        <f>IF(OR(F592="",AND(F592=F591,F592=F593)),NA(), F592)</f>
        <v>0</v>
      </c>
      <c r="G962">
        <f>IF(ISNA(H962),NA(),G592)</f>
        <v>0</v>
      </c>
      <c r="H962">
        <f>IF(OR(H592="",AND(H592=H591,H592=H593)),NA(), H592)</f>
        <v>0</v>
      </c>
      <c r="K962">
        <f>IF(ISNA(L962),NA(),K592)</f>
        <v>0</v>
      </c>
      <c r="L962">
        <f>IF(OR(L592="",AND(L592=L591,L592=L593)),NA(), L592)</f>
        <v>0</v>
      </c>
      <c r="M962">
        <f>IF(ISNA(N962),NA(),M592)</f>
        <v>0</v>
      </c>
      <c r="N962">
        <f>IF(OR(N592="",AND(N592=N591,N592=N593)),NA(), N592)</f>
        <v>0</v>
      </c>
    </row>
    <row r="963" spans="5:14">
      <c r="E963">
        <f>IF(ISNA(F963),NA(),E593)</f>
        <v>0</v>
      </c>
      <c r="F963">
        <f>IF(OR(F593="",AND(F593=F592,F593=F594)),NA(), F593)</f>
        <v>0</v>
      </c>
      <c r="G963">
        <f>IF(ISNA(H963),NA(),G593)</f>
        <v>0</v>
      </c>
      <c r="H963">
        <f>IF(OR(H593="",AND(H593=H592,H593=H594)),NA(), H593)</f>
        <v>0</v>
      </c>
      <c r="K963">
        <f>IF(ISNA(L963),NA(),K593)</f>
        <v>0</v>
      </c>
      <c r="L963">
        <f>IF(OR(L593="",AND(L593=L592,L593=L594)),NA(), L593)</f>
        <v>0</v>
      </c>
      <c r="M963">
        <f>IF(ISNA(N963),NA(),M593)</f>
        <v>0</v>
      </c>
      <c r="N963">
        <f>IF(OR(N593="",AND(N593=N592,N593=N594)),NA(), N593)</f>
        <v>0</v>
      </c>
    </row>
    <row r="964" spans="5:14">
      <c r="E964">
        <f>IF(ISNA(F964),NA(),E594)</f>
        <v>0</v>
      </c>
      <c r="F964">
        <f>IF(OR(F594="",AND(F594=F593,F594=F595)),NA(), F594)</f>
        <v>0</v>
      </c>
      <c r="G964">
        <f>IF(ISNA(H964),NA(),G594)</f>
        <v>0</v>
      </c>
      <c r="H964">
        <f>IF(OR(H594="",AND(H594=H593,H594=H595)),NA(), H594)</f>
        <v>0</v>
      </c>
      <c r="K964">
        <f>IF(ISNA(L964),NA(),K594)</f>
        <v>0</v>
      </c>
      <c r="L964">
        <f>IF(OR(L594="",AND(L594=L593,L594=L595)),NA(), L594)</f>
        <v>0</v>
      </c>
      <c r="M964">
        <f>IF(ISNA(N964),NA(),M594)</f>
        <v>0</v>
      </c>
      <c r="N964">
        <f>IF(OR(N594="",AND(N594=N593,N594=N595)),NA(), N594)</f>
        <v>0</v>
      </c>
    </row>
    <row r="965" spans="5:14">
      <c r="E965">
        <f>IF(ISNA(F965),NA(),E595)</f>
        <v>0</v>
      </c>
      <c r="F965">
        <f>IF(OR(F595="",AND(F595=F594,F595=F596)),NA(), F595)</f>
        <v>0</v>
      </c>
      <c r="G965">
        <f>IF(ISNA(H965),NA(),G595)</f>
        <v>0</v>
      </c>
      <c r="H965">
        <f>IF(OR(H595="",AND(H595=H594,H595=H596)),NA(), H595)</f>
        <v>0</v>
      </c>
      <c r="K965">
        <f>IF(ISNA(L965),NA(),K595)</f>
        <v>0</v>
      </c>
      <c r="L965">
        <f>IF(OR(L595="",AND(L595=L594,L595=L596)),NA(), L595)</f>
        <v>0</v>
      </c>
      <c r="M965">
        <f>IF(ISNA(N965),NA(),M595)</f>
        <v>0</v>
      </c>
      <c r="N965">
        <f>IF(OR(N595="",AND(N595=N594,N595=N596)),NA(), N595)</f>
        <v>0</v>
      </c>
    </row>
    <row r="966" spans="5:14">
      <c r="E966">
        <f>IF(ISNA(F966),NA(),E596)</f>
        <v>0</v>
      </c>
      <c r="F966">
        <f>IF(OR(F596="",AND(F596=F595,F596=F597)),NA(), F596)</f>
        <v>0</v>
      </c>
      <c r="G966">
        <f>IF(ISNA(H966),NA(),G596)</f>
        <v>0</v>
      </c>
      <c r="H966">
        <f>IF(OR(H596="",AND(H596=H595,H596=H597)),NA(), H596)</f>
        <v>0</v>
      </c>
      <c r="K966">
        <f>IF(ISNA(L966),NA(),K596)</f>
        <v>0</v>
      </c>
      <c r="L966">
        <f>IF(OR(L596="",AND(L596=L595,L596=L597)),NA(), L596)</f>
        <v>0</v>
      </c>
      <c r="M966">
        <f>IF(ISNA(N966),NA(),M596)</f>
        <v>0</v>
      </c>
      <c r="N966">
        <f>IF(OR(N596="",AND(N596=N595,N596=N597)),NA(), N596)</f>
        <v>0</v>
      </c>
    </row>
    <row r="967" spans="5:14">
      <c r="E967">
        <f>IF(ISNA(F967),NA(),E597)</f>
        <v>0</v>
      </c>
      <c r="F967">
        <f>IF(OR(F597="",AND(F597=F596,F597=F598)),NA(), F597)</f>
        <v>0</v>
      </c>
      <c r="G967">
        <f>IF(ISNA(H967),NA(),G597)</f>
        <v>0</v>
      </c>
      <c r="H967">
        <f>IF(OR(H597="",AND(H597=H596,H597=H598)),NA(), H597)</f>
        <v>0</v>
      </c>
      <c r="K967">
        <f>IF(ISNA(L967),NA(),K597)</f>
        <v>0</v>
      </c>
      <c r="L967">
        <f>IF(OR(L597="",AND(L597=L596,L597=L598)),NA(), L597)</f>
        <v>0</v>
      </c>
      <c r="M967">
        <f>IF(ISNA(N967),NA(),M597)</f>
        <v>0</v>
      </c>
      <c r="N967">
        <f>IF(OR(N597="",AND(N597=N596,N597=N598)),NA(), N597)</f>
        <v>0</v>
      </c>
    </row>
    <row r="968" spans="5:14">
      <c r="E968">
        <f>IF(ISNA(F968),NA(),E598)</f>
        <v>0</v>
      </c>
      <c r="F968">
        <f>IF(OR(F598="",AND(F598=F597,F598=F599)),NA(), F598)</f>
        <v>0</v>
      </c>
      <c r="G968">
        <f>IF(ISNA(H968),NA(),G598)</f>
        <v>0</v>
      </c>
      <c r="H968">
        <f>IF(OR(H598="",AND(H598=H597,H598=H599)),NA(), H598)</f>
        <v>0</v>
      </c>
      <c r="K968">
        <f>IF(ISNA(L968),NA(),K598)</f>
        <v>0</v>
      </c>
      <c r="L968">
        <f>IF(OR(L598="",AND(L598=L597,L598=L599)),NA(), L598)</f>
        <v>0</v>
      </c>
      <c r="M968">
        <f>IF(ISNA(N968),NA(),M598)</f>
        <v>0</v>
      </c>
      <c r="N968">
        <f>IF(OR(N598="",AND(N598=N597,N598=N599)),NA(), N598)</f>
        <v>0</v>
      </c>
    </row>
    <row r="969" spans="5:14">
      <c r="E969">
        <f>IF(ISNA(F969),NA(),E599)</f>
        <v>0</v>
      </c>
      <c r="F969">
        <f>IF(OR(F599="",AND(F599=F598,F599=F600)),NA(), F599)</f>
        <v>0</v>
      </c>
      <c r="G969">
        <f>IF(ISNA(H969),NA(),G599)</f>
        <v>0</v>
      </c>
      <c r="H969">
        <f>IF(OR(H599="",AND(H599=H598,H599=H600)),NA(), H599)</f>
        <v>0</v>
      </c>
      <c r="K969">
        <f>IF(ISNA(L969),NA(),K599)</f>
        <v>0</v>
      </c>
      <c r="L969">
        <f>IF(OR(L599="",AND(L599=L598,L599=L600)),NA(), L599)</f>
        <v>0</v>
      </c>
      <c r="M969">
        <f>IF(ISNA(N969),NA(),M599)</f>
        <v>0</v>
      </c>
      <c r="N969">
        <f>IF(OR(N599="",AND(N599=N598,N599=N600)),NA(), N599)</f>
        <v>0</v>
      </c>
    </row>
    <row r="970" spans="5:14">
      <c r="E970">
        <f>IF(ISNA(F970),NA(),E600)</f>
        <v>0</v>
      </c>
      <c r="F970">
        <f>IF(OR(F600="",AND(F600=F599,F600=F601)),NA(), F600)</f>
        <v>0</v>
      </c>
      <c r="G970">
        <f>IF(ISNA(H970),NA(),G600)</f>
        <v>0</v>
      </c>
      <c r="H970">
        <f>IF(OR(H600="",AND(H600=H599,H600=H601)),NA(), H600)</f>
        <v>0</v>
      </c>
      <c r="K970">
        <f>IF(ISNA(L970),NA(),K600)</f>
        <v>0</v>
      </c>
      <c r="L970">
        <f>IF(OR(L600="",AND(L600=L599,L600=L601)),NA(), L600)</f>
        <v>0</v>
      </c>
      <c r="M970">
        <f>IF(ISNA(N970),NA(),M600)</f>
        <v>0</v>
      </c>
      <c r="N970">
        <f>IF(OR(N600="",AND(N600=N599,N600=N601)),NA(), N600)</f>
        <v>0</v>
      </c>
    </row>
    <row r="971" spans="5:14">
      <c r="E971">
        <f>IF(ISNA(F971),NA(),E601)</f>
        <v>0</v>
      </c>
      <c r="F971">
        <f>IF(OR(F601="",AND(F601=F600,F601=F602)),NA(), F601)</f>
        <v>0</v>
      </c>
      <c r="G971">
        <f>IF(ISNA(H971),NA(),G601)</f>
        <v>0</v>
      </c>
      <c r="H971">
        <f>IF(OR(H601="",AND(H601=H600,H601=H602)),NA(), H601)</f>
        <v>0</v>
      </c>
      <c r="K971">
        <f>IF(ISNA(L971),NA(),K601)</f>
        <v>0</v>
      </c>
      <c r="L971">
        <f>IF(OR(L601="",AND(L601=L600,L601=L602)),NA(), L601)</f>
        <v>0</v>
      </c>
      <c r="M971">
        <f>IF(ISNA(N971),NA(),M601)</f>
        <v>0</v>
      </c>
      <c r="N971">
        <f>IF(OR(N601="",AND(N601=N600,N601=N602)),NA(), N601)</f>
        <v>0</v>
      </c>
    </row>
    <row r="972" spans="5:14">
      <c r="E972">
        <f>IF(ISNA(F972),NA(),E602)</f>
        <v>0</v>
      </c>
      <c r="F972">
        <f>IF(OR(F602="",AND(F602=F601,F602=F603)),NA(), F602)</f>
        <v>0</v>
      </c>
      <c r="G972">
        <f>IF(ISNA(H972),NA(),G602)</f>
        <v>0</v>
      </c>
      <c r="H972">
        <f>IF(OR(H602="",AND(H602=H601,H602=H603)),NA(), H602)</f>
        <v>0</v>
      </c>
      <c r="K972">
        <f>IF(ISNA(L972),NA(),K602)</f>
        <v>0</v>
      </c>
      <c r="L972">
        <f>IF(OR(L602="",AND(L602=L601,L602=L603)),NA(), L602)</f>
        <v>0</v>
      </c>
      <c r="M972">
        <f>IF(ISNA(N972),NA(),M602)</f>
        <v>0</v>
      </c>
      <c r="N972">
        <f>IF(OR(N602="",AND(N602=N601,N602=N603)),NA(), N602)</f>
        <v>0</v>
      </c>
    </row>
    <row r="973" spans="5:14">
      <c r="E973">
        <f>IF(ISNA(F973),NA(),E603)</f>
        <v>0</v>
      </c>
      <c r="F973">
        <f>IF(OR(F603="",AND(F603=F602,F603=F604)),NA(), F603)</f>
        <v>0</v>
      </c>
      <c r="G973">
        <f>IF(ISNA(H973),NA(),G603)</f>
        <v>0</v>
      </c>
      <c r="H973">
        <f>IF(OR(H603="",AND(H603=H602,H603=H604)),NA(), H603)</f>
        <v>0</v>
      </c>
      <c r="K973">
        <f>IF(ISNA(L973),NA(),K603)</f>
        <v>0</v>
      </c>
      <c r="L973">
        <f>IF(OR(L603="",AND(L603=L602,L603=L604)),NA(), L603)</f>
        <v>0</v>
      </c>
      <c r="M973">
        <f>IF(ISNA(N973),NA(),M603)</f>
        <v>0</v>
      </c>
      <c r="N973">
        <f>IF(OR(N603="",AND(N603=N602,N603=N604)),NA(), N603)</f>
        <v>0</v>
      </c>
    </row>
    <row r="974" spans="5:14">
      <c r="E974">
        <f>IF(ISNA(F974),NA(),E604)</f>
        <v>0</v>
      </c>
      <c r="F974">
        <f>IF(OR(F604="",AND(F604=F603,F604=F605)),NA(), F604)</f>
        <v>0</v>
      </c>
      <c r="G974">
        <f>IF(ISNA(H974),NA(),G604)</f>
        <v>0</v>
      </c>
      <c r="H974">
        <f>IF(OR(H604="",AND(H604=H603,H604=H605)),NA(), H604)</f>
        <v>0</v>
      </c>
      <c r="K974">
        <f>IF(ISNA(L974),NA(),K604)</f>
        <v>0</v>
      </c>
      <c r="L974">
        <f>IF(OR(L604="",AND(L604=L603,L604=L605)),NA(), L604)</f>
        <v>0</v>
      </c>
      <c r="M974">
        <f>IF(ISNA(N974),NA(),M604)</f>
        <v>0</v>
      </c>
      <c r="N974">
        <f>IF(OR(N604="",AND(N604=N603,N604=N605)),NA(), N604)</f>
        <v>0</v>
      </c>
    </row>
    <row r="975" spans="5:14">
      <c r="E975">
        <f>IF(ISNA(F975),NA(),E605)</f>
        <v>0</v>
      </c>
      <c r="F975">
        <f>IF(OR(F605="",AND(F605=F604,F605=F606)),NA(), F605)</f>
        <v>0</v>
      </c>
      <c r="G975">
        <f>IF(ISNA(H975),NA(),G605)</f>
        <v>0</v>
      </c>
      <c r="H975">
        <f>IF(OR(H605="",AND(H605=H604,H605=H606)),NA(), H605)</f>
        <v>0</v>
      </c>
      <c r="K975">
        <f>IF(ISNA(L975),NA(),K605)</f>
        <v>0</v>
      </c>
      <c r="L975">
        <f>IF(OR(L605="",AND(L605=L604,L605=L606)),NA(), L605)</f>
        <v>0</v>
      </c>
      <c r="M975">
        <f>IF(ISNA(N975),NA(),M605)</f>
        <v>0</v>
      </c>
      <c r="N975">
        <f>IF(OR(N605="",AND(N605=N604,N605=N606)),NA(), N605)</f>
        <v>0</v>
      </c>
    </row>
    <row r="976" spans="5:14">
      <c r="E976">
        <f>IF(ISNA(F976),NA(),E606)</f>
        <v>0</v>
      </c>
      <c r="F976">
        <f>IF(OR(F606="",AND(F606=F605,F606=F607)),NA(), F606)</f>
        <v>0</v>
      </c>
      <c r="G976">
        <f>IF(ISNA(H976),NA(),G606)</f>
        <v>0</v>
      </c>
      <c r="H976">
        <f>IF(OR(H606="",AND(H606=H605,H606=H607)),NA(), H606)</f>
        <v>0</v>
      </c>
      <c r="K976">
        <f>IF(ISNA(L976),NA(),K606)</f>
        <v>0</v>
      </c>
      <c r="L976">
        <f>IF(OR(L606="",AND(L606=L605,L606=L607)),NA(), L606)</f>
        <v>0</v>
      </c>
      <c r="M976">
        <f>IF(ISNA(N976),NA(),M606)</f>
        <v>0</v>
      </c>
      <c r="N976">
        <f>IF(OR(N606="",AND(N606=N605,N606=N607)),NA(), N606)</f>
        <v>0</v>
      </c>
    </row>
    <row r="977" spans="5:14">
      <c r="E977">
        <f>IF(ISNA(F977),NA(),E607)</f>
        <v>0</v>
      </c>
      <c r="F977">
        <f>IF(OR(F607="",AND(F607=F606,F607=F608)),NA(), F607)</f>
        <v>0</v>
      </c>
      <c r="G977">
        <f>IF(ISNA(H977),NA(),G607)</f>
        <v>0</v>
      </c>
      <c r="H977">
        <f>IF(OR(H607="",AND(H607=H606,H607=H608)),NA(), H607)</f>
        <v>0</v>
      </c>
      <c r="K977">
        <f>IF(ISNA(L977),NA(),K607)</f>
        <v>0</v>
      </c>
      <c r="L977">
        <f>IF(OR(L607="",AND(L607=L606,L607=L608)),NA(), L607)</f>
        <v>0</v>
      </c>
      <c r="M977">
        <f>IF(ISNA(N977),NA(),M607)</f>
        <v>0</v>
      </c>
      <c r="N977">
        <f>IF(OR(N607="",AND(N607=N606,N607=N608)),NA(), N607)</f>
        <v>0</v>
      </c>
    </row>
    <row r="978" spans="5:14">
      <c r="E978">
        <f>IF(ISNA(F978),NA(),E608)</f>
        <v>0</v>
      </c>
      <c r="F978">
        <f>IF(OR(F608="",AND(F608=F607,F608=F609)),NA(), F608)</f>
        <v>0</v>
      </c>
      <c r="G978">
        <f>IF(ISNA(H978),NA(),G608)</f>
        <v>0</v>
      </c>
      <c r="H978">
        <f>IF(OR(H608="",AND(H608=H607,H608=H609)),NA(), H608)</f>
        <v>0</v>
      </c>
      <c r="K978">
        <f>IF(ISNA(L978),NA(),K608)</f>
        <v>0</v>
      </c>
      <c r="L978">
        <f>IF(OR(L608="",AND(L608=L607,L608=L609)),NA(), L608)</f>
        <v>0</v>
      </c>
      <c r="M978">
        <f>IF(ISNA(N978),NA(),M608)</f>
        <v>0</v>
      </c>
      <c r="N978">
        <f>IF(OR(N608="",AND(N608=N607,N608=N609)),NA(), N608)</f>
        <v>0</v>
      </c>
    </row>
    <row r="979" spans="5:14">
      <c r="E979">
        <f>IF(ISNA(F979),NA(),E609)</f>
        <v>0</v>
      </c>
      <c r="F979">
        <f>IF(OR(F609="",AND(F609=F608,F609=F610)),NA(), F609)</f>
        <v>0</v>
      </c>
      <c r="G979">
        <f>IF(ISNA(H979),NA(),G609)</f>
        <v>0</v>
      </c>
      <c r="H979">
        <f>IF(OR(H609="",AND(H609=H608,H609=H610)),NA(), H609)</f>
        <v>0</v>
      </c>
      <c r="K979">
        <f>IF(ISNA(L979),NA(),K609)</f>
        <v>0</v>
      </c>
      <c r="L979">
        <f>IF(OR(L609="",AND(L609=L608,L609=L610)),NA(), L609)</f>
        <v>0</v>
      </c>
      <c r="M979">
        <f>IF(ISNA(N979),NA(),M609)</f>
        <v>0</v>
      </c>
      <c r="N979">
        <f>IF(OR(N609="",AND(N609=N608,N609=N610)),NA(), N609)</f>
        <v>0</v>
      </c>
    </row>
    <row r="980" spans="5:14">
      <c r="E980">
        <f>IF(ISNA(F980),NA(),E610)</f>
        <v>0</v>
      </c>
      <c r="F980">
        <f>IF(OR(F610="",AND(F610=F609,F610=F611)),NA(), F610)</f>
        <v>0</v>
      </c>
      <c r="G980">
        <f>IF(ISNA(H980),NA(),G610)</f>
        <v>0</v>
      </c>
      <c r="H980">
        <f>IF(OR(H610="",AND(H610=H609,H610=H611)),NA(), H610)</f>
        <v>0</v>
      </c>
      <c r="K980">
        <f>IF(ISNA(L980),NA(),K610)</f>
        <v>0</v>
      </c>
      <c r="L980">
        <f>IF(OR(L610="",AND(L610=L609,L610=L611)),NA(), L610)</f>
        <v>0</v>
      </c>
      <c r="M980">
        <f>IF(ISNA(N980),NA(),M610)</f>
        <v>0</v>
      </c>
      <c r="N980">
        <f>IF(OR(N610="",AND(N610=N609,N610=N611)),NA(), N610)</f>
        <v>0</v>
      </c>
    </row>
    <row r="981" spans="5:14">
      <c r="E981">
        <f>IF(ISNA(F981),NA(),E611)</f>
        <v>0</v>
      </c>
      <c r="F981">
        <f>IF(OR(F611="",AND(F611=F610,F611=F612)),NA(), F611)</f>
        <v>0</v>
      </c>
      <c r="G981">
        <f>IF(ISNA(H981),NA(),G611)</f>
        <v>0</v>
      </c>
      <c r="H981">
        <f>IF(OR(H611="",AND(H611=H610,H611=H612)),NA(), H611)</f>
        <v>0</v>
      </c>
      <c r="K981">
        <f>IF(ISNA(L981),NA(),K611)</f>
        <v>0</v>
      </c>
      <c r="L981">
        <f>IF(OR(L611="",AND(L611=L610,L611=L612)),NA(), L611)</f>
        <v>0</v>
      </c>
      <c r="M981">
        <f>IF(ISNA(N981),NA(),M611)</f>
        <v>0</v>
      </c>
      <c r="N981">
        <f>IF(OR(N611="",AND(N611=N610,N611=N612)),NA(), N611)</f>
        <v>0</v>
      </c>
    </row>
    <row r="982" spans="5:14">
      <c r="E982">
        <f>IF(ISNA(F982),NA(),E612)</f>
        <v>0</v>
      </c>
      <c r="F982">
        <f>IF(OR(F612="",AND(F612=F611,F612=F613)),NA(), F612)</f>
        <v>0</v>
      </c>
      <c r="G982">
        <f>IF(ISNA(H982),NA(),G612)</f>
        <v>0</v>
      </c>
      <c r="H982">
        <f>IF(OR(H612="",AND(H612=H611,H612=H613)),NA(), H612)</f>
        <v>0</v>
      </c>
      <c r="K982">
        <f>IF(ISNA(L982),NA(),K612)</f>
        <v>0</v>
      </c>
      <c r="L982">
        <f>IF(OR(L612="",AND(L612=L611,L612=L613)),NA(), L612)</f>
        <v>0</v>
      </c>
      <c r="M982">
        <f>IF(ISNA(N982),NA(),M612)</f>
        <v>0</v>
      </c>
      <c r="N982">
        <f>IF(OR(N612="",AND(N612=N611,N612=N613)),NA(), N612)</f>
        <v>0</v>
      </c>
    </row>
    <row r="983" spans="5:14">
      <c r="E983">
        <f>IF(ISNA(F983),NA(),E613)</f>
        <v>0</v>
      </c>
      <c r="F983">
        <f>IF(OR(F613="",AND(F613=F612,F613=F614)),NA(), F613)</f>
        <v>0</v>
      </c>
      <c r="G983">
        <f>IF(ISNA(H983),NA(),G613)</f>
        <v>0</v>
      </c>
      <c r="H983">
        <f>IF(OR(H613="",AND(H613=H612,H613=H614)),NA(), H613)</f>
        <v>0</v>
      </c>
      <c r="K983">
        <f>IF(ISNA(L983),NA(),K613)</f>
        <v>0</v>
      </c>
      <c r="L983">
        <f>IF(OR(L613="",AND(L613=L612,L613=L614)),NA(), L613)</f>
        <v>0</v>
      </c>
      <c r="M983">
        <f>IF(ISNA(N983),NA(),M613)</f>
        <v>0</v>
      </c>
      <c r="N983">
        <f>IF(OR(N613="",AND(N613=N612,N613=N614)),NA(), N613)</f>
        <v>0</v>
      </c>
    </row>
    <row r="984" spans="5:14">
      <c r="E984">
        <f>IF(ISNA(F984),NA(),E614)</f>
        <v>0</v>
      </c>
      <c r="F984">
        <f>IF(OR(F614="",AND(F614=F613,F614=F615)),NA(), F614)</f>
        <v>0</v>
      </c>
      <c r="G984">
        <f>IF(ISNA(H984),NA(),G614)</f>
        <v>0</v>
      </c>
      <c r="H984">
        <f>IF(OR(H614="",AND(H614=H613,H614=H615)),NA(), H614)</f>
        <v>0</v>
      </c>
      <c r="K984">
        <f>IF(ISNA(L984),NA(),K614)</f>
        <v>0</v>
      </c>
      <c r="L984">
        <f>IF(OR(L614="",AND(L614=L613,L614=L615)),NA(), L614)</f>
        <v>0</v>
      </c>
      <c r="M984">
        <f>IF(ISNA(N984),NA(),M614)</f>
        <v>0</v>
      </c>
      <c r="N984">
        <f>IF(OR(N614="",AND(N614=N613,N614=N615)),NA(), N614)</f>
        <v>0</v>
      </c>
    </row>
    <row r="985" spans="5:14">
      <c r="E985">
        <f>IF(ISNA(F985),NA(),E615)</f>
        <v>0</v>
      </c>
      <c r="F985">
        <f>IF(OR(F615="",AND(F615=F614,F615=F616)),NA(), F615)</f>
        <v>0</v>
      </c>
      <c r="G985">
        <f>IF(ISNA(H985),NA(),G615)</f>
        <v>0</v>
      </c>
      <c r="H985">
        <f>IF(OR(H615="",AND(H615=H614,H615=H616)),NA(), H615)</f>
        <v>0</v>
      </c>
      <c r="K985">
        <f>IF(ISNA(L985),NA(),K615)</f>
        <v>0</v>
      </c>
      <c r="L985">
        <f>IF(OR(L615="",AND(L615=L614,L615=L616)),NA(), L615)</f>
        <v>0</v>
      </c>
      <c r="M985">
        <f>IF(ISNA(N985),NA(),M615)</f>
        <v>0</v>
      </c>
      <c r="N985">
        <f>IF(OR(N615="",AND(N615=N614,N615=N616)),NA(), N615)</f>
        <v>0</v>
      </c>
    </row>
    <row r="986" spans="5:14">
      <c r="E986">
        <f>IF(ISNA(F986),NA(),E616)</f>
        <v>0</v>
      </c>
      <c r="F986">
        <f>IF(OR(F616="",AND(F616=F615,F616=F617)),NA(), F616)</f>
        <v>0</v>
      </c>
      <c r="G986">
        <f>IF(ISNA(H986),NA(),G616)</f>
        <v>0</v>
      </c>
      <c r="H986">
        <f>IF(OR(H616="",AND(H616=H615,H616=H617)),NA(), H616)</f>
        <v>0</v>
      </c>
      <c r="K986">
        <f>IF(ISNA(L986),NA(),K616)</f>
        <v>0</v>
      </c>
      <c r="L986">
        <f>IF(OR(L616="",AND(L616=L615,L616=L617)),NA(), L616)</f>
        <v>0</v>
      </c>
      <c r="M986">
        <f>IF(ISNA(N986),NA(),M616)</f>
        <v>0</v>
      </c>
      <c r="N986">
        <f>IF(OR(N616="",AND(N616=N615,N616=N617)),NA(), N616)</f>
        <v>0</v>
      </c>
    </row>
    <row r="987" spans="5:14">
      <c r="E987">
        <f>IF(ISNA(F987),NA(),E617)</f>
        <v>0</v>
      </c>
      <c r="F987">
        <f>IF(OR(F617="",AND(F617=F616,F617=F618)),NA(), F617)</f>
        <v>0</v>
      </c>
      <c r="G987">
        <f>IF(ISNA(H987),NA(),G617)</f>
        <v>0</v>
      </c>
      <c r="H987">
        <f>IF(OR(H617="",AND(H617=H616,H617=H618)),NA(), H617)</f>
        <v>0</v>
      </c>
      <c r="K987">
        <f>IF(ISNA(L987),NA(),K617)</f>
        <v>0</v>
      </c>
      <c r="L987">
        <f>IF(OR(L617="",AND(L617=L616,L617=L618)),NA(), L617)</f>
        <v>0</v>
      </c>
      <c r="M987">
        <f>IF(ISNA(N987),NA(),M617)</f>
        <v>0</v>
      </c>
      <c r="N987">
        <f>IF(OR(N617="",AND(N617=N616,N617=N618)),NA(), N617)</f>
        <v>0</v>
      </c>
    </row>
    <row r="988" spans="5:14">
      <c r="E988">
        <f>IF(ISNA(F988),NA(),E618)</f>
        <v>0</v>
      </c>
      <c r="F988">
        <f>IF(OR(F618="",AND(F618=F617,F618=F619)),NA(), F618)</f>
        <v>0</v>
      </c>
      <c r="G988">
        <f>IF(ISNA(H988),NA(),G618)</f>
        <v>0</v>
      </c>
      <c r="H988">
        <f>IF(OR(H618="",AND(H618=H617,H618=H619)),NA(), H618)</f>
        <v>0</v>
      </c>
      <c r="K988">
        <f>IF(ISNA(L988),NA(),K618)</f>
        <v>0</v>
      </c>
      <c r="L988">
        <f>IF(OR(L618="",AND(L618=L617,L618=L619)),NA(), L618)</f>
        <v>0</v>
      </c>
      <c r="M988">
        <f>IF(ISNA(N988),NA(),M618)</f>
        <v>0</v>
      </c>
      <c r="N988">
        <f>IF(OR(N618="",AND(N618=N617,N618=N619)),NA(), N618)</f>
        <v>0</v>
      </c>
    </row>
    <row r="989" spans="5:14">
      <c r="E989">
        <f>IF(ISNA(F989),NA(),E619)</f>
        <v>0</v>
      </c>
      <c r="F989">
        <f>IF(OR(F619="",AND(F619=F618,F619=F620)),NA(), F619)</f>
        <v>0</v>
      </c>
      <c r="G989">
        <f>IF(ISNA(H989),NA(),G619)</f>
        <v>0</v>
      </c>
      <c r="H989">
        <f>IF(OR(H619="",AND(H619=H618,H619=H620)),NA(), H619)</f>
        <v>0</v>
      </c>
      <c r="K989">
        <f>IF(ISNA(L989),NA(),K619)</f>
        <v>0</v>
      </c>
      <c r="L989">
        <f>IF(OR(L619="",AND(L619=L618,L619=L620)),NA(), L619)</f>
        <v>0</v>
      </c>
      <c r="M989">
        <f>IF(ISNA(N989),NA(),M619)</f>
        <v>0</v>
      </c>
      <c r="N989">
        <f>IF(OR(N619="",AND(N619=N618,N619=N620)),NA(), N619)</f>
        <v>0</v>
      </c>
    </row>
    <row r="990" spans="5:14">
      <c r="E990">
        <f>IF(ISNA(F990),NA(),E620)</f>
        <v>0</v>
      </c>
      <c r="F990">
        <f>IF(OR(F620="",AND(F620=F619,F620=F621)),NA(), F620)</f>
        <v>0</v>
      </c>
      <c r="G990">
        <f>IF(ISNA(H990),NA(),G620)</f>
        <v>0</v>
      </c>
      <c r="H990">
        <f>IF(OR(H620="",AND(H620=H619,H620=H621)),NA(), H620)</f>
        <v>0</v>
      </c>
      <c r="K990">
        <f>IF(ISNA(L990),NA(),K620)</f>
        <v>0</v>
      </c>
      <c r="L990">
        <f>IF(OR(L620="",AND(L620=L619,L620=L621)),NA(), L620)</f>
        <v>0</v>
      </c>
      <c r="M990">
        <f>IF(ISNA(N990),NA(),M620)</f>
        <v>0</v>
      </c>
      <c r="N990">
        <f>IF(OR(N620="",AND(N620=N619,N620=N621)),NA(), N620)</f>
        <v>0</v>
      </c>
    </row>
    <row r="991" spans="5:14">
      <c r="E991">
        <f>IF(ISNA(F991),NA(),E621)</f>
        <v>0</v>
      </c>
      <c r="F991">
        <f>IF(OR(F621="",AND(F621=F620,F621=F622)),NA(), F621)</f>
        <v>0</v>
      </c>
      <c r="G991">
        <f>IF(ISNA(H991),NA(),G621)</f>
        <v>0</v>
      </c>
      <c r="H991">
        <f>IF(OR(H621="",AND(H621=H620,H621=H622)),NA(), H621)</f>
        <v>0</v>
      </c>
      <c r="K991">
        <f>IF(ISNA(L991),NA(),K621)</f>
        <v>0</v>
      </c>
      <c r="L991">
        <f>IF(OR(L621="",AND(L621=L620,L621=L622)),NA(), L621)</f>
        <v>0</v>
      </c>
      <c r="M991">
        <f>IF(ISNA(N991),NA(),M621)</f>
        <v>0</v>
      </c>
      <c r="N991">
        <f>IF(OR(N621="",AND(N621=N620,N621=N622)),NA(), N621)</f>
        <v>0</v>
      </c>
    </row>
    <row r="992" spans="5:14">
      <c r="E992">
        <f>IF(ISNA(F992),NA(),E622)</f>
        <v>0</v>
      </c>
      <c r="F992">
        <f>IF(OR(F622="",AND(F622=F621,F622=F623)),NA(), F622)</f>
        <v>0</v>
      </c>
      <c r="G992">
        <f>IF(ISNA(H992),NA(),G622)</f>
        <v>0</v>
      </c>
      <c r="H992">
        <f>IF(OR(H622="",AND(H622=H621,H622=H623)),NA(), H622)</f>
        <v>0</v>
      </c>
      <c r="K992">
        <f>IF(ISNA(L992),NA(),K622)</f>
        <v>0</v>
      </c>
      <c r="L992">
        <f>IF(OR(L622="",AND(L622=L621,L622=L623)),NA(), L622)</f>
        <v>0</v>
      </c>
      <c r="M992">
        <f>IF(ISNA(N992),NA(),M622)</f>
        <v>0</v>
      </c>
      <c r="N992">
        <f>IF(OR(N622="",AND(N622=N621,N622=N623)),NA(), N622)</f>
        <v>0</v>
      </c>
    </row>
    <row r="993" spans="5:14">
      <c r="E993">
        <f>IF(ISNA(F993),NA(),E623)</f>
        <v>0</v>
      </c>
      <c r="F993">
        <f>IF(OR(F623="",AND(F623=F622,F623=F624)),NA(), F623)</f>
        <v>0</v>
      </c>
      <c r="G993">
        <f>IF(ISNA(H993),NA(),G623)</f>
        <v>0</v>
      </c>
      <c r="H993">
        <f>IF(OR(H623="",AND(H623=H622,H623=H624)),NA(), H623)</f>
        <v>0</v>
      </c>
      <c r="K993">
        <f>IF(ISNA(L993),NA(),K623)</f>
        <v>0</v>
      </c>
      <c r="L993">
        <f>IF(OR(L623="",AND(L623=L622,L623=L624)),NA(), L623)</f>
        <v>0</v>
      </c>
      <c r="M993">
        <f>IF(ISNA(N993),NA(),M623)</f>
        <v>0</v>
      </c>
      <c r="N993">
        <f>IF(OR(N623="",AND(N623=N622,N623=N624)),NA(), N623)</f>
        <v>0</v>
      </c>
    </row>
    <row r="994" spans="5:14">
      <c r="E994">
        <f>IF(ISNA(F994),NA(),E624)</f>
        <v>0</v>
      </c>
      <c r="F994">
        <f>IF(OR(F624="",AND(F624=F623,F624=F625)),NA(), F624)</f>
        <v>0</v>
      </c>
      <c r="G994">
        <f>IF(ISNA(H994),NA(),G624)</f>
        <v>0</v>
      </c>
      <c r="H994">
        <f>IF(OR(H624="",AND(H624=H623,H624=H625)),NA(), H624)</f>
        <v>0</v>
      </c>
      <c r="K994">
        <f>IF(ISNA(L994),NA(),K624)</f>
        <v>0</v>
      </c>
      <c r="L994">
        <f>IF(OR(L624="",AND(L624=L623,L624=L625)),NA(), L624)</f>
        <v>0</v>
      </c>
      <c r="M994">
        <f>IF(ISNA(N994),NA(),M624)</f>
        <v>0</v>
      </c>
      <c r="N994">
        <f>IF(OR(N624="",AND(N624=N623,N624=N625)),NA(), N624)</f>
        <v>0</v>
      </c>
    </row>
    <row r="995" spans="5:14">
      <c r="E995">
        <f>IF(ISNA(F995),NA(),E625)</f>
        <v>0</v>
      </c>
      <c r="F995">
        <f>IF(OR(F625="",AND(F625=F624,F625=F626)),NA(), F625)</f>
        <v>0</v>
      </c>
      <c r="G995">
        <f>IF(ISNA(H995),NA(),G625)</f>
        <v>0</v>
      </c>
      <c r="H995">
        <f>IF(OR(H625="",AND(H625=H624,H625=H626)),NA(), H625)</f>
        <v>0</v>
      </c>
      <c r="K995">
        <f>IF(ISNA(L995),NA(),K625)</f>
        <v>0</v>
      </c>
      <c r="L995">
        <f>IF(OR(L625="",AND(L625=L624,L625=L626)),NA(), L625)</f>
        <v>0</v>
      </c>
      <c r="M995">
        <f>IF(ISNA(N995),NA(),M625)</f>
        <v>0</v>
      </c>
      <c r="N995">
        <f>IF(OR(N625="",AND(N625=N624,N625=N626)),NA(), N625)</f>
        <v>0</v>
      </c>
    </row>
    <row r="996" spans="5:14">
      <c r="E996">
        <f>IF(ISNA(F996),NA(),E626)</f>
        <v>0</v>
      </c>
      <c r="F996">
        <f>IF(OR(F626="",AND(F626=F625,F626=F627)),NA(), F626)</f>
        <v>0</v>
      </c>
      <c r="G996">
        <f>IF(ISNA(H996),NA(),G626)</f>
        <v>0</v>
      </c>
      <c r="H996">
        <f>IF(OR(H626="",AND(H626=H625,H626=H627)),NA(), H626)</f>
        <v>0</v>
      </c>
      <c r="K996">
        <f>IF(ISNA(L996),NA(),K626)</f>
        <v>0</v>
      </c>
      <c r="L996">
        <f>IF(OR(L626="",AND(L626=L625,L626=L627)),NA(), L626)</f>
        <v>0</v>
      </c>
      <c r="M996">
        <f>IF(ISNA(N996),NA(),M626)</f>
        <v>0</v>
      </c>
      <c r="N996">
        <f>IF(OR(N626="",AND(N626=N625,N626=N627)),NA(), N626)</f>
        <v>0</v>
      </c>
    </row>
    <row r="997" spans="5:14">
      <c r="E997">
        <f>IF(ISNA(F997),NA(),E627)</f>
        <v>0</v>
      </c>
      <c r="F997">
        <f>IF(OR(F627="",AND(F627=F626,F627=F628)),NA(), F627)</f>
        <v>0</v>
      </c>
      <c r="G997">
        <f>IF(ISNA(H997),NA(),G627)</f>
        <v>0</v>
      </c>
      <c r="H997">
        <f>IF(OR(H627="",AND(H627=H626,H627=H628)),NA(), H627)</f>
        <v>0</v>
      </c>
      <c r="K997">
        <f>IF(ISNA(L997),NA(),K627)</f>
        <v>0</v>
      </c>
      <c r="L997">
        <f>IF(OR(L627="",AND(L627=L626,L627=L628)),NA(), L627)</f>
        <v>0</v>
      </c>
      <c r="M997">
        <f>IF(ISNA(N997),NA(),M627)</f>
        <v>0</v>
      </c>
      <c r="N997">
        <f>IF(OR(N627="",AND(N627=N626,N627=N628)),NA(), N627)</f>
        <v>0</v>
      </c>
    </row>
    <row r="998" spans="5:14">
      <c r="E998">
        <f>IF(ISNA(F998),NA(),E628)</f>
        <v>0</v>
      </c>
      <c r="F998">
        <f>IF(OR(F628="",AND(F628=F627,F628=F629)),NA(), F628)</f>
        <v>0</v>
      </c>
      <c r="G998">
        <f>IF(ISNA(H998),NA(),G628)</f>
        <v>0</v>
      </c>
      <c r="H998">
        <f>IF(OR(H628="",AND(H628=H627,H628=H629)),NA(), H628)</f>
        <v>0</v>
      </c>
      <c r="K998">
        <f>IF(ISNA(L998),NA(),K628)</f>
        <v>0</v>
      </c>
      <c r="L998">
        <f>IF(OR(L628="",AND(L628=L627,L628=L629)),NA(), L628)</f>
        <v>0</v>
      </c>
      <c r="M998">
        <f>IF(ISNA(N998),NA(),M628)</f>
        <v>0</v>
      </c>
      <c r="N998">
        <f>IF(OR(N628="",AND(N628=N627,N628=N629)),NA(), N628)</f>
        <v>0</v>
      </c>
    </row>
    <row r="999" spans="5:14">
      <c r="E999">
        <f>IF(ISNA(F999),NA(),E629)</f>
        <v>0</v>
      </c>
      <c r="F999">
        <f>IF(OR(F629="",AND(F629=F628,F629=F630)),NA(), F629)</f>
        <v>0</v>
      </c>
      <c r="G999">
        <f>IF(ISNA(H999),NA(),G629)</f>
        <v>0</v>
      </c>
      <c r="H999">
        <f>IF(OR(H629="",AND(H629=H628,H629=H630)),NA(), H629)</f>
        <v>0</v>
      </c>
      <c r="K999">
        <f>IF(ISNA(L999),NA(),K629)</f>
        <v>0</v>
      </c>
      <c r="L999">
        <f>IF(OR(L629="",AND(L629=L628,L629=L630)),NA(), L629)</f>
        <v>0</v>
      </c>
      <c r="M999">
        <f>IF(ISNA(N999),NA(),M629)</f>
        <v>0</v>
      </c>
      <c r="N999">
        <f>IF(OR(N629="",AND(N629=N628,N629=N630)),NA(), N629)</f>
        <v>0</v>
      </c>
    </row>
    <row r="1000" spans="5:14">
      <c r="E1000">
        <f>IF(ISNA(F1000),NA(),E630)</f>
        <v>0</v>
      </c>
      <c r="F1000">
        <f>IF(OR(F630="",AND(F630=F629,F630=F631)),NA(), F630)</f>
        <v>0</v>
      </c>
      <c r="G1000">
        <f>IF(ISNA(H1000),NA(),G630)</f>
        <v>0</v>
      </c>
      <c r="H1000">
        <f>IF(OR(H630="",AND(H630=H629,H630=H631)),NA(), H630)</f>
        <v>0</v>
      </c>
      <c r="K1000">
        <f>IF(ISNA(L1000),NA(),K630)</f>
        <v>0</v>
      </c>
      <c r="L1000">
        <f>IF(OR(L630="",AND(L630=L629,L630=L631)),NA(), L630)</f>
        <v>0</v>
      </c>
      <c r="M1000">
        <f>IF(ISNA(N1000),NA(),M630)</f>
        <v>0</v>
      </c>
      <c r="N1000">
        <f>IF(OR(N630="",AND(N630=N629,N630=N631)),NA(), N630)</f>
        <v>0</v>
      </c>
    </row>
    <row r="1001" spans="5:14">
      <c r="E1001">
        <f>IF(ISNA(F1001),NA(),E631)</f>
        <v>0</v>
      </c>
      <c r="F1001">
        <f>IF(OR(F631="",AND(F631=F630,F631=F632)),NA(), F631)</f>
        <v>0</v>
      </c>
      <c r="G1001">
        <f>IF(ISNA(H1001),NA(),G631)</f>
        <v>0</v>
      </c>
      <c r="H1001">
        <f>IF(OR(H631="",AND(H631=H630,H631=H632)),NA(), H631)</f>
        <v>0</v>
      </c>
      <c r="K1001">
        <f>IF(ISNA(L1001),NA(),K631)</f>
        <v>0</v>
      </c>
      <c r="L1001">
        <f>IF(OR(L631="",AND(L631=L630,L631=L632)),NA(), L631)</f>
        <v>0</v>
      </c>
      <c r="M1001">
        <f>IF(ISNA(N1001),NA(),M631)</f>
        <v>0</v>
      </c>
      <c r="N1001">
        <f>IF(OR(N631="",AND(N631=N630,N631=N632)),NA(), N631)</f>
        <v>0</v>
      </c>
    </row>
    <row r="1002" spans="5:14">
      <c r="E1002">
        <f>IF(ISNA(F1002),NA(),E632)</f>
        <v>0</v>
      </c>
      <c r="F1002">
        <f>IF(OR(F632="",AND(F632=F631,F632=F633)),NA(), F632)</f>
        <v>0</v>
      </c>
      <c r="G1002">
        <f>IF(ISNA(H1002),NA(),G632)</f>
        <v>0</v>
      </c>
      <c r="H1002">
        <f>IF(OR(H632="",AND(H632=H631,H632=H633)),NA(), H632)</f>
        <v>0</v>
      </c>
      <c r="K1002">
        <f>IF(ISNA(L1002),NA(),K632)</f>
        <v>0</v>
      </c>
      <c r="L1002">
        <f>IF(OR(L632="",AND(L632=L631,L632=L633)),NA(), L632)</f>
        <v>0</v>
      </c>
      <c r="M1002">
        <f>IF(ISNA(N1002),NA(),M632)</f>
        <v>0</v>
      </c>
      <c r="N1002">
        <f>IF(OR(N632="",AND(N632=N631,N632=N633)),NA(), N632)</f>
        <v>0</v>
      </c>
    </row>
    <row r="1003" spans="5:14">
      <c r="E1003">
        <f>IF(ISNA(F1003),NA(),E633)</f>
        <v>0</v>
      </c>
      <c r="F1003">
        <f>IF(OR(F633="",AND(F633=F632,F633=F634)),NA(), F633)</f>
        <v>0</v>
      </c>
      <c r="G1003">
        <f>IF(ISNA(H1003),NA(),G633)</f>
        <v>0</v>
      </c>
      <c r="H1003">
        <f>IF(OR(H633="",AND(H633=H632,H633=H634)),NA(), H633)</f>
        <v>0</v>
      </c>
      <c r="K1003">
        <f>IF(ISNA(L1003),NA(),K633)</f>
        <v>0</v>
      </c>
      <c r="L1003">
        <f>IF(OR(L633="",AND(L633=L632,L633=L634)),NA(), L633)</f>
        <v>0</v>
      </c>
      <c r="M1003">
        <f>IF(ISNA(N1003),NA(),M633)</f>
        <v>0</v>
      </c>
      <c r="N1003">
        <f>IF(OR(N633="",AND(N633=N632,N633=N634)),NA(), N633)</f>
        <v>0</v>
      </c>
    </row>
    <row r="1004" spans="5:14">
      <c r="E1004">
        <f>IF(ISNA(F1004),NA(),E634)</f>
        <v>0</v>
      </c>
      <c r="F1004">
        <f>IF(OR(F634="",AND(F634=F633,F634=F635)),NA(), F634)</f>
        <v>0</v>
      </c>
      <c r="G1004">
        <f>IF(ISNA(H1004),NA(),G634)</f>
        <v>0</v>
      </c>
      <c r="H1004">
        <f>IF(OR(H634="",AND(H634=H633,H634=H635)),NA(), H634)</f>
        <v>0</v>
      </c>
      <c r="K1004">
        <f>IF(ISNA(L1004),NA(),K634)</f>
        <v>0</v>
      </c>
      <c r="L1004">
        <f>IF(OR(L634="",AND(L634=L633,L634=L635)),NA(), L634)</f>
        <v>0</v>
      </c>
      <c r="M1004">
        <f>IF(ISNA(N1004),NA(),M634)</f>
        <v>0</v>
      </c>
      <c r="N1004">
        <f>IF(OR(N634="",AND(N634=N633,N634=N635)),NA(), N634)</f>
        <v>0</v>
      </c>
    </row>
    <row r="1005" spans="5:14">
      <c r="E1005">
        <f>IF(ISNA(F1005),NA(),E635)</f>
        <v>0</v>
      </c>
      <c r="F1005">
        <f>IF(OR(F635="",AND(F635=F634,F635=F636)),NA(), F635)</f>
        <v>0</v>
      </c>
      <c r="G1005">
        <f>IF(ISNA(H1005),NA(),G635)</f>
        <v>0</v>
      </c>
      <c r="H1005">
        <f>IF(OR(H635="",AND(H635=H634,H635=H636)),NA(), H635)</f>
        <v>0</v>
      </c>
      <c r="K1005">
        <f>IF(ISNA(L1005),NA(),K635)</f>
        <v>0</v>
      </c>
      <c r="L1005">
        <f>IF(OR(L635="",AND(L635=L634,L635=L636)),NA(), L635)</f>
        <v>0</v>
      </c>
      <c r="M1005">
        <f>IF(ISNA(N1005),NA(),M635)</f>
        <v>0</v>
      </c>
      <c r="N1005">
        <f>IF(OR(N635="",AND(N635=N634,N635=N636)),NA(), N635)</f>
        <v>0</v>
      </c>
    </row>
    <row r="1006" spans="5:14">
      <c r="E1006">
        <f>IF(ISNA(F1006),NA(),E636)</f>
        <v>0</v>
      </c>
      <c r="F1006">
        <f>IF(OR(F636="",AND(F636=F635,F636=F637)),NA(), F636)</f>
        <v>0</v>
      </c>
      <c r="G1006">
        <f>IF(ISNA(H1006),NA(),G636)</f>
        <v>0</v>
      </c>
      <c r="H1006">
        <f>IF(OR(H636="",AND(H636=H635,H636=H637)),NA(), H636)</f>
        <v>0</v>
      </c>
      <c r="K1006">
        <f>IF(ISNA(L1006),NA(),K636)</f>
        <v>0</v>
      </c>
      <c r="L1006">
        <f>IF(OR(L636="",AND(L636=L635,L636=L637)),NA(), L636)</f>
        <v>0</v>
      </c>
      <c r="M1006">
        <f>IF(ISNA(N1006),NA(),M636)</f>
        <v>0</v>
      </c>
      <c r="N1006">
        <f>IF(OR(N636="",AND(N636=N635,N636=N637)),NA(), N636)</f>
        <v>0</v>
      </c>
    </row>
    <row r="1007" spans="5:14">
      <c r="E1007">
        <f>IF(ISNA(F1007),NA(),E637)</f>
        <v>0</v>
      </c>
      <c r="F1007">
        <f>IF(OR(F637="",AND(F637=F636,F637=F638)),NA(), F637)</f>
        <v>0</v>
      </c>
      <c r="G1007">
        <f>IF(ISNA(H1007),NA(),G637)</f>
        <v>0</v>
      </c>
      <c r="H1007">
        <f>IF(OR(H637="",AND(H637=H636,H637=H638)),NA(), H637)</f>
        <v>0</v>
      </c>
      <c r="K1007">
        <f>IF(ISNA(L1007),NA(),K637)</f>
        <v>0</v>
      </c>
      <c r="L1007">
        <f>IF(OR(L637="",AND(L637=L636,L637=L638)),NA(), L637)</f>
        <v>0</v>
      </c>
      <c r="M1007">
        <f>IF(ISNA(N1007),NA(),M637)</f>
        <v>0</v>
      </c>
      <c r="N1007">
        <f>IF(OR(N637="",AND(N637=N636,N637=N638)),NA(), N637)</f>
        <v>0</v>
      </c>
    </row>
    <row r="1008" spans="5:14">
      <c r="E1008">
        <f>IF(ISNA(F1008),NA(),E638)</f>
        <v>0</v>
      </c>
      <c r="F1008">
        <f>IF(OR(F638="",AND(F638=F637,F638=F639)),NA(), F638)</f>
        <v>0</v>
      </c>
      <c r="G1008">
        <f>IF(ISNA(H1008),NA(),G638)</f>
        <v>0</v>
      </c>
      <c r="H1008">
        <f>IF(OR(H638="",AND(H638=H637,H638=H639)),NA(), H638)</f>
        <v>0</v>
      </c>
      <c r="K1008">
        <f>IF(ISNA(L1008),NA(),K638)</f>
        <v>0</v>
      </c>
      <c r="L1008">
        <f>IF(OR(L638="",AND(L638=L637,L638=L639)),NA(), L638)</f>
        <v>0</v>
      </c>
      <c r="M1008">
        <f>IF(ISNA(N1008),NA(),M638)</f>
        <v>0</v>
      </c>
      <c r="N1008">
        <f>IF(OR(N638="",AND(N638=N637,N638=N639)),NA(), N638)</f>
        <v>0</v>
      </c>
    </row>
    <row r="1009" spans="5:14">
      <c r="E1009">
        <f>IF(ISNA(F1009),NA(),E639)</f>
        <v>0</v>
      </c>
      <c r="F1009">
        <f>IF(OR(F639="",AND(F639=F638,F639=F640)),NA(), F639)</f>
        <v>0</v>
      </c>
      <c r="G1009">
        <f>IF(ISNA(H1009),NA(),G639)</f>
        <v>0</v>
      </c>
      <c r="H1009">
        <f>IF(OR(H639="",AND(H639=H638,H639=H640)),NA(), H639)</f>
        <v>0</v>
      </c>
      <c r="K1009">
        <f>IF(ISNA(L1009),NA(),K639)</f>
        <v>0</v>
      </c>
      <c r="L1009">
        <f>IF(OR(L639="",AND(L639=L638,L639=L640)),NA(), L639)</f>
        <v>0</v>
      </c>
      <c r="M1009">
        <f>IF(ISNA(N1009),NA(),M639)</f>
        <v>0</v>
      </c>
      <c r="N1009">
        <f>IF(OR(N639="",AND(N639=N638,N639=N640)),NA(), N639)</f>
        <v>0</v>
      </c>
    </row>
    <row r="1010" spans="5:14">
      <c r="E1010">
        <f>IF(ISNA(F1010),NA(),E640)</f>
        <v>0</v>
      </c>
      <c r="F1010">
        <f>IF(OR(F640="",AND(F640=F639,F640=F641)),NA(), F640)</f>
        <v>0</v>
      </c>
      <c r="G1010">
        <f>IF(ISNA(H1010),NA(),G640)</f>
        <v>0</v>
      </c>
      <c r="H1010">
        <f>IF(OR(H640="",AND(H640=H639,H640=H641)),NA(), H640)</f>
        <v>0</v>
      </c>
      <c r="K1010">
        <f>IF(ISNA(L1010),NA(),K640)</f>
        <v>0</v>
      </c>
      <c r="L1010">
        <f>IF(OR(L640="",AND(L640=L639,L640=L641)),NA(), L640)</f>
        <v>0</v>
      </c>
      <c r="M1010">
        <f>IF(ISNA(N1010),NA(),M640)</f>
        <v>0</v>
      </c>
      <c r="N1010">
        <f>IF(OR(N640="",AND(N640=N639,N640=N641)),NA(), N640)</f>
        <v>0</v>
      </c>
    </row>
    <row r="1011" spans="5:14">
      <c r="E1011">
        <f>IF(ISNA(F1011),NA(),E641)</f>
        <v>0</v>
      </c>
      <c r="F1011">
        <f>IF(OR(F641="",AND(F641=F640,F641=F642)),NA(), F641)</f>
        <v>0</v>
      </c>
      <c r="G1011">
        <f>IF(ISNA(H1011),NA(),G641)</f>
        <v>0</v>
      </c>
      <c r="H1011">
        <f>IF(OR(H641="",AND(H641=H640,H641=H642)),NA(), H641)</f>
        <v>0</v>
      </c>
      <c r="K1011">
        <f>IF(ISNA(L1011),NA(),K641)</f>
        <v>0</v>
      </c>
      <c r="L1011">
        <f>IF(OR(L641="",AND(L641=L640,L641=L642)),NA(), L641)</f>
        <v>0</v>
      </c>
      <c r="M1011">
        <f>IF(ISNA(N1011),NA(),M641)</f>
        <v>0</v>
      </c>
      <c r="N1011">
        <f>IF(OR(N641="",AND(N641=N640,N641=N642)),NA(), N641)</f>
        <v>0</v>
      </c>
    </row>
    <row r="1012" spans="5:14">
      <c r="E1012">
        <f>IF(ISNA(F1012),NA(),E642)</f>
        <v>0</v>
      </c>
      <c r="F1012">
        <f>IF(OR(F642="",AND(F642=F641,F642=F643)),NA(), F642)</f>
        <v>0</v>
      </c>
      <c r="G1012">
        <f>IF(ISNA(H1012),NA(),G642)</f>
        <v>0</v>
      </c>
      <c r="H1012">
        <f>IF(OR(H642="",AND(H642=H641,H642=H643)),NA(), H642)</f>
        <v>0</v>
      </c>
      <c r="K1012">
        <f>IF(ISNA(L1012),NA(),K642)</f>
        <v>0</v>
      </c>
      <c r="L1012">
        <f>IF(OR(L642="",AND(L642=L641,L642=L643)),NA(), L642)</f>
        <v>0</v>
      </c>
      <c r="M1012">
        <f>IF(ISNA(N1012),NA(),M642)</f>
        <v>0</v>
      </c>
      <c r="N1012">
        <f>IF(OR(N642="",AND(N642=N641,N642=N643)),NA(), N642)</f>
        <v>0</v>
      </c>
    </row>
    <row r="1013" spans="5:14">
      <c r="E1013">
        <f>IF(ISNA(F1013),NA(),E643)</f>
        <v>0</v>
      </c>
      <c r="F1013">
        <f>IF(OR(F643="",AND(F643=F642,F643=F644)),NA(), F643)</f>
        <v>0</v>
      </c>
      <c r="G1013">
        <f>IF(ISNA(H1013),NA(),G643)</f>
        <v>0</v>
      </c>
      <c r="H1013">
        <f>IF(OR(H643="",AND(H643=H642,H643=H644)),NA(), H643)</f>
        <v>0</v>
      </c>
      <c r="K1013">
        <f>IF(ISNA(L1013),NA(),K643)</f>
        <v>0</v>
      </c>
      <c r="L1013">
        <f>IF(OR(L643="",AND(L643=L642,L643=L644)),NA(), L643)</f>
        <v>0</v>
      </c>
      <c r="M1013">
        <f>IF(ISNA(N1013),NA(),M643)</f>
        <v>0</v>
      </c>
      <c r="N1013">
        <f>IF(OR(N643="",AND(N643=N642,N643=N644)),NA(), N643)</f>
        <v>0</v>
      </c>
    </row>
    <row r="1014" spans="5:14">
      <c r="E1014">
        <f>IF(ISNA(F1014),NA(),E644)</f>
        <v>0</v>
      </c>
      <c r="F1014">
        <f>IF(OR(F644="",AND(F644=F643,F644=F645)),NA(), F644)</f>
        <v>0</v>
      </c>
      <c r="G1014">
        <f>IF(ISNA(H1014),NA(),G644)</f>
        <v>0</v>
      </c>
      <c r="H1014">
        <f>IF(OR(H644="",AND(H644=H643,H644=H645)),NA(), H644)</f>
        <v>0</v>
      </c>
      <c r="K1014">
        <f>IF(ISNA(L1014),NA(),K644)</f>
        <v>0</v>
      </c>
      <c r="L1014">
        <f>IF(OR(L644="",AND(L644=L643,L644=L645)),NA(), L644)</f>
        <v>0</v>
      </c>
      <c r="M1014">
        <f>IF(ISNA(N1014),NA(),M644)</f>
        <v>0</v>
      </c>
      <c r="N1014">
        <f>IF(OR(N644="",AND(N644=N643,N644=N645)),NA(), N644)</f>
        <v>0</v>
      </c>
    </row>
    <row r="1015" spans="5:14">
      <c r="E1015">
        <f>IF(ISNA(F1015),NA(),E645)</f>
        <v>0</v>
      </c>
      <c r="F1015">
        <f>IF(OR(F645="",AND(F645=F644,F645=F646)),NA(), F645)</f>
        <v>0</v>
      </c>
      <c r="G1015">
        <f>IF(ISNA(H1015),NA(),G645)</f>
        <v>0</v>
      </c>
      <c r="H1015">
        <f>IF(OR(H645="",AND(H645=H644,H645=H646)),NA(), H645)</f>
        <v>0</v>
      </c>
      <c r="K1015">
        <f>IF(ISNA(L1015),NA(),K645)</f>
        <v>0</v>
      </c>
      <c r="L1015">
        <f>IF(OR(L645="",AND(L645=L644,L645=L646)),NA(), L645)</f>
        <v>0</v>
      </c>
      <c r="M1015">
        <f>IF(ISNA(N1015),NA(),M645)</f>
        <v>0</v>
      </c>
      <c r="N1015">
        <f>IF(OR(N645="",AND(N645=N644,N645=N646)),NA(), N645)</f>
        <v>0</v>
      </c>
    </row>
    <row r="1016" spans="5:14">
      <c r="E1016">
        <f>IF(ISNA(F1016),NA(),E646)</f>
        <v>0</v>
      </c>
      <c r="F1016">
        <f>IF(OR(F646="",AND(F646=F645,F646=F647)),NA(), F646)</f>
        <v>0</v>
      </c>
      <c r="G1016">
        <f>IF(ISNA(H1016),NA(),G646)</f>
        <v>0</v>
      </c>
      <c r="H1016">
        <f>IF(OR(H646="",AND(H646=H645,H646=H647)),NA(), H646)</f>
        <v>0</v>
      </c>
      <c r="K1016">
        <f>IF(ISNA(L1016),NA(),K646)</f>
        <v>0</v>
      </c>
      <c r="L1016">
        <f>IF(OR(L646="",AND(L646=L645,L646=L647)),NA(), L646)</f>
        <v>0</v>
      </c>
      <c r="M1016">
        <f>IF(ISNA(N1016),NA(),M646)</f>
        <v>0</v>
      </c>
      <c r="N1016">
        <f>IF(OR(N646="",AND(N646=N645,N646=N647)),NA(), N646)</f>
        <v>0</v>
      </c>
    </row>
    <row r="1017" spans="5:14">
      <c r="E1017">
        <f>IF(ISNA(F1017),NA(),E647)</f>
        <v>0</v>
      </c>
      <c r="F1017">
        <f>IF(OR(F647="",AND(F647=F646,F647=F648)),NA(), F647)</f>
        <v>0</v>
      </c>
      <c r="G1017">
        <f>IF(ISNA(H1017),NA(),G647)</f>
        <v>0</v>
      </c>
      <c r="H1017">
        <f>IF(OR(H647="",AND(H647=H646,H647=H648)),NA(), H647)</f>
        <v>0</v>
      </c>
      <c r="K1017">
        <f>IF(ISNA(L1017),NA(),K647)</f>
        <v>0</v>
      </c>
      <c r="L1017">
        <f>IF(OR(L647="",AND(L647=L646,L647=L648)),NA(), L647)</f>
        <v>0</v>
      </c>
      <c r="M1017">
        <f>IF(ISNA(N1017),NA(),M647)</f>
        <v>0</v>
      </c>
      <c r="N1017">
        <f>IF(OR(N647="",AND(N647=N646,N647=N648)),NA(), N647)</f>
        <v>0</v>
      </c>
    </row>
    <row r="1018" spans="5:14">
      <c r="E1018">
        <f>IF(ISNA(F1018),NA(),E648)</f>
        <v>0</v>
      </c>
      <c r="F1018">
        <f>IF(OR(F648="",AND(F648=F647,F648=F649)),NA(), F648)</f>
        <v>0</v>
      </c>
      <c r="G1018">
        <f>IF(ISNA(H1018),NA(),G648)</f>
        <v>0</v>
      </c>
      <c r="H1018">
        <f>IF(OR(H648="",AND(H648=H647,H648=H649)),NA(), H648)</f>
        <v>0</v>
      </c>
      <c r="K1018">
        <f>IF(ISNA(L1018),NA(),K648)</f>
        <v>0</v>
      </c>
      <c r="L1018">
        <f>IF(OR(L648="",AND(L648=L647,L648=L649)),NA(), L648)</f>
        <v>0</v>
      </c>
      <c r="M1018">
        <f>IF(ISNA(N1018),NA(),M648)</f>
        <v>0</v>
      </c>
      <c r="N1018">
        <f>IF(OR(N648="",AND(N648=N647,N648=N649)),NA(), N648)</f>
        <v>0</v>
      </c>
    </row>
    <row r="1019" spans="5:14">
      <c r="E1019">
        <f>IF(ISNA(F1019),NA(),E649)</f>
        <v>0</v>
      </c>
      <c r="F1019">
        <f>IF(OR(F649="",AND(F649=F648,F649=F650)),NA(), F649)</f>
        <v>0</v>
      </c>
      <c r="G1019">
        <f>IF(ISNA(H1019),NA(),G649)</f>
        <v>0</v>
      </c>
      <c r="H1019">
        <f>IF(OR(H649="",AND(H649=H648,H649=H650)),NA(), H649)</f>
        <v>0</v>
      </c>
      <c r="K1019">
        <f>IF(ISNA(L1019),NA(),K649)</f>
        <v>0</v>
      </c>
      <c r="L1019">
        <f>IF(OR(L649="",AND(L649=L648,L649=L650)),NA(), L649)</f>
        <v>0</v>
      </c>
      <c r="M1019">
        <f>IF(ISNA(N1019),NA(),M649)</f>
        <v>0</v>
      </c>
      <c r="N1019">
        <f>IF(OR(N649="",AND(N649=N648,N649=N650)),NA(), N649)</f>
        <v>0</v>
      </c>
    </row>
    <row r="1020" spans="5:14">
      <c r="E1020">
        <f>IF(ISNA(F1020),NA(),E650)</f>
        <v>0</v>
      </c>
      <c r="F1020">
        <f>IF(OR(F650="",AND(F650=F649,F650=F651)),NA(), F650)</f>
        <v>0</v>
      </c>
      <c r="G1020">
        <f>IF(ISNA(H1020),NA(),G650)</f>
        <v>0</v>
      </c>
      <c r="H1020">
        <f>IF(OR(H650="",AND(H650=H649,H650=H651)),NA(), H650)</f>
        <v>0</v>
      </c>
      <c r="K1020">
        <f>IF(ISNA(L1020),NA(),K650)</f>
        <v>0</v>
      </c>
      <c r="L1020">
        <f>IF(OR(L650="",AND(L650=L649,L650=L651)),NA(), L650)</f>
        <v>0</v>
      </c>
      <c r="M1020">
        <f>IF(ISNA(N1020),NA(),M650)</f>
        <v>0</v>
      </c>
      <c r="N1020">
        <f>IF(OR(N650="",AND(N650=N649,N650=N651)),NA(), N650)</f>
        <v>0</v>
      </c>
    </row>
    <row r="1021" spans="5:14">
      <c r="E1021">
        <f>IF(ISNA(F1021),NA(),E651)</f>
        <v>0</v>
      </c>
      <c r="F1021">
        <f>IF(OR(F651="",AND(F651=F650,F651=F652)),NA(), F651)</f>
        <v>0</v>
      </c>
      <c r="G1021">
        <f>IF(ISNA(H1021),NA(),G651)</f>
        <v>0</v>
      </c>
      <c r="H1021">
        <f>IF(OR(H651="",AND(H651=H650,H651=H652)),NA(), H651)</f>
        <v>0</v>
      </c>
      <c r="K1021">
        <f>IF(ISNA(L1021),NA(),K651)</f>
        <v>0</v>
      </c>
      <c r="L1021">
        <f>IF(OR(L651="",AND(L651=L650,L651=L652)),NA(), L651)</f>
        <v>0</v>
      </c>
      <c r="M1021">
        <f>IF(ISNA(N1021),NA(),M651)</f>
        <v>0</v>
      </c>
      <c r="N1021">
        <f>IF(OR(N651="",AND(N651=N650,N651=N652)),NA(), N651)</f>
        <v>0</v>
      </c>
    </row>
    <row r="1022" spans="5:14">
      <c r="E1022">
        <f>IF(ISNA(F1022),NA(),E652)</f>
        <v>0</v>
      </c>
      <c r="F1022">
        <f>IF(OR(F652="",AND(F652=F651,F652=F653)),NA(), F652)</f>
        <v>0</v>
      </c>
      <c r="G1022">
        <f>IF(ISNA(H1022),NA(),G652)</f>
        <v>0</v>
      </c>
      <c r="H1022">
        <f>IF(OR(H652="",AND(H652=H651,H652=H653)),NA(), H652)</f>
        <v>0</v>
      </c>
      <c r="K1022">
        <f>IF(ISNA(L1022),NA(),K652)</f>
        <v>0</v>
      </c>
      <c r="L1022">
        <f>IF(OR(L652="",AND(L652=L651,L652=L653)),NA(), L652)</f>
        <v>0</v>
      </c>
      <c r="M1022">
        <f>IF(ISNA(N1022),NA(),M652)</f>
        <v>0</v>
      </c>
      <c r="N1022">
        <f>IF(OR(N652="",AND(N652=N651,N652=N653)),NA(), N652)</f>
        <v>0</v>
      </c>
    </row>
    <row r="1023" spans="5:14">
      <c r="E1023">
        <f>IF(ISNA(F1023),NA(),E653)</f>
        <v>0</v>
      </c>
      <c r="F1023">
        <f>IF(OR(F653="",AND(F653=F652,F653=F654)),NA(), F653)</f>
        <v>0</v>
      </c>
      <c r="G1023">
        <f>IF(ISNA(H1023),NA(),G653)</f>
        <v>0</v>
      </c>
      <c r="H1023">
        <f>IF(OR(H653="",AND(H653=H652,H653=H654)),NA(), H653)</f>
        <v>0</v>
      </c>
      <c r="K1023">
        <f>IF(ISNA(L1023),NA(),K653)</f>
        <v>0</v>
      </c>
      <c r="L1023">
        <f>IF(OR(L653="",AND(L653=L652,L653=L654)),NA(), L653)</f>
        <v>0</v>
      </c>
      <c r="M1023">
        <f>IF(ISNA(N1023),NA(),M653)</f>
        <v>0</v>
      </c>
      <c r="N1023">
        <f>IF(OR(N653="",AND(N653=N652,N653=N654)),NA(), N653)</f>
        <v>0</v>
      </c>
    </row>
    <row r="1024" spans="5:14">
      <c r="E1024">
        <f>IF(ISNA(F1024),NA(),E654)</f>
        <v>0</v>
      </c>
      <c r="F1024">
        <f>IF(OR(F654="",AND(F654=F653,F654=F655)),NA(), F654)</f>
        <v>0</v>
      </c>
      <c r="G1024">
        <f>IF(ISNA(H1024),NA(),G654)</f>
        <v>0</v>
      </c>
      <c r="H1024">
        <f>IF(OR(H654="",AND(H654=H653,H654=H655)),NA(), H654)</f>
        <v>0</v>
      </c>
      <c r="K1024">
        <f>IF(ISNA(L1024),NA(),K654)</f>
        <v>0</v>
      </c>
      <c r="L1024">
        <f>IF(OR(L654="",AND(L654=L653,L654=L655)),NA(), L654)</f>
        <v>0</v>
      </c>
      <c r="M1024">
        <f>IF(ISNA(N1024),NA(),M654)</f>
        <v>0</v>
      </c>
      <c r="N1024">
        <f>IF(OR(N654="",AND(N654=N653,N654=N655)),NA(), N654)</f>
        <v>0</v>
      </c>
    </row>
    <row r="1025" spans="5:14">
      <c r="E1025">
        <f>IF(ISNA(F1025),NA(),E655)</f>
        <v>0</v>
      </c>
      <c r="F1025">
        <f>IF(OR(F655="",AND(F655=F654,F655=F656)),NA(), F655)</f>
        <v>0</v>
      </c>
      <c r="G1025">
        <f>IF(ISNA(H1025),NA(),G655)</f>
        <v>0</v>
      </c>
      <c r="H1025">
        <f>IF(OR(H655="",AND(H655=H654,H655=H656)),NA(), H655)</f>
        <v>0</v>
      </c>
      <c r="K1025">
        <f>IF(ISNA(L1025),NA(),K655)</f>
        <v>0</v>
      </c>
      <c r="L1025">
        <f>IF(OR(L655="",AND(L655=L654,L655=L656)),NA(), L655)</f>
        <v>0</v>
      </c>
      <c r="M1025">
        <f>IF(ISNA(N1025),NA(),M655)</f>
        <v>0</v>
      </c>
      <c r="N1025">
        <f>IF(OR(N655="",AND(N655=N654,N655=N656)),NA(), N655)</f>
        <v>0</v>
      </c>
    </row>
    <row r="1026" spans="5:14">
      <c r="E1026">
        <f>IF(ISNA(F1026),NA(),E656)</f>
        <v>0</v>
      </c>
      <c r="F1026">
        <f>IF(OR(F656="",AND(F656=F655,F656=F657)),NA(), F656)</f>
        <v>0</v>
      </c>
      <c r="G1026">
        <f>IF(ISNA(H1026),NA(),G656)</f>
        <v>0</v>
      </c>
      <c r="H1026">
        <f>IF(OR(H656="",AND(H656=H655,H656=H657)),NA(), H656)</f>
        <v>0</v>
      </c>
      <c r="K1026">
        <f>IF(ISNA(L1026),NA(),K656)</f>
        <v>0</v>
      </c>
      <c r="L1026">
        <f>IF(OR(L656="",AND(L656=L655,L656=L657)),NA(), L656)</f>
        <v>0</v>
      </c>
      <c r="M1026">
        <f>IF(ISNA(N1026),NA(),M656)</f>
        <v>0</v>
      </c>
      <c r="N1026">
        <f>IF(OR(N656="",AND(N656=N655,N656=N657)),NA(), N656)</f>
        <v>0</v>
      </c>
    </row>
    <row r="1027" spans="5:14">
      <c r="E1027">
        <f>IF(ISNA(F1027),NA(),E657)</f>
        <v>0</v>
      </c>
      <c r="F1027">
        <f>IF(OR(F657="",AND(F657=F656,F657=F658)),NA(), F657)</f>
        <v>0</v>
      </c>
      <c r="G1027">
        <f>IF(ISNA(H1027),NA(),G657)</f>
        <v>0</v>
      </c>
      <c r="H1027">
        <f>IF(OR(H657="",AND(H657=H656,H657=H658)),NA(), H657)</f>
        <v>0</v>
      </c>
      <c r="K1027">
        <f>IF(ISNA(L1027),NA(),K657)</f>
        <v>0</v>
      </c>
      <c r="L1027">
        <f>IF(OR(L657="",AND(L657=L656,L657=L658)),NA(), L657)</f>
        <v>0</v>
      </c>
      <c r="M1027">
        <f>IF(ISNA(N1027),NA(),M657)</f>
        <v>0</v>
      </c>
      <c r="N1027">
        <f>IF(OR(N657="",AND(N657=N656,N657=N658)),NA(), N657)</f>
        <v>0</v>
      </c>
    </row>
    <row r="1028" spans="5:14">
      <c r="E1028">
        <f>IF(ISNA(F1028),NA(),E658)</f>
        <v>0</v>
      </c>
      <c r="F1028">
        <f>IF(OR(F658="",AND(F658=F657,F658=F659)),NA(), F658)</f>
        <v>0</v>
      </c>
      <c r="G1028">
        <f>IF(ISNA(H1028),NA(),G658)</f>
        <v>0</v>
      </c>
      <c r="H1028">
        <f>IF(OR(H658="",AND(H658=H657,H658=H659)),NA(), H658)</f>
        <v>0</v>
      </c>
      <c r="K1028">
        <f>IF(ISNA(L1028),NA(),K658)</f>
        <v>0</v>
      </c>
      <c r="L1028">
        <f>IF(OR(L658="",AND(L658=L657,L658=L659)),NA(), L658)</f>
        <v>0</v>
      </c>
      <c r="M1028">
        <f>IF(ISNA(N1028),NA(),M658)</f>
        <v>0</v>
      </c>
      <c r="N1028">
        <f>IF(OR(N658="",AND(N658=N657,N658=N659)),NA(), N658)</f>
        <v>0</v>
      </c>
    </row>
    <row r="1029" spans="5:14">
      <c r="E1029">
        <f>IF(ISNA(F1029),NA(),E659)</f>
        <v>0</v>
      </c>
      <c r="F1029">
        <f>IF(OR(F659="",AND(F659=F658,F659=F660)),NA(), F659)</f>
        <v>0</v>
      </c>
      <c r="G1029">
        <f>IF(ISNA(H1029),NA(),G659)</f>
        <v>0</v>
      </c>
      <c r="H1029">
        <f>IF(OR(H659="",AND(H659=H658,H659=H660)),NA(), H659)</f>
        <v>0</v>
      </c>
      <c r="K1029">
        <f>IF(ISNA(L1029),NA(),K659)</f>
        <v>0</v>
      </c>
      <c r="L1029">
        <f>IF(OR(L659="",AND(L659=L658,L659=L660)),NA(), L659)</f>
        <v>0</v>
      </c>
      <c r="M1029">
        <f>IF(ISNA(N1029),NA(),M659)</f>
        <v>0</v>
      </c>
      <c r="N1029">
        <f>IF(OR(N659="",AND(N659=N658,N659=N660)),NA(), N659)</f>
        <v>0</v>
      </c>
    </row>
    <row r="1030" spans="5:14">
      <c r="E1030">
        <f>IF(ISNA(F1030),NA(),E660)</f>
        <v>0</v>
      </c>
      <c r="F1030">
        <f>IF(OR(F660="",AND(F660=F659,F660=F661)),NA(), F660)</f>
        <v>0</v>
      </c>
      <c r="G1030">
        <f>IF(ISNA(H1030),NA(),G660)</f>
        <v>0</v>
      </c>
      <c r="H1030">
        <f>IF(OR(H660="",AND(H660=H659,H660=H661)),NA(), H660)</f>
        <v>0</v>
      </c>
      <c r="K1030">
        <f>IF(ISNA(L1030),NA(),K660)</f>
        <v>0</v>
      </c>
      <c r="L1030">
        <f>IF(OR(L660="",AND(L660=L659,L660=L661)),NA(), L660)</f>
        <v>0</v>
      </c>
      <c r="M1030">
        <f>IF(ISNA(N1030),NA(),M660)</f>
        <v>0</v>
      </c>
      <c r="N1030">
        <f>IF(OR(N660="",AND(N660=N659,N660=N661)),NA(), N660)</f>
        <v>0</v>
      </c>
    </row>
    <row r="1031" spans="5:14">
      <c r="E1031">
        <f>IF(ISNA(F1031),NA(),E661)</f>
        <v>0</v>
      </c>
      <c r="F1031">
        <f>IF(OR(F661="",AND(F661=F660,F661=F662)),NA(), F661)</f>
        <v>0</v>
      </c>
      <c r="G1031">
        <f>IF(ISNA(H1031),NA(),G661)</f>
        <v>0</v>
      </c>
      <c r="H1031">
        <f>IF(OR(H661="",AND(H661=H660,H661=H662)),NA(), H661)</f>
        <v>0</v>
      </c>
      <c r="K1031">
        <f>IF(ISNA(L1031),NA(),K661)</f>
        <v>0</v>
      </c>
      <c r="L1031">
        <f>IF(OR(L661="",AND(L661=L660,L661=L662)),NA(), L661)</f>
        <v>0</v>
      </c>
      <c r="M1031">
        <f>IF(ISNA(N1031),NA(),M661)</f>
        <v>0</v>
      </c>
      <c r="N1031">
        <f>IF(OR(N661="",AND(N661=N660,N661=N662)),NA(), N661)</f>
        <v>0</v>
      </c>
    </row>
    <row r="1032" spans="5:14">
      <c r="E1032">
        <f>IF(ISNA(F1032),NA(),E662)</f>
        <v>0</v>
      </c>
      <c r="F1032">
        <f>IF(OR(F662="",AND(F662=F661,F662=F663)),NA(), F662)</f>
        <v>0</v>
      </c>
      <c r="G1032">
        <f>IF(ISNA(H1032),NA(),G662)</f>
        <v>0</v>
      </c>
      <c r="H1032">
        <f>IF(OR(H662="",AND(H662=H661,H662=H663)),NA(), H662)</f>
        <v>0</v>
      </c>
      <c r="K1032">
        <f>IF(ISNA(L1032),NA(),K662)</f>
        <v>0</v>
      </c>
      <c r="L1032">
        <f>IF(OR(L662="",AND(L662=L661,L662=L663)),NA(), L662)</f>
        <v>0</v>
      </c>
      <c r="M1032">
        <f>IF(ISNA(N1032),NA(),M662)</f>
        <v>0</v>
      </c>
      <c r="N1032">
        <f>IF(OR(N662="",AND(N662=N661,N662=N663)),NA(), N662)</f>
        <v>0</v>
      </c>
    </row>
    <row r="1033" spans="5:14">
      <c r="E1033">
        <f>IF(ISNA(F1033),NA(),E663)</f>
        <v>0</v>
      </c>
      <c r="F1033">
        <f>IF(OR(F663="",AND(F663=F662,F663=F664)),NA(), F663)</f>
        <v>0</v>
      </c>
      <c r="G1033">
        <f>IF(ISNA(H1033),NA(),G663)</f>
        <v>0</v>
      </c>
      <c r="H1033">
        <f>IF(OR(H663="",AND(H663=H662,H663=H664)),NA(), H663)</f>
        <v>0</v>
      </c>
      <c r="K1033">
        <f>IF(ISNA(L1033),NA(),K663)</f>
        <v>0</v>
      </c>
      <c r="L1033">
        <f>IF(OR(L663="",AND(L663=L662,L663=L664)),NA(), L663)</f>
        <v>0</v>
      </c>
      <c r="M1033">
        <f>IF(ISNA(N1033),NA(),M663)</f>
        <v>0</v>
      </c>
      <c r="N1033">
        <f>IF(OR(N663="",AND(N663=N662,N663=N664)),NA(), N663)</f>
        <v>0</v>
      </c>
    </row>
    <row r="1034" spans="5:14">
      <c r="E1034">
        <f>IF(ISNA(F1034),NA(),E664)</f>
        <v>0</v>
      </c>
      <c r="F1034">
        <f>IF(OR(F664="",AND(F664=F663,F664=F665)),NA(), F664)</f>
        <v>0</v>
      </c>
      <c r="G1034">
        <f>IF(ISNA(H1034),NA(),G664)</f>
        <v>0</v>
      </c>
      <c r="H1034">
        <f>IF(OR(H664="",AND(H664=H663,H664=H665)),NA(), H664)</f>
        <v>0</v>
      </c>
      <c r="K1034">
        <f>IF(ISNA(L1034),NA(),K664)</f>
        <v>0</v>
      </c>
      <c r="L1034">
        <f>IF(OR(L664="",AND(L664=L663,L664=L665)),NA(), L664)</f>
        <v>0</v>
      </c>
      <c r="M1034">
        <f>IF(ISNA(N1034),NA(),M664)</f>
        <v>0</v>
      </c>
      <c r="N1034">
        <f>IF(OR(N664="",AND(N664=N663,N664=N665)),NA(), N664)</f>
        <v>0</v>
      </c>
    </row>
    <row r="1035" spans="5:14">
      <c r="E1035">
        <f>IF(ISNA(F1035),NA(),E665)</f>
        <v>0</v>
      </c>
      <c r="F1035">
        <f>IF(OR(F665="",AND(F665=F664,F665=F666)),NA(), F665)</f>
        <v>0</v>
      </c>
      <c r="G1035">
        <f>IF(ISNA(H1035),NA(),G665)</f>
        <v>0</v>
      </c>
      <c r="H1035">
        <f>IF(OR(H665="",AND(H665=H664,H665=H666)),NA(), H665)</f>
        <v>0</v>
      </c>
      <c r="K1035">
        <f>IF(ISNA(L1035),NA(),K665)</f>
        <v>0</v>
      </c>
      <c r="L1035">
        <f>IF(OR(L665="",AND(L665=L664,L665=L666)),NA(), L665)</f>
        <v>0</v>
      </c>
      <c r="M1035">
        <f>IF(ISNA(N1035),NA(),M665)</f>
        <v>0</v>
      </c>
      <c r="N1035">
        <f>IF(OR(N665="",AND(N665=N664,N665=N666)),NA(), N665)</f>
        <v>0</v>
      </c>
    </row>
    <row r="1036" spans="5:14">
      <c r="E1036">
        <f>IF(ISNA(F1036),NA(),E666)</f>
        <v>0</v>
      </c>
      <c r="F1036">
        <f>IF(OR(F666="",AND(F666=F665,F666=F667)),NA(), F666)</f>
        <v>0</v>
      </c>
      <c r="G1036">
        <f>IF(ISNA(H1036),NA(),G666)</f>
        <v>0</v>
      </c>
      <c r="H1036">
        <f>IF(OR(H666="",AND(H666=H665,H666=H667)),NA(), H666)</f>
        <v>0</v>
      </c>
      <c r="K1036">
        <f>IF(ISNA(L1036),NA(),K666)</f>
        <v>0</v>
      </c>
      <c r="L1036">
        <f>IF(OR(L666="",AND(L666=L665,L666=L667)),NA(), L666)</f>
        <v>0</v>
      </c>
      <c r="M1036">
        <f>IF(ISNA(N1036),NA(),M666)</f>
        <v>0</v>
      </c>
      <c r="N1036">
        <f>IF(OR(N666="",AND(N666=N665,N666=N667)),NA(), N666)</f>
        <v>0</v>
      </c>
    </row>
    <row r="1037" spans="5:14">
      <c r="E1037">
        <f>IF(ISNA(F1037),NA(),E667)</f>
        <v>0</v>
      </c>
      <c r="F1037">
        <f>IF(OR(F667="",AND(F667=F666,F667=F668)),NA(), F667)</f>
        <v>0</v>
      </c>
      <c r="G1037">
        <f>IF(ISNA(H1037),NA(),G667)</f>
        <v>0</v>
      </c>
      <c r="H1037">
        <f>IF(OR(H667="",AND(H667=H666,H667=H668)),NA(), H667)</f>
        <v>0</v>
      </c>
      <c r="K1037">
        <f>IF(ISNA(L1037),NA(),K667)</f>
        <v>0</v>
      </c>
      <c r="L1037">
        <f>IF(OR(L667="",AND(L667=L666,L667=L668)),NA(), L667)</f>
        <v>0</v>
      </c>
      <c r="M1037">
        <f>IF(ISNA(N1037),NA(),M667)</f>
        <v>0</v>
      </c>
      <c r="N1037">
        <f>IF(OR(N667="",AND(N667=N666,N667=N668)),NA(), N667)</f>
        <v>0</v>
      </c>
    </row>
    <row r="1038" spans="5:14">
      <c r="E1038">
        <f>IF(ISNA(F1038),NA(),E668)</f>
        <v>0</v>
      </c>
      <c r="F1038">
        <f>IF(OR(F668="",AND(F668=F667,F668=F669)),NA(), F668)</f>
        <v>0</v>
      </c>
      <c r="G1038">
        <f>IF(ISNA(H1038),NA(),G668)</f>
        <v>0</v>
      </c>
      <c r="H1038">
        <f>IF(OR(H668="",AND(H668=H667,H668=H669)),NA(), H668)</f>
        <v>0</v>
      </c>
      <c r="K1038">
        <f>IF(ISNA(L1038),NA(),K668)</f>
        <v>0</v>
      </c>
      <c r="L1038">
        <f>IF(OR(L668="",AND(L668=L667,L668=L669)),NA(), L668)</f>
        <v>0</v>
      </c>
      <c r="M1038">
        <f>IF(ISNA(N1038),NA(),M668)</f>
        <v>0</v>
      </c>
      <c r="N1038">
        <f>IF(OR(N668="",AND(N668=N667,N668=N669)),NA(), N668)</f>
        <v>0</v>
      </c>
    </row>
    <row r="1039" spans="5:14">
      <c r="E1039">
        <f>IF(ISNA(F1039),NA(),E669)</f>
        <v>0</v>
      </c>
      <c r="F1039">
        <f>IF(OR(F669="",AND(F669=F668,F669=F670)),NA(), F669)</f>
        <v>0</v>
      </c>
      <c r="G1039">
        <f>IF(ISNA(H1039),NA(),G669)</f>
        <v>0</v>
      </c>
      <c r="H1039">
        <f>IF(OR(H669="",AND(H669=H668,H669=H670)),NA(), H669)</f>
        <v>0</v>
      </c>
      <c r="K1039">
        <f>IF(ISNA(L1039),NA(),K669)</f>
        <v>0</v>
      </c>
      <c r="L1039">
        <f>IF(OR(L669="",AND(L669=L668,L669=L670)),NA(), L669)</f>
        <v>0</v>
      </c>
      <c r="M1039">
        <f>IF(ISNA(N1039),NA(),M669)</f>
        <v>0</v>
      </c>
      <c r="N1039">
        <f>IF(OR(N669="",AND(N669=N668,N669=N670)),NA(), N669)</f>
        <v>0</v>
      </c>
    </row>
    <row r="1040" spans="5:14">
      <c r="E1040">
        <f>IF(ISNA(F1040),NA(),E670)</f>
        <v>0</v>
      </c>
      <c r="F1040">
        <f>IF(OR(F670="",AND(F670=F669,F670=F671)),NA(), F670)</f>
        <v>0</v>
      </c>
      <c r="G1040">
        <f>IF(ISNA(H1040),NA(),G670)</f>
        <v>0</v>
      </c>
      <c r="H1040">
        <f>IF(OR(H670="",AND(H670=H669,H670=H671)),NA(), H670)</f>
        <v>0</v>
      </c>
      <c r="K1040">
        <f>IF(ISNA(L1040),NA(),K670)</f>
        <v>0</v>
      </c>
      <c r="L1040">
        <f>IF(OR(L670="",AND(L670=L669,L670=L671)),NA(), L670)</f>
        <v>0</v>
      </c>
      <c r="M1040">
        <f>IF(ISNA(N1040),NA(),M670)</f>
        <v>0</v>
      </c>
      <c r="N1040">
        <f>IF(OR(N670="",AND(N670=N669,N670=N671)),NA(), N670)</f>
        <v>0</v>
      </c>
    </row>
    <row r="1041" spans="5:14">
      <c r="E1041">
        <f>IF(ISNA(F1041),NA(),E671)</f>
        <v>0</v>
      </c>
      <c r="F1041">
        <f>IF(OR(F671="",AND(F671=F670,F671=F672)),NA(), F671)</f>
        <v>0</v>
      </c>
      <c r="G1041">
        <f>IF(ISNA(H1041),NA(),G671)</f>
        <v>0</v>
      </c>
      <c r="H1041">
        <f>IF(OR(H671="",AND(H671=H670,H671=H672)),NA(), H671)</f>
        <v>0</v>
      </c>
      <c r="K1041">
        <f>IF(ISNA(L1041),NA(),K671)</f>
        <v>0</v>
      </c>
      <c r="L1041">
        <f>IF(OR(L671="",AND(L671=L670,L671=L672)),NA(), L671)</f>
        <v>0</v>
      </c>
      <c r="M1041">
        <f>IF(ISNA(N1041),NA(),M671)</f>
        <v>0</v>
      </c>
      <c r="N1041">
        <f>IF(OR(N671="",AND(N671=N670,N671=N672)),NA(), N671)</f>
        <v>0</v>
      </c>
    </row>
    <row r="1042" spans="5:14">
      <c r="E1042">
        <f>IF(ISNA(F1042),NA(),E672)</f>
        <v>0</v>
      </c>
      <c r="F1042">
        <f>IF(OR(F672="",AND(F672=F671,F672=F673)),NA(), F672)</f>
        <v>0</v>
      </c>
      <c r="G1042">
        <f>IF(ISNA(H1042),NA(),G672)</f>
        <v>0</v>
      </c>
      <c r="H1042">
        <f>IF(OR(H672="",AND(H672=H671,H672=H673)),NA(), H672)</f>
        <v>0</v>
      </c>
      <c r="K1042">
        <f>IF(ISNA(L1042),NA(),K672)</f>
        <v>0</v>
      </c>
      <c r="L1042">
        <f>IF(OR(L672="",AND(L672=L671,L672=L673)),NA(), L672)</f>
        <v>0</v>
      </c>
      <c r="M1042">
        <f>IF(ISNA(N1042),NA(),M672)</f>
        <v>0</v>
      </c>
      <c r="N1042">
        <f>IF(OR(N672="",AND(N672=N671,N672=N673)),NA(), N672)</f>
        <v>0</v>
      </c>
    </row>
    <row r="1043" spans="5:14">
      <c r="E1043">
        <f>IF(ISNA(F1043),NA(),E673)</f>
        <v>0</v>
      </c>
      <c r="F1043">
        <f>IF(OR(F673="",AND(F673=F672,F673=F674)),NA(), F673)</f>
        <v>0</v>
      </c>
      <c r="G1043">
        <f>IF(ISNA(H1043),NA(),G673)</f>
        <v>0</v>
      </c>
      <c r="H1043">
        <f>IF(OR(H673="",AND(H673=H672,H673=H674)),NA(), H673)</f>
        <v>0</v>
      </c>
      <c r="K1043">
        <f>IF(ISNA(L1043),NA(),K673)</f>
        <v>0</v>
      </c>
      <c r="L1043">
        <f>IF(OR(L673="",AND(L673=L672,L673=L674)),NA(), L673)</f>
        <v>0</v>
      </c>
      <c r="M1043">
        <f>IF(ISNA(N1043),NA(),M673)</f>
        <v>0</v>
      </c>
      <c r="N1043">
        <f>IF(OR(N673="",AND(N673=N672,N673=N674)),NA(), N673)</f>
        <v>0</v>
      </c>
    </row>
    <row r="1044" spans="5:14">
      <c r="E1044">
        <f>IF(ISNA(F1044),NA(),E674)</f>
        <v>0</v>
      </c>
      <c r="F1044">
        <f>IF(OR(F674="",AND(F674=F673,F674=F675)),NA(), F674)</f>
        <v>0</v>
      </c>
      <c r="G1044">
        <f>IF(ISNA(H1044),NA(),G674)</f>
        <v>0</v>
      </c>
      <c r="H1044">
        <f>IF(OR(H674="",AND(H674=H673,H674=H675)),NA(), H674)</f>
        <v>0</v>
      </c>
      <c r="K1044">
        <f>IF(ISNA(L1044),NA(),K674)</f>
        <v>0</v>
      </c>
      <c r="L1044">
        <f>IF(OR(L674="",AND(L674=L673,L674=L675)),NA(), L674)</f>
        <v>0</v>
      </c>
      <c r="M1044">
        <f>IF(ISNA(N1044),NA(),M674)</f>
        <v>0</v>
      </c>
      <c r="N1044">
        <f>IF(OR(N674="",AND(N674=N673,N674=N675)),NA(), N674)</f>
        <v>0</v>
      </c>
    </row>
    <row r="1045" spans="5:14">
      <c r="E1045">
        <f>IF(ISNA(F1045),NA(),E675)</f>
        <v>0</v>
      </c>
      <c r="F1045">
        <f>IF(OR(F675="",AND(F675=F674,F675=F676)),NA(), F675)</f>
        <v>0</v>
      </c>
      <c r="G1045">
        <f>IF(ISNA(H1045),NA(),G675)</f>
        <v>0</v>
      </c>
      <c r="H1045">
        <f>IF(OR(H675="",AND(H675=H674,H675=H676)),NA(), H675)</f>
        <v>0</v>
      </c>
      <c r="K1045">
        <f>IF(ISNA(L1045),NA(),K675)</f>
        <v>0</v>
      </c>
      <c r="L1045">
        <f>IF(OR(L675="",AND(L675=L674,L675=L676)),NA(), L675)</f>
        <v>0</v>
      </c>
      <c r="M1045">
        <f>IF(ISNA(N1045),NA(),M675)</f>
        <v>0</v>
      </c>
      <c r="N1045">
        <f>IF(OR(N675="",AND(N675=N674,N675=N676)),NA(), N675)</f>
        <v>0</v>
      </c>
    </row>
    <row r="1046" spans="5:14">
      <c r="E1046">
        <f>IF(ISNA(F1046),NA(),E676)</f>
        <v>0</v>
      </c>
      <c r="F1046">
        <f>IF(OR(F676="",AND(F676=F675,F676=F677)),NA(), F676)</f>
        <v>0</v>
      </c>
      <c r="G1046">
        <f>IF(ISNA(H1046),NA(),G676)</f>
        <v>0</v>
      </c>
      <c r="H1046">
        <f>IF(OR(H676="",AND(H676=H675,H676=H677)),NA(), H676)</f>
        <v>0</v>
      </c>
      <c r="K1046">
        <f>IF(ISNA(L1046),NA(),K676)</f>
        <v>0</v>
      </c>
      <c r="L1046">
        <f>IF(OR(L676="",AND(L676=L675,L676=L677)),NA(), L676)</f>
        <v>0</v>
      </c>
      <c r="M1046">
        <f>IF(ISNA(N1046),NA(),M676)</f>
        <v>0</v>
      </c>
      <c r="N1046">
        <f>IF(OR(N676="",AND(N676=N675,N676=N677)),NA(), N676)</f>
        <v>0</v>
      </c>
    </row>
    <row r="1047" spans="5:14">
      <c r="E1047">
        <f>IF(ISNA(F1047),NA(),E677)</f>
        <v>0</v>
      </c>
      <c r="F1047">
        <f>IF(OR(F677="",AND(F677=F676,F677=F678)),NA(), F677)</f>
        <v>0</v>
      </c>
      <c r="G1047">
        <f>IF(ISNA(H1047),NA(),G677)</f>
        <v>0</v>
      </c>
      <c r="H1047">
        <f>IF(OR(H677="",AND(H677=H676,H677=H678)),NA(), H677)</f>
        <v>0</v>
      </c>
      <c r="K1047">
        <f>IF(ISNA(L1047),NA(),K677)</f>
        <v>0</v>
      </c>
      <c r="L1047">
        <f>IF(OR(L677="",AND(L677=L676,L677=L678)),NA(), L677)</f>
        <v>0</v>
      </c>
      <c r="M1047">
        <f>IF(ISNA(N1047),NA(),M677)</f>
        <v>0</v>
      </c>
      <c r="N1047">
        <f>IF(OR(N677="",AND(N677=N676,N677=N678)),NA(), N677)</f>
        <v>0</v>
      </c>
    </row>
    <row r="1048" spans="5:14">
      <c r="E1048">
        <f>IF(ISNA(F1048),NA(),E678)</f>
        <v>0</v>
      </c>
      <c r="F1048">
        <f>IF(OR(F678="",AND(F678=F677,F678=F679)),NA(), F678)</f>
        <v>0</v>
      </c>
      <c r="G1048">
        <f>IF(ISNA(H1048),NA(),G678)</f>
        <v>0</v>
      </c>
      <c r="H1048">
        <f>IF(OR(H678="",AND(H678=H677,H678=H679)),NA(), H678)</f>
        <v>0</v>
      </c>
      <c r="K1048">
        <f>IF(ISNA(L1048),NA(),K678)</f>
        <v>0</v>
      </c>
      <c r="L1048">
        <f>IF(OR(L678="",AND(L678=L677,L678=L679)),NA(), L678)</f>
        <v>0</v>
      </c>
      <c r="M1048">
        <f>IF(ISNA(N1048),NA(),M678)</f>
        <v>0</v>
      </c>
      <c r="N1048">
        <f>IF(OR(N678="",AND(N678=N677,N678=N679)),NA(), N678)</f>
        <v>0</v>
      </c>
    </row>
    <row r="1049" spans="5:14">
      <c r="E1049">
        <f>IF(ISNA(F1049),NA(),E679)</f>
        <v>0</v>
      </c>
      <c r="F1049">
        <f>IF(OR(F679="",AND(F679=F678,F679=F680)),NA(), F679)</f>
        <v>0</v>
      </c>
      <c r="G1049">
        <f>IF(ISNA(H1049),NA(),G679)</f>
        <v>0</v>
      </c>
      <c r="H1049">
        <f>IF(OR(H679="",AND(H679=H678,H679=H680)),NA(), H679)</f>
        <v>0</v>
      </c>
      <c r="K1049">
        <f>IF(ISNA(L1049),NA(),K679)</f>
        <v>0</v>
      </c>
      <c r="L1049">
        <f>IF(OR(L679="",AND(L679=L678,L679=L680)),NA(), L679)</f>
        <v>0</v>
      </c>
      <c r="M1049">
        <f>IF(ISNA(N1049),NA(),M679)</f>
        <v>0</v>
      </c>
      <c r="N1049">
        <f>IF(OR(N679="",AND(N679=N678,N679=N680)),NA(), N679)</f>
        <v>0</v>
      </c>
    </row>
    <row r="1050" spans="5:14">
      <c r="E1050">
        <f>IF(ISNA(F1050),NA(),E680)</f>
        <v>0</v>
      </c>
      <c r="F1050">
        <f>IF(OR(F680="",AND(F680=F679,F680=F681)),NA(), F680)</f>
        <v>0</v>
      </c>
      <c r="G1050">
        <f>IF(ISNA(H1050),NA(),G680)</f>
        <v>0</v>
      </c>
      <c r="H1050">
        <f>IF(OR(H680="",AND(H680=H679,H680=H681)),NA(), H680)</f>
        <v>0</v>
      </c>
      <c r="K1050">
        <f>IF(ISNA(L1050),NA(),K680)</f>
        <v>0</v>
      </c>
      <c r="L1050">
        <f>IF(OR(L680="",AND(L680=L679,L680=L681)),NA(), L680)</f>
        <v>0</v>
      </c>
      <c r="M1050">
        <f>IF(ISNA(N1050),NA(),M680)</f>
        <v>0</v>
      </c>
      <c r="N1050">
        <f>IF(OR(N680="",AND(N680=N679,N680=N681)),NA(), N680)</f>
        <v>0</v>
      </c>
    </row>
    <row r="1051" spans="5:14">
      <c r="E1051">
        <f>IF(ISNA(F1051),NA(),E681)</f>
        <v>0</v>
      </c>
      <c r="F1051">
        <f>IF(OR(F681="",AND(F681=F680,F681=F682)),NA(), F681)</f>
        <v>0</v>
      </c>
      <c r="G1051">
        <f>IF(ISNA(H1051),NA(),G681)</f>
        <v>0</v>
      </c>
      <c r="H1051">
        <f>IF(OR(H681="",AND(H681=H680,H681=H682)),NA(), H681)</f>
        <v>0</v>
      </c>
      <c r="K1051">
        <f>IF(ISNA(L1051),NA(),K681)</f>
        <v>0</v>
      </c>
      <c r="L1051">
        <f>IF(OR(L681="",AND(L681=L680,L681=L682)),NA(), L681)</f>
        <v>0</v>
      </c>
      <c r="M1051">
        <f>IF(ISNA(N1051),NA(),M681)</f>
        <v>0</v>
      </c>
      <c r="N1051">
        <f>IF(OR(N681="",AND(N681=N680,N681=N682)),NA(), N681)</f>
        <v>0</v>
      </c>
    </row>
    <row r="1052" spans="5:14">
      <c r="E1052">
        <f>IF(ISNA(F1052),NA(),E682)</f>
        <v>0</v>
      </c>
      <c r="F1052">
        <f>IF(OR(F682="",AND(F682=F681,F682=F683)),NA(), F682)</f>
        <v>0</v>
      </c>
      <c r="G1052">
        <f>IF(ISNA(H1052),NA(),G682)</f>
        <v>0</v>
      </c>
      <c r="H1052">
        <f>IF(OR(H682="",AND(H682=H681,H682=H683)),NA(), H682)</f>
        <v>0</v>
      </c>
      <c r="K1052">
        <f>IF(ISNA(L1052),NA(),K682)</f>
        <v>0</v>
      </c>
      <c r="L1052">
        <f>IF(OR(L682="",AND(L682=L681,L682=L683)),NA(), L682)</f>
        <v>0</v>
      </c>
      <c r="M1052">
        <f>IF(ISNA(N1052),NA(),M682)</f>
        <v>0</v>
      </c>
      <c r="N1052">
        <f>IF(OR(N682="",AND(N682=N681,N682=N683)),NA(), N682)</f>
        <v>0</v>
      </c>
    </row>
    <row r="1053" spans="5:14">
      <c r="E1053">
        <f>IF(ISNA(F1053),NA(),E683)</f>
        <v>0</v>
      </c>
      <c r="F1053">
        <f>IF(OR(F683="",AND(F683=F682,F683=F684)),NA(), F683)</f>
        <v>0</v>
      </c>
      <c r="G1053">
        <f>IF(ISNA(H1053),NA(),G683)</f>
        <v>0</v>
      </c>
      <c r="H1053">
        <f>IF(OR(H683="",AND(H683=H682,H683=H684)),NA(), H683)</f>
        <v>0</v>
      </c>
      <c r="K1053">
        <f>IF(ISNA(L1053),NA(),K683)</f>
        <v>0</v>
      </c>
      <c r="L1053">
        <f>IF(OR(L683="",AND(L683=L682,L683=L684)),NA(), L683)</f>
        <v>0</v>
      </c>
      <c r="M1053">
        <f>IF(ISNA(N1053),NA(),M683)</f>
        <v>0</v>
      </c>
      <c r="N1053">
        <f>IF(OR(N683="",AND(N683=N682,N683=N684)),NA(), N683)</f>
        <v>0</v>
      </c>
    </row>
    <row r="1054" spans="5:14">
      <c r="E1054">
        <f>IF(ISNA(F1054),NA(),E684)</f>
        <v>0</v>
      </c>
      <c r="F1054">
        <f>IF(OR(F684="",AND(F684=F683,F684=F685)),NA(), F684)</f>
        <v>0</v>
      </c>
      <c r="G1054">
        <f>IF(ISNA(H1054),NA(),G684)</f>
        <v>0</v>
      </c>
      <c r="H1054">
        <f>IF(OR(H684="",AND(H684=H683,H684=H685)),NA(), H684)</f>
        <v>0</v>
      </c>
      <c r="K1054">
        <f>IF(ISNA(L1054),NA(),K684)</f>
        <v>0</v>
      </c>
      <c r="L1054">
        <f>IF(OR(L684="",AND(L684=L683,L684=L685)),NA(), L684)</f>
        <v>0</v>
      </c>
      <c r="M1054">
        <f>IF(ISNA(N1054),NA(),M684)</f>
        <v>0</v>
      </c>
      <c r="N1054">
        <f>IF(OR(N684="",AND(N684=N683,N684=N685)),NA(), N684)</f>
        <v>0</v>
      </c>
    </row>
    <row r="1055" spans="5:14">
      <c r="E1055">
        <f>IF(ISNA(F1055),NA(),E685)</f>
        <v>0</v>
      </c>
      <c r="F1055">
        <f>IF(OR(F685="",AND(F685=F684,F685=F686)),NA(), F685)</f>
        <v>0</v>
      </c>
      <c r="G1055">
        <f>IF(ISNA(H1055),NA(),G685)</f>
        <v>0</v>
      </c>
      <c r="H1055">
        <f>IF(OR(H685="",AND(H685=H684,H685=H686)),NA(), H685)</f>
        <v>0</v>
      </c>
      <c r="K1055">
        <f>IF(ISNA(L1055),NA(),K685)</f>
        <v>0</v>
      </c>
      <c r="L1055">
        <f>IF(OR(L685="",AND(L685=L684,L685=L686)),NA(), L685)</f>
        <v>0</v>
      </c>
      <c r="M1055">
        <f>IF(ISNA(N1055),NA(),M685)</f>
        <v>0</v>
      </c>
      <c r="N1055">
        <f>IF(OR(N685="",AND(N685=N684,N685=N686)),NA(), N685)</f>
        <v>0</v>
      </c>
    </row>
    <row r="1056" spans="5:14">
      <c r="E1056">
        <f>IF(ISNA(F1056),NA(),E686)</f>
        <v>0</v>
      </c>
      <c r="F1056">
        <f>IF(OR(F686="",AND(F686=F685,F686=F687)),NA(), F686)</f>
        <v>0</v>
      </c>
      <c r="G1056">
        <f>IF(ISNA(H1056),NA(),G686)</f>
        <v>0</v>
      </c>
      <c r="H1056">
        <f>IF(OR(H686="",AND(H686=H685,H686=H687)),NA(), H686)</f>
        <v>0</v>
      </c>
      <c r="K1056">
        <f>IF(ISNA(L1056),NA(),K686)</f>
        <v>0</v>
      </c>
      <c r="L1056">
        <f>IF(OR(L686="",AND(L686=L685,L686=L687)),NA(), L686)</f>
        <v>0</v>
      </c>
      <c r="M1056">
        <f>IF(ISNA(N1056),NA(),M686)</f>
        <v>0</v>
      </c>
      <c r="N1056">
        <f>IF(OR(N686="",AND(N686=N685,N686=N687)),NA(), N686)</f>
        <v>0</v>
      </c>
    </row>
    <row r="1057" spans="5:14">
      <c r="E1057">
        <f>IF(ISNA(F1057),NA(),E687)</f>
        <v>0</v>
      </c>
      <c r="F1057">
        <f>IF(OR(F687="",AND(F687=F686,F687=F688)),NA(), F687)</f>
        <v>0</v>
      </c>
      <c r="G1057">
        <f>IF(ISNA(H1057),NA(),G687)</f>
        <v>0</v>
      </c>
      <c r="H1057">
        <f>IF(OR(H687="",AND(H687=H686,H687=H688)),NA(), H687)</f>
        <v>0</v>
      </c>
      <c r="K1057">
        <f>IF(ISNA(L1057),NA(),K687)</f>
        <v>0</v>
      </c>
      <c r="L1057">
        <f>IF(OR(L687="",AND(L687=L686,L687=L688)),NA(), L687)</f>
        <v>0</v>
      </c>
      <c r="M1057">
        <f>IF(ISNA(N1057),NA(),M687)</f>
        <v>0</v>
      </c>
      <c r="N1057">
        <f>IF(OR(N687="",AND(N687=N686,N687=N688)),NA(), N687)</f>
        <v>0</v>
      </c>
    </row>
    <row r="1058" spans="5:14">
      <c r="E1058">
        <f>IF(ISNA(F1058),NA(),E688)</f>
        <v>0</v>
      </c>
      <c r="F1058">
        <f>IF(OR(F688="",AND(F688=F687,F688=F689)),NA(), F688)</f>
        <v>0</v>
      </c>
      <c r="G1058">
        <f>IF(ISNA(H1058),NA(),G688)</f>
        <v>0</v>
      </c>
      <c r="H1058">
        <f>IF(OR(H688="",AND(H688=H687,H688=H689)),NA(), H688)</f>
        <v>0</v>
      </c>
      <c r="K1058">
        <f>IF(ISNA(L1058),NA(),K688)</f>
        <v>0</v>
      </c>
      <c r="L1058">
        <f>IF(OR(L688="",AND(L688=L687,L688=L689)),NA(), L688)</f>
        <v>0</v>
      </c>
      <c r="M1058">
        <f>IF(ISNA(N1058),NA(),M688)</f>
        <v>0</v>
      </c>
      <c r="N1058">
        <f>IF(OR(N688="",AND(N688=N687,N688=N689)),NA(), N688)</f>
        <v>0</v>
      </c>
    </row>
    <row r="1059" spans="5:14">
      <c r="E1059">
        <f>IF(ISNA(F1059),NA(),E689)</f>
        <v>0</v>
      </c>
      <c r="F1059">
        <f>IF(OR(F689="",AND(F689=F688,F689=F690)),NA(), F689)</f>
        <v>0</v>
      </c>
      <c r="G1059">
        <f>IF(ISNA(H1059),NA(),G689)</f>
        <v>0</v>
      </c>
      <c r="H1059">
        <f>IF(OR(H689="",AND(H689=H688,H689=H690)),NA(), H689)</f>
        <v>0</v>
      </c>
      <c r="K1059">
        <f>IF(ISNA(L1059),NA(),K689)</f>
        <v>0</v>
      </c>
      <c r="L1059">
        <f>IF(OR(L689="",AND(L689=L688,L689=L690)),NA(), L689)</f>
        <v>0</v>
      </c>
      <c r="M1059">
        <f>IF(ISNA(N1059),NA(),M689)</f>
        <v>0</v>
      </c>
      <c r="N1059">
        <f>IF(OR(N689="",AND(N689=N688,N689=N690)),NA(), N689)</f>
        <v>0</v>
      </c>
    </row>
    <row r="1060" spans="5:14">
      <c r="E1060">
        <f>IF(ISNA(F1060),NA(),E690)</f>
        <v>0</v>
      </c>
      <c r="F1060">
        <f>IF(OR(F690="",AND(F690=F689,F690=F691)),NA(), F690)</f>
        <v>0</v>
      </c>
      <c r="G1060">
        <f>IF(ISNA(H1060),NA(),G690)</f>
        <v>0</v>
      </c>
      <c r="H1060">
        <f>IF(OR(H690="",AND(H690=H689,H690=H691)),NA(), H690)</f>
        <v>0</v>
      </c>
      <c r="K1060">
        <f>IF(ISNA(L1060),NA(),K690)</f>
        <v>0</v>
      </c>
      <c r="L1060">
        <f>IF(OR(L690="",AND(L690=L689,L690=L691)),NA(), L690)</f>
        <v>0</v>
      </c>
      <c r="M1060">
        <f>IF(ISNA(N1060),NA(),M690)</f>
        <v>0</v>
      </c>
      <c r="N1060">
        <f>IF(OR(N690="",AND(N690=N689,N690=N691)),NA(), N690)</f>
        <v>0</v>
      </c>
    </row>
    <row r="1061" spans="5:14">
      <c r="E1061">
        <f>IF(ISNA(F1061),NA(),E691)</f>
        <v>0</v>
      </c>
      <c r="F1061">
        <f>IF(OR(F691="",AND(F691=F690,F691=F692)),NA(), F691)</f>
        <v>0</v>
      </c>
      <c r="G1061">
        <f>IF(ISNA(H1061),NA(),G691)</f>
        <v>0</v>
      </c>
      <c r="H1061">
        <f>IF(OR(H691="",AND(H691=H690,H691=H692)),NA(), H691)</f>
        <v>0</v>
      </c>
      <c r="K1061">
        <f>IF(ISNA(L1061),NA(),K691)</f>
        <v>0</v>
      </c>
      <c r="L1061">
        <f>IF(OR(L691="",AND(L691=L690,L691=L692)),NA(), L691)</f>
        <v>0</v>
      </c>
      <c r="M1061">
        <f>IF(ISNA(N1061),NA(),M691)</f>
        <v>0</v>
      </c>
      <c r="N1061">
        <f>IF(OR(N691="",AND(N691=N690,N691=N692)),NA(), N691)</f>
        <v>0</v>
      </c>
    </row>
    <row r="1062" spans="5:14">
      <c r="E1062">
        <f>IF(ISNA(F1062),NA(),E692)</f>
        <v>0</v>
      </c>
      <c r="F1062">
        <f>IF(OR(F692="",AND(F692=F691,F692=F693)),NA(), F692)</f>
        <v>0</v>
      </c>
      <c r="G1062">
        <f>IF(ISNA(H1062),NA(),G692)</f>
        <v>0</v>
      </c>
      <c r="H1062">
        <f>IF(OR(H692="",AND(H692=H691,H692=H693)),NA(), H692)</f>
        <v>0</v>
      </c>
      <c r="K1062">
        <f>IF(ISNA(L1062),NA(),K692)</f>
        <v>0</v>
      </c>
      <c r="L1062">
        <f>IF(OR(L692="",AND(L692=L691,L692=L693)),NA(), L692)</f>
        <v>0</v>
      </c>
      <c r="M1062">
        <f>IF(ISNA(N1062),NA(),M692)</f>
        <v>0</v>
      </c>
      <c r="N1062">
        <f>IF(OR(N692="",AND(N692=N691,N692=N693)),NA(), N692)</f>
        <v>0</v>
      </c>
    </row>
    <row r="1063" spans="5:14">
      <c r="E1063">
        <f>IF(ISNA(F1063),NA(),E693)</f>
        <v>0</v>
      </c>
      <c r="F1063">
        <f>IF(OR(F693="",AND(F693=F692,F693=F694)),NA(), F693)</f>
        <v>0</v>
      </c>
      <c r="G1063">
        <f>IF(ISNA(H1063),NA(),G693)</f>
        <v>0</v>
      </c>
      <c r="H1063">
        <f>IF(OR(H693="",AND(H693=H692,H693=H694)),NA(), H693)</f>
        <v>0</v>
      </c>
      <c r="K1063">
        <f>IF(ISNA(L1063),NA(),K693)</f>
        <v>0</v>
      </c>
      <c r="L1063">
        <f>IF(OR(L693="",AND(L693=L692,L693=L694)),NA(), L693)</f>
        <v>0</v>
      </c>
      <c r="M1063">
        <f>IF(ISNA(N1063),NA(),M693)</f>
        <v>0</v>
      </c>
      <c r="N1063">
        <f>IF(OR(N693="",AND(N693=N692,N693=N694)),NA(), N693)</f>
        <v>0</v>
      </c>
    </row>
    <row r="1064" spans="5:14">
      <c r="E1064">
        <f>IF(ISNA(F1064),NA(),E694)</f>
        <v>0</v>
      </c>
      <c r="F1064">
        <f>IF(OR(F694="",AND(F694=F693,F694=F695)),NA(), F694)</f>
        <v>0</v>
      </c>
      <c r="G1064">
        <f>IF(ISNA(H1064),NA(),G694)</f>
        <v>0</v>
      </c>
      <c r="H1064">
        <f>IF(OR(H694="",AND(H694=H693,H694=H695)),NA(), H694)</f>
        <v>0</v>
      </c>
      <c r="K1064">
        <f>IF(ISNA(L1064),NA(),K694)</f>
        <v>0</v>
      </c>
      <c r="L1064">
        <f>IF(OR(L694="",AND(L694=L693,L694=L695)),NA(), L694)</f>
        <v>0</v>
      </c>
      <c r="M1064">
        <f>IF(ISNA(N1064),NA(),M694)</f>
        <v>0</v>
      </c>
      <c r="N1064">
        <f>IF(OR(N694="",AND(N694=N693,N694=N695)),NA(), N694)</f>
        <v>0</v>
      </c>
    </row>
    <row r="1065" spans="5:14">
      <c r="E1065">
        <f>IF(ISNA(F1065),NA(),E695)</f>
        <v>0</v>
      </c>
      <c r="F1065">
        <f>IF(OR(F695="",AND(F695=F694,F695=F696)),NA(), F695)</f>
        <v>0</v>
      </c>
      <c r="G1065">
        <f>IF(ISNA(H1065),NA(),G695)</f>
        <v>0</v>
      </c>
      <c r="H1065">
        <f>IF(OR(H695="",AND(H695=H694,H695=H696)),NA(), H695)</f>
        <v>0</v>
      </c>
      <c r="K1065">
        <f>IF(ISNA(L1065),NA(),K695)</f>
        <v>0</v>
      </c>
      <c r="L1065">
        <f>IF(OR(L695="",AND(L695=L694,L695=L696)),NA(), L695)</f>
        <v>0</v>
      </c>
      <c r="M1065">
        <f>IF(ISNA(N1065),NA(),M695)</f>
        <v>0</v>
      </c>
      <c r="N1065">
        <f>IF(OR(N695="",AND(N695=N694,N695=N696)),NA(), N695)</f>
        <v>0</v>
      </c>
    </row>
    <row r="1066" spans="5:14">
      <c r="E1066">
        <f>IF(ISNA(F1066),NA(),E696)</f>
        <v>0</v>
      </c>
      <c r="F1066">
        <f>IF(OR(F696="",AND(F696=F695,F696=F697)),NA(), F696)</f>
        <v>0</v>
      </c>
      <c r="G1066">
        <f>IF(ISNA(H1066),NA(),G696)</f>
        <v>0</v>
      </c>
      <c r="H1066">
        <f>IF(OR(H696="",AND(H696=H695,H696=H697)),NA(), H696)</f>
        <v>0</v>
      </c>
      <c r="K1066">
        <f>IF(ISNA(L1066),NA(),K696)</f>
        <v>0</v>
      </c>
      <c r="L1066">
        <f>IF(OR(L696="",AND(L696=L695,L696=L697)),NA(), L696)</f>
        <v>0</v>
      </c>
      <c r="M1066">
        <f>IF(ISNA(N1066),NA(),M696)</f>
        <v>0</v>
      </c>
      <c r="N1066">
        <f>IF(OR(N696="",AND(N696=N695,N696=N697)),NA(), N696)</f>
        <v>0</v>
      </c>
    </row>
    <row r="1067" spans="5:14">
      <c r="E1067">
        <f>IF(ISNA(F1067),NA(),E697)</f>
        <v>0</v>
      </c>
      <c r="F1067">
        <f>IF(OR(F697="",AND(F697=F696,F697=F698)),NA(), F697)</f>
        <v>0</v>
      </c>
      <c r="G1067">
        <f>IF(ISNA(H1067),NA(),G697)</f>
        <v>0</v>
      </c>
      <c r="H1067">
        <f>IF(OR(H697="",AND(H697=H696,H697=H698)),NA(), H697)</f>
        <v>0</v>
      </c>
      <c r="K1067">
        <f>IF(ISNA(L1067),NA(),K697)</f>
        <v>0</v>
      </c>
      <c r="L1067">
        <f>IF(OR(L697="",AND(L697=L696,L697=L698)),NA(), L697)</f>
        <v>0</v>
      </c>
      <c r="M1067">
        <f>IF(ISNA(N1067),NA(),M697)</f>
        <v>0</v>
      </c>
      <c r="N1067">
        <f>IF(OR(N697="",AND(N697=N696,N697=N698)),NA(), N697)</f>
        <v>0</v>
      </c>
    </row>
    <row r="1068" spans="5:14">
      <c r="E1068">
        <f>IF(ISNA(F1068),NA(),E698)</f>
        <v>0</v>
      </c>
      <c r="F1068">
        <f>IF(OR(F698="",AND(F698=F697,F698=F699)),NA(), F698)</f>
        <v>0</v>
      </c>
      <c r="G1068">
        <f>IF(ISNA(H1068),NA(),G698)</f>
        <v>0</v>
      </c>
      <c r="H1068">
        <f>IF(OR(H698="",AND(H698=H697,H698=H699)),NA(), H698)</f>
        <v>0</v>
      </c>
      <c r="K1068">
        <f>IF(ISNA(L1068),NA(),K698)</f>
        <v>0</v>
      </c>
      <c r="L1068">
        <f>IF(OR(L698="",AND(L698=L697,L698=L699)),NA(), L698)</f>
        <v>0</v>
      </c>
      <c r="M1068">
        <f>IF(ISNA(N1068),NA(),M698)</f>
        <v>0</v>
      </c>
      <c r="N1068">
        <f>IF(OR(N698="",AND(N698=N697,N698=N699)),NA(), N698)</f>
        <v>0</v>
      </c>
    </row>
    <row r="1069" spans="5:14">
      <c r="E1069">
        <f>IF(ISNA(F1069),NA(),E699)</f>
        <v>0</v>
      </c>
      <c r="F1069">
        <f>IF(OR(F699="",AND(F699=F698,F699=F700)),NA(), F699)</f>
        <v>0</v>
      </c>
      <c r="G1069">
        <f>IF(ISNA(H1069),NA(),G699)</f>
        <v>0</v>
      </c>
      <c r="H1069">
        <f>IF(OR(H699="",AND(H699=H698,H699=H700)),NA(), H699)</f>
        <v>0</v>
      </c>
      <c r="K1069">
        <f>IF(ISNA(L1069),NA(),K699)</f>
        <v>0</v>
      </c>
      <c r="L1069">
        <f>IF(OR(L699="",AND(L699=L698,L699=L700)),NA(), L699)</f>
        <v>0</v>
      </c>
      <c r="M1069">
        <f>IF(ISNA(N1069),NA(),M699)</f>
        <v>0</v>
      </c>
      <c r="N1069">
        <f>IF(OR(N699="",AND(N699=N698,N699=N700)),NA(), N699)</f>
        <v>0</v>
      </c>
    </row>
    <row r="1070" spans="5:14">
      <c r="E1070">
        <f>IF(ISNA(F1070),NA(),E700)</f>
        <v>0</v>
      </c>
      <c r="F1070">
        <f>IF(OR(F700="",AND(F700=F699,F700=F701)),NA(), F700)</f>
        <v>0</v>
      </c>
      <c r="G1070">
        <f>IF(ISNA(H1070),NA(),G700)</f>
        <v>0</v>
      </c>
      <c r="H1070">
        <f>IF(OR(H700="",AND(H700=H699,H700=H701)),NA(), H700)</f>
        <v>0</v>
      </c>
      <c r="K1070">
        <f>IF(ISNA(L1070),NA(),K700)</f>
        <v>0</v>
      </c>
      <c r="L1070">
        <f>IF(OR(L700="",AND(L700=L699,L700=L701)),NA(), L700)</f>
        <v>0</v>
      </c>
      <c r="M1070">
        <f>IF(ISNA(N1070),NA(),M700)</f>
        <v>0</v>
      </c>
      <c r="N1070">
        <f>IF(OR(N700="",AND(N700=N699,N700=N701)),NA(), N700)</f>
        <v>0</v>
      </c>
    </row>
    <row r="1071" spans="5:14">
      <c r="E1071">
        <f>IF(ISNA(F1071),NA(),E701)</f>
        <v>0</v>
      </c>
      <c r="F1071">
        <f>IF(OR(F701="",AND(F701=F700,F701=F702)),NA(), F701)</f>
        <v>0</v>
      </c>
      <c r="G1071">
        <f>IF(ISNA(H1071),NA(),G701)</f>
        <v>0</v>
      </c>
      <c r="H1071">
        <f>IF(OR(H701="",AND(H701=H700,H701=H702)),NA(), H701)</f>
        <v>0</v>
      </c>
      <c r="K1071">
        <f>IF(ISNA(L1071),NA(),K701)</f>
        <v>0</v>
      </c>
      <c r="L1071">
        <f>IF(OR(L701="",AND(L701=L700,L701=L702)),NA(), L701)</f>
        <v>0</v>
      </c>
      <c r="M1071">
        <f>IF(ISNA(N1071),NA(),M701)</f>
        <v>0</v>
      </c>
      <c r="N1071">
        <f>IF(OR(N701="",AND(N701=N700,N701=N702)),NA(), N701)</f>
        <v>0</v>
      </c>
    </row>
    <row r="1072" spans="5:14">
      <c r="E1072">
        <f>IF(ISNA(F1072),NA(),E702)</f>
        <v>0</v>
      </c>
      <c r="F1072">
        <f>IF(OR(F702="",AND(F702=F701,F702=F703)),NA(), F702)</f>
        <v>0</v>
      </c>
      <c r="G1072">
        <f>IF(ISNA(H1072),NA(),G702)</f>
        <v>0</v>
      </c>
      <c r="H1072">
        <f>IF(OR(H702="",AND(H702=H701,H702=H703)),NA(), H702)</f>
        <v>0</v>
      </c>
      <c r="K1072">
        <f>IF(ISNA(L1072),NA(),K702)</f>
        <v>0</v>
      </c>
      <c r="L1072">
        <f>IF(OR(L702="",AND(L702=L701,L702=L703)),NA(), L702)</f>
        <v>0</v>
      </c>
      <c r="M1072">
        <f>IF(ISNA(N1072),NA(),M702)</f>
        <v>0</v>
      </c>
      <c r="N1072">
        <f>IF(OR(N702="",AND(N702=N701,N702=N703)),NA(), N702)</f>
        <v>0</v>
      </c>
    </row>
    <row r="1073" spans="5:14">
      <c r="E1073">
        <f>IF(ISNA(F1073),NA(),E703)</f>
        <v>0</v>
      </c>
      <c r="F1073">
        <f>IF(OR(F703="",AND(F703=F702,F703=F704)),NA(), F703)</f>
        <v>0</v>
      </c>
      <c r="G1073">
        <f>IF(ISNA(H1073),NA(),G703)</f>
        <v>0</v>
      </c>
      <c r="H1073">
        <f>IF(OR(H703="",AND(H703=H702,H703=H704)),NA(), H703)</f>
        <v>0</v>
      </c>
      <c r="K1073">
        <f>IF(ISNA(L1073),NA(),K703)</f>
        <v>0</v>
      </c>
      <c r="L1073">
        <f>IF(OR(L703="",AND(L703=L702,L703=L704)),NA(), L703)</f>
        <v>0</v>
      </c>
      <c r="M1073">
        <f>IF(ISNA(N1073),NA(),M703)</f>
        <v>0</v>
      </c>
      <c r="N1073">
        <f>IF(OR(N703="",AND(N703=N702,N703=N704)),NA(), N703)</f>
        <v>0</v>
      </c>
    </row>
    <row r="1074" spans="5:14">
      <c r="E1074">
        <f>IF(ISNA(F1074),NA(),E704)</f>
        <v>0</v>
      </c>
      <c r="F1074">
        <f>IF(OR(F704="",AND(F704=F703,F704=F705)),NA(), F704)</f>
        <v>0</v>
      </c>
      <c r="G1074">
        <f>IF(ISNA(H1074),NA(),G704)</f>
        <v>0</v>
      </c>
      <c r="H1074">
        <f>IF(OR(H704="",AND(H704=H703,H704=H705)),NA(), H704)</f>
        <v>0</v>
      </c>
      <c r="K1074">
        <f>IF(ISNA(L1074),NA(),K704)</f>
        <v>0</v>
      </c>
      <c r="L1074">
        <f>IF(OR(L704="",AND(L704=L703,L704=L705)),NA(), L704)</f>
        <v>0</v>
      </c>
      <c r="M1074">
        <f>IF(ISNA(N1074),NA(),M704)</f>
        <v>0</v>
      </c>
      <c r="N1074">
        <f>IF(OR(N704="",AND(N704=N703,N704=N705)),NA(), N704)</f>
        <v>0</v>
      </c>
    </row>
    <row r="1075" spans="5:14">
      <c r="E1075">
        <f>IF(ISNA(F1075),NA(),E705)</f>
        <v>0</v>
      </c>
      <c r="F1075">
        <f>IF(OR(F705="",AND(F705=F704,F705=F706)),NA(), F705)</f>
        <v>0</v>
      </c>
      <c r="G1075">
        <f>IF(ISNA(H1075),NA(),G705)</f>
        <v>0</v>
      </c>
      <c r="H1075">
        <f>IF(OR(H705="",AND(H705=H704,H705=H706)),NA(), H705)</f>
        <v>0</v>
      </c>
      <c r="K1075">
        <f>IF(ISNA(L1075),NA(),K705)</f>
        <v>0</v>
      </c>
      <c r="L1075">
        <f>IF(OR(L705="",AND(L705=L704,L705=L706)),NA(), L705)</f>
        <v>0</v>
      </c>
      <c r="M1075">
        <f>IF(ISNA(N1075),NA(),M705)</f>
        <v>0</v>
      </c>
      <c r="N1075">
        <f>IF(OR(N705="",AND(N705=N704,N705=N706)),NA(), N705)</f>
        <v>0</v>
      </c>
    </row>
    <row r="1076" spans="5:14">
      <c r="E1076">
        <f>IF(ISNA(F1076),NA(),E706)</f>
        <v>0</v>
      </c>
      <c r="F1076">
        <f>IF(OR(F706="",AND(F706=F705,F706=F707)),NA(), F706)</f>
        <v>0</v>
      </c>
      <c r="G1076">
        <f>IF(ISNA(H1076),NA(),G706)</f>
        <v>0</v>
      </c>
      <c r="H1076">
        <f>IF(OR(H706="",AND(H706=H705,H706=H707)),NA(), H706)</f>
        <v>0</v>
      </c>
      <c r="K1076">
        <f>IF(ISNA(L1076),NA(),K706)</f>
        <v>0</v>
      </c>
      <c r="L1076">
        <f>IF(OR(L706="",AND(L706=L705,L706=L707)),NA(), L706)</f>
        <v>0</v>
      </c>
      <c r="M1076">
        <f>IF(ISNA(N1076),NA(),M706)</f>
        <v>0</v>
      </c>
      <c r="N1076">
        <f>IF(OR(N706="",AND(N706=N705,N706=N707)),NA(), N706)</f>
        <v>0</v>
      </c>
    </row>
    <row r="1077" spans="5:14">
      <c r="E1077">
        <f>IF(ISNA(F1077),NA(),E707)</f>
        <v>0</v>
      </c>
      <c r="F1077">
        <f>IF(OR(F707="",AND(F707=F706,F707=F708)),NA(), F707)</f>
        <v>0</v>
      </c>
      <c r="G1077">
        <f>IF(ISNA(H1077),NA(),G707)</f>
        <v>0</v>
      </c>
      <c r="H1077">
        <f>IF(OR(H707="",AND(H707=H706,H707=H708)),NA(), H707)</f>
        <v>0</v>
      </c>
      <c r="K1077">
        <f>IF(ISNA(L1077),NA(),K707)</f>
        <v>0</v>
      </c>
      <c r="L1077">
        <f>IF(OR(L707="",AND(L707=L706,L707=L708)),NA(), L707)</f>
        <v>0</v>
      </c>
      <c r="M1077">
        <f>IF(ISNA(N1077),NA(),M707)</f>
        <v>0</v>
      </c>
      <c r="N1077">
        <f>IF(OR(N707="",AND(N707=N706,N707=N708)),NA(), N707)</f>
        <v>0</v>
      </c>
    </row>
    <row r="1078" spans="5:14">
      <c r="E1078">
        <f>IF(ISNA(F1078),NA(),E708)</f>
        <v>0</v>
      </c>
      <c r="F1078">
        <f>IF(OR(F708="",AND(F708=F707,F708=F709)),NA(), F708)</f>
        <v>0</v>
      </c>
      <c r="G1078">
        <f>IF(ISNA(H1078),NA(),G708)</f>
        <v>0</v>
      </c>
      <c r="H1078">
        <f>IF(OR(H708="",AND(H708=H707,H708=H709)),NA(), H708)</f>
        <v>0</v>
      </c>
      <c r="K1078">
        <f>IF(ISNA(L1078),NA(),K708)</f>
        <v>0</v>
      </c>
      <c r="L1078">
        <f>IF(OR(L708="",AND(L708=L707,L708=L709)),NA(), L708)</f>
        <v>0</v>
      </c>
      <c r="M1078">
        <f>IF(ISNA(N1078),NA(),M708)</f>
        <v>0</v>
      </c>
      <c r="N1078">
        <f>IF(OR(N708="",AND(N708=N707,N708=N709)),NA(), N708)</f>
        <v>0</v>
      </c>
    </row>
    <row r="1079" spans="5:14">
      <c r="E1079">
        <f>IF(ISNA(F1079),NA(),E709)</f>
        <v>0</v>
      </c>
      <c r="F1079">
        <f>IF(OR(F709="",AND(F709=F708,F709=F710)),NA(), F709)</f>
        <v>0</v>
      </c>
      <c r="G1079">
        <f>IF(ISNA(H1079),NA(),G709)</f>
        <v>0</v>
      </c>
      <c r="H1079">
        <f>IF(OR(H709="",AND(H709=H708,H709=H710)),NA(), H709)</f>
        <v>0</v>
      </c>
      <c r="K1079">
        <f>IF(ISNA(L1079),NA(),K709)</f>
        <v>0</v>
      </c>
      <c r="L1079">
        <f>IF(OR(L709="",AND(L709=L708,L709=L710)),NA(), L709)</f>
        <v>0</v>
      </c>
      <c r="M1079">
        <f>IF(ISNA(N1079),NA(),M709)</f>
        <v>0</v>
      </c>
      <c r="N1079">
        <f>IF(OR(N709="",AND(N709=N708,N709=N710)),NA(), N709)</f>
        <v>0</v>
      </c>
    </row>
    <row r="1080" spans="5:14">
      <c r="E1080">
        <f>IF(ISNA(F1080),NA(),E710)</f>
        <v>0</v>
      </c>
      <c r="F1080">
        <f>IF(OR(F710="",AND(F710=F709,F710=F711)),NA(), F710)</f>
        <v>0</v>
      </c>
      <c r="G1080">
        <f>IF(ISNA(H1080),NA(),G710)</f>
        <v>0</v>
      </c>
      <c r="H1080">
        <f>IF(OR(H710="",AND(H710=H709,H710=H711)),NA(), H710)</f>
        <v>0</v>
      </c>
      <c r="K1080">
        <f>IF(ISNA(L1080),NA(),K710)</f>
        <v>0</v>
      </c>
      <c r="L1080">
        <f>IF(OR(L710="",AND(L710=L709,L710=L711)),NA(), L710)</f>
        <v>0</v>
      </c>
      <c r="M1080">
        <f>IF(ISNA(N1080),NA(),M710)</f>
        <v>0</v>
      </c>
      <c r="N1080">
        <f>IF(OR(N710="",AND(N710=N709,N710=N711)),NA(), N710)</f>
        <v>0</v>
      </c>
    </row>
    <row r="1081" spans="5:14">
      <c r="E1081">
        <f>IF(ISNA(F1081),NA(),E711)</f>
        <v>0</v>
      </c>
      <c r="F1081">
        <f>IF(OR(F711="",AND(F711=F710,F711=F712)),NA(), F711)</f>
        <v>0</v>
      </c>
      <c r="G1081">
        <f>IF(ISNA(H1081),NA(),G711)</f>
        <v>0</v>
      </c>
      <c r="H1081">
        <f>IF(OR(H711="",AND(H711=H710,H711=H712)),NA(), H711)</f>
        <v>0</v>
      </c>
      <c r="K1081">
        <f>IF(ISNA(L1081),NA(),K711)</f>
        <v>0</v>
      </c>
      <c r="L1081">
        <f>IF(OR(L711="",AND(L711=L710,L711=L712)),NA(), L711)</f>
        <v>0</v>
      </c>
      <c r="M1081">
        <f>IF(ISNA(N1081),NA(),M711)</f>
        <v>0</v>
      </c>
      <c r="N1081">
        <f>IF(OR(N711="",AND(N711=N710,N711=N712)),NA(), N711)</f>
        <v>0</v>
      </c>
    </row>
    <row r="1082" spans="5:14">
      <c r="E1082">
        <f>IF(ISNA(F1082),NA(),E712)</f>
        <v>0</v>
      </c>
      <c r="F1082">
        <f>IF(OR(F712="",AND(F712=F711,F712=F713)),NA(), F712)</f>
        <v>0</v>
      </c>
      <c r="G1082">
        <f>IF(ISNA(H1082),NA(),G712)</f>
        <v>0</v>
      </c>
      <c r="H1082">
        <f>IF(OR(H712="",AND(H712=H711,H712=H713)),NA(), H712)</f>
        <v>0</v>
      </c>
      <c r="K1082">
        <f>IF(ISNA(L1082),NA(),K712)</f>
        <v>0</v>
      </c>
      <c r="L1082">
        <f>IF(OR(L712="",AND(L712=L711,L712=L713)),NA(), L712)</f>
        <v>0</v>
      </c>
      <c r="M1082">
        <f>IF(ISNA(N1082),NA(),M712)</f>
        <v>0</v>
      </c>
      <c r="N1082">
        <f>IF(OR(N712="",AND(N712=N711,N712=N713)),NA(), N712)</f>
        <v>0</v>
      </c>
    </row>
    <row r="1083" spans="5:14">
      <c r="E1083">
        <f>IF(ISNA(F1083),NA(),E713)</f>
        <v>0</v>
      </c>
      <c r="F1083">
        <f>IF(OR(F713="",AND(F713=F712,F713=F714)),NA(), F713)</f>
        <v>0</v>
      </c>
      <c r="G1083">
        <f>IF(ISNA(H1083),NA(),G713)</f>
        <v>0</v>
      </c>
      <c r="H1083">
        <f>IF(OR(H713="",AND(H713=H712,H713=H714)),NA(), H713)</f>
        <v>0</v>
      </c>
      <c r="K1083">
        <f>IF(ISNA(L1083),NA(),K713)</f>
        <v>0</v>
      </c>
      <c r="L1083">
        <f>IF(OR(L713="",AND(L713=L712,L713=L714)),NA(), L713)</f>
        <v>0</v>
      </c>
      <c r="M1083">
        <f>IF(ISNA(N1083),NA(),M713)</f>
        <v>0</v>
      </c>
      <c r="N1083">
        <f>IF(OR(N713="",AND(N713=N712,N713=N714)),NA(), N713)</f>
        <v>0</v>
      </c>
    </row>
    <row r="1084" spans="5:14">
      <c r="E1084">
        <f>IF(ISNA(F1084),NA(),E714)</f>
        <v>0</v>
      </c>
      <c r="F1084">
        <f>IF(OR(F714="",AND(F714=F713,F714=F715)),NA(), F714)</f>
        <v>0</v>
      </c>
      <c r="G1084">
        <f>IF(ISNA(H1084),NA(),G714)</f>
        <v>0</v>
      </c>
      <c r="H1084">
        <f>IF(OR(H714="",AND(H714=H713,H714=H715)),NA(), H714)</f>
        <v>0</v>
      </c>
      <c r="K1084">
        <f>IF(ISNA(L1084),NA(),K714)</f>
        <v>0</v>
      </c>
      <c r="L1084">
        <f>IF(OR(L714="",AND(L714=L713,L714=L715)),NA(), L714)</f>
        <v>0</v>
      </c>
      <c r="M1084">
        <f>IF(ISNA(N1084),NA(),M714)</f>
        <v>0</v>
      </c>
      <c r="N1084">
        <f>IF(OR(N714="",AND(N714=N713,N714=N715)),NA(), N714)</f>
        <v>0</v>
      </c>
    </row>
    <row r="1085" spans="5:14">
      <c r="E1085">
        <f>IF(ISNA(F1085),NA(),E715)</f>
        <v>0</v>
      </c>
      <c r="F1085">
        <f>IF(OR(F715="",AND(F715=F714,F715=F716)),NA(), F715)</f>
        <v>0</v>
      </c>
      <c r="G1085">
        <f>IF(ISNA(H1085),NA(),G715)</f>
        <v>0</v>
      </c>
      <c r="H1085">
        <f>IF(OR(H715="",AND(H715=H714,H715=H716)),NA(), H715)</f>
        <v>0</v>
      </c>
      <c r="K1085">
        <f>IF(ISNA(L1085),NA(),K715)</f>
        <v>0</v>
      </c>
      <c r="L1085">
        <f>IF(OR(L715="",AND(L715=L714,L715=L716)),NA(), L715)</f>
        <v>0</v>
      </c>
      <c r="M1085">
        <f>IF(ISNA(N1085),NA(),M715)</f>
        <v>0</v>
      </c>
      <c r="N1085">
        <f>IF(OR(N715="",AND(N715=N714,N715=N716)),NA(), N715)</f>
        <v>0</v>
      </c>
    </row>
    <row r="1086" spans="5:14">
      <c r="E1086">
        <f>IF(ISNA(F1086),NA(),E716)</f>
        <v>0</v>
      </c>
      <c r="F1086">
        <f>IF(OR(F716="",AND(F716=F715,F716=F717)),NA(), F716)</f>
        <v>0</v>
      </c>
      <c r="G1086">
        <f>IF(ISNA(H1086),NA(),G716)</f>
        <v>0</v>
      </c>
      <c r="H1086">
        <f>IF(OR(H716="",AND(H716=H715,H716=H717)),NA(), H716)</f>
        <v>0</v>
      </c>
      <c r="K1086">
        <f>IF(ISNA(L1086),NA(),K716)</f>
        <v>0</v>
      </c>
      <c r="L1086">
        <f>IF(OR(L716="",AND(L716=L715,L716=L717)),NA(), L716)</f>
        <v>0</v>
      </c>
      <c r="M1086">
        <f>IF(ISNA(N1086),NA(),M716)</f>
        <v>0</v>
      </c>
      <c r="N1086">
        <f>IF(OR(N716="",AND(N716=N715,N716=N717)),NA(), N716)</f>
        <v>0</v>
      </c>
    </row>
    <row r="1087" spans="5:14">
      <c r="E1087">
        <f>IF(ISNA(F1087),NA(),E717)</f>
        <v>0</v>
      </c>
      <c r="F1087">
        <f>IF(OR(F717="",AND(F717=F716,F717=F718)),NA(), F717)</f>
        <v>0</v>
      </c>
      <c r="G1087">
        <f>IF(ISNA(H1087),NA(),G717)</f>
        <v>0</v>
      </c>
      <c r="H1087">
        <f>IF(OR(H717="",AND(H717=H716,H717=H718)),NA(), H717)</f>
        <v>0</v>
      </c>
      <c r="K1087">
        <f>IF(ISNA(L1087),NA(),K717)</f>
        <v>0</v>
      </c>
      <c r="L1087">
        <f>IF(OR(L717="",AND(L717=L716,L717=L718)),NA(), L717)</f>
        <v>0</v>
      </c>
      <c r="M1087">
        <f>IF(ISNA(N1087),NA(),M717)</f>
        <v>0</v>
      </c>
      <c r="N1087">
        <f>IF(OR(N717="",AND(N717=N716,N717=N718)),NA(), N717)</f>
        <v>0</v>
      </c>
    </row>
    <row r="1088" spans="5:14">
      <c r="E1088">
        <f>IF(ISNA(F1088),NA(),E718)</f>
        <v>0</v>
      </c>
      <c r="F1088">
        <f>IF(OR(F718="",AND(F718=F717,F718=F719)),NA(), F718)</f>
        <v>0</v>
      </c>
      <c r="G1088">
        <f>IF(ISNA(H1088),NA(),G718)</f>
        <v>0</v>
      </c>
      <c r="H1088">
        <f>IF(OR(H718="",AND(H718=H717,H718=H719)),NA(), H718)</f>
        <v>0</v>
      </c>
      <c r="K1088">
        <f>IF(ISNA(L1088),NA(),K718)</f>
        <v>0</v>
      </c>
      <c r="L1088">
        <f>IF(OR(L718="",AND(L718=L717,L718=L719)),NA(), L718)</f>
        <v>0</v>
      </c>
      <c r="M1088">
        <f>IF(ISNA(N1088),NA(),M718)</f>
        <v>0</v>
      </c>
      <c r="N1088">
        <f>IF(OR(N718="",AND(N718=N717,N718=N719)),NA(), N718)</f>
        <v>0</v>
      </c>
    </row>
    <row r="1089" spans="5:14">
      <c r="E1089">
        <f>IF(ISNA(F1089),NA(),E719)</f>
        <v>0</v>
      </c>
      <c r="F1089">
        <f>IF(OR(F719="",AND(F719=F718,F719=F720)),NA(), F719)</f>
        <v>0</v>
      </c>
      <c r="G1089">
        <f>IF(ISNA(H1089),NA(),G719)</f>
        <v>0</v>
      </c>
      <c r="H1089">
        <f>IF(OR(H719="",AND(H719=H718,H719=H720)),NA(), H719)</f>
        <v>0</v>
      </c>
      <c r="K1089">
        <f>IF(ISNA(L1089),NA(),K719)</f>
        <v>0</v>
      </c>
      <c r="L1089">
        <f>IF(OR(L719="",AND(L719=L718,L719=L720)),NA(), L719)</f>
        <v>0</v>
      </c>
      <c r="M1089">
        <f>IF(ISNA(N1089),NA(),M719)</f>
        <v>0</v>
      </c>
      <c r="N1089">
        <f>IF(OR(N719="",AND(N719=N718,N719=N720)),NA(), N719)</f>
        <v>0</v>
      </c>
    </row>
    <row r="1090" spans="5:14">
      <c r="E1090">
        <f>IF(ISNA(F1090),NA(),E720)</f>
        <v>0</v>
      </c>
      <c r="F1090">
        <f>IF(OR(F720="",AND(F720=F719,F720=F721)),NA(), F720)</f>
        <v>0</v>
      </c>
      <c r="G1090">
        <f>IF(ISNA(H1090),NA(),G720)</f>
        <v>0</v>
      </c>
      <c r="H1090">
        <f>IF(OR(H720="",AND(H720=H719,H720=H721)),NA(), H720)</f>
        <v>0</v>
      </c>
      <c r="K1090">
        <f>IF(ISNA(L1090),NA(),K720)</f>
        <v>0</v>
      </c>
      <c r="L1090">
        <f>IF(OR(L720="",AND(L720=L719,L720=L721)),NA(), L720)</f>
        <v>0</v>
      </c>
      <c r="M1090">
        <f>IF(ISNA(N1090),NA(),M720)</f>
        <v>0</v>
      </c>
      <c r="N1090">
        <f>IF(OR(N720="",AND(N720=N719,N720=N721)),NA(), N720)</f>
        <v>0</v>
      </c>
    </row>
    <row r="1091" spans="5:14">
      <c r="E1091">
        <f>IF(ISNA(F1091),NA(),E721)</f>
        <v>0</v>
      </c>
      <c r="F1091">
        <f>IF(OR(F721="",AND(F721=F720,F721=F722)),NA(), F721)</f>
        <v>0</v>
      </c>
      <c r="G1091">
        <f>IF(ISNA(H1091),NA(),G721)</f>
        <v>0</v>
      </c>
      <c r="H1091">
        <f>IF(OR(H721="",AND(H721=H720,H721=H722)),NA(), H721)</f>
        <v>0</v>
      </c>
      <c r="K1091">
        <f>IF(ISNA(L1091),NA(),K721)</f>
        <v>0</v>
      </c>
      <c r="L1091">
        <f>IF(OR(L721="",AND(L721=L720,L721=L722)),NA(), L721)</f>
        <v>0</v>
      </c>
      <c r="M1091">
        <f>IF(ISNA(N1091),NA(),M721)</f>
        <v>0</v>
      </c>
      <c r="N1091">
        <f>IF(OR(N721="",AND(N721=N720,N721=N722)),NA(), N721)</f>
        <v>0</v>
      </c>
    </row>
    <row r="1092" spans="5:14">
      <c r="E1092">
        <f>IF(ISNA(F1092),NA(),E722)</f>
        <v>0</v>
      </c>
      <c r="F1092">
        <f>IF(OR(F722="",AND(F722=F721,F722=F723)),NA(), F722)</f>
        <v>0</v>
      </c>
      <c r="G1092">
        <f>IF(ISNA(H1092),NA(),G722)</f>
        <v>0</v>
      </c>
      <c r="H1092">
        <f>IF(OR(H722="",AND(H722=H721,H722=H723)),NA(), H722)</f>
        <v>0</v>
      </c>
      <c r="K1092">
        <f>IF(ISNA(L1092),NA(),K722)</f>
        <v>0</v>
      </c>
      <c r="L1092">
        <f>IF(OR(L722="",AND(L722=L721,L722=L723)),NA(), L722)</f>
        <v>0</v>
      </c>
      <c r="M1092">
        <f>IF(ISNA(N1092),NA(),M722)</f>
        <v>0</v>
      </c>
      <c r="N1092">
        <f>IF(OR(N722="",AND(N722=N721,N722=N723)),NA(), N722)</f>
        <v>0</v>
      </c>
    </row>
    <row r="1093" spans="5:14">
      <c r="E1093">
        <f>IF(ISNA(F1093),NA(),E723)</f>
        <v>0</v>
      </c>
      <c r="F1093">
        <f>IF(OR(F723="",AND(F723=F722,F723=F724)),NA(), F723)</f>
        <v>0</v>
      </c>
      <c r="G1093">
        <f>IF(ISNA(H1093),NA(),G723)</f>
        <v>0</v>
      </c>
      <c r="H1093">
        <f>IF(OR(H723="",AND(H723=H722,H723=H724)),NA(), H723)</f>
        <v>0</v>
      </c>
      <c r="K1093">
        <f>IF(ISNA(L1093),NA(),K723)</f>
        <v>0</v>
      </c>
      <c r="L1093">
        <f>IF(OR(L723="",AND(L723=L722,L723=L724)),NA(), L723)</f>
        <v>0</v>
      </c>
      <c r="M1093">
        <f>IF(ISNA(N1093),NA(),M723)</f>
        <v>0</v>
      </c>
      <c r="N1093">
        <f>IF(OR(N723="",AND(N723=N722,N723=N724)),NA(), N723)</f>
        <v>0</v>
      </c>
    </row>
    <row r="1094" spans="5:14">
      <c r="E1094">
        <f>IF(ISNA(F1094),NA(),E724)</f>
        <v>0</v>
      </c>
      <c r="F1094">
        <f>IF(OR(F724="",AND(F724=F723,F724=F725)),NA(), F724)</f>
        <v>0</v>
      </c>
      <c r="G1094">
        <f>IF(ISNA(H1094),NA(),G724)</f>
        <v>0</v>
      </c>
      <c r="H1094">
        <f>IF(OR(H724="",AND(H724=H723,H724=H725)),NA(), H724)</f>
        <v>0</v>
      </c>
      <c r="K1094">
        <f>IF(ISNA(L1094),NA(),K724)</f>
        <v>0</v>
      </c>
      <c r="L1094">
        <f>IF(OR(L724="",AND(L724=L723,L724=L725)),NA(), L724)</f>
        <v>0</v>
      </c>
      <c r="M1094">
        <f>IF(ISNA(N1094),NA(),M724)</f>
        <v>0</v>
      </c>
      <c r="N1094">
        <f>IF(OR(N724="",AND(N724=N723,N724=N725)),NA(), N724)</f>
        <v>0</v>
      </c>
    </row>
    <row r="1095" spans="5:14">
      <c r="E1095">
        <f>IF(ISNA(F1095),NA(),E725)</f>
        <v>0</v>
      </c>
      <c r="F1095">
        <f>IF(OR(F725="",AND(F725=F724,F725=F726)),NA(), F725)</f>
        <v>0</v>
      </c>
      <c r="G1095">
        <f>IF(ISNA(H1095),NA(),G725)</f>
        <v>0</v>
      </c>
      <c r="H1095">
        <f>IF(OR(H725="",AND(H725=H724,H725=H726)),NA(), H725)</f>
        <v>0</v>
      </c>
      <c r="K1095">
        <f>IF(ISNA(L1095),NA(),K725)</f>
        <v>0</v>
      </c>
      <c r="L1095">
        <f>IF(OR(L725="",AND(L725=L724,L725=L726)),NA(), L725)</f>
        <v>0</v>
      </c>
      <c r="M1095">
        <f>IF(ISNA(N1095),NA(),M725)</f>
        <v>0</v>
      </c>
      <c r="N1095">
        <f>IF(OR(N725="",AND(N725=N724,N725=N726)),NA(), N725)</f>
        <v>0</v>
      </c>
    </row>
    <row r="1096" spans="5:14">
      <c r="E1096">
        <f>IF(ISNA(F1096),NA(),E726)</f>
        <v>0</v>
      </c>
      <c r="F1096">
        <f>IF(OR(F726="",AND(F726=F725,F726=F727)),NA(), F726)</f>
        <v>0</v>
      </c>
      <c r="G1096">
        <f>IF(ISNA(H1096),NA(),G726)</f>
        <v>0</v>
      </c>
      <c r="H1096">
        <f>IF(OR(H726="",AND(H726=H725,H726=H727)),NA(), H726)</f>
        <v>0</v>
      </c>
      <c r="K1096">
        <f>IF(ISNA(L1096),NA(),K726)</f>
        <v>0</v>
      </c>
      <c r="L1096">
        <f>IF(OR(L726="",AND(L726=L725,L726=L727)),NA(), L726)</f>
        <v>0</v>
      </c>
      <c r="M1096">
        <f>IF(ISNA(N1096),NA(),M726)</f>
        <v>0</v>
      </c>
      <c r="N1096">
        <f>IF(OR(N726="",AND(N726=N725,N726=N727)),NA(), N726)</f>
        <v>0</v>
      </c>
    </row>
    <row r="1097" spans="5:14">
      <c r="E1097">
        <f>IF(ISNA(F1097),NA(),E727)</f>
        <v>0</v>
      </c>
      <c r="F1097">
        <f>IF(OR(F727="",AND(F727=F726,F727=F728)),NA(), F727)</f>
        <v>0</v>
      </c>
      <c r="G1097">
        <f>IF(ISNA(H1097),NA(),G727)</f>
        <v>0</v>
      </c>
      <c r="H1097">
        <f>IF(OR(H727="",AND(H727=H726,H727=H728)),NA(), H727)</f>
        <v>0</v>
      </c>
      <c r="K1097">
        <f>IF(ISNA(L1097),NA(),K727)</f>
        <v>0</v>
      </c>
      <c r="L1097">
        <f>IF(OR(L727="",AND(L727=L726,L727=L728)),NA(), L727)</f>
        <v>0</v>
      </c>
      <c r="M1097">
        <f>IF(ISNA(N1097),NA(),M727)</f>
        <v>0</v>
      </c>
      <c r="N1097">
        <f>IF(OR(N727="",AND(N727=N726,N727=N728)),NA(), N727)</f>
        <v>0</v>
      </c>
    </row>
    <row r="1098" spans="5:14">
      <c r="E1098">
        <f>IF(ISNA(F1098),NA(),E728)</f>
        <v>0</v>
      </c>
      <c r="F1098">
        <f>IF(OR(F728="",AND(F728=F727,F728=F729)),NA(), F728)</f>
        <v>0</v>
      </c>
      <c r="G1098">
        <f>IF(ISNA(H1098),NA(),G728)</f>
        <v>0</v>
      </c>
      <c r="H1098">
        <f>IF(OR(H728="",AND(H728=H727,H728=H729)),NA(), H728)</f>
        <v>0</v>
      </c>
      <c r="K1098">
        <f>IF(ISNA(L1098),NA(),K728)</f>
        <v>0</v>
      </c>
      <c r="L1098">
        <f>IF(OR(L728="",AND(L728=L727,L728=L729)),NA(), L728)</f>
        <v>0</v>
      </c>
      <c r="M1098">
        <f>IF(ISNA(N1098),NA(),M728)</f>
        <v>0</v>
      </c>
      <c r="N1098">
        <f>IF(OR(N728="",AND(N728=N727,N728=N729)),NA(), N728)</f>
        <v>0</v>
      </c>
    </row>
    <row r="1099" spans="5:14">
      <c r="E1099">
        <f>IF(ISNA(F1099),NA(),E729)</f>
        <v>0</v>
      </c>
      <c r="F1099">
        <f>IF(OR(F729="",AND(F729=F728,F729=F730)),NA(), F729)</f>
        <v>0</v>
      </c>
      <c r="G1099">
        <f>IF(ISNA(H1099),NA(),G729)</f>
        <v>0</v>
      </c>
      <c r="H1099">
        <f>IF(OR(H729="",AND(H729=H728,H729=H730)),NA(), H729)</f>
        <v>0</v>
      </c>
      <c r="K1099">
        <f>IF(ISNA(L1099),NA(),K729)</f>
        <v>0</v>
      </c>
      <c r="L1099">
        <f>IF(OR(L729="",AND(L729=L728,L729=L730)),NA(), L729)</f>
        <v>0</v>
      </c>
      <c r="M1099">
        <f>IF(ISNA(N1099),NA(),M729)</f>
        <v>0</v>
      </c>
      <c r="N1099">
        <f>IF(OR(N729="",AND(N729=N728,N729=N730)),NA(), N729)</f>
        <v>0</v>
      </c>
    </row>
    <row r="1100" spans="5:14">
      <c r="E1100">
        <f>IF(ISNA(F1100),NA(),E730)</f>
        <v>0</v>
      </c>
      <c r="F1100">
        <f>IF(OR(F730="",AND(F730=F729,F730=F731)),NA(), F730)</f>
        <v>0</v>
      </c>
      <c r="G1100">
        <f>IF(ISNA(H1100),NA(),G730)</f>
        <v>0</v>
      </c>
      <c r="H1100">
        <f>IF(OR(H730="",AND(H730=H729,H730=H731)),NA(), H730)</f>
        <v>0</v>
      </c>
      <c r="K1100">
        <f>IF(ISNA(L1100),NA(),K730)</f>
        <v>0</v>
      </c>
      <c r="L1100">
        <f>IF(OR(L730="",AND(L730=L729,L730=L731)),NA(), L730)</f>
        <v>0</v>
      </c>
      <c r="M1100">
        <f>IF(ISNA(N1100),NA(),M730)</f>
        <v>0</v>
      </c>
      <c r="N1100">
        <f>IF(OR(N730="",AND(N730=N729,N730=N731)),NA(), N730)</f>
        <v>0</v>
      </c>
    </row>
    <row r="1101" spans="5:14">
      <c r="E1101">
        <f>IF(ISNA(F1101),NA(),E731)</f>
        <v>0</v>
      </c>
      <c r="F1101">
        <f>IF(OR(F731="",AND(F731=F730,F731=F732)),NA(), F731)</f>
        <v>0</v>
      </c>
      <c r="G1101">
        <f>IF(ISNA(H1101),NA(),G731)</f>
        <v>0</v>
      </c>
      <c r="H1101">
        <f>IF(OR(H731="",AND(H731=H730,H731=H732)),NA(), H731)</f>
        <v>0</v>
      </c>
      <c r="K1101">
        <f>IF(ISNA(L1101),NA(),K731)</f>
        <v>0</v>
      </c>
      <c r="L1101">
        <f>IF(OR(L731="",AND(L731=L730,L731=L732)),NA(), L731)</f>
        <v>0</v>
      </c>
      <c r="M1101">
        <f>IF(ISNA(N1101),NA(),M731)</f>
        <v>0</v>
      </c>
      <c r="N1101">
        <f>IF(OR(N731="",AND(N731=N730,N731=N732)),NA(), N731)</f>
        <v>0</v>
      </c>
    </row>
    <row r="1102" spans="5:14">
      <c r="E1102">
        <f>IF(ISNA(F1102),NA(),E732)</f>
        <v>0</v>
      </c>
      <c r="F1102">
        <f>IF(OR(F732="",AND(F732=F731,F732=F733)),NA(), F732)</f>
        <v>0</v>
      </c>
      <c r="G1102">
        <f>IF(ISNA(H1102),NA(),G732)</f>
        <v>0</v>
      </c>
      <c r="H1102">
        <f>IF(OR(H732="",AND(H732=H731,H732=H733)),NA(), H732)</f>
        <v>0</v>
      </c>
      <c r="K1102">
        <f>IF(ISNA(L1102),NA(),K732)</f>
        <v>0</v>
      </c>
      <c r="L1102">
        <f>IF(OR(L732="",AND(L732=L731,L732=L733)),NA(), L732)</f>
        <v>0</v>
      </c>
      <c r="M1102">
        <f>IF(ISNA(N1102),NA(),M732)</f>
        <v>0</v>
      </c>
      <c r="N1102">
        <f>IF(OR(N732="",AND(N732=N731,N732=N733)),NA(), N732)</f>
        <v>0</v>
      </c>
    </row>
    <row r="1103" spans="5:14">
      <c r="E1103">
        <f>IF(ISNA(F1103),NA(),E733)</f>
        <v>0</v>
      </c>
      <c r="F1103">
        <f>IF(OR(F733="",AND(F733=F732,F733=F734)),NA(), F733)</f>
        <v>0</v>
      </c>
      <c r="G1103">
        <f>IF(ISNA(H1103),NA(),G733)</f>
        <v>0</v>
      </c>
      <c r="H1103">
        <f>IF(OR(H733="",AND(H733=H732,H733=H734)),NA(), H733)</f>
        <v>0</v>
      </c>
      <c r="K1103">
        <f>IF(ISNA(L1103),NA(),K733)</f>
        <v>0</v>
      </c>
      <c r="L1103">
        <f>IF(OR(L733="",AND(L733=L732,L733=L734)),NA(), L733)</f>
        <v>0</v>
      </c>
      <c r="M1103">
        <f>IF(ISNA(N1103),NA(),M733)</f>
        <v>0</v>
      </c>
      <c r="N1103">
        <f>IF(OR(N733="",AND(N733=N732,N733=N734)),NA(), N733)</f>
        <v>0</v>
      </c>
    </row>
    <row r="1104" spans="5:14">
      <c r="E1104">
        <f>IF(ISNA(F1104),NA(),E734)</f>
        <v>0</v>
      </c>
      <c r="F1104">
        <f>IF(OR(F734="",AND(F734=F733,F734=F735)),NA(), F734)</f>
        <v>0</v>
      </c>
      <c r="G1104">
        <f>IF(ISNA(H1104),NA(),G734)</f>
        <v>0</v>
      </c>
      <c r="H1104">
        <f>IF(OR(H734="",AND(H734=H733,H734=H735)),NA(), H734)</f>
        <v>0</v>
      </c>
      <c r="K1104">
        <f>IF(ISNA(L1104),NA(),K734)</f>
        <v>0</v>
      </c>
      <c r="L1104">
        <f>IF(OR(L734="",AND(L734=L733,L734=L735)),NA(), L734)</f>
        <v>0</v>
      </c>
      <c r="M1104">
        <f>IF(ISNA(N1104),NA(),M734)</f>
        <v>0</v>
      </c>
      <c r="N1104">
        <f>IF(OR(N734="",AND(N734=N733,N734=N735)),NA(), N734)</f>
        <v>0</v>
      </c>
    </row>
    <row r="1105" spans="5:14">
      <c r="E1105">
        <f>IF(ISNA(F1105),NA(),E735)</f>
        <v>0</v>
      </c>
      <c r="F1105">
        <f>IF(OR(F735="",AND(F735=F734,F735=F736)),NA(), F735)</f>
        <v>0</v>
      </c>
      <c r="G1105">
        <f>IF(ISNA(H1105),NA(),G735)</f>
        <v>0</v>
      </c>
      <c r="H1105">
        <f>IF(OR(H735="",AND(H735=H734,H735=H736)),NA(), H735)</f>
        <v>0</v>
      </c>
      <c r="K1105">
        <f>IF(ISNA(L1105),NA(),K735)</f>
        <v>0</v>
      </c>
      <c r="L1105">
        <f>IF(OR(L735="",AND(L735=L734,L735=L736)),NA(), L735)</f>
        <v>0</v>
      </c>
      <c r="M1105">
        <f>IF(ISNA(N1105),NA(),M735)</f>
        <v>0</v>
      </c>
      <c r="N1105">
        <f>IF(OR(N735="",AND(N735=N734,N735=N736)),NA(), N735)</f>
        <v>0</v>
      </c>
    </row>
    <row r="1106" spans="5:14">
      <c r="E1106">
        <f>IF(ISNA(F1106),NA(),E736)</f>
        <v>0</v>
      </c>
      <c r="F1106">
        <f>IF(OR(F736="",AND(F736=F735,F736=F737)),NA(), F736)</f>
        <v>0</v>
      </c>
      <c r="G1106">
        <f>IF(ISNA(H1106),NA(),G736)</f>
        <v>0</v>
      </c>
      <c r="H1106">
        <f>IF(OR(H736="",AND(H736=H735,H736=H737)),NA(), H736)</f>
        <v>0</v>
      </c>
      <c r="K1106">
        <f>IF(ISNA(L1106),NA(),K736)</f>
        <v>0</v>
      </c>
      <c r="L1106">
        <f>IF(OR(L736="",AND(L736=L735,L736=L737)),NA(), L736)</f>
        <v>0</v>
      </c>
      <c r="M1106">
        <f>IF(ISNA(N1106),NA(),M736)</f>
        <v>0</v>
      </c>
      <c r="N1106">
        <f>IF(OR(N736="",AND(N736=N735,N736=N737)),NA(), N736)</f>
        <v>0</v>
      </c>
    </row>
    <row r="1107" spans="5:14">
      <c r="E1107">
        <f>IF(ISNA(F1107),NA(),E737)</f>
        <v>0</v>
      </c>
      <c r="F1107">
        <f>IF(OR(F737="",AND(F737=F736,F737=F738)),NA(), F737)</f>
        <v>0</v>
      </c>
      <c r="G1107">
        <f>IF(ISNA(H1107),NA(),G737)</f>
        <v>0</v>
      </c>
      <c r="H1107">
        <f>IF(OR(H737="",AND(H737=H736,H737=H738)),NA(), H737)</f>
        <v>0</v>
      </c>
      <c r="K1107">
        <f>IF(ISNA(L1107),NA(),K737)</f>
        <v>0</v>
      </c>
      <c r="L1107">
        <f>IF(OR(L737="",AND(L737=L736,L737=L738)),NA(), L737)</f>
        <v>0</v>
      </c>
      <c r="M1107">
        <f>IF(ISNA(N1107),NA(),M737)</f>
        <v>0</v>
      </c>
      <c r="N1107">
        <f>IF(OR(N737="",AND(N737=N736,N737=N738)),NA(), N737)</f>
        <v>0</v>
      </c>
    </row>
    <row r="1108" spans="5:14">
      <c r="E1108">
        <f>IF(ISNA(F1108),NA(),E738)</f>
        <v>0</v>
      </c>
      <c r="F1108">
        <f>IF(OR(F738="",AND(F738=F737,F738=F739)),NA(), F738)</f>
        <v>0</v>
      </c>
      <c r="G1108">
        <f>IF(ISNA(H1108),NA(),G738)</f>
        <v>0</v>
      </c>
      <c r="H1108">
        <f>IF(OR(H738="",AND(H738=H737,H738=H739)),NA(), H738)</f>
        <v>0</v>
      </c>
      <c r="K1108">
        <f>IF(ISNA(L1108),NA(),K738)</f>
        <v>0</v>
      </c>
      <c r="L1108">
        <f>IF(OR(L738="",AND(L738=L737,L738=L739)),NA(), L738)</f>
        <v>0</v>
      </c>
      <c r="M1108">
        <f>IF(ISNA(N1108),NA(),M738)</f>
        <v>0</v>
      </c>
      <c r="N1108">
        <f>IF(OR(N738="",AND(N738=N737,N738=N739)),NA(), N738)</f>
        <v>0</v>
      </c>
    </row>
    <row r="1109" spans="5:14">
      <c r="E1109">
        <f>IF(ISNA(F1109),NA(),E739)</f>
        <v>0</v>
      </c>
      <c r="F1109">
        <f>IF(OR(F739="",AND(F739=F738,F739=F740)),NA(), F739)</f>
        <v>0</v>
      </c>
      <c r="G1109">
        <f>IF(ISNA(H1109),NA(),G739)</f>
        <v>0</v>
      </c>
      <c r="H1109">
        <f>IF(OR(H739="",AND(H739=H738,H739=H740)),NA(), H739)</f>
        <v>0</v>
      </c>
      <c r="K1109">
        <f>IF(ISNA(L1109),NA(),K739)</f>
        <v>0</v>
      </c>
      <c r="L1109">
        <f>IF(OR(L739="",AND(L739=L738,L739=L740)),NA(), L739)</f>
        <v>0</v>
      </c>
      <c r="M1109">
        <f>IF(ISNA(N1109),NA(),M739)</f>
        <v>0</v>
      </c>
      <c r="N1109">
        <f>IF(OR(N739="",AND(N739=N738,N739=N740)),NA(), N739)</f>
        <v>0</v>
      </c>
    </row>
    <row r="1110" spans="5:14">
      <c r="E1110">
        <f>IF(ISNA(F1110),NA(),E740)</f>
        <v>0</v>
      </c>
      <c r="F1110">
        <f>IF(OR(F740="",AND(F740=F739,F740=F741)),NA(), F740)</f>
        <v>0</v>
      </c>
      <c r="G1110">
        <f>IF(ISNA(H1110),NA(),G740)</f>
        <v>0</v>
      </c>
      <c r="H1110">
        <f>IF(OR(H740="",AND(H740=H739,H740=H741)),NA(), H740)</f>
        <v>0</v>
      </c>
      <c r="K1110">
        <f>IF(ISNA(L1110),NA(),K740)</f>
        <v>0</v>
      </c>
      <c r="L1110">
        <f>IF(OR(L740="",AND(L740=L739,L740=L741)),NA(), L740)</f>
        <v>0</v>
      </c>
      <c r="M1110">
        <f>IF(ISNA(N1110),NA(),M740)</f>
        <v>0</v>
      </c>
      <c r="N1110">
        <f>IF(OR(N740="",AND(N740=N739,N740=N741)),NA(), N740)</f>
        <v>0</v>
      </c>
    </row>
    <row r="1111" spans="5:14">
      <c r="E1111">
        <f>IF(ISNA(F1111),NA(),E741)</f>
        <v>0</v>
      </c>
      <c r="F1111">
        <f>IF(OR(F741="",AND(F741=F740,F741=F742)),NA(), F741)</f>
        <v>0</v>
      </c>
      <c r="G1111">
        <f>IF(ISNA(H1111),NA(),G741)</f>
        <v>0</v>
      </c>
      <c r="H1111">
        <f>IF(OR(H741="",AND(H741=H740,H741=H742)),NA(), H741)</f>
        <v>0</v>
      </c>
      <c r="K1111">
        <f>IF(ISNA(L1111),NA(),K741)</f>
        <v>0</v>
      </c>
      <c r="L1111">
        <f>IF(OR(L741="",AND(L741=L740,L741=L742)),NA(), L741)</f>
        <v>0</v>
      </c>
      <c r="M1111">
        <f>IF(ISNA(N1111),NA(),M741)</f>
        <v>0</v>
      </c>
      <c r="N1111">
        <f>IF(OR(N741="",AND(N741=N740,N741=N742)),NA(), N741)</f>
        <v>0</v>
      </c>
    </row>
    <row r="1112" spans="5:14">
      <c r="E1112">
        <f>IF(ISNA(F1112),NA(),E742)</f>
        <v>0</v>
      </c>
      <c r="F1112">
        <f>IF(OR(F742="",AND(F742=F741,F742=F743)),NA(), F742)</f>
        <v>0</v>
      </c>
      <c r="G1112">
        <f>IF(ISNA(H1112),NA(),G742)</f>
        <v>0</v>
      </c>
      <c r="H1112">
        <f>IF(OR(H742="",AND(H742=H741,H742=H743)),NA(), H742)</f>
        <v>0</v>
      </c>
      <c r="K1112">
        <f>IF(ISNA(L1112),NA(),K742)</f>
        <v>0</v>
      </c>
      <c r="L1112">
        <f>IF(OR(L742="",AND(L742=L741,L742=L743)),NA(), L742)</f>
        <v>0</v>
      </c>
      <c r="M1112">
        <f>IF(ISNA(N1112),NA(),M742)</f>
        <v>0</v>
      </c>
      <c r="N1112">
        <f>IF(OR(N742="",AND(N742=N741,N742=N743)),NA(), N742)</f>
        <v>0</v>
      </c>
    </row>
    <row r="1113" spans="5:14">
      <c r="E1113">
        <f>IF(ISNA(F1113),NA(),E743)</f>
        <v>0</v>
      </c>
      <c r="F1113">
        <f>IF(OR(F743="",AND(F743=F742,F743=F744)),NA(), F743)</f>
        <v>0</v>
      </c>
      <c r="G1113">
        <f>IF(ISNA(H1113),NA(),G743)</f>
        <v>0</v>
      </c>
      <c r="H1113">
        <f>IF(OR(H743="",AND(H743=H742,H743=H744)),NA(), H743)</f>
        <v>0</v>
      </c>
      <c r="K1113">
        <f>IF(ISNA(L1113),NA(),K743)</f>
        <v>0</v>
      </c>
      <c r="L1113">
        <f>IF(OR(L743="",AND(L743=L742,L743=L744)),NA(), L743)</f>
        <v>0</v>
      </c>
      <c r="M1113">
        <f>IF(ISNA(N1113),NA(),M743)</f>
        <v>0</v>
      </c>
      <c r="N1113">
        <f>IF(OR(N743="",AND(N743=N742,N743=N744)),NA(), N743)</f>
        <v>0</v>
      </c>
    </row>
    <row r="1114" spans="5:14">
      <c r="E1114">
        <f>IF(ISNA(F1114),NA(),E744)</f>
        <v>0</v>
      </c>
      <c r="F1114">
        <f>IF(OR(F744="",AND(F744=F743,F744=F745)),NA(), F744)</f>
        <v>0</v>
      </c>
      <c r="G1114">
        <f>IF(ISNA(H1114),NA(),G744)</f>
        <v>0</v>
      </c>
      <c r="H1114">
        <f>IF(OR(H744="",AND(H744=H743,H744=H745)),NA(), H744)</f>
        <v>0</v>
      </c>
      <c r="K1114">
        <f>IF(ISNA(L1114),NA(),K744)</f>
        <v>0</v>
      </c>
      <c r="L1114">
        <f>IF(OR(L744="",AND(L744=L743,L744=L745)),NA(), L744)</f>
        <v>0</v>
      </c>
      <c r="M1114">
        <f>IF(ISNA(N1114),NA(),M744)</f>
        <v>0</v>
      </c>
      <c r="N1114">
        <f>IF(OR(N744="",AND(N744=N743,N744=N745)),NA(), N744)</f>
        <v>0</v>
      </c>
    </row>
    <row r="1115" spans="5:14">
      <c r="E1115">
        <f>IF(ISNA(F1115),NA(),E745)</f>
        <v>0</v>
      </c>
      <c r="F1115">
        <f>IF(OR(F745="",AND(F745=F744,F745=F746)),NA(), F745)</f>
        <v>0</v>
      </c>
      <c r="G1115">
        <f>IF(ISNA(H1115),NA(),G745)</f>
        <v>0</v>
      </c>
      <c r="H1115">
        <f>IF(OR(H745="",AND(H745=H744,H745=H746)),NA(), H745)</f>
        <v>0</v>
      </c>
      <c r="K1115">
        <f>IF(ISNA(L1115),NA(),K745)</f>
        <v>0</v>
      </c>
      <c r="L1115">
        <f>IF(OR(L745="",AND(L745=L744,L745=L746)),NA(), L745)</f>
        <v>0</v>
      </c>
      <c r="M1115">
        <f>IF(ISNA(N1115),NA(),M745)</f>
        <v>0</v>
      </c>
      <c r="N1115">
        <f>IF(OR(N745="",AND(N745=N744,N745=N746)),NA(), N745)</f>
        <v>0</v>
      </c>
    </row>
    <row r="1116" spans="5:14">
      <c r="E1116">
        <f>IF(ISNA(F1116),NA(),E746)</f>
        <v>0</v>
      </c>
      <c r="F1116">
        <f>IF(OR(F746="",AND(F746=F745,F746=F747)),NA(), F746)</f>
        <v>0</v>
      </c>
      <c r="G1116">
        <f>IF(ISNA(H1116),NA(),G746)</f>
        <v>0</v>
      </c>
      <c r="H1116">
        <f>IF(OR(H746="",AND(H746=H745,H746=H747)),NA(), H746)</f>
        <v>0</v>
      </c>
      <c r="K1116">
        <f>IF(ISNA(L1116),NA(),K746)</f>
        <v>0</v>
      </c>
      <c r="L1116">
        <f>IF(OR(L746="",AND(L746=L745,L746=L747)),NA(), L746)</f>
        <v>0</v>
      </c>
      <c r="M1116">
        <f>IF(ISNA(N1116),NA(),M746)</f>
        <v>0</v>
      </c>
      <c r="N1116">
        <f>IF(OR(N746="",AND(N746=N745,N746=N747)),NA(), N746)</f>
        <v>0</v>
      </c>
    </row>
    <row r="1117" spans="5:14">
      <c r="E1117">
        <f>IF(ISNA(F1117),NA(),E747)</f>
        <v>0</v>
      </c>
      <c r="F1117">
        <f>IF(OR(F747="",AND(F747=F746,F747=F748)),NA(), F747)</f>
        <v>0</v>
      </c>
      <c r="G1117">
        <f>IF(ISNA(H1117),NA(),G747)</f>
        <v>0</v>
      </c>
      <c r="H1117">
        <f>IF(OR(H747="",AND(H747=H746,H747=H748)),NA(), H747)</f>
        <v>0</v>
      </c>
      <c r="K1117">
        <f>IF(ISNA(L1117),NA(),K747)</f>
        <v>0</v>
      </c>
      <c r="L1117">
        <f>IF(OR(L747="",AND(L747=L746,L747=L748)),NA(), L747)</f>
        <v>0</v>
      </c>
      <c r="M1117">
        <f>IF(ISNA(N1117),NA(),M747)</f>
        <v>0</v>
      </c>
      <c r="N1117">
        <f>IF(OR(N747="",AND(N747=N746,N747=N748)),NA(), N747)</f>
        <v>0</v>
      </c>
    </row>
    <row r="1118" spans="5:14">
      <c r="E1118">
        <f>IF(ISNA(F1118),NA(),E748)</f>
        <v>0</v>
      </c>
      <c r="F1118">
        <f>IF(OR(F748="",AND(F748=F747,F748=F749)),NA(), F748)</f>
        <v>0</v>
      </c>
      <c r="G1118">
        <f>IF(ISNA(H1118),NA(),G748)</f>
        <v>0</v>
      </c>
      <c r="H1118">
        <f>IF(OR(H748="",AND(H748=H747,H748=H749)),NA(), H748)</f>
        <v>0</v>
      </c>
      <c r="K1118">
        <f>IF(ISNA(L1118),NA(),K748)</f>
        <v>0</v>
      </c>
      <c r="L1118">
        <f>IF(OR(L748="",AND(L748=L747,L748=L749)),NA(), L748)</f>
        <v>0</v>
      </c>
      <c r="M1118">
        <f>IF(ISNA(N1118),NA(),M748)</f>
        <v>0</v>
      </c>
      <c r="N1118">
        <f>IF(OR(N748="",AND(N748=N747,N748=N749)),NA(), N748)</f>
        <v>0</v>
      </c>
    </row>
    <row r="1119" spans="5:14">
      <c r="E1119">
        <f>IF(ISNA(F1119),NA(),E749)</f>
        <v>0</v>
      </c>
      <c r="F1119">
        <f>IF(OR(F749="",AND(F749=F748,F749=F750)),NA(), F749)</f>
        <v>0</v>
      </c>
      <c r="G1119">
        <f>IF(ISNA(H1119),NA(),G749)</f>
        <v>0</v>
      </c>
      <c r="H1119">
        <f>IF(OR(H749="",AND(H749=H748,H749=H750)),NA(), H749)</f>
        <v>0</v>
      </c>
      <c r="K1119">
        <f>IF(ISNA(L1119),NA(),K749)</f>
        <v>0</v>
      </c>
      <c r="L1119">
        <f>IF(OR(L749="",AND(L749=L748,L749=L750)),NA(), L749)</f>
        <v>0</v>
      </c>
      <c r="M1119">
        <f>IF(ISNA(N1119),NA(),M749)</f>
        <v>0</v>
      </c>
      <c r="N1119">
        <f>IF(OR(N749="",AND(N749=N748,N749=N750)),NA(), N749)</f>
        <v>0</v>
      </c>
    </row>
    <row r="1120" spans="5:14">
      <c r="E1120">
        <f>IF(ISNA(F1120),NA(),E750)</f>
        <v>0</v>
      </c>
      <c r="F1120">
        <f>IF(OR(F750="",AND(F750=F749,F750=F751)),NA(), F750)</f>
        <v>0</v>
      </c>
      <c r="G1120">
        <f>IF(ISNA(H1120),NA(),G750)</f>
        <v>0</v>
      </c>
      <c r="H1120">
        <f>IF(OR(H750="",AND(H750=H749,H750=H751)),NA(), H750)</f>
        <v>0</v>
      </c>
      <c r="K1120">
        <f>IF(ISNA(L1120),NA(),K750)</f>
        <v>0</v>
      </c>
      <c r="L1120">
        <f>IF(OR(L750="",AND(L750=L749,L750=L751)),NA(), L750)</f>
        <v>0</v>
      </c>
      <c r="M1120">
        <f>IF(ISNA(N1120),NA(),M750)</f>
        <v>0</v>
      </c>
      <c r="N1120">
        <f>IF(OR(N750="",AND(N750=N749,N750=N751)),NA(), N750)</f>
        <v>0</v>
      </c>
    </row>
    <row r="1121" spans="5:14">
      <c r="E1121">
        <f>IF(ISNA(F1121),NA(),E751)</f>
        <v>0</v>
      </c>
      <c r="F1121">
        <f>IF(OR(F751="",AND(F751=F750,F751=F752)),NA(), F751)</f>
        <v>0</v>
      </c>
      <c r="G1121">
        <f>IF(ISNA(H1121),NA(),G751)</f>
        <v>0</v>
      </c>
      <c r="H1121">
        <f>IF(OR(H751="",AND(H751=H750,H751=H752)),NA(), H751)</f>
        <v>0</v>
      </c>
      <c r="K1121">
        <f>IF(ISNA(L1121),NA(),K751)</f>
        <v>0</v>
      </c>
      <c r="L1121">
        <f>IF(OR(L751="",AND(L751=L750,L751=L752)),NA(), L751)</f>
        <v>0</v>
      </c>
      <c r="M1121">
        <f>IF(ISNA(N1121),NA(),M751)</f>
        <v>0</v>
      </c>
      <c r="N1121">
        <f>IF(OR(N751="",AND(N751=N750,N751=N752)),NA(), N751)</f>
        <v>0</v>
      </c>
    </row>
    <row r="1122" spans="5:14">
      <c r="E1122">
        <f>IF(ISNA(F1122),NA(),E752)</f>
        <v>0</v>
      </c>
      <c r="F1122">
        <f>IF(OR(F752="",AND(F752=F751,F752=F753)),NA(), F752)</f>
        <v>0</v>
      </c>
      <c r="G1122">
        <f>IF(ISNA(H1122),NA(),G752)</f>
        <v>0</v>
      </c>
      <c r="H1122">
        <f>IF(OR(H752="",AND(H752=H751,H752=H753)),NA(), H752)</f>
        <v>0</v>
      </c>
      <c r="K1122">
        <f>IF(ISNA(L1122),NA(),K752)</f>
        <v>0</v>
      </c>
      <c r="L1122">
        <f>IF(OR(L752="",AND(L752=L751,L752=L753)),NA(), L752)</f>
        <v>0</v>
      </c>
      <c r="M1122">
        <f>IF(ISNA(N1122),NA(),M752)</f>
        <v>0</v>
      </c>
      <c r="N1122">
        <f>IF(OR(N752="",AND(N752=N751,N752=N753)),NA(), N752)</f>
        <v>0</v>
      </c>
    </row>
    <row r="1123" spans="5:14">
      <c r="E1123">
        <f>IF(ISNA(F1123),NA(),E753)</f>
        <v>0</v>
      </c>
      <c r="F1123">
        <f>IF(OR(F753="",AND(F753=F752,F753=F754)),NA(), F753)</f>
        <v>0</v>
      </c>
      <c r="G1123">
        <f>IF(ISNA(H1123),NA(),G753)</f>
        <v>0</v>
      </c>
      <c r="H1123">
        <f>IF(OR(H753="",AND(H753=H752,H753=H754)),NA(), H753)</f>
        <v>0</v>
      </c>
      <c r="K1123">
        <f>IF(ISNA(L1123),NA(),K753)</f>
        <v>0</v>
      </c>
      <c r="L1123">
        <f>IF(OR(L753="",AND(L753=L752,L753=L754)),NA(), L753)</f>
        <v>0</v>
      </c>
      <c r="M1123">
        <f>IF(ISNA(N1123),NA(),M753)</f>
        <v>0</v>
      </c>
      <c r="N1123">
        <f>IF(OR(N753="",AND(N753=N752,N753=N754)),NA(), N753)</f>
        <v>0</v>
      </c>
    </row>
    <row r="1124" spans="5:14">
      <c r="E1124">
        <f>IF(ISNA(F1124),NA(),E754)</f>
        <v>0</v>
      </c>
      <c r="F1124">
        <f>IF(OR(F754="",AND(F754=F753,F754=F755)),NA(), F754)</f>
        <v>0</v>
      </c>
      <c r="G1124">
        <f>IF(ISNA(H1124),NA(),G754)</f>
        <v>0</v>
      </c>
      <c r="H1124">
        <f>IF(OR(H754="",AND(H754=H753,H754=H755)),NA(), H754)</f>
        <v>0</v>
      </c>
      <c r="K1124">
        <f>IF(ISNA(L1124),NA(),K754)</f>
        <v>0</v>
      </c>
      <c r="L1124">
        <f>IF(OR(L754="",AND(L754=L753,L754=L755)),NA(), L754)</f>
        <v>0</v>
      </c>
      <c r="M1124">
        <f>IF(ISNA(N1124),NA(),M754)</f>
        <v>0</v>
      </c>
      <c r="N1124">
        <f>IF(OR(N754="",AND(N754=N753,N754=N755)),NA(), N754)</f>
        <v>0</v>
      </c>
    </row>
    <row r="1125" spans="5:14">
      <c r="E1125">
        <f>IF(ISNA(F1125),NA(),E755)</f>
        <v>0</v>
      </c>
      <c r="F1125">
        <f>IF(OR(F755="",AND(F755=F754,F755=F756)),NA(), F755)</f>
        <v>0</v>
      </c>
      <c r="G1125">
        <f>IF(ISNA(H1125),NA(),G755)</f>
        <v>0</v>
      </c>
      <c r="H1125">
        <f>IF(OR(H755="",AND(H755=H754,H755=H756)),NA(), H755)</f>
        <v>0</v>
      </c>
      <c r="K1125">
        <f>IF(ISNA(L1125),NA(),K755)</f>
        <v>0</v>
      </c>
      <c r="L1125">
        <f>IF(OR(L755="",AND(L755=L754,L755=L756)),NA(), L755)</f>
        <v>0</v>
      </c>
      <c r="M1125">
        <f>IF(ISNA(N1125),NA(),M755)</f>
        <v>0</v>
      </c>
      <c r="N1125">
        <f>IF(OR(N755="",AND(N755=N754,N755=N756)),NA(), N755)</f>
        <v>0</v>
      </c>
    </row>
    <row r="1126" spans="5:14">
      <c r="E1126">
        <f>IF(ISNA(F1126),NA(),E756)</f>
        <v>0</v>
      </c>
      <c r="F1126">
        <f>IF(OR(F756="",AND(F756=F755,F756=F757)),NA(), F756)</f>
        <v>0</v>
      </c>
      <c r="G1126">
        <f>IF(ISNA(H1126),NA(),G756)</f>
        <v>0</v>
      </c>
      <c r="H1126">
        <f>IF(OR(H756="",AND(H756=H755,H756=H757)),NA(), H756)</f>
        <v>0</v>
      </c>
      <c r="K1126">
        <f>IF(ISNA(L1126),NA(),K756)</f>
        <v>0</v>
      </c>
      <c r="L1126">
        <f>IF(OR(L756="",AND(L756=L755,L756=L757)),NA(), L756)</f>
        <v>0</v>
      </c>
      <c r="M1126">
        <f>IF(ISNA(N1126),NA(),M756)</f>
        <v>0</v>
      </c>
      <c r="N1126">
        <f>IF(OR(N756="",AND(N756=N755,N756=N757)),NA(), N756)</f>
        <v>0</v>
      </c>
    </row>
    <row r="1127" spans="5:14">
      <c r="E1127">
        <f>IF(ISNA(F1127),NA(),E757)</f>
        <v>0</v>
      </c>
      <c r="F1127">
        <f>IF(OR(F757="",AND(F757=F756,F757=F758)),NA(), F757)</f>
        <v>0</v>
      </c>
      <c r="G1127">
        <f>IF(ISNA(H1127),NA(),G757)</f>
        <v>0</v>
      </c>
      <c r="H1127">
        <f>IF(OR(H757="",AND(H757=H756,H757=H758)),NA(), H757)</f>
        <v>0</v>
      </c>
      <c r="K1127">
        <f>IF(ISNA(L1127),NA(),K757)</f>
        <v>0</v>
      </c>
      <c r="L1127">
        <f>IF(OR(L757="",AND(L757=L756,L757=L758)),NA(), L757)</f>
        <v>0</v>
      </c>
      <c r="M1127">
        <f>IF(ISNA(N1127),NA(),M757)</f>
        <v>0</v>
      </c>
      <c r="N1127">
        <f>IF(OR(N757="",AND(N757=N756,N757=N758)),NA(), N757)</f>
        <v>0</v>
      </c>
    </row>
    <row r="1128" spans="5:14">
      <c r="E1128">
        <f>IF(ISNA(F1128),NA(),E758)</f>
        <v>0</v>
      </c>
      <c r="F1128">
        <f>IF(OR(F758="",AND(F758=F757,F758=F759)),NA(), F758)</f>
        <v>0</v>
      </c>
      <c r="G1128">
        <f>IF(ISNA(H1128),NA(),G758)</f>
        <v>0</v>
      </c>
      <c r="H1128">
        <f>IF(OR(H758="",AND(H758=H757,H758=H759)),NA(), H758)</f>
        <v>0</v>
      </c>
      <c r="K1128">
        <f>IF(ISNA(L1128),NA(),K758)</f>
        <v>0</v>
      </c>
      <c r="L1128">
        <f>IF(OR(L758="",AND(L758=L757,L758=L759)),NA(), L758)</f>
        <v>0</v>
      </c>
      <c r="M1128">
        <f>IF(ISNA(N1128),NA(),M758)</f>
        <v>0</v>
      </c>
      <c r="N1128">
        <f>IF(OR(N758="",AND(N758=N757,N758=N759)),NA(), N758)</f>
        <v>0</v>
      </c>
    </row>
    <row r="1129" spans="5:14">
      <c r="E1129">
        <f>IF(ISNA(F1129),NA(),E759)</f>
        <v>0</v>
      </c>
      <c r="F1129">
        <f>IF(OR(F759="",AND(F759=F758,F759=F760)),NA(), F759)</f>
        <v>0</v>
      </c>
      <c r="G1129">
        <f>IF(ISNA(H1129),NA(),G759)</f>
        <v>0</v>
      </c>
      <c r="H1129">
        <f>IF(OR(H759="",AND(H759=H758,H759=H760)),NA(), H759)</f>
        <v>0</v>
      </c>
      <c r="K1129">
        <f>IF(ISNA(L1129),NA(),K759)</f>
        <v>0</v>
      </c>
      <c r="L1129">
        <f>IF(OR(L759="",AND(L759=L758,L759=L760)),NA(), L759)</f>
        <v>0</v>
      </c>
      <c r="M1129">
        <f>IF(ISNA(N1129),NA(),M759)</f>
        <v>0</v>
      </c>
      <c r="N1129">
        <f>IF(OR(N759="",AND(N759=N758,N759=N760)),NA(), N759)</f>
        <v>0</v>
      </c>
    </row>
    <row r="1130" spans="5:14">
      <c r="E1130">
        <f>IF(ISNA(F1130),NA(),E760)</f>
        <v>0</v>
      </c>
      <c r="F1130">
        <f>IF(OR(F760="",AND(F760=F759,F760=F761)),NA(), F760)</f>
        <v>0</v>
      </c>
      <c r="G1130">
        <f>IF(ISNA(H1130),NA(),G760)</f>
        <v>0</v>
      </c>
      <c r="H1130">
        <f>IF(OR(H760="",AND(H760=H759,H760=H761)),NA(), H760)</f>
        <v>0</v>
      </c>
      <c r="K1130">
        <f>IF(ISNA(L1130),NA(),K760)</f>
        <v>0</v>
      </c>
      <c r="L1130">
        <f>IF(OR(L760="",AND(L760=L759,L760=L761)),NA(), L760)</f>
        <v>0</v>
      </c>
      <c r="M1130">
        <f>IF(ISNA(N1130),NA(),M760)</f>
        <v>0</v>
      </c>
      <c r="N1130">
        <f>IF(OR(N760="",AND(N760=N759,N760=N761)),NA(), N760)</f>
        <v>0</v>
      </c>
    </row>
    <row r="1131" spans="5:14">
      <c r="E1131">
        <f>IF(ISNA(F1131),NA(),E761)</f>
        <v>0</v>
      </c>
      <c r="F1131">
        <f>IF(OR(F761="",AND(F761=F760,F761=F762)),NA(), F761)</f>
        <v>0</v>
      </c>
      <c r="G1131">
        <f>IF(ISNA(H1131),NA(),G761)</f>
        <v>0</v>
      </c>
      <c r="H1131">
        <f>IF(OR(H761="",AND(H761=H760,H761=H762)),NA(), H761)</f>
        <v>0</v>
      </c>
      <c r="K1131">
        <f>IF(ISNA(L1131),NA(),K761)</f>
        <v>0</v>
      </c>
      <c r="L1131">
        <f>IF(OR(L761="",AND(L761=L760,L761=L762)),NA(), L761)</f>
        <v>0</v>
      </c>
      <c r="M1131">
        <f>IF(ISNA(N1131),NA(),M761)</f>
        <v>0</v>
      </c>
      <c r="N1131">
        <f>IF(OR(N761="",AND(N761=N760,N761=N762)),NA(), N761)</f>
        <v>0</v>
      </c>
    </row>
    <row r="1132" spans="5:14">
      <c r="E1132">
        <f>IF(ISNA(F1132),NA(),E762)</f>
        <v>0</v>
      </c>
      <c r="F1132">
        <f>IF(OR(F762="",AND(F762=F761,F762=F763)),NA(), F762)</f>
        <v>0</v>
      </c>
      <c r="G1132">
        <f>IF(ISNA(H1132),NA(),G762)</f>
        <v>0</v>
      </c>
      <c r="H1132">
        <f>IF(OR(H762="",AND(H762=H761,H762=H763)),NA(), H762)</f>
        <v>0</v>
      </c>
      <c r="K1132">
        <f>IF(ISNA(L1132),NA(),K762)</f>
        <v>0</v>
      </c>
      <c r="L1132">
        <f>IF(OR(L762="",AND(L762=L761,L762=L763)),NA(), L762)</f>
        <v>0</v>
      </c>
      <c r="M1132">
        <f>IF(ISNA(N1132),NA(),M762)</f>
        <v>0</v>
      </c>
      <c r="N1132">
        <f>IF(OR(N762="",AND(N762=N761,N762=N763)),NA(), N762)</f>
        <v>0</v>
      </c>
    </row>
    <row r="1133" spans="5:14">
      <c r="E1133">
        <f>IF(ISNA(F1133),NA(),E763)</f>
        <v>0</v>
      </c>
      <c r="F1133">
        <f>IF(OR(F763="",AND(F763=F762,F763=F764)),NA(), F763)</f>
        <v>0</v>
      </c>
      <c r="G1133">
        <f>IF(ISNA(H1133),NA(),G763)</f>
        <v>0</v>
      </c>
      <c r="H1133">
        <f>IF(OR(H763="",AND(H763=H762,H763=H764)),NA(), H763)</f>
        <v>0</v>
      </c>
      <c r="K1133">
        <f>IF(ISNA(L1133),NA(),K763)</f>
        <v>0</v>
      </c>
      <c r="L1133">
        <f>IF(OR(L763="",AND(L763=L762,L763=L764)),NA(), L763)</f>
        <v>0</v>
      </c>
      <c r="M1133">
        <f>IF(ISNA(N1133),NA(),M763)</f>
        <v>0</v>
      </c>
      <c r="N1133">
        <f>IF(OR(N763="",AND(N763=N762,N763=N764)),NA(), N763)</f>
        <v>0</v>
      </c>
    </row>
    <row r="1134" spans="5:14">
      <c r="E1134">
        <f>IF(ISNA(F1134),NA(),E764)</f>
        <v>0</v>
      </c>
      <c r="F1134">
        <f>IF(OR(F764="",AND(F764=F763,F764=F765)),NA(), F764)</f>
        <v>0</v>
      </c>
      <c r="G1134">
        <f>IF(ISNA(H1134),NA(),G764)</f>
        <v>0</v>
      </c>
      <c r="H1134">
        <f>IF(OR(H764="",AND(H764=H763,H764=H765)),NA(), H764)</f>
        <v>0</v>
      </c>
      <c r="K1134">
        <f>IF(ISNA(L1134),NA(),K764)</f>
        <v>0</v>
      </c>
      <c r="L1134">
        <f>IF(OR(L764="",AND(L764=L763,L764=L765)),NA(), L764)</f>
        <v>0</v>
      </c>
      <c r="M1134">
        <f>IF(ISNA(N1134),NA(),M764)</f>
        <v>0</v>
      </c>
      <c r="N1134">
        <f>IF(OR(N764="",AND(N764=N763,N764=N765)),NA(), N764)</f>
        <v>0</v>
      </c>
    </row>
    <row r="1135" spans="5:14">
      <c r="E1135">
        <f>IF(ISNA(F1135),NA(),E765)</f>
        <v>0</v>
      </c>
      <c r="F1135">
        <f>IF(OR(F765="",AND(F765=F764,F765=F766)),NA(), F765)</f>
        <v>0</v>
      </c>
      <c r="G1135">
        <f>IF(ISNA(H1135),NA(),G765)</f>
        <v>0</v>
      </c>
      <c r="H1135">
        <f>IF(OR(H765="",AND(H765=H764,H765=H766)),NA(), H765)</f>
        <v>0</v>
      </c>
      <c r="K1135">
        <f>IF(ISNA(L1135),NA(),K765)</f>
        <v>0</v>
      </c>
      <c r="L1135">
        <f>IF(OR(L765="",AND(L765=L764,L765=L766)),NA(), L765)</f>
        <v>0</v>
      </c>
      <c r="M1135">
        <f>IF(ISNA(N1135),NA(),M765)</f>
        <v>0</v>
      </c>
      <c r="N1135">
        <f>IF(OR(N765="",AND(N765=N764,N765=N766)),NA(), N765)</f>
        <v>0</v>
      </c>
    </row>
    <row r="1136" spans="5:14">
      <c r="E1136">
        <f>IF(ISNA(F1136),NA(),E766)</f>
        <v>0</v>
      </c>
      <c r="F1136">
        <f>IF(OR(F766="",AND(F766=F765,F766=F767)),NA(), F766)</f>
        <v>0</v>
      </c>
      <c r="G1136">
        <f>IF(ISNA(H1136),NA(),G766)</f>
        <v>0</v>
      </c>
      <c r="H1136">
        <f>IF(OR(H766="",AND(H766=H765,H766=H767)),NA(), H766)</f>
        <v>0</v>
      </c>
      <c r="K1136">
        <f>IF(ISNA(L1136),NA(),K766)</f>
        <v>0</v>
      </c>
      <c r="L1136">
        <f>IF(OR(L766="",AND(L766=L765,L766=L767)),NA(), L766)</f>
        <v>0</v>
      </c>
      <c r="M1136">
        <f>IF(ISNA(N1136),NA(),M766)</f>
        <v>0</v>
      </c>
      <c r="N1136">
        <f>IF(OR(N766="",AND(N766=N765,N766=N767)),NA(), N766)</f>
        <v>0</v>
      </c>
    </row>
    <row r="1137" spans="5:14">
      <c r="E1137">
        <f>IF(ISNA(F1137),NA(),E767)</f>
        <v>0</v>
      </c>
      <c r="F1137">
        <f>IF(OR(F767="",AND(F767=F766,F767=F768)),NA(), F767)</f>
        <v>0</v>
      </c>
      <c r="G1137">
        <f>IF(ISNA(H1137),NA(),G767)</f>
        <v>0</v>
      </c>
      <c r="H1137">
        <f>IF(OR(H767="",AND(H767=H766,H767=H768)),NA(), H767)</f>
        <v>0</v>
      </c>
      <c r="K1137">
        <f>IF(ISNA(L1137),NA(),K767)</f>
        <v>0</v>
      </c>
      <c r="L1137">
        <f>IF(OR(L767="",AND(L767=L766,L767=L768)),NA(), L767)</f>
        <v>0</v>
      </c>
      <c r="M1137">
        <f>IF(ISNA(N1137),NA(),M767)</f>
        <v>0</v>
      </c>
      <c r="N1137">
        <f>IF(OR(N767="",AND(N767=N766,N767=N768)),NA(), N767)</f>
        <v>0</v>
      </c>
    </row>
    <row r="1138" spans="5:14">
      <c r="E1138">
        <f>IF(ISNA(F1138),NA(),E768)</f>
        <v>0</v>
      </c>
      <c r="F1138">
        <f>IF(OR(F768="",AND(F768=F767,F768=F769)),NA(), F768)</f>
        <v>0</v>
      </c>
      <c r="G1138">
        <f>IF(ISNA(H1138),NA(),G768)</f>
        <v>0</v>
      </c>
      <c r="H1138">
        <f>IF(OR(H768="",AND(H768=H767,H768=H769)),NA(), H768)</f>
        <v>0</v>
      </c>
      <c r="K1138">
        <f>IF(ISNA(L1138),NA(),K768)</f>
        <v>0</v>
      </c>
      <c r="L1138">
        <f>IF(OR(L768="",AND(L768=L767,L768=L769)),NA(), L768)</f>
        <v>0</v>
      </c>
      <c r="M1138">
        <f>IF(ISNA(N1138),NA(),M768)</f>
        <v>0</v>
      </c>
      <c r="N1138">
        <f>IF(OR(N768="",AND(N768=N767,N768=N769)),NA(), N768)</f>
        <v>0</v>
      </c>
    </row>
    <row r="1139" spans="5:14">
      <c r="E1139">
        <f>IF(ISNA(F1139),NA(),E769)</f>
        <v>0</v>
      </c>
      <c r="F1139">
        <f>IF(OR(F769="",AND(F769=F768,F769=F770)),NA(), F769)</f>
        <v>0</v>
      </c>
      <c r="G1139">
        <f>IF(ISNA(H1139),NA(),G769)</f>
        <v>0</v>
      </c>
      <c r="H1139">
        <f>IF(OR(H769="",AND(H769=H768,H769=H770)),NA(), H769)</f>
        <v>0</v>
      </c>
      <c r="K1139">
        <f>IF(ISNA(L1139),NA(),K769)</f>
        <v>0</v>
      </c>
      <c r="L1139">
        <f>IF(OR(L769="",AND(L769=L768,L769=L770)),NA(), L769)</f>
        <v>0</v>
      </c>
      <c r="M1139">
        <f>IF(ISNA(N1139),NA(),M769)</f>
        <v>0</v>
      </c>
      <c r="N1139">
        <f>IF(OR(N769="",AND(N769=N768,N769=N770)),NA(), N769)</f>
        <v>0</v>
      </c>
    </row>
    <row r="1140" spans="5:14">
      <c r="E1140">
        <f>IF(ISNA(F1140),NA(),E770)</f>
        <v>0</v>
      </c>
      <c r="F1140">
        <f>IF(OR(F770="",AND(F770=F769,F770=F771)),NA(), F770)</f>
        <v>0</v>
      </c>
      <c r="G1140">
        <f>IF(ISNA(H1140),NA(),G770)</f>
        <v>0</v>
      </c>
      <c r="H1140">
        <f>IF(OR(H770="",AND(H770=H769,H770=H771)),NA(), H770)</f>
        <v>0</v>
      </c>
      <c r="K1140">
        <f>IF(ISNA(L1140),NA(),K770)</f>
        <v>0</v>
      </c>
      <c r="L1140">
        <f>IF(OR(L770="",AND(L770=L769,L770=L771)),NA(), L770)</f>
        <v>0</v>
      </c>
      <c r="M1140">
        <f>IF(ISNA(N1140),NA(),M770)</f>
        <v>0</v>
      </c>
      <c r="N1140">
        <f>IF(OR(N770="",AND(N770=N769,N770=N771)),NA(), N770)</f>
        <v>0</v>
      </c>
    </row>
    <row r="1141" spans="5:14">
      <c r="E1141">
        <f>IF(ISNA(F1141),NA(),E771)</f>
        <v>0</v>
      </c>
      <c r="F1141">
        <f>IF(OR(F771="",AND(F771=F770,F771=F772)),NA(), F771)</f>
        <v>0</v>
      </c>
      <c r="G1141">
        <f>IF(ISNA(H1141),NA(),G771)</f>
        <v>0</v>
      </c>
      <c r="H1141">
        <f>IF(OR(H771="",AND(H771=H770,H771=H772)),NA(), H771)</f>
        <v>0</v>
      </c>
      <c r="K1141">
        <f>IF(ISNA(L1141),NA(),K771)</f>
        <v>0</v>
      </c>
      <c r="L1141">
        <f>IF(OR(L771="",AND(L771=L770,L771=L772)),NA(), L771)</f>
        <v>0</v>
      </c>
      <c r="M1141">
        <f>IF(ISNA(N1141),NA(),M771)</f>
        <v>0</v>
      </c>
      <c r="N1141">
        <f>IF(OR(N771="",AND(N771=N770,N771=N772)),NA(), N771)</f>
        <v>0</v>
      </c>
    </row>
    <row r="1142" spans="5:14">
      <c r="E1142">
        <f>IF(ISNA(F1142),NA(),E772)</f>
        <v>0</v>
      </c>
      <c r="F1142">
        <f>IF(OR(F772="",AND(F772=F771,F772=F773)),NA(), F772)</f>
        <v>0</v>
      </c>
      <c r="G1142">
        <f>IF(ISNA(H1142),NA(),G772)</f>
        <v>0</v>
      </c>
      <c r="H1142">
        <f>IF(OR(H772="",AND(H772=H771,H772=H773)),NA(), H772)</f>
        <v>0</v>
      </c>
      <c r="K1142">
        <f>IF(ISNA(L1142),NA(),K772)</f>
        <v>0</v>
      </c>
      <c r="L1142">
        <f>IF(OR(L772="",AND(L772=L771,L772=L773)),NA(), L772)</f>
        <v>0</v>
      </c>
      <c r="M1142">
        <f>IF(ISNA(N1142),NA(),M772)</f>
        <v>0</v>
      </c>
      <c r="N1142">
        <f>IF(OR(N772="",AND(N772=N771,N772=N773)),NA(), N772)</f>
        <v>0</v>
      </c>
    </row>
    <row r="1143" spans="5:14">
      <c r="E1143">
        <f>IF(ISNA(F1143),NA(),E773)</f>
        <v>0</v>
      </c>
      <c r="F1143">
        <f>IF(OR(F773="",AND(F773=F772,F773=F774)),NA(), F773)</f>
        <v>0</v>
      </c>
      <c r="G1143">
        <f>IF(ISNA(H1143),NA(),G773)</f>
        <v>0</v>
      </c>
      <c r="H1143">
        <f>IF(OR(H773="",AND(H773=H772,H773=H774)),NA(), H773)</f>
        <v>0</v>
      </c>
      <c r="K1143">
        <f>IF(ISNA(L1143),NA(),K773)</f>
        <v>0</v>
      </c>
      <c r="L1143">
        <f>IF(OR(L773="",AND(L773=L772,L773=L774)),NA(), L773)</f>
        <v>0</v>
      </c>
      <c r="M1143">
        <f>IF(ISNA(N1143),NA(),M773)</f>
        <v>0</v>
      </c>
      <c r="N1143">
        <f>IF(OR(N773="",AND(N773=N772,N773=N774)),NA(), N773)</f>
        <v>0</v>
      </c>
    </row>
    <row r="1144" spans="5:14">
      <c r="E1144">
        <f>IF(ISNA(F1144),NA(),E774)</f>
        <v>0</v>
      </c>
      <c r="F1144">
        <f>IF(OR(F774="",AND(F774=F773,F774=F775)),NA(), F774)</f>
        <v>0</v>
      </c>
      <c r="G1144">
        <f>IF(ISNA(H1144),NA(),G774)</f>
        <v>0</v>
      </c>
      <c r="H1144">
        <f>IF(OR(H774="",AND(H774=H773,H774=H775)),NA(), H774)</f>
        <v>0</v>
      </c>
      <c r="K1144">
        <f>IF(ISNA(L1144),NA(),K774)</f>
        <v>0</v>
      </c>
      <c r="L1144">
        <f>IF(OR(L774="",AND(L774=L773,L774=L775)),NA(), L774)</f>
        <v>0</v>
      </c>
      <c r="M1144">
        <f>IF(ISNA(N1144),NA(),M774)</f>
        <v>0</v>
      </c>
      <c r="N1144">
        <f>IF(OR(N774="",AND(N774=N773,N774=N775)),NA(), N774)</f>
        <v>0</v>
      </c>
    </row>
    <row r="1145" spans="5:14">
      <c r="E1145">
        <f>IF(ISNA(F1145),NA(),E775)</f>
        <v>0</v>
      </c>
      <c r="F1145">
        <f>IF(OR(F775="",AND(F775=F774,F775=F776)),NA(), F775)</f>
        <v>0</v>
      </c>
      <c r="G1145">
        <f>IF(ISNA(H1145),NA(),G775)</f>
        <v>0</v>
      </c>
      <c r="H1145">
        <f>IF(OR(H775="",AND(H775=H774,H775=H776)),NA(), H775)</f>
        <v>0</v>
      </c>
      <c r="K1145">
        <f>IF(ISNA(L1145),NA(),K775)</f>
        <v>0</v>
      </c>
      <c r="L1145">
        <f>IF(OR(L775="",AND(L775=L774,L775=L776)),NA(), L775)</f>
        <v>0</v>
      </c>
      <c r="M1145">
        <f>IF(ISNA(N1145),NA(),M775)</f>
        <v>0</v>
      </c>
      <c r="N1145">
        <f>IF(OR(N775="",AND(N775=N774,N775=N776)),NA(), N775)</f>
        <v>0</v>
      </c>
    </row>
    <row r="1146" spans="5:14">
      <c r="E1146">
        <f>IF(ISNA(F1146),NA(),E776)</f>
        <v>0</v>
      </c>
      <c r="F1146">
        <f>IF(OR(F776="",AND(F776=F775,F776=F777)),NA(), F776)</f>
        <v>0</v>
      </c>
      <c r="G1146">
        <f>IF(ISNA(H1146),NA(),G776)</f>
        <v>0</v>
      </c>
      <c r="H1146">
        <f>IF(OR(H776="",AND(H776=H775,H776=H777)),NA(), H776)</f>
        <v>0</v>
      </c>
      <c r="K1146">
        <f>IF(ISNA(L1146),NA(),K776)</f>
        <v>0</v>
      </c>
      <c r="L1146">
        <f>IF(OR(L776="",AND(L776=L775,L776=L777)),NA(), L776)</f>
        <v>0</v>
      </c>
      <c r="M1146">
        <f>IF(ISNA(N1146),NA(),M776)</f>
        <v>0</v>
      </c>
      <c r="N1146">
        <f>IF(OR(N776="",AND(N776=N775,N776=N777)),NA(), N776)</f>
        <v>0</v>
      </c>
    </row>
    <row r="1147" spans="5:14">
      <c r="E1147">
        <f>IF(ISNA(F1147),NA(),E777)</f>
        <v>0</v>
      </c>
      <c r="F1147">
        <f>IF(OR(F777="",AND(F777=F776,F777=F778)),NA(), F777)</f>
        <v>0</v>
      </c>
      <c r="G1147">
        <f>IF(ISNA(H1147),NA(),G777)</f>
        <v>0</v>
      </c>
      <c r="H1147">
        <f>IF(OR(H777="",AND(H777=H776,H777=H778)),NA(), H777)</f>
        <v>0</v>
      </c>
      <c r="K1147">
        <f>IF(ISNA(L1147),NA(),K777)</f>
        <v>0</v>
      </c>
      <c r="L1147">
        <f>IF(OR(L777="",AND(L777=L776,L777=L778)),NA(), L777)</f>
        <v>0</v>
      </c>
      <c r="M1147">
        <f>IF(ISNA(N1147),NA(),M777)</f>
        <v>0</v>
      </c>
      <c r="N1147">
        <f>IF(OR(N777="",AND(N777=N776,N777=N778)),NA(), N777)</f>
        <v>0</v>
      </c>
    </row>
    <row r="1148" spans="5:14">
      <c r="E1148">
        <f>IF(ISNA(F1148),NA(),E778)</f>
        <v>0</v>
      </c>
      <c r="F1148">
        <f>IF(OR(F778="",AND(F778=F777,F778=F779)),NA(), F778)</f>
        <v>0</v>
      </c>
      <c r="G1148">
        <f>IF(ISNA(H1148),NA(),G778)</f>
        <v>0</v>
      </c>
      <c r="H1148">
        <f>IF(OR(H778="",AND(H778=H777,H778=H779)),NA(), H778)</f>
        <v>0</v>
      </c>
      <c r="K1148">
        <f>IF(ISNA(L1148),NA(),K778)</f>
        <v>0</v>
      </c>
      <c r="L1148">
        <f>IF(OR(L778="",AND(L778=L777,L778=L779)),NA(), L778)</f>
        <v>0</v>
      </c>
      <c r="M1148">
        <f>IF(ISNA(N1148),NA(),M778)</f>
        <v>0</v>
      </c>
      <c r="N1148">
        <f>IF(OR(N778="",AND(N778=N777,N778=N779)),NA(), N778)</f>
        <v>0</v>
      </c>
    </row>
    <row r="1149" spans="5:14">
      <c r="E1149">
        <f>IF(ISNA(F1149),NA(),E779)</f>
        <v>0</v>
      </c>
      <c r="F1149">
        <f>IF(OR(F779="",AND(F779=F778,F779=F780)),NA(), F779)</f>
        <v>0</v>
      </c>
      <c r="G1149">
        <f>IF(ISNA(H1149),NA(),G779)</f>
        <v>0</v>
      </c>
      <c r="H1149">
        <f>IF(OR(H779="",AND(H779=H778,H779=H780)),NA(), H779)</f>
        <v>0</v>
      </c>
      <c r="K1149">
        <f>IF(ISNA(L1149),NA(),K779)</f>
        <v>0</v>
      </c>
      <c r="L1149">
        <f>IF(OR(L779="",AND(L779=L778,L779=L780)),NA(), L779)</f>
        <v>0</v>
      </c>
      <c r="M1149">
        <f>IF(ISNA(N1149),NA(),M779)</f>
        <v>0</v>
      </c>
      <c r="N1149">
        <f>IF(OR(N779="",AND(N779=N778,N779=N780)),NA(), N779)</f>
        <v>0</v>
      </c>
    </row>
    <row r="1150" spans="5:14">
      <c r="E1150">
        <f>IF(ISNA(F1150),NA(),E780)</f>
        <v>0</v>
      </c>
      <c r="F1150">
        <f>IF(OR(F780="",AND(F780=F779,F780=F781)),NA(), F780)</f>
        <v>0</v>
      </c>
      <c r="G1150">
        <f>IF(ISNA(H1150),NA(),G780)</f>
        <v>0</v>
      </c>
      <c r="H1150">
        <f>IF(OR(H780="",AND(H780=H779,H780=H781)),NA(), H780)</f>
        <v>0</v>
      </c>
      <c r="K1150">
        <f>IF(ISNA(L1150),NA(),K780)</f>
        <v>0</v>
      </c>
      <c r="L1150">
        <f>IF(OR(L780="",AND(L780=L779,L780=L781)),NA(), L780)</f>
        <v>0</v>
      </c>
      <c r="M1150">
        <f>IF(ISNA(N1150),NA(),M780)</f>
        <v>0</v>
      </c>
      <c r="N1150">
        <f>IF(OR(N780="",AND(N780=N779,N780=N781)),NA(), N780)</f>
        <v>0</v>
      </c>
    </row>
    <row r="1151" spans="5:14">
      <c r="E1151">
        <f>IF(ISNA(F1151),NA(),E781)</f>
        <v>0</v>
      </c>
      <c r="F1151">
        <f>IF(OR(F781="",AND(F781=F780,F781=F782)),NA(), F781)</f>
        <v>0</v>
      </c>
      <c r="G1151">
        <f>IF(ISNA(H1151),NA(),G781)</f>
        <v>0</v>
      </c>
      <c r="H1151">
        <f>IF(OR(H781="",AND(H781=H780,H781=H782)),NA(), H781)</f>
        <v>0</v>
      </c>
      <c r="K1151">
        <f>IF(ISNA(L1151),NA(),K781)</f>
        <v>0</v>
      </c>
      <c r="L1151">
        <f>IF(OR(L781="",AND(L781=L780,L781=L782)),NA(), L781)</f>
        <v>0</v>
      </c>
      <c r="M1151">
        <f>IF(ISNA(N1151),NA(),M781)</f>
        <v>0</v>
      </c>
      <c r="N1151">
        <f>IF(OR(N781="",AND(N781=N780,N781=N782)),NA(), N781)</f>
        <v>0</v>
      </c>
    </row>
    <row r="1152" spans="5:14">
      <c r="E1152">
        <f>IF(ISNA(F1152),NA(),E782)</f>
        <v>0</v>
      </c>
      <c r="F1152">
        <f>IF(OR(F782="",AND(F782=F781,F782=F783)),NA(), F782)</f>
        <v>0</v>
      </c>
      <c r="G1152">
        <f>IF(ISNA(H1152),NA(),G782)</f>
        <v>0</v>
      </c>
      <c r="H1152">
        <f>IF(OR(H782="",AND(H782=H781,H782=H783)),NA(), H782)</f>
        <v>0</v>
      </c>
      <c r="K1152">
        <f>IF(ISNA(L1152),NA(),K782)</f>
        <v>0</v>
      </c>
      <c r="L1152">
        <f>IF(OR(L782="",AND(L782=L781,L782=L783)),NA(), L782)</f>
        <v>0</v>
      </c>
      <c r="M1152">
        <f>IF(ISNA(N1152),NA(),M782)</f>
        <v>0</v>
      </c>
      <c r="N1152">
        <f>IF(OR(N782="",AND(N782=N781,N782=N783)),NA(), N782)</f>
        <v>0</v>
      </c>
    </row>
    <row r="1153" spans="5:14">
      <c r="E1153">
        <f>IF(ISNA(F1153),NA(),E783)</f>
        <v>0</v>
      </c>
      <c r="F1153">
        <f>IF(OR(F783="",AND(F783=F782,F783=F784)),NA(), F783)</f>
        <v>0</v>
      </c>
      <c r="G1153">
        <f>IF(ISNA(H1153),NA(),G783)</f>
        <v>0</v>
      </c>
      <c r="H1153">
        <f>IF(OR(H783="",AND(H783=H782,H783=H784)),NA(), H783)</f>
        <v>0</v>
      </c>
      <c r="K1153">
        <f>IF(ISNA(L1153),NA(),K783)</f>
        <v>0</v>
      </c>
      <c r="L1153">
        <f>IF(OR(L783="",AND(L783=L782,L783=L784)),NA(), L783)</f>
        <v>0</v>
      </c>
      <c r="M1153">
        <f>IF(ISNA(N1153),NA(),M783)</f>
        <v>0</v>
      </c>
      <c r="N1153">
        <f>IF(OR(N783="",AND(N783=N782,N783=N784)),NA(), N783)</f>
        <v>0</v>
      </c>
    </row>
    <row r="1154" spans="5:14">
      <c r="E1154">
        <f>IF(ISNA(F1154),NA(),E784)</f>
        <v>0</v>
      </c>
      <c r="F1154">
        <f>IF(OR(F784="",AND(F784=F783,F784=F785)),NA(), F784)</f>
        <v>0</v>
      </c>
      <c r="G1154">
        <f>IF(ISNA(H1154),NA(),G784)</f>
        <v>0</v>
      </c>
      <c r="H1154">
        <f>IF(OR(H784="",AND(H784=H783,H784=H785)),NA(), H784)</f>
        <v>0</v>
      </c>
      <c r="K1154">
        <f>IF(ISNA(L1154),NA(),K784)</f>
        <v>0</v>
      </c>
      <c r="L1154">
        <f>IF(OR(L784="",AND(L784=L783,L784=L785)),NA(), L784)</f>
        <v>0</v>
      </c>
      <c r="M1154">
        <f>IF(ISNA(N1154),NA(),M784)</f>
        <v>0</v>
      </c>
      <c r="N1154">
        <f>IF(OR(N784="",AND(N784=N783,N784=N785)),NA(), N784)</f>
        <v>0</v>
      </c>
    </row>
    <row r="1155" spans="5:14">
      <c r="E1155">
        <f>IF(ISNA(F1155),NA(),E785)</f>
        <v>0</v>
      </c>
      <c r="F1155">
        <f>IF(OR(F785="",AND(F785=F784,F785=F786)),NA(), F785)</f>
        <v>0</v>
      </c>
      <c r="G1155">
        <f>IF(ISNA(H1155),NA(),G785)</f>
        <v>0</v>
      </c>
      <c r="H1155">
        <f>IF(OR(H785="",AND(H785=H784,H785=H786)),NA(), H785)</f>
        <v>0</v>
      </c>
      <c r="K1155">
        <f>IF(ISNA(L1155),NA(),K785)</f>
        <v>0</v>
      </c>
      <c r="L1155">
        <f>IF(OR(L785="",AND(L785=L784,L785=L786)),NA(), L785)</f>
        <v>0</v>
      </c>
      <c r="M1155">
        <f>IF(ISNA(N1155),NA(),M785)</f>
        <v>0</v>
      </c>
      <c r="N1155">
        <f>IF(OR(N785="",AND(N785=N784,N785=N786)),NA(), N785)</f>
        <v>0</v>
      </c>
    </row>
    <row r="1156" spans="5:14">
      <c r="E1156">
        <f>IF(ISNA(F1156),NA(),E786)</f>
        <v>0</v>
      </c>
      <c r="F1156">
        <f>IF(OR(F786="",AND(F786=F785,F786=F787)),NA(), F786)</f>
        <v>0</v>
      </c>
      <c r="G1156">
        <f>IF(ISNA(H1156),NA(),G786)</f>
        <v>0</v>
      </c>
      <c r="H1156">
        <f>IF(OR(H786="",AND(H786=H785,H786=H787)),NA(), H786)</f>
        <v>0</v>
      </c>
      <c r="K1156">
        <f>IF(ISNA(L1156),NA(),K786)</f>
        <v>0</v>
      </c>
      <c r="L1156">
        <f>IF(OR(L786="",AND(L786=L785,L786=L787)),NA(), L786)</f>
        <v>0</v>
      </c>
      <c r="M1156">
        <f>IF(ISNA(N1156),NA(),M786)</f>
        <v>0</v>
      </c>
      <c r="N1156">
        <f>IF(OR(N786="",AND(N786=N785,N786=N787)),NA(), N786)</f>
        <v>0</v>
      </c>
    </row>
    <row r="1157" spans="5:14">
      <c r="E1157">
        <f>IF(ISNA(F1157),NA(),E787)</f>
        <v>0</v>
      </c>
      <c r="F1157">
        <f>IF(OR(F787="",AND(F787=F786,F787=F788)),NA(), F787)</f>
        <v>0</v>
      </c>
      <c r="G1157">
        <f>IF(ISNA(H1157),NA(),G787)</f>
        <v>0</v>
      </c>
      <c r="H1157">
        <f>IF(OR(H787="",AND(H787=H786,H787=H788)),NA(), H787)</f>
        <v>0</v>
      </c>
      <c r="K1157">
        <f>IF(ISNA(L1157),NA(),K787)</f>
        <v>0</v>
      </c>
      <c r="L1157">
        <f>IF(OR(L787="",AND(L787=L786,L787=L788)),NA(), L787)</f>
        <v>0</v>
      </c>
      <c r="M1157">
        <f>IF(ISNA(N1157),NA(),M787)</f>
        <v>0</v>
      </c>
      <c r="N1157">
        <f>IF(OR(N787="",AND(N787=N786,N787=N788)),NA(), N787)</f>
        <v>0</v>
      </c>
    </row>
    <row r="1158" spans="5:14">
      <c r="E1158">
        <f>IF(ISNA(F1158),NA(),E788)</f>
        <v>0</v>
      </c>
      <c r="F1158">
        <f>IF(OR(F788="",AND(F788=F787,F788=F789)),NA(), F788)</f>
        <v>0</v>
      </c>
      <c r="G1158">
        <f>IF(ISNA(H1158),NA(),G788)</f>
        <v>0</v>
      </c>
      <c r="H1158">
        <f>IF(OR(H788="",AND(H788=H787,H788=H789)),NA(), H788)</f>
        <v>0</v>
      </c>
      <c r="K1158">
        <f>IF(ISNA(L1158),NA(),K788)</f>
        <v>0</v>
      </c>
      <c r="L1158">
        <f>IF(OR(L788="",AND(L788=L787,L788=L789)),NA(), L788)</f>
        <v>0</v>
      </c>
      <c r="M1158">
        <f>IF(ISNA(N1158),NA(),M788)</f>
        <v>0</v>
      </c>
      <c r="N1158">
        <f>IF(OR(N788="",AND(N788=N787,N788=N789)),NA(), N788)</f>
        <v>0</v>
      </c>
    </row>
    <row r="1159" spans="5:14">
      <c r="E1159">
        <f>IF(ISNA(F1159),NA(),E789)</f>
        <v>0</v>
      </c>
      <c r="F1159">
        <f>IF(OR(F789="",AND(F789=F788,F789=F790)),NA(), F789)</f>
        <v>0</v>
      </c>
      <c r="G1159">
        <f>IF(ISNA(H1159),NA(),G789)</f>
        <v>0</v>
      </c>
      <c r="H1159">
        <f>IF(OR(H789="",AND(H789=H788,H789=H790)),NA(), H789)</f>
        <v>0</v>
      </c>
      <c r="K1159">
        <f>IF(ISNA(L1159),NA(),K789)</f>
        <v>0</v>
      </c>
      <c r="L1159">
        <f>IF(OR(L789="",AND(L789=L788,L789=L790)),NA(), L789)</f>
        <v>0</v>
      </c>
      <c r="M1159">
        <f>IF(ISNA(N1159),NA(),M789)</f>
        <v>0</v>
      </c>
      <c r="N1159">
        <f>IF(OR(N789="",AND(N789=N788,N789=N790)),NA(), N789)</f>
        <v>0</v>
      </c>
    </row>
    <row r="1160" spans="5:14">
      <c r="E1160">
        <f>IF(ISNA(F1160),NA(),E790)</f>
        <v>0</v>
      </c>
      <c r="F1160">
        <f>IF(OR(F790="",AND(F790=F789,F790=F791)),NA(), F790)</f>
        <v>0</v>
      </c>
      <c r="G1160">
        <f>IF(ISNA(H1160),NA(),G790)</f>
        <v>0</v>
      </c>
      <c r="H1160">
        <f>IF(OR(H790="",AND(H790=H789,H790=H791)),NA(), H790)</f>
        <v>0</v>
      </c>
      <c r="K1160">
        <f>IF(ISNA(L1160),NA(),K790)</f>
        <v>0</v>
      </c>
      <c r="L1160">
        <f>IF(OR(L790="",AND(L790=L789,L790=L791)),NA(), L790)</f>
        <v>0</v>
      </c>
      <c r="M1160">
        <f>IF(ISNA(N1160),NA(),M790)</f>
        <v>0</v>
      </c>
      <c r="N1160">
        <f>IF(OR(N790="",AND(N790=N789,N790=N791)),NA(), N790)</f>
        <v>0</v>
      </c>
    </row>
    <row r="1161" spans="5:14">
      <c r="E1161">
        <f>IF(ISNA(F1161),NA(),E791)</f>
        <v>0</v>
      </c>
      <c r="F1161">
        <f>IF(OR(F791="",AND(F791=F790,F791=F792)),NA(), F791)</f>
        <v>0</v>
      </c>
      <c r="G1161">
        <f>IF(ISNA(H1161),NA(),G791)</f>
        <v>0</v>
      </c>
      <c r="H1161">
        <f>IF(OR(H791="",AND(H791=H790,H791=H792)),NA(), H791)</f>
        <v>0</v>
      </c>
      <c r="K1161">
        <f>IF(ISNA(L1161),NA(),K791)</f>
        <v>0</v>
      </c>
      <c r="L1161">
        <f>IF(OR(L791="",AND(L791=L790,L791=L792)),NA(), L791)</f>
        <v>0</v>
      </c>
      <c r="M1161">
        <f>IF(ISNA(N1161),NA(),M791)</f>
        <v>0</v>
      </c>
      <c r="N1161">
        <f>IF(OR(N791="",AND(N791=N790,N791=N792)),NA(), N791)</f>
        <v>0</v>
      </c>
    </row>
    <row r="1162" spans="5:14">
      <c r="E1162">
        <f>IF(ISNA(F1162),NA(),E792)</f>
        <v>0</v>
      </c>
      <c r="F1162">
        <f>IF(OR(F792="",AND(F792=F791,F792=F793)),NA(), F792)</f>
        <v>0</v>
      </c>
      <c r="G1162">
        <f>IF(ISNA(H1162),NA(),G792)</f>
        <v>0</v>
      </c>
      <c r="H1162">
        <f>IF(OR(H792="",AND(H792=H791,H792=H793)),NA(), H792)</f>
        <v>0</v>
      </c>
      <c r="K1162">
        <f>IF(ISNA(L1162),NA(),K792)</f>
        <v>0</v>
      </c>
      <c r="L1162">
        <f>IF(OR(L792="",AND(L792=L791,L792=L793)),NA(), L792)</f>
        <v>0</v>
      </c>
      <c r="M1162">
        <f>IF(ISNA(N1162),NA(),M792)</f>
        <v>0</v>
      </c>
      <c r="N1162">
        <f>IF(OR(N792="",AND(N792=N791,N792=N793)),NA(), N792)</f>
        <v>0</v>
      </c>
    </row>
    <row r="1163" spans="5:14">
      <c r="E1163">
        <f>IF(ISNA(F1163),NA(),E793)</f>
        <v>0</v>
      </c>
      <c r="F1163">
        <f>IF(OR(F793="",AND(F793=F792,F793=F794)),NA(), F793)</f>
        <v>0</v>
      </c>
      <c r="G1163">
        <f>IF(ISNA(H1163),NA(),G793)</f>
        <v>0</v>
      </c>
      <c r="H1163">
        <f>IF(OR(H793="",AND(H793=H792,H793=H794)),NA(), H793)</f>
        <v>0</v>
      </c>
      <c r="K1163">
        <f>IF(ISNA(L1163),NA(),K793)</f>
        <v>0</v>
      </c>
      <c r="L1163">
        <f>IF(OR(L793="",AND(L793=L792,L793=L794)),NA(), L793)</f>
        <v>0</v>
      </c>
      <c r="M1163">
        <f>IF(ISNA(N1163),NA(),M793)</f>
        <v>0</v>
      </c>
      <c r="N1163">
        <f>IF(OR(N793="",AND(N793=N792,N793=N794)),NA(), N793)</f>
        <v>0</v>
      </c>
    </row>
    <row r="1164" spans="5:14">
      <c r="E1164">
        <f>IF(ISNA(F1164),NA(),E794)</f>
        <v>0</v>
      </c>
      <c r="F1164">
        <f>IF(OR(F794="",AND(F794=F793,F794=F795)),NA(), F794)</f>
        <v>0</v>
      </c>
      <c r="G1164">
        <f>IF(ISNA(H1164),NA(),G794)</f>
        <v>0</v>
      </c>
      <c r="H1164">
        <f>IF(OR(H794="",AND(H794=H793,H794=H795)),NA(), H794)</f>
        <v>0</v>
      </c>
      <c r="K1164">
        <f>IF(ISNA(L1164),NA(),K794)</f>
        <v>0</v>
      </c>
      <c r="L1164">
        <f>IF(OR(L794="",AND(L794=L793,L794=L795)),NA(), L794)</f>
        <v>0</v>
      </c>
      <c r="M1164">
        <f>IF(ISNA(N1164),NA(),M794)</f>
        <v>0</v>
      </c>
      <c r="N1164">
        <f>IF(OR(N794="",AND(N794=N793,N794=N795)),NA(), N794)</f>
        <v>0</v>
      </c>
    </row>
    <row r="1165" spans="5:14">
      <c r="E1165">
        <f>IF(ISNA(F1165),NA(),E795)</f>
        <v>0</v>
      </c>
      <c r="F1165">
        <f>IF(OR(F795="",AND(F795=F794,F795=F796)),NA(), F795)</f>
        <v>0</v>
      </c>
      <c r="G1165">
        <f>IF(ISNA(H1165),NA(),G795)</f>
        <v>0</v>
      </c>
      <c r="H1165">
        <f>IF(OR(H795="",AND(H795=H794,H795=H796)),NA(), H795)</f>
        <v>0</v>
      </c>
      <c r="K1165">
        <f>IF(ISNA(L1165),NA(),K795)</f>
        <v>0</v>
      </c>
      <c r="L1165">
        <f>IF(OR(L795="",AND(L795=L794,L795=L796)),NA(), L795)</f>
        <v>0</v>
      </c>
      <c r="M1165">
        <f>IF(ISNA(N1165),NA(),M795)</f>
        <v>0</v>
      </c>
      <c r="N1165">
        <f>IF(OR(N795="",AND(N795=N794,N795=N796)),NA(), N795)</f>
        <v>0</v>
      </c>
    </row>
    <row r="1166" spans="5:14">
      <c r="E1166">
        <f>IF(ISNA(F1166),NA(),E796)</f>
        <v>0</v>
      </c>
      <c r="F1166">
        <f>IF(OR(F796="",AND(F796=F795,F796=F797)),NA(), F796)</f>
        <v>0</v>
      </c>
      <c r="G1166">
        <f>IF(ISNA(H1166),NA(),G796)</f>
        <v>0</v>
      </c>
      <c r="H1166">
        <f>IF(OR(H796="",AND(H796=H795,H796=H797)),NA(), H796)</f>
        <v>0</v>
      </c>
      <c r="K1166">
        <f>IF(ISNA(L1166),NA(),K796)</f>
        <v>0</v>
      </c>
      <c r="L1166">
        <f>IF(OR(L796="",AND(L796=L795,L796=L797)),NA(), L796)</f>
        <v>0</v>
      </c>
      <c r="M1166">
        <f>IF(ISNA(N1166),NA(),M796)</f>
        <v>0</v>
      </c>
      <c r="N1166">
        <f>IF(OR(N796="",AND(N796=N795,N796=N797)),NA(), N796)</f>
        <v>0</v>
      </c>
    </row>
    <row r="1167" spans="5:14">
      <c r="E1167">
        <f>IF(ISNA(F1167),NA(),E797)</f>
        <v>0</v>
      </c>
      <c r="F1167">
        <f>IF(OR(F797="",AND(F797=F796,F797=F798)),NA(), F797)</f>
        <v>0</v>
      </c>
      <c r="G1167">
        <f>IF(ISNA(H1167),NA(),G797)</f>
        <v>0</v>
      </c>
      <c r="H1167">
        <f>IF(OR(H797="",AND(H797=H796,H797=H798)),NA(), H797)</f>
        <v>0</v>
      </c>
      <c r="K1167">
        <f>IF(ISNA(L1167),NA(),K797)</f>
        <v>0</v>
      </c>
      <c r="L1167">
        <f>IF(OR(L797="",AND(L797=L796,L797=L798)),NA(), L797)</f>
        <v>0</v>
      </c>
      <c r="M1167">
        <f>IF(ISNA(N1167),NA(),M797)</f>
        <v>0</v>
      </c>
      <c r="N1167">
        <f>IF(OR(N797="",AND(N797=N796,N797=N798)),NA(), N797)</f>
        <v>0</v>
      </c>
    </row>
    <row r="1168" spans="5:14">
      <c r="E1168">
        <f>IF(ISNA(F1168),NA(),E798)</f>
        <v>0</v>
      </c>
      <c r="F1168">
        <f>IF(OR(F798="",AND(F798=F797,F798=F799)),NA(), F798)</f>
        <v>0</v>
      </c>
      <c r="G1168">
        <f>IF(ISNA(H1168),NA(),G798)</f>
        <v>0</v>
      </c>
      <c r="H1168">
        <f>IF(OR(H798="",AND(H798=H797,H798=H799)),NA(), H798)</f>
        <v>0</v>
      </c>
      <c r="K1168">
        <f>IF(ISNA(L1168),NA(),K798)</f>
        <v>0</v>
      </c>
      <c r="L1168">
        <f>IF(OR(L798="",AND(L798=L797,L798=L799)),NA(), L798)</f>
        <v>0</v>
      </c>
      <c r="M1168">
        <f>IF(ISNA(N1168),NA(),M798)</f>
        <v>0</v>
      </c>
      <c r="N1168">
        <f>IF(OR(N798="",AND(N798=N797,N798=N799)),NA(), N798)</f>
        <v>0</v>
      </c>
    </row>
    <row r="1169" spans="5:14">
      <c r="E1169">
        <f>IF(ISNA(F1169),NA(),E799)</f>
        <v>0</v>
      </c>
      <c r="F1169">
        <f>IF(OR(F799="",AND(F799=F798,F799=F800)),NA(), F799)</f>
        <v>0</v>
      </c>
      <c r="G1169">
        <f>IF(ISNA(H1169),NA(),G799)</f>
        <v>0</v>
      </c>
      <c r="H1169">
        <f>IF(OR(H799="",AND(H799=H798,H799=H800)),NA(), H799)</f>
        <v>0</v>
      </c>
      <c r="K1169">
        <f>IF(ISNA(L1169),NA(),K799)</f>
        <v>0</v>
      </c>
      <c r="L1169">
        <f>IF(OR(L799="",AND(L799=L798,L799=L800)),NA(), L799)</f>
        <v>0</v>
      </c>
      <c r="M1169">
        <f>IF(ISNA(N1169),NA(),M799)</f>
        <v>0</v>
      </c>
      <c r="N1169">
        <f>IF(OR(N799="",AND(N799=N798,N799=N800)),NA(), N799)</f>
        <v>0</v>
      </c>
    </row>
    <row r="1170" spans="5:14">
      <c r="E1170">
        <f>IF(ISNA(F1170),NA(),E800)</f>
        <v>0</v>
      </c>
      <c r="F1170">
        <f>IF(OR(F800="",AND(F800=F799,F800=F801)),NA(), F800)</f>
        <v>0</v>
      </c>
      <c r="G1170">
        <f>IF(ISNA(H1170),NA(),G800)</f>
        <v>0</v>
      </c>
      <c r="H1170">
        <f>IF(OR(H800="",AND(H800=H799,H800=H801)),NA(), H800)</f>
        <v>0</v>
      </c>
      <c r="K1170">
        <f>IF(ISNA(L1170),NA(),K800)</f>
        <v>0</v>
      </c>
      <c r="L1170">
        <f>IF(OR(L800="",AND(L800=L799,L800=L801)),NA(), L800)</f>
        <v>0</v>
      </c>
      <c r="M1170">
        <f>IF(ISNA(N1170),NA(),M800)</f>
        <v>0</v>
      </c>
      <c r="N1170">
        <f>IF(OR(N800="",AND(N800=N799,N800=N801)),NA(), N800)</f>
        <v>0</v>
      </c>
    </row>
    <row r="1171" spans="5:14">
      <c r="E1171">
        <f>IF(ISNA(F1171),NA(),E801)</f>
        <v>0</v>
      </c>
      <c r="F1171">
        <f>IF(OR(F801="",AND(F801=F800,F801=F802)),NA(), F801)</f>
        <v>0</v>
      </c>
      <c r="G1171">
        <f>IF(ISNA(H1171),NA(),G801)</f>
        <v>0</v>
      </c>
      <c r="H1171">
        <f>IF(OR(H801="",AND(H801=H800,H801=H802)),NA(), H801)</f>
        <v>0</v>
      </c>
      <c r="K1171">
        <f>IF(ISNA(L1171),NA(),K801)</f>
        <v>0</v>
      </c>
      <c r="L1171">
        <f>IF(OR(L801="",AND(L801=L800,L801=L802)),NA(), L801)</f>
        <v>0</v>
      </c>
      <c r="M1171">
        <f>IF(ISNA(N1171),NA(),M801)</f>
        <v>0</v>
      </c>
      <c r="N1171">
        <f>IF(OR(N801="",AND(N801=N800,N801=N802)),NA(), N801)</f>
        <v>0</v>
      </c>
    </row>
    <row r="1172" spans="5:14">
      <c r="E1172">
        <f>IF(ISNA(F1172),NA(),E802)</f>
        <v>0</v>
      </c>
      <c r="F1172">
        <f>IF(OR(F802="",AND(F802=F801,F802=F803)),NA(), F802)</f>
        <v>0</v>
      </c>
      <c r="G1172">
        <f>IF(ISNA(H1172),NA(),G802)</f>
        <v>0</v>
      </c>
      <c r="H1172">
        <f>IF(OR(H802="",AND(H802=H801,H802=H803)),NA(), H802)</f>
        <v>0</v>
      </c>
      <c r="K1172">
        <f>IF(ISNA(L1172),NA(),K802)</f>
        <v>0</v>
      </c>
      <c r="L1172">
        <f>IF(OR(L802="",AND(L802=L801,L802=L803)),NA(), L802)</f>
        <v>0</v>
      </c>
      <c r="M1172">
        <f>IF(ISNA(N1172),NA(),M802)</f>
        <v>0</v>
      </c>
      <c r="N1172">
        <f>IF(OR(N802="",AND(N802=N801,N802=N803)),NA(), N802)</f>
        <v>0</v>
      </c>
    </row>
    <row r="1173" spans="5:14">
      <c r="E1173">
        <f>IF(ISNA(F1173),NA(),E803)</f>
        <v>0</v>
      </c>
      <c r="F1173">
        <f>IF(OR(F803="",AND(F803=F802,F803=F804)),NA(), F803)</f>
        <v>0</v>
      </c>
      <c r="G1173">
        <f>IF(ISNA(H1173),NA(),G803)</f>
        <v>0</v>
      </c>
      <c r="H1173">
        <f>IF(OR(H803="",AND(H803=H802,H803=H804)),NA(), H803)</f>
        <v>0</v>
      </c>
      <c r="K1173">
        <f>IF(ISNA(L1173),NA(),K803)</f>
        <v>0</v>
      </c>
      <c r="L1173">
        <f>IF(OR(L803="",AND(L803=L802,L803=L804)),NA(), L803)</f>
        <v>0</v>
      </c>
      <c r="M1173">
        <f>IF(ISNA(N1173),NA(),M803)</f>
        <v>0</v>
      </c>
      <c r="N1173">
        <f>IF(OR(N803="",AND(N803=N802,N803=N804)),NA(), N803)</f>
        <v>0</v>
      </c>
    </row>
    <row r="1174" spans="5:14">
      <c r="E1174">
        <f>IF(ISNA(F1174),NA(),E804)</f>
        <v>0</v>
      </c>
      <c r="F1174">
        <f>IF(OR(F804="",AND(F804=F803,F804=F805)),NA(), F804)</f>
        <v>0</v>
      </c>
      <c r="G1174">
        <f>IF(ISNA(H1174),NA(),G804)</f>
        <v>0</v>
      </c>
      <c r="H1174">
        <f>IF(OR(H804="",AND(H804=H803,H804=H805)),NA(), H804)</f>
        <v>0</v>
      </c>
      <c r="K1174">
        <f>IF(ISNA(L1174),NA(),K804)</f>
        <v>0</v>
      </c>
      <c r="L1174">
        <f>IF(OR(L804="",AND(L804=L803,L804=L805)),NA(), L804)</f>
        <v>0</v>
      </c>
      <c r="M1174">
        <f>IF(ISNA(N1174),NA(),M804)</f>
        <v>0</v>
      </c>
      <c r="N1174">
        <f>IF(OR(N804="",AND(N804=N803,N804=N805)),NA(), N804)</f>
        <v>0</v>
      </c>
    </row>
    <row r="1175" spans="5:14">
      <c r="E1175">
        <f>IF(ISNA(F1175),NA(),E805)</f>
        <v>0</v>
      </c>
      <c r="F1175">
        <f>IF(OR(F805="",AND(F805=F804,F805=F806)),NA(), F805)</f>
        <v>0</v>
      </c>
      <c r="G1175">
        <f>IF(ISNA(H1175),NA(),G805)</f>
        <v>0</v>
      </c>
      <c r="H1175">
        <f>IF(OR(H805="",AND(H805=H804,H805=H806)),NA(), H805)</f>
        <v>0</v>
      </c>
      <c r="K1175">
        <f>IF(ISNA(L1175),NA(),K805)</f>
        <v>0</v>
      </c>
      <c r="L1175">
        <f>IF(OR(L805="",AND(L805=L804,L805=L806)),NA(), L805)</f>
        <v>0</v>
      </c>
      <c r="M1175">
        <f>IF(ISNA(N1175),NA(),M805)</f>
        <v>0</v>
      </c>
      <c r="N1175">
        <f>IF(OR(N805="",AND(N805=N804,N805=N806)),NA(), N805)</f>
        <v>0</v>
      </c>
    </row>
    <row r="1176" spans="5:14">
      <c r="E1176">
        <f>IF(ISNA(F1176),NA(),E806)</f>
        <v>0</v>
      </c>
      <c r="F1176">
        <f>IF(OR(F806="",AND(F806=F805,F806=F807)),NA(), F806)</f>
        <v>0</v>
      </c>
      <c r="G1176">
        <f>IF(ISNA(H1176),NA(),G806)</f>
        <v>0</v>
      </c>
      <c r="H1176">
        <f>IF(OR(H806="",AND(H806=H805,H806=H807)),NA(), H806)</f>
        <v>0</v>
      </c>
      <c r="K1176">
        <f>IF(ISNA(L1176),NA(),K806)</f>
        <v>0</v>
      </c>
      <c r="L1176">
        <f>IF(OR(L806="",AND(L806=L805,L806=L807)),NA(), L806)</f>
        <v>0</v>
      </c>
      <c r="M1176">
        <f>IF(ISNA(N1176),NA(),M806)</f>
        <v>0</v>
      </c>
      <c r="N1176">
        <f>IF(OR(N806="",AND(N806=N805,N806=N807)),NA(), N806)</f>
        <v>0</v>
      </c>
    </row>
    <row r="1177" spans="5:14">
      <c r="E1177">
        <f>IF(ISNA(F1177),NA(),E807)</f>
        <v>0</v>
      </c>
      <c r="F1177">
        <f>IF(OR(F807="",AND(F807=F806,F807=F808)),NA(), F807)</f>
        <v>0</v>
      </c>
      <c r="G1177">
        <f>IF(ISNA(H1177),NA(),G807)</f>
        <v>0</v>
      </c>
      <c r="H1177">
        <f>IF(OR(H807="",AND(H807=H806,H807=H808)),NA(), H807)</f>
        <v>0</v>
      </c>
      <c r="K1177">
        <f>IF(ISNA(L1177),NA(),K807)</f>
        <v>0</v>
      </c>
      <c r="L1177">
        <f>IF(OR(L807="",AND(L807=L806,L807=L808)),NA(), L807)</f>
        <v>0</v>
      </c>
      <c r="M1177">
        <f>IF(ISNA(N1177),NA(),M807)</f>
        <v>0</v>
      </c>
      <c r="N1177">
        <f>IF(OR(N807="",AND(N807=N806,N807=N808)),NA(), N807)</f>
        <v>0</v>
      </c>
    </row>
    <row r="1178" spans="5:14">
      <c r="E1178">
        <f>IF(ISNA(F1178),NA(),E808)</f>
        <v>0</v>
      </c>
      <c r="F1178">
        <f>IF(OR(F808="",AND(F808=F807,F808=F809)),NA(), F808)</f>
        <v>0</v>
      </c>
      <c r="G1178">
        <f>IF(ISNA(H1178),NA(),G808)</f>
        <v>0</v>
      </c>
      <c r="H1178">
        <f>IF(OR(H808="",AND(H808=H807,H808=H809)),NA(), H808)</f>
        <v>0</v>
      </c>
      <c r="K1178">
        <f>IF(ISNA(L1178),NA(),K808)</f>
        <v>0</v>
      </c>
      <c r="L1178">
        <f>IF(OR(L808="",AND(L808=L807,L808=L809)),NA(), L808)</f>
        <v>0</v>
      </c>
      <c r="M1178">
        <f>IF(ISNA(N1178),NA(),M808)</f>
        <v>0</v>
      </c>
      <c r="N1178">
        <f>IF(OR(N808="",AND(N808=N807,N808=N809)),NA(), N808)</f>
        <v>0</v>
      </c>
    </row>
    <row r="1179" spans="5:14">
      <c r="E1179">
        <f>IF(ISNA(F1179),NA(),E809)</f>
        <v>0</v>
      </c>
      <c r="F1179">
        <f>IF(OR(F809="",AND(F809=F808,F809=F810)),NA(), F809)</f>
        <v>0</v>
      </c>
      <c r="G1179">
        <f>IF(ISNA(H1179),NA(),G809)</f>
        <v>0</v>
      </c>
      <c r="H1179">
        <f>IF(OR(H809="",AND(H809=H808,H809=H810)),NA(), H809)</f>
        <v>0</v>
      </c>
      <c r="K1179">
        <f>IF(ISNA(L1179),NA(),K809)</f>
        <v>0</v>
      </c>
      <c r="L1179">
        <f>IF(OR(L809="",AND(L809=L808,L809=L810)),NA(), L809)</f>
        <v>0</v>
      </c>
      <c r="M1179">
        <f>IF(ISNA(N1179),NA(),M809)</f>
        <v>0</v>
      </c>
      <c r="N1179">
        <f>IF(OR(N809="",AND(N809=N808,N809=N810)),NA(), N809)</f>
        <v>0</v>
      </c>
    </row>
    <row r="1180" spans="5:14">
      <c r="E1180">
        <f>IF(ISNA(F1180),NA(),E810)</f>
        <v>0</v>
      </c>
      <c r="F1180">
        <f>IF(OR(F810="",AND(F810=F809,F810=F811)),NA(), F810)</f>
        <v>0</v>
      </c>
      <c r="G1180">
        <f>IF(ISNA(H1180),NA(),G810)</f>
        <v>0</v>
      </c>
      <c r="H1180">
        <f>IF(OR(H810="",AND(H810=H809,H810=H811)),NA(), H810)</f>
        <v>0</v>
      </c>
      <c r="K1180">
        <f>IF(ISNA(L1180),NA(),K810)</f>
        <v>0</v>
      </c>
      <c r="L1180">
        <f>IF(OR(L810="",AND(L810=L809,L810=L811)),NA(), L810)</f>
        <v>0</v>
      </c>
      <c r="M1180">
        <f>IF(ISNA(N1180),NA(),M810)</f>
        <v>0</v>
      </c>
      <c r="N1180">
        <f>IF(OR(N810="",AND(N810=N809,N810=N811)),NA(), N810)</f>
        <v>0</v>
      </c>
    </row>
    <row r="1181" spans="5:14">
      <c r="E1181">
        <f>IF(ISNA(F1181),NA(),E811)</f>
        <v>0</v>
      </c>
      <c r="F1181">
        <f>IF(OR(F811="",AND(F811=F810,F811=F812)),NA(), F811)</f>
        <v>0</v>
      </c>
      <c r="G1181">
        <f>IF(ISNA(H1181),NA(),G811)</f>
        <v>0</v>
      </c>
      <c r="H1181">
        <f>IF(OR(H811="",AND(H811=H810,H811=H812)),NA(), H811)</f>
        <v>0</v>
      </c>
      <c r="K1181">
        <f>IF(ISNA(L1181),NA(),K811)</f>
        <v>0</v>
      </c>
      <c r="L1181">
        <f>IF(OR(L811="",AND(L811=L810,L811=L812)),NA(), L811)</f>
        <v>0</v>
      </c>
      <c r="M1181">
        <f>IF(ISNA(N1181),NA(),M811)</f>
        <v>0</v>
      </c>
      <c r="N1181">
        <f>IF(OR(N811="",AND(N811=N810,N811=N812)),NA(), N811)</f>
        <v>0</v>
      </c>
    </row>
    <row r="1182" spans="5:14">
      <c r="E1182">
        <f>IF(ISNA(F1182),NA(),E812)</f>
        <v>0</v>
      </c>
      <c r="F1182">
        <f>IF(OR(F812="",AND(F812=F811,F812=F813)),NA(), F812)</f>
        <v>0</v>
      </c>
      <c r="G1182">
        <f>IF(ISNA(H1182),NA(),G812)</f>
        <v>0</v>
      </c>
      <c r="H1182">
        <f>IF(OR(H812="",AND(H812=H811,H812=H813)),NA(), H812)</f>
        <v>0</v>
      </c>
      <c r="K1182">
        <f>IF(ISNA(L1182),NA(),K812)</f>
        <v>0</v>
      </c>
      <c r="L1182">
        <f>IF(OR(L812="",AND(L812=L811,L812=L813)),NA(), L812)</f>
        <v>0</v>
      </c>
      <c r="M1182">
        <f>IF(ISNA(N1182),NA(),M812)</f>
        <v>0</v>
      </c>
      <c r="N1182">
        <f>IF(OR(N812="",AND(N812=N811,N812=N813)),NA(), N812)</f>
        <v>0</v>
      </c>
    </row>
    <row r="1183" spans="5:14">
      <c r="E1183">
        <f>IF(ISNA(F1183),NA(),E813)</f>
        <v>0</v>
      </c>
      <c r="F1183">
        <f>IF(OR(F813="",AND(F813=F812,F813=F814)),NA(), F813)</f>
        <v>0</v>
      </c>
      <c r="G1183">
        <f>IF(ISNA(H1183),NA(),G813)</f>
        <v>0</v>
      </c>
      <c r="H1183">
        <f>IF(OR(H813="",AND(H813=H812,H813=H814)),NA(), H813)</f>
        <v>0</v>
      </c>
      <c r="K1183">
        <f>IF(ISNA(L1183),NA(),K813)</f>
        <v>0</v>
      </c>
      <c r="L1183">
        <f>IF(OR(L813="",AND(L813=L812,L813=L814)),NA(), L813)</f>
        <v>0</v>
      </c>
      <c r="M1183">
        <f>IF(ISNA(N1183),NA(),M813)</f>
        <v>0</v>
      </c>
      <c r="N1183">
        <f>IF(OR(N813="",AND(N813=N812,N813=N814)),NA(), N813)</f>
        <v>0</v>
      </c>
    </row>
    <row r="1184" spans="5:14">
      <c r="E1184">
        <f>IF(ISNA(F1184),NA(),E814)</f>
        <v>0</v>
      </c>
      <c r="F1184">
        <f>IF(OR(F814="",AND(F814=F813,F814=F815)),NA(), F814)</f>
        <v>0</v>
      </c>
      <c r="G1184">
        <f>IF(ISNA(H1184),NA(),G814)</f>
        <v>0</v>
      </c>
      <c r="H1184">
        <f>IF(OR(H814="",AND(H814=H813,H814=H815)),NA(), H814)</f>
        <v>0</v>
      </c>
      <c r="K1184">
        <f>IF(ISNA(L1184),NA(),K814)</f>
        <v>0</v>
      </c>
      <c r="L1184">
        <f>IF(OR(L814="",AND(L814=L813,L814=L815)),NA(), L814)</f>
        <v>0</v>
      </c>
      <c r="M1184">
        <f>IF(ISNA(N1184),NA(),M814)</f>
        <v>0</v>
      </c>
      <c r="N1184">
        <f>IF(OR(N814="",AND(N814=N813,N814=N815)),NA(), N814)</f>
        <v>0</v>
      </c>
    </row>
    <row r="1185" spans="5:14">
      <c r="E1185">
        <f>IF(ISNA(F1185),NA(),E815)</f>
        <v>0</v>
      </c>
      <c r="F1185">
        <f>IF(OR(F815="",AND(F815=F814,F815=F816)),NA(), F815)</f>
        <v>0</v>
      </c>
      <c r="G1185">
        <f>IF(ISNA(H1185),NA(),G815)</f>
        <v>0</v>
      </c>
      <c r="H1185">
        <f>IF(OR(H815="",AND(H815=H814,H815=H816)),NA(), H815)</f>
        <v>0</v>
      </c>
      <c r="K1185">
        <f>IF(ISNA(L1185),NA(),K815)</f>
        <v>0</v>
      </c>
      <c r="L1185">
        <f>IF(OR(L815="",AND(L815=L814,L815=L816)),NA(), L815)</f>
        <v>0</v>
      </c>
      <c r="M1185">
        <f>IF(ISNA(N1185),NA(),M815)</f>
        <v>0</v>
      </c>
      <c r="N1185">
        <f>IF(OR(N815="",AND(N815=N814,N815=N816)),NA(), N815)</f>
        <v>0</v>
      </c>
    </row>
    <row r="1186" spans="5:14">
      <c r="E1186">
        <f>IF(ISNA(F1186),NA(),E816)</f>
        <v>0</v>
      </c>
      <c r="F1186">
        <f>IF(OR(F816="",AND(F816=F815,F816=F817)),NA(), F816)</f>
        <v>0</v>
      </c>
      <c r="G1186">
        <f>IF(ISNA(H1186),NA(),G816)</f>
        <v>0</v>
      </c>
      <c r="H1186">
        <f>IF(OR(H816="",AND(H816=H815,H816=H817)),NA(), H816)</f>
        <v>0</v>
      </c>
      <c r="K1186">
        <f>IF(ISNA(L1186),NA(),K816)</f>
        <v>0</v>
      </c>
      <c r="L1186">
        <f>IF(OR(L816="",AND(L816=L815,L816=L817)),NA(), L816)</f>
        <v>0</v>
      </c>
      <c r="M1186">
        <f>IF(ISNA(N1186),NA(),M816)</f>
        <v>0</v>
      </c>
      <c r="N1186">
        <f>IF(OR(N816="",AND(N816=N815,N816=N817)),NA(), N816)</f>
        <v>0</v>
      </c>
    </row>
    <row r="1187" spans="5:14">
      <c r="E1187">
        <f>IF(ISNA(F1187),NA(),E817)</f>
        <v>0</v>
      </c>
      <c r="F1187">
        <f>IF(OR(F817="",AND(F817=F816,F817=F818)),NA(), F817)</f>
        <v>0</v>
      </c>
      <c r="G1187">
        <f>IF(ISNA(H1187),NA(),G817)</f>
        <v>0</v>
      </c>
      <c r="H1187">
        <f>IF(OR(H817="",AND(H817=H816,H817=H818)),NA(), H817)</f>
        <v>0</v>
      </c>
      <c r="K1187">
        <f>IF(ISNA(L1187),NA(),K817)</f>
        <v>0</v>
      </c>
      <c r="L1187">
        <f>IF(OR(L817="",AND(L817=L816,L817=L818)),NA(), L817)</f>
        <v>0</v>
      </c>
      <c r="M1187">
        <f>IF(ISNA(N1187),NA(),M817)</f>
        <v>0</v>
      </c>
      <c r="N1187">
        <f>IF(OR(N817="",AND(N817=N816,N817=N818)),NA(), N817)</f>
        <v>0</v>
      </c>
    </row>
    <row r="1188" spans="5:14">
      <c r="E1188">
        <f>IF(ISNA(F1188),NA(),E818)</f>
        <v>0</v>
      </c>
      <c r="F1188">
        <f>IF(OR(F818="",AND(F818=F817,F818=F819)),NA(), F818)</f>
        <v>0</v>
      </c>
      <c r="G1188">
        <f>IF(ISNA(H1188),NA(),G818)</f>
        <v>0</v>
      </c>
      <c r="H1188">
        <f>IF(OR(H818="",AND(H818=H817,H818=H819)),NA(), H818)</f>
        <v>0</v>
      </c>
      <c r="K1188">
        <f>IF(ISNA(L1188),NA(),K818)</f>
        <v>0</v>
      </c>
      <c r="L1188">
        <f>IF(OR(L818="",AND(L818=L817,L818=L819)),NA(), L818)</f>
        <v>0</v>
      </c>
      <c r="M1188">
        <f>IF(ISNA(N1188),NA(),M818)</f>
        <v>0</v>
      </c>
      <c r="N1188">
        <f>IF(OR(N818="",AND(N818=N817,N818=N819)),NA(), N818)</f>
        <v>0</v>
      </c>
    </row>
    <row r="1189" spans="5:14">
      <c r="E1189">
        <f>IF(ISNA(F1189),NA(),E819)</f>
        <v>0</v>
      </c>
      <c r="F1189">
        <f>IF(OR(F819="",AND(F819=F818,F819=F820)),NA(), F819)</f>
        <v>0</v>
      </c>
      <c r="G1189">
        <f>IF(ISNA(H1189),NA(),G819)</f>
        <v>0</v>
      </c>
      <c r="H1189">
        <f>IF(OR(H819="",AND(H819=H818,H819=H820)),NA(), H819)</f>
        <v>0</v>
      </c>
      <c r="K1189">
        <f>IF(ISNA(L1189),NA(),K819)</f>
        <v>0</v>
      </c>
      <c r="L1189">
        <f>IF(OR(L819="",AND(L819=L818,L819=L820)),NA(), L819)</f>
        <v>0</v>
      </c>
      <c r="M1189">
        <f>IF(ISNA(N1189),NA(),M819)</f>
        <v>0</v>
      </c>
      <c r="N1189">
        <f>IF(OR(N819="",AND(N819=N818,N819=N820)),NA(), N819)</f>
        <v>0</v>
      </c>
    </row>
    <row r="1190" spans="5:14">
      <c r="E1190">
        <f>IF(ISNA(F1190),NA(),E820)</f>
        <v>0</v>
      </c>
      <c r="F1190">
        <f>IF(OR(F820="",AND(F820=F819,F820=F821)),NA(), F820)</f>
        <v>0</v>
      </c>
      <c r="G1190">
        <f>IF(ISNA(H1190),NA(),G820)</f>
        <v>0</v>
      </c>
      <c r="H1190">
        <f>IF(OR(H820="",AND(H820=H819,H820=H821)),NA(), H820)</f>
        <v>0</v>
      </c>
      <c r="K1190">
        <f>IF(ISNA(L1190),NA(),K820)</f>
        <v>0</v>
      </c>
      <c r="L1190">
        <f>IF(OR(L820="",AND(L820=L819,L820=L821)),NA(), L820)</f>
        <v>0</v>
      </c>
      <c r="M1190">
        <f>IF(ISNA(N1190),NA(),M820)</f>
        <v>0</v>
      </c>
      <c r="N1190">
        <f>IF(OR(N820="",AND(N820=N819,N820=N821)),NA(), N820)</f>
        <v>0</v>
      </c>
    </row>
    <row r="1191" spans="5:14">
      <c r="E1191">
        <f>IF(ISNA(F1191),NA(),E821)</f>
        <v>0</v>
      </c>
      <c r="F1191">
        <f>IF(OR(F821="",AND(F821=F820,F821=F822)),NA(), F821)</f>
        <v>0</v>
      </c>
      <c r="G1191">
        <f>IF(ISNA(H1191),NA(),G821)</f>
        <v>0</v>
      </c>
      <c r="H1191">
        <f>IF(OR(H821="",AND(H821=H820,H821=H822)),NA(), H821)</f>
        <v>0</v>
      </c>
      <c r="K1191">
        <f>IF(ISNA(L1191),NA(),K821)</f>
        <v>0</v>
      </c>
      <c r="L1191">
        <f>IF(OR(L821="",AND(L821=L820,L821=L822)),NA(), L821)</f>
        <v>0</v>
      </c>
      <c r="M1191">
        <f>IF(ISNA(N1191),NA(),M821)</f>
        <v>0</v>
      </c>
      <c r="N1191">
        <f>IF(OR(N821="",AND(N821=N820,N821=N822)),NA(), N821)</f>
        <v>0</v>
      </c>
    </row>
    <row r="1192" spans="5:14">
      <c r="E1192">
        <f>IF(ISNA(F1192),NA(),E822)</f>
        <v>0</v>
      </c>
      <c r="F1192">
        <f>IF(OR(F822="",AND(F822=F821,F822=F823)),NA(), F822)</f>
        <v>0</v>
      </c>
      <c r="G1192">
        <f>IF(ISNA(H1192),NA(),G822)</f>
        <v>0</v>
      </c>
      <c r="H1192">
        <f>IF(OR(H822="",AND(H822=H821,H822=H823)),NA(), H822)</f>
        <v>0</v>
      </c>
      <c r="K1192">
        <f>IF(ISNA(L1192),NA(),K822)</f>
        <v>0</v>
      </c>
      <c r="L1192">
        <f>IF(OR(L822="",AND(L822=L821,L822=L823)),NA(), L822)</f>
        <v>0</v>
      </c>
      <c r="M1192">
        <f>IF(ISNA(N1192),NA(),M822)</f>
        <v>0</v>
      </c>
      <c r="N1192">
        <f>IF(OR(N822="",AND(N822=N821,N822=N823)),NA(), N822)</f>
        <v>0</v>
      </c>
    </row>
    <row r="1193" spans="5:14">
      <c r="E1193">
        <f>IF(ISNA(F1193),NA(),E823)</f>
        <v>0</v>
      </c>
      <c r="F1193">
        <f>IF(OR(F823="",AND(F823=F822,F823=F824)),NA(), F823)</f>
        <v>0</v>
      </c>
      <c r="G1193">
        <f>IF(ISNA(H1193),NA(),G823)</f>
        <v>0</v>
      </c>
      <c r="H1193">
        <f>IF(OR(H823="",AND(H823=H822,H823=H824)),NA(), H823)</f>
        <v>0</v>
      </c>
      <c r="K1193">
        <f>IF(ISNA(L1193),NA(),K823)</f>
        <v>0</v>
      </c>
      <c r="L1193">
        <f>IF(OR(L823="",AND(L823=L822,L823=L824)),NA(), L823)</f>
        <v>0</v>
      </c>
      <c r="M1193">
        <f>IF(ISNA(N1193),NA(),M823)</f>
        <v>0</v>
      </c>
      <c r="N1193">
        <f>IF(OR(N823="",AND(N823=N822,N823=N824)),NA(), N823)</f>
        <v>0</v>
      </c>
    </row>
    <row r="1194" spans="5:14">
      <c r="E1194">
        <f>IF(ISNA(F1194),NA(),E824)</f>
        <v>0</v>
      </c>
      <c r="F1194">
        <f>IF(OR(F824="",AND(F824=F823,F824=F825)),NA(), F824)</f>
        <v>0</v>
      </c>
      <c r="G1194">
        <f>IF(ISNA(H1194),NA(),G824)</f>
        <v>0</v>
      </c>
      <c r="H1194">
        <f>IF(OR(H824="",AND(H824=H823,H824=H825)),NA(), H824)</f>
        <v>0</v>
      </c>
      <c r="K1194">
        <f>IF(ISNA(L1194),NA(),K824)</f>
        <v>0</v>
      </c>
      <c r="L1194">
        <f>IF(OR(L824="",AND(L824=L823,L824=L825)),NA(), L824)</f>
        <v>0</v>
      </c>
      <c r="M1194">
        <f>IF(ISNA(N1194),NA(),M824)</f>
        <v>0</v>
      </c>
      <c r="N1194">
        <f>IF(OR(N824="",AND(N824=N823,N824=N825)),NA(), N824)</f>
        <v>0</v>
      </c>
    </row>
    <row r="1195" spans="5:14">
      <c r="E1195">
        <f>IF(ISNA(F1195),NA(),E825)</f>
        <v>0</v>
      </c>
      <c r="F1195">
        <f>IF(OR(F825="",AND(F825=F824,F825=F826)),NA(), F825)</f>
        <v>0</v>
      </c>
      <c r="G1195">
        <f>IF(ISNA(H1195),NA(),G825)</f>
        <v>0</v>
      </c>
      <c r="H1195">
        <f>IF(OR(H825="",AND(H825=H824,H825=H826)),NA(), H825)</f>
        <v>0</v>
      </c>
      <c r="K1195">
        <f>IF(ISNA(L1195),NA(),K825)</f>
        <v>0</v>
      </c>
      <c r="L1195">
        <f>IF(OR(L825="",AND(L825=L824,L825=L826)),NA(), L825)</f>
        <v>0</v>
      </c>
      <c r="M1195">
        <f>IF(ISNA(N1195),NA(),M825)</f>
        <v>0</v>
      </c>
      <c r="N1195">
        <f>IF(OR(N825="",AND(N825=N824,N825=N826)),NA(), N825)</f>
        <v>0</v>
      </c>
    </row>
    <row r="1196" spans="5:14">
      <c r="E1196">
        <f>IF(ISNA(F1196),NA(),E826)</f>
        <v>0</v>
      </c>
      <c r="F1196">
        <f>IF(OR(F826="",AND(F826=F825,F826=F827)),NA(), F826)</f>
        <v>0</v>
      </c>
      <c r="G1196">
        <f>IF(ISNA(H1196),NA(),G826)</f>
        <v>0</v>
      </c>
      <c r="H1196">
        <f>IF(OR(H826="",AND(H826=H825,H826=H827)),NA(), H826)</f>
        <v>0</v>
      </c>
      <c r="K1196">
        <f>IF(ISNA(L1196),NA(),K826)</f>
        <v>0</v>
      </c>
      <c r="L1196">
        <f>IF(OR(L826="",AND(L826=L825,L826=L827)),NA(), L826)</f>
        <v>0</v>
      </c>
      <c r="M1196">
        <f>IF(ISNA(N1196),NA(),M826)</f>
        <v>0</v>
      </c>
      <c r="N1196">
        <f>IF(OR(N826="",AND(N826=N825,N826=N827)),NA(), N826)</f>
        <v>0</v>
      </c>
    </row>
    <row r="1197" spans="5:14">
      <c r="E1197">
        <f>IF(ISNA(F1197),NA(),E827)</f>
        <v>0</v>
      </c>
      <c r="F1197">
        <f>IF(OR(F827="",AND(F827=F826,F827=F828)),NA(), F827)</f>
        <v>0</v>
      </c>
      <c r="G1197">
        <f>IF(ISNA(H1197),NA(),G827)</f>
        <v>0</v>
      </c>
      <c r="H1197">
        <f>IF(OR(H827="",AND(H827=H826,H827=H828)),NA(), H827)</f>
        <v>0</v>
      </c>
      <c r="K1197">
        <f>IF(ISNA(L1197),NA(),K827)</f>
        <v>0</v>
      </c>
      <c r="L1197">
        <f>IF(OR(L827="",AND(L827=L826,L827=L828)),NA(), L827)</f>
        <v>0</v>
      </c>
      <c r="M1197">
        <f>IF(ISNA(N1197),NA(),M827)</f>
        <v>0</v>
      </c>
      <c r="N1197">
        <f>IF(OR(N827="",AND(N827=N826,N827=N828)),NA(), N827)</f>
        <v>0</v>
      </c>
    </row>
    <row r="1198" spans="5:14">
      <c r="E1198">
        <f>IF(ISNA(F1198),NA(),E828)</f>
        <v>0</v>
      </c>
      <c r="F1198">
        <f>IF(OR(F828="",AND(F828=F827,F828=F829)),NA(), F828)</f>
        <v>0</v>
      </c>
      <c r="G1198">
        <f>IF(ISNA(H1198),NA(),G828)</f>
        <v>0</v>
      </c>
      <c r="H1198">
        <f>IF(OR(H828="",AND(H828=H827,H828=H829)),NA(), H828)</f>
        <v>0</v>
      </c>
      <c r="K1198">
        <f>IF(ISNA(L1198),NA(),K828)</f>
        <v>0</v>
      </c>
      <c r="L1198">
        <f>IF(OR(L828="",AND(L828=L827,L828=L829)),NA(), L828)</f>
        <v>0</v>
      </c>
      <c r="M1198">
        <f>IF(ISNA(N1198),NA(),M828)</f>
        <v>0</v>
      </c>
      <c r="N1198">
        <f>IF(OR(N828="",AND(N828=N827,N828=N829)),NA(), N828)</f>
        <v>0</v>
      </c>
    </row>
    <row r="1199" spans="5:14">
      <c r="E1199">
        <f>IF(ISNA(F1199),NA(),E829)</f>
        <v>0</v>
      </c>
      <c r="F1199">
        <f>IF(OR(F829="",AND(F829=F828,F829=F830)),NA(), F829)</f>
        <v>0</v>
      </c>
      <c r="G1199">
        <f>IF(ISNA(H1199),NA(),G829)</f>
        <v>0</v>
      </c>
      <c r="H1199">
        <f>IF(OR(H829="",AND(H829=H828,H829=H830)),NA(), H829)</f>
        <v>0</v>
      </c>
      <c r="K1199">
        <f>IF(ISNA(L1199),NA(),K829)</f>
        <v>0</v>
      </c>
      <c r="L1199">
        <f>IF(OR(L829="",AND(L829=L828,L829=L830)),NA(), L829)</f>
        <v>0</v>
      </c>
      <c r="M1199">
        <f>IF(ISNA(N1199),NA(),M829)</f>
        <v>0</v>
      </c>
      <c r="N1199">
        <f>IF(OR(N829="",AND(N829=N828,N829=N830)),NA(), N829)</f>
        <v>0</v>
      </c>
    </row>
    <row r="1200" spans="5:14">
      <c r="E1200">
        <f>IF(ISNA(F1200),NA(),E830)</f>
        <v>0</v>
      </c>
      <c r="F1200">
        <f>IF(OR(F830="",AND(F830=F829,F830=F831)),NA(), F830)</f>
        <v>0</v>
      </c>
      <c r="G1200">
        <f>IF(ISNA(H1200),NA(),G830)</f>
        <v>0</v>
      </c>
      <c r="H1200">
        <f>IF(OR(H830="",AND(H830=H829,H830=H831)),NA(), H830)</f>
        <v>0</v>
      </c>
      <c r="K1200">
        <f>IF(ISNA(L1200),NA(),K830)</f>
        <v>0</v>
      </c>
      <c r="L1200">
        <f>IF(OR(L830="",AND(L830=L829,L830=L831)),NA(), L830)</f>
        <v>0</v>
      </c>
      <c r="M1200">
        <f>IF(ISNA(N1200),NA(),M830)</f>
        <v>0</v>
      </c>
      <c r="N1200">
        <f>IF(OR(N830="",AND(N830=N829,N830=N831)),NA(), N830)</f>
        <v>0</v>
      </c>
    </row>
    <row r="1201" spans="5:14">
      <c r="E1201">
        <f>IF(ISNA(F1201),NA(),E831)</f>
        <v>0</v>
      </c>
      <c r="F1201">
        <f>IF(OR(F831="",AND(F831=F830,F831=F832)),NA(), F831)</f>
        <v>0</v>
      </c>
      <c r="G1201">
        <f>IF(ISNA(H1201),NA(),G831)</f>
        <v>0</v>
      </c>
      <c r="H1201">
        <f>IF(OR(H831="",AND(H831=H830,H831=H832)),NA(), H831)</f>
        <v>0</v>
      </c>
      <c r="K1201">
        <f>IF(ISNA(L1201),NA(),K831)</f>
        <v>0</v>
      </c>
      <c r="L1201">
        <f>IF(OR(L831="",AND(L831=L830,L831=L832)),NA(), L831)</f>
        <v>0</v>
      </c>
      <c r="M1201">
        <f>IF(ISNA(N1201),NA(),M831)</f>
        <v>0</v>
      </c>
      <c r="N1201">
        <f>IF(OR(N831="",AND(N831=N830,N831=N832)),NA(), N831)</f>
        <v>0</v>
      </c>
    </row>
    <row r="1202" spans="5:14">
      <c r="E1202">
        <f>IF(ISNA(F1202),NA(),E832)</f>
        <v>0</v>
      </c>
      <c r="F1202">
        <f>IF(OR(F832="",AND(F832=F831,F832=F833)),NA(), F832)</f>
        <v>0</v>
      </c>
      <c r="G1202">
        <f>IF(ISNA(H1202),NA(),G832)</f>
        <v>0</v>
      </c>
      <c r="H1202">
        <f>IF(OR(H832="",AND(H832=H831,H832=H833)),NA(), H832)</f>
        <v>0</v>
      </c>
      <c r="K1202">
        <f>IF(ISNA(L1202),NA(),K832)</f>
        <v>0</v>
      </c>
      <c r="L1202">
        <f>IF(OR(L832="",AND(L832=L831,L832=L833)),NA(), L832)</f>
        <v>0</v>
      </c>
      <c r="M1202">
        <f>IF(ISNA(N1202),NA(),M832)</f>
        <v>0</v>
      </c>
      <c r="N1202">
        <f>IF(OR(N832="",AND(N832=N831,N832=N833)),NA(), N832)</f>
        <v>0</v>
      </c>
    </row>
    <row r="1203" spans="5:14">
      <c r="E1203">
        <f>IF(ISNA(F1203),NA(),E833)</f>
        <v>0</v>
      </c>
      <c r="F1203">
        <f>IF(OR(F833="",AND(F833=F832,F833=F834)),NA(), F833)</f>
        <v>0</v>
      </c>
      <c r="G1203">
        <f>IF(ISNA(H1203),NA(),G833)</f>
        <v>0</v>
      </c>
      <c r="H1203">
        <f>IF(OR(H833="",AND(H833=H832,H833=H834)),NA(), H833)</f>
        <v>0</v>
      </c>
      <c r="K1203">
        <f>IF(ISNA(L1203),NA(),K833)</f>
        <v>0</v>
      </c>
      <c r="L1203">
        <f>IF(OR(L833="",AND(L833=L832,L833=L834)),NA(), L833)</f>
        <v>0</v>
      </c>
      <c r="M1203">
        <f>IF(ISNA(N1203),NA(),M833)</f>
        <v>0</v>
      </c>
      <c r="N1203">
        <f>IF(OR(N833="",AND(N833=N832,N833=N834)),NA(), N833)</f>
        <v>0</v>
      </c>
    </row>
    <row r="1204" spans="5:14">
      <c r="E1204">
        <f>IF(ISNA(F1204),NA(),E834)</f>
        <v>0</v>
      </c>
      <c r="F1204">
        <f>IF(OR(F834="",AND(F834=F833,F834=F835)),NA(), F834)</f>
        <v>0</v>
      </c>
      <c r="G1204">
        <f>IF(ISNA(H1204),NA(),G834)</f>
        <v>0</v>
      </c>
      <c r="H1204">
        <f>IF(OR(H834="",AND(H834=H833,H834=H835)),NA(), H834)</f>
        <v>0</v>
      </c>
      <c r="K1204">
        <f>IF(ISNA(L1204),NA(),K834)</f>
        <v>0</v>
      </c>
      <c r="L1204">
        <f>IF(OR(L834="",AND(L834=L833,L834=L835)),NA(), L834)</f>
        <v>0</v>
      </c>
      <c r="M1204">
        <f>IF(ISNA(N1204),NA(),M834)</f>
        <v>0</v>
      </c>
      <c r="N1204">
        <f>IF(OR(N834="",AND(N834=N833,N834=N835)),NA(), N834)</f>
        <v>0</v>
      </c>
    </row>
    <row r="1205" spans="5:14">
      <c r="E1205">
        <f>IF(ISNA(F1205),NA(),E835)</f>
        <v>0</v>
      </c>
      <c r="F1205">
        <f>IF(OR(F835="",AND(F835=F834,F835=F836)),NA(), F835)</f>
        <v>0</v>
      </c>
      <c r="G1205">
        <f>IF(ISNA(H1205),NA(),G835)</f>
        <v>0</v>
      </c>
      <c r="H1205">
        <f>IF(OR(H835="",AND(H835=H834,H835=H836)),NA(), H835)</f>
        <v>0</v>
      </c>
      <c r="K1205">
        <f>IF(ISNA(L1205),NA(),K835)</f>
        <v>0</v>
      </c>
      <c r="L1205">
        <f>IF(OR(L835="",AND(L835=L834,L835=L836)),NA(), L835)</f>
        <v>0</v>
      </c>
      <c r="M1205">
        <f>IF(ISNA(N1205),NA(),M835)</f>
        <v>0</v>
      </c>
      <c r="N1205">
        <f>IF(OR(N835="",AND(N835=N834,N835=N836)),NA(), N835)</f>
        <v>0</v>
      </c>
    </row>
    <row r="1206" spans="5:14">
      <c r="E1206">
        <f>IF(ISNA(F1206),NA(),E836)</f>
        <v>0</v>
      </c>
      <c r="F1206">
        <f>IF(OR(F836="",AND(F836=F835,F836=F837)),NA(), F836)</f>
        <v>0</v>
      </c>
      <c r="G1206">
        <f>IF(ISNA(H1206),NA(),G836)</f>
        <v>0</v>
      </c>
      <c r="H1206">
        <f>IF(OR(H836="",AND(H836=H835,H836=H837)),NA(), H836)</f>
        <v>0</v>
      </c>
      <c r="K1206">
        <f>IF(ISNA(L1206),NA(),K836)</f>
        <v>0</v>
      </c>
      <c r="L1206">
        <f>IF(OR(L836="",AND(L836=L835,L836=L837)),NA(), L836)</f>
        <v>0</v>
      </c>
      <c r="M1206">
        <f>IF(ISNA(N1206),NA(),M836)</f>
        <v>0</v>
      </c>
      <c r="N1206">
        <f>IF(OR(N836="",AND(N836=N835,N836=N837)),NA(), N836)</f>
        <v>0</v>
      </c>
    </row>
    <row r="1207" spans="5:14">
      <c r="E1207">
        <f>IF(ISNA(F1207),NA(),E837)</f>
        <v>0</v>
      </c>
      <c r="F1207">
        <f>IF(OR(F837="",AND(F837=F836,F837=F838)),NA(), F837)</f>
        <v>0</v>
      </c>
      <c r="G1207">
        <f>IF(ISNA(H1207),NA(),G837)</f>
        <v>0</v>
      </c>
      <c r="H1207">
        <f>IF(OR(H837="",AND(H837=H836,H837=H838)),NA(), H837)</f>
        <v>0</v>
      </c>
      <c r="K1207">
        <f>IF(ISNA(L1207),NA(),K837)</f>
        <v>0</v>
      </c>
      <c r="L1207">
        <f>IF(OR(L837="",AND(L837=L836,L837=L838)),NA(), L837)</f>
        <v>0</v>
      </c>
      <c r="M1207">
        <f>IF(ISNA(N1207),NA(),M837)</f>
        <v>0</v>
      </c>
      <c r="N1207">
        <f>IF(OR(N837="",AND(N837=N836,N837=N838)),NA(), N837)</f>
        <v>0</v>
      </c>
    </row>
    <row r="1208" spans="5:14">
      <c r="E1208">
        <f>IF(ISNA(F1208),NA(),E838)</f>
        <v>0</v>
      </c>
      <c r="F1208">
        <f>IF(OR(F838="",AND(F838=F837,F838=F839)),NA(), F838)</f>
        <v>0</v>
      </c>
      <c r="G1208">
        <f>IF(ISNA(H1208),NA(),G838)</f>
        <v>0</v>
      </c>
      <c r="H1208">
        <f>IF(OR(H838="",AND(H838=H837,H838=H839)),NA(), H838)</f>
        <v>0</v>
      </c>
      <c r="K1208">
        <f>IF(ISNA(L1208),NA(),K838)</f>
        <v>0</v>
      </c>
      <c r="L1208">
        <f>IF(OR(L838="",AND(L838=L837,L838=L839)),NA(), L838)</f>
        <v>0</v>
      </c>
      <c r="M1208">
        <f>IF(ISNA(N1208),NA(),M838)</f>
        <v>0</v>
      </c>
      <c r="N1208">
        <f>IF(OR(N838="",AND(N838=N837,N838=N839)),NA(), N838)</f>
        <v>0</v>
      </c>
    </row>
    <row r="1209" spans="5:14">
      <c r="E1209">
        <f>IF(ISNA(F1209),NA(),E839)</f>
        <v>0</v>
      </c>
      <c r="F1209">
        <f>IF(OR(F839="",AND(F839=F838,F839=F840)),NA(), F839)</f>
        <v>0</v>
      </c>
      <c r="G1209">
        <f>IF(ISNA(H1209),NA(),G839)</f>
        <v>0</v>
      </c>
      <c r="H1209">
        <f>IF(OR(H839="",AND(H839=H838,H839=H840)),NA(), H839)</f>
        <v>0</v>
      </c>
      <c r="K1209">
        <f>IF(ISNA(L1209),NA(),K839)</f>
        <v>0</v>
      </c>
      <c r="L1209">
        <f>IF(OR(L839="",AND(L839=L838,L839=L840)),NA(), L839)</f>
        <v>0</v>
      </c>
      <c r="M1209">
        <f>IF(ISNA(N1209),NA(),M839)</f>
        <v>0</v>
      </c>
      <c r="N1209">
        <f>IF(OR(N839="",AND(N839=N838,N839=N840)),NA(), N839)</f>
        <v>0</v>
      </c>
    </row>
    <row r="1210" spans="5:14">
      <c r="E1210">
        <f>IF(ISNA(F1210),NA(),E840)</f>
        <v>0</v>
      </c>
      <c r="F1210">
        <f>IF(OR(F840="",AND(F840=F839,F840=F841)),NA(), F840)</f>
        <v>0</v>
      </c>
      <c r="G1210">
        <f>IF(ISNA(H1210),NA(),G840)</f>
        <v>0</v>
      </c>
      <c r="H1210">
        <f>IF(OR(H840="",AND(H840=H839,H840=H841)),NA(), H840)</f>
        <v>0</v>
      </c>
      <c r="K1210">
        <f>IF(ISNA(L1210),NA(),K840)</f>
        <v>0</v>
      </c>
      <c r="L1210">
        <f>IF(OR(L840="",AND(L840=L839,L840=L841)),NA(), L840)</f>
        <v>0</v>
      </c>
      <c r="M1210">
        <f>IF(ISNA(N1210),NA(),M840)</f>
        <v>0</v>
      </c>
      <c r="N1210">
        <f>IF(OR(N840="",AND(N840=N839,N840=N841)),NA(), N840)</f>
        <v>0</v>
      </c>
    </row>
    <row r="1211" spans="5:14">
      <c r="E1211">
        <f>IF(ISNA(F1211),NA(),E841)</f>
        <v>0</v>
      </c>
      <c r="F1211">
        <f>IF(OR(F841="",AND(F841=F840,F841=F842)),NA(), F841)</f>
        <v>0</v>
      </c>
      <c r="G1211">
        <f>IF(ISNA(H1211),NA(),G841)</f>
        <v>0</v>
      </c>
      <c r="H1211">
        <f>IF(OR(H841="",AND(H841=H840,H841=H842)),NA(), H841)</f>
        <v>0</v>
      </c>
      <c r="K1211">
        <f>IF(ISNA(L1211),NA(),K841)</f>
        <v>0</v>
      </c>
      <c r="L1211">
        <f>IF(OR(L841="",AND(L841=L840,L841=L842)),NA(), L841)</f>
        <v>0</v>
      </c>
      <c r="M1211">
        <f>IF(ISNA(N1211),NA(),M841)</f>
        <v>0</v>
      </c>
      <c r="N1211">
        <f>IF(OR(N841="",AND(N841=N840,N841=N842)),NA(), N841)</f>
        <v>0</v>
      </c>
    </row>
    <row r="1212" spans="5:14">
      <c r="E1212">
        <f>IF(ISNA(F1212),NA(),E842)</f>
        <v>0</v>
      </c>
      <c r="F1212">
        <f>IF(OR(F842="",AND(F842=F841,F842=F843)),NA(), F842)</f>
        <v>0</v>
      </c>
      <c r="G1212">
        <f>IF(ISNA(H1212),NA(),G842)</f>
        <v>0</v>
      </c>
      <c r="H1212">
        <f>IF(OR(H842="",AND(H842=H841,H842=H843)),NA(), H842)</f>
        <v>0</v>
      </c>
      <c r="K1212">
        <f>IF(ISNA(L1212),NA(),K842)</f>
        <v>0</v>
      </c>
      <c r="L1212">
        <f>IF(OR(L842="",AND(L842=L841,L842=L843)),NA(), L842)</f>
        <v>0</v>
      </c>
      <c r="M1212">
        <f>IF(ISNA(N1212),NA(),M842)</f>
        <v>0</v>
      </c>
      <c r="N1212">
        <f>IF(OR(N842="",AND(N842=N841,N842=N843)),NA(), N842)</f>
        <v>0</v>
      </c>
    </row>
    <row r="1213" spans="5:14">
      <c r="E1213">
        <f>IF(ISNA(F1213),NA(),E843)</f>
        <v>0</v>
      </c>
      <c r="F1213">
        <f>IF(OR(F843="",AND(F843=F842,F843=F844)),NA(), F843)</f>
        <v>0</v>
      </c>
      <c r="G1213">
        <f>IF(ISNA(H1213),NA(),G843)</f>
        <v>0</v>
      </c>
      <c r="H1213">
        <f>IF(OR(H843="",AND(H843=H842,H843=H844)),NA(), H843)</f>
        <v>0</v>
      </c>
      <c r="K1213">
        <f>IF(ISNA(L1213),NA(),K843)</f>
        <v>0</v>
      </c>
      <c r="L1213">
        <f>IF(OR(L843="",AND(L843=L842,L843=L844)),NA(), L843)</f>
        <v>0</v>
      </c>
      <c r="M1213">
        <f>IF(ISNA(N1213),NA(),M843)</f>
        <v>0</v>
      </c>
      <c r="N1213">
        <f>IF(OR(N843="",AND(N843=N842,N843=N844)),NA(), N843)</f>
        <v>0</v>
      </c>
    </row>
    <row r="1214" spans="5:14">
      <c r="E1214">
        <f>IF(ISNA(F1214),NA(),E844)</f>
        <v>0</v>
      </c>
      <c r="F1214">
        <f>IF(OR(F844="",AND(F844=F843,F844=F845)),NA(), F844)</f>
        <v>0</v>
      </c>
      <c r="G1214">
        <f>IF(ISNA(H1214),NA(),G844)</f>
        <v>0</v>
      </c>
      <c r="H1214">
        <f>IF(OR(H844="",AND(H844=H843,H844=H845)),NA(), H844)</f>
        <v>0</v>
      </c>
      <c r="K1214">
        <f>IF(ISNA(L1214),NA(),K844)</f>
        <v>0</v>
      </c>
      <c r="L1214">
        <f>IF(OR(L844="",AND(L844=L843,L844=L845)),NA(), L844)</f>
        <v>0</v>
      </c>
      <c r="M1214">
        <f>IF(ISNA(N1214),NA(),M844)</f>
        <v>0</v>
      </c>
      <c r="N1214">
        <f>IF(OR(N844="",AND(N844=N843,N844=N845)),NA(), N844)</f>
        <v>0</v>
      </c>
    </row>
    <row r="1215" spans="5:14">
      <c r="E1215">
        <f>IF(ISNA(F1215),NA(),E845)</f>
        <v>0</v>
      </c>
      <c r="F1215">
        <f>IF(OR(F845="",AND(F845=F844,F845=F846)),NA(), F845)</f>
        <v>0</v>
      </c>
      <c r="G1215">
        <f>IF(ISNA(H1215),NA(),G845)</f>
        <v>0</v>
      </c>
      <c r="H1215">
        <f>IF(OR(H845="",AND(H845=H844,H845=H846)),NA(), H845)</f>
        <v>0</v>
      </c>
      <c r="K1215">
        <f>IF(ISNA(L1215),NA(),K845)</f>
        <v>0</v>
      </c>
      <c r="L1215">
        <f>IF(OR(L845="",AND(L845=L844,L845=L846)),NA(), L845)</f>
        <v>0</v>
      </c>
      <c r="M1215">
        <f>IF(ISNA(N1215),NA(),M845)</f>
        <v>0</v>
      </c>
      <c r="N1215">
        <f>IF(OR(N845="",AND(N845=N844,N845=N846)),NA(), N845)</f>
        <v>0</v>
      </c>
    </row>
    <row r="1216" spans="5:14">
      <c r="E1216">
        <f>IF(ISNA(F1216),NA(),E846)</f>
        <v>0</v>
      </c>
      <c r="F1216">
        <f>IF(OR(F846="",AND(F846=F845,F846=F847)),NA(), F846)</f>
        <v>0</v>
      </c>
      <c r="G1216">
        <f>IF(ISNA(H1216),NA(),G846)</f>
        <v>0</v>
      </c>
      <c r="H1216">
        <f>IF(OR(H846="",AND(H846=H845,H846=H847)),NA(), H846)</f>
        <v>0</v>
      </c>
      <c r="K1216">
        <f>IF(ISNA(L1216),NA(),K846)</f>
        <v>0</v>
      </c>
      <c r="L1216">
        <f>IF(OR(L846="",AND(L846=L845,L846=L847)),NA(), L846)</f>
        <v>0</v>
      </c>
      <c r="M1216">
        <f>IF(ISNA(N1216),NA(),M846)</f>
        <v>0</v>
      </c>
      <c r="N1216">
        <f>IF(OR(N846="",AND(N846=N845,N846=N847)),NA(), N846)</f>
        <v>0</v>
      </c>
    </row>
    <row r="1217" spans="5:14">
      <c r="E1217">
        <f>IF(ISNA(F1217),NA(),E847)</f>
        <v>0</v>
      </c>
      <c r="F1217">
        <f>IF(OR(F847="",AND(F847=F846,F847=F848)),NA(), F847)</f>
        <v>0</v>
      </c>
      <c r="G1217">
        <f>IF(ISNA(H1217),NA(),G847)</f>
        <v>0</v>
      </c>
      <c r="H1217">
        <f>IF(OR(H847="",AND(H847=H846,H847=H848)),NA(), H847)</f>
        <v>0</v>
      </c>
      <c r="K1217">
        <f>IF(ISNA(L1217),NA(),K847)</f>
        <v>0</v>
      </c>
      <c r="L1217">
        <f>IF(OR(L847="",AND(L847=L846,L847=L848)),NA(), L847)</f>
        <v>0</v>
      </c>
      <c r="M1217">
        <f>IF(ISNA(N1217),NA(),M847)</f>
        <v>0</v>
      </c>
      <c r="N1217">
        <f>IF(OR(N847="",AND(N847=N846,N847=N848)),NA(), N847)</f>
        <v>0</v>
      </c>
    </row>
    <row r="1218" spans="5:14">
      <c r="E1218">
        <f>IF(ISNA(F1218),NA(),E848)</f>
        <v>0</v>
      </c>
      <c r="F1218">
        <f>IF(OR(F848="",AND(F848=F847,F848=F849)),NA(), F848)</f>
        <v>0</v>
      </c>
      <c r="G1218">
        <f>IF(ISNA(H1218),NA(),G848)</f>
        <v>0</v>
      </c>
      <c r="H1218">
        <f>IF(OR(H848="",AND(H848=H847,H848=H849)),NA(), H848)</f>
        <v>0</v>
      </c>
      <c r="K1218">
        <f>IF(ISNA(L1218),NA(),K848)</f>
        <v>0</v>
      </c>
      <c r="L1218">
        <f>IF(OR(L848="",AND(L848=L847,L848=L849)),NA(), L848)</f>
        <v>0</v>
      </c>
      <c r="M1218">
        <f>IF(ISNA(N1218),NA(),M848)</f>
        <v>0</v>
      </c>
      <c r="N1218">
        <f>IF(OR(N848="",AND(N848=N847,N848=N849)),NA(), N848)</f>
        <v>0</v>
      </c>
    </row>
    <row r="1219" spans="5:14">
      <c r="E1219">
        <f>IF(ISNA(F1219),NA(),E849)</f>
        <v>0</v>
      </c>
      <c r="F1219">
        <f>IF(OR(F849="",AND(F849=F848,F849=F850)),NA(), F849)</f>
        <v>0</v>
      </c>
      <c r="G1219">
        <f>IF(ISNA(H1219),NA(),G849)</f>
        <v>0</v>
      </c>
      <c r="H1219">
        <f>IF(OR(H849="",AND(H849=H848,H849=H850)),NA(), H849)</f>
        <v>0</v>
      </c>
      <c r="K1219">
        <f>IF(ISNA(L1219),NA(),K849)</f>
        <v>0</v>
      </c>
      <c r="L1219">
        <f>IF(OR(L849="",AND(L849=L848,L849=L850)),NA(), L849)</f>
        <v>0</v>
      </c>
      <c r="M1219">
        <f>IF(ISNA(N1219),NA(),M849)</f>
        <v>0</v>
      </c>
      <c r="N1219">
        <f>IF(OR(N849="",AND(N849=N848,N849=N850)),NA(), N849)</f>
        <v>0</v>
      </c>
    </row>
    <row r="1220" spans="5:14">
      <c r="E1220">
        <f>IF(ISNA(F1220),NA(),E850)</f>
        <v>0</v>
      </c>
      <c r="F1220">
        <f>IF(OR(F850="",AND(F850=F849,F850=F851)),NA(), F850)</f>
        <v>0</v>
      </c>
      <c r="G1220">
        <f>IF(ISNA(H1220),NA(),G850)</f>
        <v>0</v>
      </c>
      <c r="H1220">
        <f>IF(OR(H850="",AND(H850=H849,H850=H851)),NA(), H850)</f>
        <v>0</v>
      </c>
      <c r="K1220">
        <f>IF(ISNA(L1220),NA(),K850)</f>
        <v>0</v>
      </c>
      <c r="L1220">
        <f>IF(OR(L850="",AND(L850=L849,L850=L851)),NA(), L850)</f>
        <v>0</v>
      </c>
      <c r="M1220">
        <f>IF(ISNA(N1220),NA(),M850)</f>
        <v>0</v>
      </c>
      <c r="N1220">
        <f>IF(OR(N850="",AND(N850=N849,N850=N851)),NA(), N850)</f>
        <v>0</v>
      </c>
    </row>
    <row r="1221" spans="5:14">
      <c r="E1221">
        <f>IF(ISNA(F1221),NA(),E851)</f>
        <v>0</v>
      </c>
      <c r="F1221">
        <f>IF(OR(F851="",AND(F851=F850,F851=F852)),NA(), F851)</f>
        <v>0</v>
      </c>
      <c r="G1221">
        <f>IF(ISNA(H1221),NA(),G851)</f>
        <v>0</v>
      </c>
      <c r="H1221">
        <f>IF(OR(H851="",AND(H851=H850,H851=H852)),NA(), H851)</f>
        <v>0</v>
      </c>
      <c r="K1221">
        <f>IF(ISNA(L1221),NA(),K851)</f>
        <v>0</v>
      </c>
      <c r="L1221">
        <f>IF(OR(L851="",AND(L851=L850,L851=L852)),NA(), L851)</f>
        <v>0</v>
      </c>
      <c r="M1221">
        <f>IF(ISNA(N1221),NA(),M851)</f>
        <v>0</v>
      </c>
      <c r="N1221">
        <f>IF(OR(N851="",AND(N851=N850,N851=N852)),NA(), N851)</f>
        <v>0</v>
      </c>
    </row>
    <row r="1222" spans="5:14">
      <c r="E1222">
        <f>IF(ISNA(F1222),NA(),E852)</f>
        <v>0</v>
      </c>
      <c r="F1222">
        <f>IF(OR(F852="",AND(F852=F851,F852=F853)),NA(), F852)</f>
        <v>0</v>
      </c>
      <c r="G1222">
        <f>IF(ISNA(H1222),NA(),G852)</f>
        <v>0</v>
      </c>
      <c r="H1222">
        <f>IF(OR(H852="",AND(H852=H851,H852=H853)),NA(), H852)</f>
        <v>0</v>
      </c>
      <c r="K1222">
        <f>IF(ISNA(L1222),NA(),K852)</f>
        <v>0</v>
      </c>
      <c r="L1222">
        <f>IF(OR(L852="",AND(L852=L851,L852=L853)),NA(), L852)</f>
        <v>0</v>
      </c>
      <c r="M1222">
        <f>IF(ISNA(N1222),NA(),M852)</f>
        <v>0</v>
      </c>
      <c r="N1222">
        <f>IF(OR(N852="",AND(N852=N851,N852=N853)),NA(), N852)</f>
        <v>0</v>
      </c>
    </row>
    <row r="1223" spans="5:14">
      <c r="E1223">
        <f>IF(ISNA(F1223),NA(),E853)</f>
        <v>0</v>
      </c>
      <c r="F1223">
        <f>IF(OR(F853="",AND(F853=F852,F853=F854)),NA(), F853)</f>
        <v>0</v>
      </c>
      <c r="G1223">
        <f>IF(ISNA(H1223),NA(),G853)</f>
        <v>0</v>
      </c>
      <c r="H1223">
        <f>IF(OR(H853="",AND(H853=H852,H853=H854)),NA(), H853)</f>
        <v>0</v>
      </c>
      <c r="K1223">
        <f>IF(ISNA(L1223),NA(),K853)</f>
        <v>0</v>
      </c>
      <c r="L1223">
        <f>IF(OR(L853="",AND(L853=L852,L853=L854)),NA(), L853)</f>
        <v>0</v>
      </c>
      <c r="M1223">
        <f>IF(ISNA(N1223),NA(),M853)</f>
        <v>0</v>
      </c>
      <c r="N1223">
        <f>IF(OR(N853="",AND(N853=N852,N853=N854)),NA(), N853)</f>
        <v>0</v>
      </c>
    </row>
    <row r="1224" spans="5:14">
      <c r="E1224">
        <f>IF(ISNA(F1224),NA(),E854)</f>
        <v>0</v>
      </c>
      <c r="F1224">
        <f>IF(OR(F854="",AND(F854=F853,F854=F855)),NA(), F854)</f>
        <v>0</v>
      </c>
      <c r="G1224">
        <f>IF(ISNA(H1224),NA(),G854)</f>
        <v>0</v>
      </c>
      <c r="H1224">
        <f>IF(OR(H854="",AND(H854=H853,H854=H855)),NA(), H854)</f>
        <v>0</v>
      </c>
      <c r="K1224">
        <f>IF(ISNA(L1224),NA(),K854)</f>
        <v>0</v>
      </c>
      <c r="L1224">
        <f>IF(OR(L854="",AND(L854=L853,L854=L855)),NA(), L854)</f>
        <v>0</v>
      </c>
      <c r="M1224">
        <f>IF(ISNA(N1224),NA(),M854)</f>
        <v>0</v>
      </c>
      <c r="N1224">
        <f>IF(OR(N854="",AND(N854=N853,N854=N855)),NA(), N854)</f>
        <v>0</v>
      </c>
    </row>
    <row r="1225" spans="5:14">
      <c r="E1225">
        <f>IF(ISNA(F1225),NA(),E855)</f>
        <v>0</v>
      </c>
      <c r="F1225">
        <f>IF(OR(F855="",AND(F855=F854,F855=F856)),NA(), F855)</f>
        <v>0</v>
      </c>
      <c r="G1225">
        <f>IF(ISNA(H1225),NA(),G855)</f>
        <v>0</v>
      </c>
      <c r="H1225">
        <f>IF(OR(H855="",AND(H855=H854,H855=H856)),NA(), H855)</f>
        <v>0</v>
      </c>
      <c r="K1225">
        <f>IF(ISNA(L1225),NA(),K855)</f>
        <v>0</v>
      </c>
      <c r="L1225">
        <f>IF(OR(L855="",AND(L855=L854,L855=L856)),NA(), L855)</f>
        <v>0</v>
      </c>
      <c r="M1225">
        <f>IF(ISNA(N1225),NA(),M855)</f>
        <v>0</v>
      </c>
      <c r="N1225">
        <f>IF(OR(N855="",AND(N855=N854,N855=N856)),NA(), N855)</f>
        <v>0</v>
      </c>
    </row>
    <row r="1226" spans="5:14">
      <c r="E1226">
        <f>IF(ISNA(F1226),NA(),E856)</f>
        <v>0</v>
      </c>
      <c r="F1226">
        <f>IF(OR(F856="",AND(F856=F855,F856=F857)),NA(), F856)</f>
        <v>0</v>
      </c>
      <c r="G1226">
        <f>IF(ISNA(H1226),NA(),G856)</f>
        <v>0</v>
      </c>
      <c r="H1226">
        <f>IF(OR(H856="",AND(H856=H855,H856=H857)),NA(), H856)</f>
        <v>0</v>
      </c>
      <c r="K1226">
        <f>IF(ISNA(L1226),NA(),K856)</f>
        <v>0</v>
      </c>
      <c r="L1226">
        <f>IF(OR(L856="",AND(L856=L855,L856=L857)),NA(), L856)</f>
        <v>0</v>
      </c>
      <c r="M1226">
        <f>IF(ISNA(N1226),NA(),M856)</f>
        <v>0</v>
      </c>
      <c r="N1226">
        <f>IF(OR(N856="",AND(N856=N855,N856=N857)),NA(), N856)</f>
        <v>0</v>
      </c>
    </row>
    <row r="1227" spans="5:14">
      <c r="E1227">
        <f>IF(ISNA(F1227),NA(),E857)</f>
        <v>0</v>
      </c>
      <c r="F1227">
        <f>IF(OR(F857="",AND(F857=F856,F857=F858)),NA(), F857)</f>
        <v>0</v>
      </c>
      <c r="G1227">
        <f>IF(ISNA(H1227),NA(),G857)</f>
        <v>0</v>
      </c>
      <c r="H1227">
        <f>IF(OR(H857="",AND(H857=H856,H857=H858)),NA(), H857)</f>
        <v>0</v>
      </c>
      <c r="K1227">
        <f>IF(ISNA(L1227),NA(),K857)</f>
        <v>0</v>
      </c>
      <c r="L1227">
        <f>IF(OR(L857="",AND(L857=L856,L857=L858)),NA(), L857)</f>
        <v>0</v>
      </c>
      <c r="M1227">
        <f>IF(ISNA(N1227),NA(),M857)</f>
        <v>0</v>
      </c>
      <c r="N1227">
        <f>IF(OR(N857="",AND(N857=N856,N857=N858)),NA(), N857)</f>
        <v>0</v>
      </c>
    </row>
    <row r="1228" spans="5:14">
      <c r="E1228">
        <f>IF(ISNA(F1228),NA(),E858)</f>
        <v>0</v>
      </c>
      <c r="F1228">
        <f>IF(OR(F858="",AND(F858=F857,F858=F859)),NA(), F858)</f>
        <v>0</v>
      </c>
      <c r="G1228">
        <f>IF(ISNA(H1228),NA(),G858)</f>
        <v>0</v>
      </c>
      <c r="H1228">
        <f>IF(OR(H858="",AND(H858=H857,H858=H859)),NA(), H858)</f>
        <v>0</v>
      </c>
      <c r="K1228">
        <f>IF(ISNA(L1228),NA(),K858)</f>
        <v>0</v>
      </c>
      <c r="L1228">
        <f>IF(OR(L858="",AND(L858=L857,L858=L859)),NA(), L858)</f>
        <v>0</v>
      </c>
      <c r="M1228">
        <f>IF(ISNA(N1228),NA(),M858)</f>
        <v>0</v>
      </c>
      <c r="N1228">
        <f>IF(OR(N858="",AND(N858=N857,N858=N859)),NA(), N858)</f>
        <v>0</v>
      </c>
    </row>
    <row r="1229" spans="5:14">
      <c r="E1229">
        <f>IF(ISNA(F1229),NA(),E859)</f>
        <v>0</v>
      </c>
      <c r="F1229">
        <f>IF(OR(F859="",AND(F859=F858,F859=F860)),NA(), F859)</f>
        <v>0</v>
      </c>
      <c r="G1229">
        <f>IF(ISNA(H1229),NA(),G859)</f>
        <v>0</v>
      </c>
      <c r="H1229">
        <f>IF(OR(H859="",AND(H859=H858,H859=H860)),NA(), H859)</f>
        <v>0</v>
      </c>
      <c r="K1229">
        <f>IF(ISNA(L1229),NA(),K859)</f>
        <v>0</v>
      </c>
      <c r="L1229">
        <f>IF(OR(L859="",AND(L859=L858,L859=L860)),NA(), L859)</f>
        <v>0</v>
      </c>
      <c r="M1229">
        <f>IF(ISNA(N1229),NA(),M859)</f>
        <v>0</v>
      </c>
      <c r="N1229">
        <f>IF(OR(N859="",AND(N859=N858,N859=N860)),NA(), N859)</f>
        <v>0</v>
      </c>
    </row>
    <row r="1230" spans="5:14">
      <c r="E1230">
        <f>IF(ISNA(F1230),NA(),E860)</f>
        <v>0</v>
      </c>
      <c r="F1230">
        <f>IF(OR(F860="",AND(F860=F859,F860=F861)),NA(), F860)</f>
        <v>0</v>
      </c>
      <c r="G1230">
        <f>IF(ISNA(H1230),NA(),G860)</f>
        <v>0</v>
      </c>
      <c r="H1230">
        <f>IF(OR(H860="",AND(H860=H859,H860=H861)),NA(), H860)</f>
        <v>0</v>
      </c>
      <c r="K1230">
        <f>IF(ISNA(L1230),NA(),K860)</f>
        <v>0</v>
      </c>
      <c r="L1230">
        <f>IF(OR(L860="",AND(L860=L859,L860=L861)),NA(), L860)</f>
        <v>0</v>
      </c>
      <c r="M1230">
        <f>IF(ISNA(N1230),NA(),M860)</f>
        <v>0</v>
      </c>
      <c r="N1230">
        <f>IF(OR(N860="",AND(N860=N859,N860=N861)),NA(), N860)</f>
        <v>0</v>
      </c>
    </row>
    <row r="1231" spans="5:14">
      <c r="E1231">
        <f>IF(ISNA(F1231),NA(),E861)</f>
        <v>0</v>
      </c>
      <c r="F1231">
        <f>IF(OR(F861="",AND(F861=F860,F861=F862)),NA(), F861)</f>
        <v>0</v>
      </c>
      <c r="G1231">
        <f>IF(ISNA(H1231),NA(),G861)</f>
        <v>0</v>
      </c>
      <c r="H1231">
        <f>IF(OR(H861="",AND(H861=H860,H861=H862)),NA(), H861)</f>
        <v>0</v>
      </c>
      <c r="K1231">
        <f>IF(ISNA(L1231),NA(),K861)</f>
        <v>0</v>
      </c>
      <c r="L1231">
        <f>IF(OR(L861="",AND(L861=L860,L861=L862)),NA(), L861)</f>
        <v>0</v>
      </c>
      <c r="M1231">
        <f>IF(ISNA(N1231),NA(),M861)</f>
        <v>0</v>
      </c>
      <c r="N1231">
        <f>IF(OR(N861="",AND(N861=N860,N861=N862)),NA(), N861)</f>
        <v>0</v>
      </c>
    </row>
    <row r="1232" spans="5:14">
      <c r="E1232">
        <f>IF(ISNA(F1232),NA(),E862)</f>
        <v>0</v>
      </c>
      <c r="F1232">
        <f>IF(OR(F862="",AND(F862=F861,F862=F863)),NA(), F862)</f>
        <v>0</v>
      </c>
      <c r="G1232">
        <f>IF(ISNA(H1232),NA(),G862)</f>
        <v>0</v>
      </c>
      <c r="H1232">
        <f>IF(OR(H862="",AND(H862=H861,H862=H863)),NA(), H862)</f>
        <v>0</v>
      </c>
      <c r="K1232">
        <f>IF(ISNA(L1232),NA(),K862)</f>
        <v>0</v>
      </c>
      <c r="L1232">
        <f>IF(OR(L862="",AND(L862=L861,L862=L863)),NA(), L862)</f>
        <v>0</v>
      </c>
      <c r="M1232">
        <f>IF(ISNA(N1232),NA(),M862)</f>
        <v>0</v>
      </c>
      <c r="N1232">
        <f>IF(OR(N862="",AND(N862=N861,N862=N863)),NA(), N862)</f>
        <v>0</v>
      </c>
    </row>
    <row r="1233" spans="5:14">
      <c r="E1233">
        <f>IF(ISNA(F1233),NA(),E863)</f>
        <v>0</v>
      </c>
      <c r="F1233">
        <f>IF(OR(F863="",AND(F863=F862,F863=F864)),NA(), F863)</f>
        <v>0</v>
      </c>
      <c r="G1233">
        <f>IF(ISNA(H1233),NA(),G863)</f>
        <v>0</v>
      </c>
      <c r="H1233">
        <f>IF(OR(H863="",AND(H863=H862,H863=H864)),NA(), H863)</f>
        <v>0</v>
      </c>
      <c r="K1233">
        <f>IF(ISNA(L1233),NA(),K863)</f>
        <v>0</v>
      </c>
      <c r="L1233">
        <f>IF(OR(L863="",AND(L863=L862,L863=L864)),NA(), L863)</f>
        <v>0</v>
      </c>
      <c r="M1233">
        <f>IF(ISNA(N1233),NA(),M863)</f>
        <v>0</v>
      </c>
      <c r="N1233">
        <f>IF(OR(N863="",AND(N863=N862,N863=N864)),NA(), N863)</f>
        <v>0</v>
      </c>
    </row>
    <row r="1234" spans="5:14">
      <c r="E1234">
        <f>IF(ISNA(F1234),NA(),E864)</f>
        <v>0</v>
      </c>
      <c r="F1234">
        <f>IF(OR(F864="",AND(F864=F863,F864=F865)),NA(), F864)</f>
        <v>0</v>
      </c>
      <c r="G1234">
        <f>IF(ISNA(H1234),NA(),G864)</f>
        <v>0</v>
      </c>
      <c r="H1234">
        <f>IF(OR(H864="",AND(H864=H863,H864=H865)),NA(), H864)</f>
        <v>0</v>
      </c>
      <c r="K1234">
        <f>IF(ISNA(L1234),NA(),K864)</f>
        <v>0</v>
      </c>
      <c r="L1234">
        <f>IF(OR(L864="",AND(L864=L863,L864=L865)),NA(), L864)</f>
        <v>0</v>
      </c>
      <c r="M1234">
        <f>IF(ISNA(N1234),NA(),M864)</f>
        <v>0</v>
      </c>
      <c r="N1234">
        <f>IF(OR(N864="",AND(N864=N863,N864=N865)),NA(), N864)</f>
        <v>0</v>
      </c>
    </row>
    <row r="1235" spans="5:14">
      <c r="E1235">
        <f>IF(ISNA(F1235),NA(),E865)</f>
        <v>0</v>
      </c>
      <c r="F1235">
        <f>IF(OR(F865="",AND(F865=F864,F865=F866)),NA(), F865)</f>
        <v>0</v>
      </c>
      <c r="G1235">
        <f>IF(ISNA(H1235),NA(),G865)</f>
        <v>0</v>
      </c>
      <c r="H1235">
        <f>IF(OR(H865="",AND(H865=H864,H865=H866)),NA(), H865)</f>
        <v>0</v>
      </c>
      <c r="K1235">
        <f>IF(ISNA(L1235),NA(),K865)</f>
        <v>0</v>
      </c>
      <c r="L1235">
        <f>IF(OR(L865="",AND(L865=L864,L865=L866)),NA(), L865)</f>
        <v>0</v>
      </c>
      <c r="M1235">
        <f>IF(ISNA(N1235),NA(),M865)</f>
        <v>0</v>
      </c>
      <c r="N1235">
        <f>IF(OR(N865="",AND(N865=N864,N865=N866)),NA(), N865)</f>
        <v>0</v>
      </c>
    </row>
    <row r="1236" spans="5:14">
      <c r="E1236">
        <f>IF(ISNA(F1236),NA(),E866)</f>
        <v>0</v>
      </c>
      <c r="F1236">
        <f>IF(OR(F866="",AND(F866=F865,F866=F867)),NA(), F866)</f>
        <v>0</v>
      </c>
      <c r="G1236">
        <f>IF(ISNA(H1236),NA(),G866)</f>
        <v>0</v>
      </c>
      <c r="H1236">
        <f>IF(OR(H866="",AND(H866=H865,H866=H867)),NA(), H866)</f>
        <v>0</v>
      </c>
      <c r="K1236">
        <f>IF(ISNA(L1236),NA(),K866)</f>
        <v>0</v>
      </c>
      <c r="L1236">
        <f>IF(OR(L866="",AND(L866=L865,L866=L867)),NA(), L866)</f>
        <v>0</v>
      </c>
      <c r="M1236">
        <f>IF(ISNA(N1236),NA(),M866)</f>
        <v>0</v>
      </c>
      <c r="N1236">
        <f>IF(OR(N866="",AND(N866=N865,N866=N867)),NA(), N866)</f>
        <v>0</v>
      </c>
    </row>
    <row r="1237" spans="5:14">
      <c r="E1237">
        <f>IF(ISNA(F1237),NA(),E867)</f>
        <v>0</v>
      </c>
      <c r="F1237">
        <f>IF(OR(F867="",AND(F867=F866,F867=F868)),NA(), F867)</f>
        <v>0</v>
      </c>
      <c r="G1237">
        <f>IF(ISNA(H1237),NA(),G867)</f>
        <v>0</v>
      </c>
      <c r="H1237">
        <f>IF(OR(H867="",AND(H867=H866,H867=H868)),NA(), H867)</f>
        <v>0</v>
      </c>
      <c r="K1237">
        <f>IF(ISNA(L1237),NA(),K867)</f>
        <v>0</v>
      </c>
      <c r="L1237">
        <f>IF(OR(L867="",AND(L867=L866,L867=L868)),NA(), L867)</f>
        <v>0</v>
      </c>
      <c r="M1237">
        <f>IF(ISNA(N1237),NA(),M867)</f>
        <v>0</v>
      </c>
      <c r="N1237">
        <f>IF(OR(N867="",AND(N867=N866,N867=N868)),NA(), N867)</f>
        <v>0</v>
      </c>
    </row>
    <row r="1238" spans="5:14">
      <c r="E1238">
        <f>IF(ISNA(F1238),NA(),E868)</f>
        <v>0</v>
      </c>
      <c r="F1238">
        <f>IF(OR(F868="",AND(F868=F867,F868=F869)),NA(), F868)</f>
        <v>0</v>
      </c>
      <c r="G1238">
        <f>IF(ISNA(H1238),NA(),G868)</f>
        <v>0</v>
      </c>
      <c r="H1238">
        <f>IF(OR(H868="",AND(H868=H867,H868=H869)),NA(), H868)</f>
        <v>0</v>
      </c>
      <c r="K1238">
        <f>IF(ISNA(L1238),NA(),K868)</f>
        <v>0</v>
      </c>
      <c r="L1238">
        <f>IF(OR(L868="",AND(L868=L867,L868=L869)),NA(), L868)</f>
        <v>0</v>
      </c>
      <c r="M1238">
        <f>IF(ISNA(N1238),NA(),M868)</f>
        <v>0</v>
      </c>
      <c r="N1238">
        <f>IF(OR(N868="",AND(N868=N867,N868=N869)),NA(), N868)</f>
        <v>0</v>
      </c>
    </row>
    <row r="1239" spans="5:14">
      <c r="E1239">
        <f>IF(ISNA(F1239),NA(),E869)</f>
        <v>0</v>
      </c>
      <c r="F1239">
        <f>IF(OR(F869="",AND(F869=F868,F869=F870)),NA(), F869)</f>
        <v>0</v>
      </c>
      <c r="G1239">
        <f>IF(ISNA(H1239),NA(),G869)</f>
        <v>0</v>
      </c>
      <c r="H1239">
        <f>IF(OR(H869="",AND(H869=H868,H869=H870)),NA(), H869)</f>
        <v>0</v>
      </c>
      <c r="K1239">
        <f>IF(ISNA(L1239),NA(),K869)</f>
        <v>0</v>
      </c>
      <c r="L1239">
        <f>IF(OR(L869="",AND(L869=L868,L869=L870)),NA(), L869)</f>
        <v>0</v>
      </c>
      <c r="M1239">
        <f>IF(ISNA(N1239),NA(),M869)</f>
        <v>0</v>
      </c>
      <c r="N1239">
        <f>IF(OR(N869="",AND(N869=N868,N869=N870)),NA(), N869)</f>
        <v>0</v>
      </c>
    </row>
    <row r="1240" spans="5:14">
      <c r="E1240">
        <f>IF(ISNA(F1240),NA(),E870)</f>
        <v>0</v>
      </c>
      <c r="F1240">
        <f>IF(OR(F870="",AND(F870=F869,F870=F871)),NA(), F870)</f>
        <v>0</v>
      </c>
      <c r="G1240">
        <f>IF(ISNA(H1240),NA(),G870)</f>
        <v>0</v>
      </c>
      <c r="H1240">
        <f>IF(OR(H870="",AND(H870=H869,H870=H871)),NA(), H870)</f>
        <v>0</v>
      </c>
      <c r="K1240">
        <f>IF(ISNA(L1240),NA(),K870)</f>
        <v>0</v>
      </c>
      <c r="L1240">
        <f>IF(OR(L870="",AND(L870=L869,L870=L871)),NA(), L870)</f>
        <v>0</v>
      </c>
      <c r="M1240">
        <f>IF(ISNA(N1240),NA(),M870)</f>
        <v>0</v>
      </c>
      <c r="N1240">
        <f>IF(OR(N870="",AND(N870=N869,N870=N871)),NA(), N870)</f>
        <v>0</v>
      </c>
    </row>
    <row r="1241" spans="5:14">
      <c r="E1241">
        <f>IF(ISNA(F1241),NA(),E871)</f>
        <v>0</v>
      </c>
      <c r="F1241">
        <f>IF(OR(F871="",AND(F871=F870,F871=F872)),NA(), F871)</f>
        <v>0</v>
      </c>
      <c r="G1241">
        <f>IF(ISNA(H1241),NA(),G871)</f>
        <v>0</v>
      </c>
      <c r="H1241">
        <f>IF(OR(H871="",AND(H871=H870,H871=H872)),NA(), H871)</f>
        <v>0</v>
      </c>
      <c r="K1241">
        <f>IF(ISNA(L1241),NA(),K871)</f>
        <v>0</v>
      </c>
      <c r="L1241">
        <f>IF(OR(L871="",AND(L871=L870,L871=L872)),NA(), L871)</f>
        <v>0</v>
      </c>
      <c r="M1241">
        <f>IF(ISNA(N1241),NA(),M871)</f>
        <v>0</v>
      </c>
      <c r="N1241">
        <f>IF(OR(N871="",AND(N871=N870,N871=N872)),NA(), N871)</f>
        <v>0</v>
      </c>
    </row>
    <row r="1242" spans="5:14">
      <c r="E1242">
        <f>IF(ISNA(F1242),NA(),E872)</f>
        <v>0</v>
      </c>
      <c r="F1242">
        <f>IF(OR(F872="",AND(F872=F871,F872=F873)),NA(), F872)</f>
        <v>0</v>
      </c>
      <c r="G1242">
        <f>IF(ISNA(H1242),NA(),G872)</f>
        <v>0</v>
      </c>
      <c r="H1242">
        <f>IF(OR(H872="",AND(H872=H871,H872=H873)),NA(), H872)</f>
        <v>0</v>
      </c>
      <c r="K1242">
        <f>IF(ISNA(L1242),NA(),K872)</f>
        <v>0</v>
      </c>
      <c r="L1242">
        <f>IF(OR(L872="",AND(L872=L871,L872=L873)),NA(), L872)</f>
        <v>0</v>
      </c>
      <c r="M1242">
        <f>IF(ISNA(N1242),NA(),M872)</f>
        <v>0</v>
      </c>
      <c r="N1242">
        <f>IF(OR(N872="",AND(N872=N871,N872=N873)),NA(), N872)</f>
        <v>0</v>
      </c>
    </row>
    <row r="1243" spans="5:14">
      <c r="E1243">
        <f>IF(ISNA(F1243),NA(),E873)</f>
        <v>0</v>
      </c>
      <c r="F1243">
        <f>IF(OR(F873="",AND(F873=F872,F873=F874)),NA(), F873)</f>
        <v>0</v>
      </c>
      <c r="G1243">
        <f>IF(ISNA(H1243),NA(),G873)</f>
        <v>0</v>
      </c>
      <c r="H1243">
        <f>IF(OR(H873="",AND(H873=H872,H873=H874)),NA(), H873)</f>
        <v>0</v>
      </c>
      <c r="K1243">
        <f>IF(ISNA(L1243),NA(),K873)</f>
        <v>0</v>
      </c>
      <c r="L1243">
        <f>IF(OR(L873="",AND(L873=L872,L873=L874)),NA(), L873)</f>
        <v>0</v>
      </c>
      <c r="M1243">
        <f>IF(ISNA(N1243),NA(),M873)</f>
        <v>0</v>
      </c>
      <c r="N1243">
        <f>IF(OR(N873="",AND(N873=N872,N873=N874)),NA(), N873)</f>
        <v>0</v>
      </c>
    </row>
    <row r="1244" spans="5:14">
      <c r="E1244">
        <f>IF(ISNA(F1244),NA(),E874)</f>
        <v>0</v>
      </c>
      <c r="F1244">
        <f>IF(OR(F874="",AND(F874=F873,F874=F875)),NA(), F874)</f>
        <v>0</v>
      </c>
      <c r="G1244">
        <f>IF(ISNA(H1244),NA(),G874)</f>
        <v>0</v>
      </c>
      <c r="H1244">
        <f>IF(OR(H874="",AND(H874=H873,H874=H875)),NA(), H874)</f>
        <v>0</v>
      </c>
      <c r="K1244">
        <f>IF(ISNA(L1244),NA(),K874)</f>
        <v>0</v>
      </c>
      <c r="L1244">
        <f>IF(OR(L874="",AND(L874=L873,L874=L875)),NA(), L874)</f>
        <v>0</v>
      </c>
      <c r="M1244">
        <f>IF(ISNA(N1244),NA(),M874)</f>
        <v>0</v>
      </c>
      <c r="N1244">
        <f>IF(OR(N874="",AND(N874=N873,N874=N875)),NA(), N874)</f>
        <v>0</v>
      </c>
    </row>
    <row r="1245" spans="5:14">
      <c r="E1245">
        <f>IF(ISNA(F1245),NA(),E875)</f>
        <v>0</v>
      </c>
      <c r="F1245">
        <f>IF(OR(F875="",AND(F875=F874,F875=F876)),NA(), F875)</f>
        <v>0</v>
      </c>
      <c r="G1245">
        <f>IF(ISNA(H1245),NA(),G875)</f>
        <v>0</v>
      </c>
      <c r="H1245">
        <f>IF(OR(H875="",AND(H875=H874,H875=H876)),NA(), H875)</f>
        <v>0</v>
      </c>
      <c r="K1245">
        <f>IF(ISNA(L1245),NA(),K875)</f>
        <v>0</v>
      </c>
      <c r="L1245">
        <f>IF(OR(L875="",AND(L875=L874,L875=L876)),NA(), L875)</f>
        <v>0</v>
      </c>
      <c r="M1245">
        <f>IF(ISNA(N1245),NA(),M875)</f>
        <v>0</v>
      </c>
      <c r="N1245">
        <f>IF(OR(N875="",AND(N875=N874,N875=N876)),NA(), N875)</f>
        <v>0</v>
      </c>
    </row>
    <row r="1246" spans="5:14">
      <c r="E1246">
        <f>IF(ISNA(F1246),NA(),E876)</f>
        <v>0</v>
      </c>
      <c r="F1246">
        <f>IF(OR(F876="",AND(F876=F875,F876=F877)),NA(), F876)</f>
        <v>0</v>
      </c>
      <c r="G1246">
        <f>IF(ISNA(H1246),NA(),G876)</f>
        <v>0</v>
      </c>
      <c r="H1246">
        <f>IF(OR(H876="",AND(H876=H875,H876=H877)),NA(), H876)</f>
        <v>0</v>
      </c>
      <c r="K1246">
        <f>IF(ISNA(L1246),NA(),K876)</f>
        <v>0</v>
      </c>
      <c r="L1246">
        <f>IF(OR(L876="",AND(L876=L875,L876=L877)),NA(), L876)</f>
        <v>0</v>
      </c>
      <c r="M1246">
        <f>IF(ISNA(N1246),NA(),M876)</f>
        <v>0</v>
      </c>
      <c r="N1246">
        <f>IF(OR(N876="",AND(N876=N875,N876=N877)),NA(), N876)</f>
        <v>0</v>
      </c>
    </row>
    <row r="1247" spans="5:14">
      <c r="E1247">
        <f>IF(ISNA(F1247),NA(),E877)</f>
        <v>0</v>
      </c>
      <c r="F1247">
        <f>IF(OR(F877="",AND(F877=F876,F877=F878)),NA(), F877)</f>
        <v>0</v>
      </c>
      <c r="G1247">
        <f>IF(ISNA(H1247),NA(),G877)</f>
        <v>0</v>
      </c>
      <c r="H1247">
        <f>IF(OR(H877="",AND(H877=H876,H877=H878)),NA(), H877)</f>
        <v>0</v>
      </c>
      <c r="K1247">
        <f>IF(ISNA(L1247),NA(),K877)</f>
        <v>0</v>
      </c>
      <c r="L1247">
        <f>IF(OR(L877="",AND(L877=L876,L877=L878)),NA(), L877)</f>
        <v>0</v>
      </c>
      <c r="M1247">
        <f>IF(ISNA(N1247),NA(),M877)</f>
        <v>0</v>
      </c>
      <c r="N1247">
        <f>IF(OR(N877="",AND(N877=N876,N877=N878)),NA(), N877)</f>
        <v>0</v>
      </c>
    </row>
    <row r="1248" spans="5:14">
      <c r="E1248">
        <f>IF(ISNA(F1248),NA(),E878)</f>
        <v>0</v>
      </c>
      <c r="F1248">
        <f>IF(OR(F878="",AND(F878=F877,F878=F879)),NA(), F878)</f>
        <v>0</v>
      </c>
      <c r="G1248">
        <f>IF(ISNA(H1248),NA(),G878)</f>
        <v>0</v>
      </c>
      <c r="H1248">
        <f>IF(OR(H878="",AND(H878=H877,H878=H879)),NA(), H878)</f>
        <v>0</v>
      </c>
      <c r="K1248">
        <f>IF(ISNA(L1248),NA(),K878)</f>
        <v>0</v>
      </c>
      <c r="L1248">
        <f>IF(OR(L878="",AND(L878=L877,L878=L879)),NA(), L878)</f>
        <v>0</v>
      </c>
      <c r="M1248">
        <f>IF(ISNA(N1248),NA(),M878)</f>
        <v>0</v>
      </c>
      <c r="N1248">
        <f>IF(OR(N878="",AND(N878=N877,N878=N879)),NA(), N878)</f>
        <v>0</v>
      </c>
    </row>
    <row r="1249" spans="5:14">
      <c r="E1249">
        <f>IF(ISNA(F1249),NA(),E879)</f>
        <v>0</v>
      </c>
      <c r="F1249">
        <f>IF(OR(F879="",AND(F879=F878,F879=F880)),NA(), F879)</f>
        <v>0</v>
      </c>
      <c r="G1249">
        <f>IF(ISNA(H1249),NA(),G879)</f>
        <v>0</v>
      </c>
      <c r="H1249">
        <f>IF(OR(H879="",AND(H879=H878,H879=H880)),NA(), H879)</f>
        <v>0</v>
      </c>
      <c r="K1249">
        <f>IF(ISNA(L1249),NA(),K879)</f>
        <v>0</v>
      </c>
      <c r="L1249">
        <f>IF(OR(L879="",AND(L879=L878,L879=L880)),NA(), L879)</f>
        <v>0</v>
      </c>
      <c r="M1249">
        <f>IF(ISNA(N1249),NA(),M879)</f>
        <v>0</v>
      </c>
      <c r="N1249">
        <f>IF(OR(N879="",AND(N879=N878,N879=N880)),NA(), N879)</f>
        <v>0</v>
      </c>
    </row>
    <row r="1250" spans="5:14">
      <c r="E1250">
        <f>IF(ISNA(F1250),NA(),E880)</f>
        <v>0</v>
      </c>
      <c r="F1250">
        <f>IF(OR(F880="",AND(F880=F879,F880=F881)),NA(), F880)</f>
        <v>0</v>
      </c>
      <c r="G1250">
        <f>IF(ISNA(H1250),NA(),G880)</f>
        <v>0</v>
      </c>
      <c r="H1250">
        <f>IF(OR(H880="",AND(H880=H879,H880=H881)),NA(), H880)</f>
        <v>0</v>
      </c>
      <c r="K1250">
        <f>IF(ISNA(L1250),NA(),K880)</f>
        <v>0</v>
      </c>
      <c r="L1250">
        <f>IF(OR(L880="",AND(L880=L879,L880=L881)),NA(), L880)</f>
        <v>0</v>
      </c>
      <c r="M1250">
        <f>IF(ISNA(N1250),NA(),M880)</f>
        <v>0</v>
      </c>
      <c r="N1250">
        <f>IF(OR(N880="",AND(N880=N879,N880=N881)),NA(), N880)</f>
        <v>0</v>
      </c>
    </row>
    <row r="1251" spans="5:14">
      <c r="E1251">
        <f>IF(ISNA(F1251),NA(),E881)</f>
        <v>0</v>
      </c>
      <c r="F1251">
        <f>IF(OR(F881="",AND(F881=F880,F881=F882)),NA(), F881)</f>
        <v>0</v>
      </c>
      <c r="G1251">
        <f>IF(ISNA(H1251),NA(),G881)</f>
        <v>0</v>
      </c>
      <c r="H1251">
        <f>IF(OR(H881="",AND(H881=H880,H881=H882)),NA(), H881)</f>
        <v>0</v>
      </c>
      <c r="K1251">
        <f>IF(ISNA(L1251),NA(),K881)</f>
        <v>0</v>
      </c>
      <c r="L1251">
        <f>IF(OR(L881="",AND(L881=L880,L881=L882)),NA(), L881)</f>
        <v>0</v>
      </c>
      <c r="M1251">
        <f>IF(ISNA(N1251),NA(),M881)</f>
        <v>0</v>
      </c>
      <c r="N1251">
        <f>IF(OR(N881="",AND(N881=N880,N881=N882)),NA(), N881)</f>
        <v>0</v>
      </c>
    </row>
    <row r="1252" spans="5:14">
      <c r="E1252">
        <f>IF(ISNA(F1252),NA(),E882)</f>
        <v>0</v>
      </c>
      <c r="F1252">
        <f>IF(OR(F882="",AND(F882=F881,F882=F883)),NA(), F882)</f>
        <v>0</v>
      </c>
      <c r="G1252">
        <f>IF(ISNA(H1252),NA(),G882)</f>
        <v>0</v>
      </c>
      <c r="H1252">
        <f>IF(OR(H882="",AND(H882=H881,H882=H883)),NA(), H882)</f>
        <v>0</v>
      </c>
      <c r="K1252">
        <f>IF(ISNA(L1252),NA(),K882)</f>
        <v>0</v>
      </c>
      <c r="L1252">
        <f>IF(OR(L882="",AND(L882=L881,L882=L883)),NA(), L882)</f>
        <v>0</v>
      </c>
      <c r="M1252">
        <f>IF(ISNA(N1252),NA(),M882)</f>
        <v>0</v>
      </c>
      <c r="N1252">
        <f>IF(OR(N882="",AND(N882=N881,N882=N883)),NA(), N882)</f>
        <v>0</v>
      </c>
    </row>
    <row r="1253" spans="5:14">
      <c r="E1253">
        <f>IF(ISNA(F1253),NA(),E883)</f>
        <v>0</v>
      </c>
      <c r="F1253">
        <f>IF(OR(F883="",AND(F883=F882,F883=F884)),NA(), F883)</f>
        <v>0</v>
      </c>
      <c r="G1253">
        <f>IF(ISNA(H1253),NA(),G883)</f>
        <v>0</v>
      </c>
      <c r="H1253">
        <f>IF(OR(H883="",AND(H883=H882,H883=H884)),NA(), H883)</f>
        <v>0</v>
      </c>
      <c r="K1253">
        <f>IF(ISNA(L1253),NA(),K883)</f>
        <v>0</v>
      </c>
      <c r="L1253">
        <f>IF(OR(L883="",AND(L883=L882,L883=L884)),NA(), L883)</f>
        <v>0</v>
      </c>
      <c r="M1253">
        <f>IF(ISNA(N1253),NA(),M883)</f>
        <v>0</v>
      </c>
      <c r="N1253">
        <f>IF(OR(N883="",AND(N883=N882,N883=N884)),NA(), N883)</f>
        <v>0</v>
      </c>
    </row>
    <row r="1254" spans="5:14">
      <c r="E1254">
        <f>IF(ISNA(F1254),NA(),E884)</f>
        <v>0</v>
      </c>
      <c r="F1254">
        <f>IF(OR(F884="",AND(F884=F883,F884=F885)),NA(), F884)</f>
        <v>0</v>
      </c>
      <c r="G1254">
        <f>IF(ISNA(H1254),NA(),G884)</f>
        <v>0</v>
      </c>
      <c r="H1254">
        <f>IF(OR(H884="",AND(H884=H883,H884=H885)),NA(), H884)</f>
        <v>0</v>
      </c>
      <c r="K1254">
        <f>IF(ISNA(L1254),NA(),K884)</f>
        <v>0</v>
      </c>
      <c r="L1254">
        <f>IF(OR(L884="",AND(L884=L883,L884=L885)),NA(), L884)</f>
        <v>0</v>
      </c>
      <c r="M1254">
        <f>IF(ISNA(N1254),NA(),M884)</f>
        <v>0</v>
      </c>
      <c r="N1254">
        <f>IF(OR(N884="",AND(N884=N883,N884=N885)),NA(), N884)</f>
        <v>0</v>
      </c>
    </row>
    <row r="1255" spans="5:14">
      <c r="E1255">
        <f>IF(ISNA(F1255),NA(),E885)</f>
        <v>0</v>
      </c>
      <c r="F1255">
        <f>IF(OR(F885="",AND(F885=F884,F885=F886)),NA(), F885)</f>
        <v>0</v>
      </c>
      <c r="G1255">
        <f>IF(ISNA(H1255),NA(),G885)</f>
        <v>0</v>
      </c>
      <c r="H1255">
        <f>IF(OR(H885="",AND(H885=H884,H885=H886)),NA(), H885)</f>
        <v>0</v>
      </c>
      <c r="K1255">
        <f>IF(ISNA(L1255),NA(),K885)</f>
        <v>0</v>
      </c>
      <c r="L1255">
        <f>IF(OR(L885="",AND(L885=L884,L885=L886)),NA(), L885)</f>
        <v>0</v>
      </c>
      <c r="M1255">
        <f>IF(ISNA(N1255),NA(),M885)</f>
        <v>0</v>
      </c>
      <c r="N1255">
        <f>IF(OR(N885="",AND(N885=N884,N885=N886)),NA(), N885)</f>
        <v>0</v>
      </c>
    </row>
    <row r="1256" spans="5:14">
      <c r="E1256">
        <f>IF(ISNA(F1256),NA(),E886)</f>
        <v>0</v>
      </c>
      <c r="F1256">
        <f>IF(OR(F886="",AND(F886=F885,F886=F887)),NA(), F886)</f>
        <v>0</v>
      </c>
      <c r="G1256">
        <f>IF(ISNA(H1256),NA(),G886)</f>
        <v>0</v>
      </c>
      <c r="H1256">
        <f>IF(OR(H886="",AND(H886=H885,H886=H887)),NA(), H886)</f>
        <v>0</v>
      </c>
      <c r="K1256">
        <f>IF(ISNA(L1256),NA(),K886)</f>
        <v>0</v>
      </c>
      <c r="L1256">
        <f>IF(OR(L886="",AND(L886=L885,L886=L887)),NA(), L886)</f>
        <v>0</v>
      </c>
      <c r="M1256">
        <f>IF(ISNA(N1256),NA(),M886)</f>
        <v>0</v>
      </c>
      <c r="N1256">
        <f>IF(OR(N886="",AND(N886=N885,N886=N887)),NA(), N886)</f>
        <v>0</v>
      </c>
    </row>
    <row r="1257" spans="5:14">
      <c r="E1257">
        <f>IF(ISNA(F1257),NA(),E887)</f>
        <v>0</v>
      </c>
      <c r="F1257">
        <f>IF(OR(F887="",AND(F887=F886,F887=F888)),NA(), F887)</f>
        <v>0</v>
      </c>
      <c r="G1257">
        <f>IF(ISNA(H1257),NA(),G887)</f>
        <v>0</v>
      </c>
      <c r="H1257">
        <f>IF(OR(H887="",AND(H887=H886,H887=H888)),NA(), H887)</f>
        <v>0</v>
      </c>
      <c r="K1257">
        <f>IF(ISNA(L1257),NA(),K887)</f>
        <v>0</v>
      </c>
      <c r="L1257">
        <f>IF(OR(L887="",AND(L887=L886,L887=L888)),NA(), L887)</f>
        <v>0</v>
      </c>
      <c r="M1257">
        <f>IF(ISNA(N1257),NA(),M887)</f>
        <v>0</v>
      </c>
      <c r="N1257">
        <f>IF(OR(N887="",AND(N887=N886,N887=N888)),NA(), N887)</f>
        <v>0</v>
      </c>
    </row>
    <row r="1258" spans="5:14">
      <c r="E1258">
        <f>IF(ISNA(F1258),NA(),E888)</f>
        <v>0</v>
      </c>
      <c r="F1258">
        <f>IF(OR(F888="",AND(F888=F887,F888=F889)),NA(), F888)</f>
        <v>0</v>
      </c>
      <c r="G1258">
        <f>IF(ISNA(H1258),NA(),G888)</f>
        <v>0</v>
      </c>
      <c r="H1258">
        <f>IF(OR(H888="",AND(H888=H887,H888=H889)),NA(), H888)</f>
        <v>0</v>
      </c>
      <c r="K1258">
        <f>IF(ISNA(L1258),NA(),K888)</f>
        <v>0</v>
      </c>
      <c r="L1258">
        <f>IF(OR(L888="",AND(L888=L887,L888=L889)),NA(), L888)</f>
        <v>0</v>
      </c>
      <c r="M1258">
        <f>IF(ISNA(N1258),NA(),M888)</f>
        <v>0</v>
      </c>
      <c r="N1258">
        <f>IF(OR(N888="",AND(N888=N887,N888=N889)),NA(), N888)</f>
        <v>0</v>
      </c>
    </row>
    <row r="1259" spans="5:14">
      <c r="E1259">
        <f>IF(ISNA(F1259),NA(),E889)</f>
        <v>0</v>
      </c>
      <c r="F1259">
        <f>IF(OR(F889="",AND(F889=F888,F889=F890)),NA(), F889)</f>
        <v>0</v>
      </c>
      <c r="G1259">
        <f>IF(ISNA(H1259),NA(),G889)</f>
        <v>0</v>
      </c>
      <c r="H1259">
        <f>IF(OR(H889="",AND(H889=H888,H889=H890)),NA(), H889)</f>
        <v>0</v>
      </c>
      <c r="K1259">
        <f>IF(ISNA(L1259),NA(),K889)</f>
        <v>0</v>
      </c>
      <c r="L1259">
        <f>IF(OR(L889="",AND(L889=L888,L889=L890)),NA(), L889)</f>
        <v>0</v>
      </c>
      <c r="M1259">
        <f>IF(ISNA(N1259),NA(),M889)</f>
        <v>0</v>
      </c>
      <c r="N1259">
        <f>IF(OR(N889="",AND(N889=N888,N889=N890)),NA(), N889)</f>
        <v>0</v>
      </c>
    </row>
    <row r="1260" spans="5:14">
      <c r="E1260">
        <f>IF(ISNA(F1260),NA(),E890)</f>
        <v>0</v>
      </c>
      <c r="F1260">
        <f>IF(OR(F890="",AND(F890=F889,F890=F891)),NA(), F890)</f>
        <v>0</v>
      </c>
      <c r="G1260">
        <f>IF(ISNA(H1260),NA(),G890)</f>
        <v>0</v>
      </c>
      <c r="H1260">
        <f>IF(OR(H890="",AND(H890=H889,H890=H891)),NA(), H890)</f>
        <v>0</v>
      </c>
      <c r="K1260">
        <f>IF(ISNA(L1260),NA(),K890)</f>
        <v>0</v>
      </c>
      <c r="L1260">
        <f>IF(OR(L890="",AND(L890=L889,L890=L891)),NA(), L890)</f>
        <v>0</v>
      </c>
      <c r="M1260">
        <f>IF(ISNA(N1260),NA(),M890)</f>
        <v>0</v>
      </c>
      <c r="N1260">
        <f>IF(OR(N890="",AND(N890=N889,N890=N891)),NA(), N890)</f>
        <v>0</v>
      </c>
    </row>
    <row r="1261" spans="5:14">
      <c r="E1261">
        <f>IF(ISNA(F1261),NA(),E891)</f>
        <v>0</v>
      </c>
      <c r="F1261">
        <f>IF(OR(F891="",AND(F891=F890,F891=F892)),NA(), F891)</f>
        <v>0</v>
      </c>
      <c r="G1261">
        <f>IF(ISNA(H1261),NA(),G891)</f>
        <v>0</v>
      </c>
      <c r="H1261">
        <f>IF(OR(H891="",AND(H891=H890,H891=H892)),NA(), H891)</f>
        <v>0</v>
      </c>
      <c r="K1261">
        <f>IF(ISNA(L1261),NA(),K891)</f>
        <v>0</v>
      </c>
      <c r="L1261">
        <f>IF(OR(L891="",AND(L891=L890,L891=L892)),NA(), L891)</f>
        <v>0</v>
      </c>
      <c r="M1261">
        <f>IF(ISNA(N1261),NA(),M891)</f>
        <v>0</v>
      </c>
      <c r="N1261">
        <f>IF(OR(N891="",AND(N891=N890,N891=N892)),NA(), N891)</f>
        <v>0</v>
      </c>
    </row>
    <row r="1262" spans="5:14">
      <c r="E1262">
        <f>IF(ISNA(F1262),NA(),E892)</f>
        <v>0</v>
      </c>
      <c r="F1262">
        <f>IF(OR(F892="",AND(F892=F891,F892=F893)),NA(), F892)</f>
        <v>0</v>
      </c>
      <c r="G1262">
        <f>IF(ISNA(H1262),NA(),G892)</f>
        <v>0</v>
      </c>
      <c r="H1262">
        <f>IF(OR(H892="",AND(H892=H891,H892=H893)),NA(), H892)</f>
        <v>0</v>
      </c>
      <c r="K1262">
        <f>IF(ISNA(L1262),NA(),K892)</f>
        <v>0</v>
      </c>
      <c r="L1262">
        <f>IF(OR(L892="",AND(L892=L891,L892=L893)),NA(), L892)</f>
        <v>0</v>
      </c>
      <c r="M1262">
        <f>IF(ISNA(N1262),NA(),M892)</f>
        <v>0</v>
      </c>
      <c r="N1262">
        <f>IF(OR(N892="",AND(N892=N891,N892=N893)),NA(), N892)</f>
        <v>0</v>
      </c>
    </row>
    <row r="1263" spans="5:14">
      <c r="E1263">
        <f>IF(ISNA(F1263),NA(),E893)</f>
        <v>0</v>
      </c>
      <c r="F1263">
        <f>IF(OR(F893="",AND(F893=F892,F893=F894)),NA(), F893)</f>
        <v>0</v>
      </c>
      <c r="G1263">
        <f>IF(ISNA(H1263),NA(),G893)</f>
        <v>0</v>
      </c>
      <c r="H1263">
        <f>IF(OR(H893="",AND(H893=H892,H893=H894)),NA(), H893)</f>
        <v>0</v>
      </c>
      <c r="K1263">
        <f>IF(ISNA(L1263),NA(),K893)</f>
        <v>0</v>
      </c>
      <c r="L1263">
        <f>IF(OR(L893="",AND(L893=L892,L893=L894)),NA(), L893)</f>
        <v>0</v>
      </c>
      <c r="M1263">
        <f>IF(ISNA(N1263),NA(),M893)</f>
        <v>0</v>
      </c>
      <c r="N1263">
        <f>IF(OR(N893="",AND(N893=N892,N893=N894)),NA(), N893)</f>
        <v>0</v>
      </c>
    </row>
    <row r="1264" spans="5:14">
      <c r="E1264">
        <f>IF(ISNA(F1264),NA(),E894)</f>
        <v>0</v>
      </c>
      <c r="F1264">
        <f>IF(OR(F894="",AND(F894=F893,F894=F895)),NA(), F894)</f>
        <v>0</v>
      </c>
      <c r="G1264">
        <f>IF(ISNA(H1264),NA(),G894)</f>
        <v>0</v>
      </c>
      <c r="H1264">
        <f>IF(OR(H894="",AND(H894=H893,H894=H895)),NA(), H894)</f>
        <v>0</v>
      </c>
      <c r="K1264">
        <f>IF(ISNA(L1264),NA(),K894)</f>
        <v>0</v>
      </c>
      <c r="L1264">
        <f>IF(OR(L894="",AND(L894=L893,L894=L895)),NA(), L894)</f>
        <v>0</v>
      </c>
      <c r="M1264">
        <f>IF(ISNA(N1264),NA(),M894)</f>
        <v>0</v>
      </c>
      <c r="N1264">
        <f>IF(OR(N894="",AND(N894=N893,N894=N895)),NA(), N894)</f>
        <v>0</v>
      </c>
    </row>
    <row r="1265" spans="5:14">
      <c r="E1265">
        <f>IF(ISNA(F1265),NA(),E895)</f>
        <v>0</v>
      </c>
      <c r="F1265">
        <f>IF(OR(F895="",AND(F895=F894,F895=F896)),NA(), F895)</f>
        <v>0</v>
      </c>
      <c r="G1265">
        <f>IF(ISNA(H1265),NA(),G895)</f>
        <v>0</v>
      </c>
      <c r="H1265">
        <f>IF(OR(H895="",AND(H895=H894,H895=H896)),NA(), H895)</f>
        <v>0</v>
      </c>
      <c r="K1265">
        <f>IF(ISNA(L1265),NA(),K895)</f>
        <v>0</v>
      </c>
      <c r="L1265">
        <f>IF(OR(L895="",AND(L895=L894,L895=L896)),NA(), L895)</f>
        <v>0</v>
      </c>
      <c r="M1265">
        <f>IF(ISNA(N1265),NA(),M895)</f>
        <v>0</v>
      </c>
      <c r="N1265">
        <f>IF(OR(N895="",AND(N895=N894,N895=N896)),NA(), N895)</f>
        <v>0</v>
      </c>
    </row>
    <row r="1266" spans="5:14">
      <c r="E1266">
        <f>IF(ISNA(F1266),NA(),E896)</f>
        <v>0</v>
      </c>
      <c r="F1266">
        <f>IF(OR(F896="",AND(F896=F895,F896=F897)),NA(), F896)</f>
        <v>0</v>
      </c>
      <c r="G1266">
        <f>IF(ISNA(H1266),NA(),G896)</f>
        <v>0</v>
      </c>
      <c r="H1266">
        <f>IF(OR(H896="",AND(H896=H895,H896=H897)),NA(), H896)</f>
        <v>0</v>
      </c>
      <c r="K1266">
        <f>IF(ISNA(L1266),NA(),K896)</f>
        <v>0</v>
      </c>
      <c r="L1266">
        <f>IF(OR(L896="",AND(L896=L895,L896=L897)),NA(), L896)</f>
        <v>0</v>
      </c>
      <c r="M1266">
        <f>IF(ISNA(N1266),NA(),M896)</f>
        <v>0</v>
      </c>
      <c r="N1266">
        <f>IF(OR(N896="",AND(N896=N895,N896=N897)),NA(), N896)</f>
        <v>0</v>
      </c>
    </row>
    <row r="1267" spans="5:14">
      <c r="E1267">
        <f>IF(ISNA(F1267),NA(),E897)</f>
        <v>0</v>
      </c>
      <c r="F1267">
        <f>IF(OR(F897="",AND(F897=F896,F897=F898)),NA(), F897)</f>
        <v>0</v>
      </c>
      <c r="G1267">
        <f>IF(ISNA(H1267),NA(),G897)</f>
        <v>0</v>
      </c>
      <c r="H1267">
        <f>IF(OR(H897="",AND(H897=H896,H897=H898)),NA(), H897)</f>
        <v>0</v>
      </c>
      <c r="K1267">
        <f>IF(ISNA(L1267),NA(),K897)</f>
        <v>0</v>
      </c>
      <c r="L1267">
        <f>IF(OR(L897="",AND(L897=L896,L897=L898)),NA(), L897)</f>
        <v>0</v>
      </c>
      <c r="M1267">
        <f>IF(ISNA(N1267),NA(),M897)</f>
        <v>0</v>
      </c>
      <c r="N1267">
        <f>IF(OR(N897="",AND(N897=N896,N897=N898)),NA(), N897)</f>
        <v>0</v>
      </c>
    </row>
    <row r="1268" spans="5:14">
      <c r="E1268">
        <f>IF(ISNA(F1268),NA(),E898)</f>
        <v>0</v>
      </c>
      <c r="F1268">
        <f>IF(OR(F898="",AND(F898=F897,F898=F899)),NA(), F898)</f>
        <v>0</v>
      </c>
      <c r="G1268">
        <f>IF(ISNA(H1268),NA(),G898)</f>
        <v>0</v>
      </c>
      <c r="H1268">
        <f>IF(OR(H898="",AND(H898=H897,H898=H899)),NA(), H898)</f>
        <v>0</v>
      </c>
      <c r="K1268">
        <f>IF(ISNA(L1268),NA(),K898)</f>
        <v>0</v>
      </c>
      <c r="L1268">
        <f>IF(OR(L898="",AND(L898=L897,L898=L899)),NA(), L898)</f>
        <v>0</v>
      </c>
      <c r="M1268">
        <f>IF(ISNA(N1268),NA(),M898)</f>
        <v>0</v>
      </c>
      <c r="N1268">
        <f>IF(OR(N898="",AND(N898=N897,N898=N899)),NA(), N898)</f>
        <v>0</v>
      </c>
    </row>
    <row r="1269" spans="5:14">
      <c r="E1269">
        <f>IF(ISNA(F1269),NA(),E899)</f>
        <v>0</v>
      </c>
      <c r="F1269">
        <f>IF(OR(F899="",AND(F899=F898,F899=F900)),NA(), F899)</f>
        <v>0</v>
      </c>
      <c r="G1269">
        <f>IF(ISNA(H1269),NA(),G899)</f>
        <v>0</v>
      </c>
      <c r="H1269">
        <f>IF(OR(H899="",AND(H899=H898,H899=H900)),NA(), H899)</f>
        <v>0</v>
      </c>
      <c r="K1269">
        <f>IF(ISNA(L1269),NA(),K899)</f>
        <v>0</v>
      </c>
      <c r="L1269">
        <f>IF(OR(L899="",AND(L899=L898,L899=L900)),NA(), L899)</f>
        <v>0</v>
      </c>
      <c r="M1269">
        <f>IF(ISNA(N1269),NA(),M899)</f>
        <v>0</v>
      </c>
      <c r="N1269">
        <f>IF(OR(N899="",AND(N899=N898,N899=N900)),NA(), N899)</f>
        <v>0</v>
      </c>
    </row>
    <row r="1270" spans="5:14">
      <c r="E1270">
        <f>IF(ISNA(F1270),NA(),E900)</f>
        <v>0</v>
      </c>
      <c r="F1270">
        <f>IF(OR(F900="",AND(F900=F899,F900=F901)),NA(), F900)</f>
        <v>0</v>
      </c>
      <c r="G1270">
        <f>IF(ISNA(H1270),NA(),G900)</f>
        <v>0</v>
      </c>
      <c r="H1270">
        <f>IF(OR(H900="",AND(H900=H899,H900=H901)),NA(), H900)</f>
        <v>0</v>
      </c>
      <c r="K1270">
        <f>IF(ISNA(L1270),NA(),K900)</f>
        <v>0</v>
      </c>
      <c r="L1270">
        <f>IF(OR(L900="",AND(L900=L899,L900=L901)),NA(), L900)</f>
        <v>0</v>
      </c>
      <c r="M1270">
        <f>IF(ISNA(N1270),NA(),M900)</f>
        <v>0</v>
      </c>
      <c r="N1270">
        <f>IF(OR(N900="",AND(N900=N899,N900=N901)),NA(), N900)</f>
        <v>0</v>
      </c>
    </row>
    <row r="1271" spans="5:14">
      <c r="E1271">
        <f>IF(ISNA(F1271),NA(),E901)</f>
        <v>0</v>
      </c>
      <c r="F1271">
        <f>IF(OR(F901="",AND(F901=F900,F901=F902)),NA(), F901)</f>
        <v>0</v>
      </c>
      <c r="G1271">
        <f>IF(ISNA(H1271),NA(),G901)</f>
        <v>0</v>
      </c>
      <c r="H1271">
        <f>IF(OR(H901="",AND(H901=H900,H901=H902)),NA(), H901)</f>
        <v>0</v>
      </c>
      <c r="K1271">
        <f>IF(ISNA(L1271),NA(),K901)</f>
        <v>0</v>
      </c>
      <c r="L1271">
        <f>IF(OR(L901="",AND(L901=L900,L901=L902)),NA(), L901)</f>
        <v>0</v>
      </c>
      <c r="M1271">
        <f>IF(ISNA(N1271),NA(),M901)</f>
        <v>0</v>
      </c>
      <c r="N1271">
        <f>IF(OR(N901="",AND(N901=N900,N901=N902)),NA(), N901)</f>
        <v>0</v>
      </c>
    </row>
    <row r="1272" spans="5:14">
      <c r="E1272">
        <f>IF(ISNA(F1272),NA(),E902)</f>
        <v>0</v>
      </c>
      <c r="F1272">
        <f>IF(OR(F902="",AND(F902=F901,F902=F903)),NA(), F902)</f>
        <v>0</v>
      </c>
      <c r="G1272">
        <f>IF(ISNA(H1272),NA(),G902)</f>
        <v>0</v>
      </c>
      <c r="H1272">
        <f>IF(OR(H902="",AND(H902=H901,H902=H903)),NA(), H902)</f>
        <v>0</v>
      </c>
      <c r="K1272">
        <f>IF(ISNA(L1272),NA(),K902)</f>
        <v>0</v>
      </c>
      <c r="L1272">
        <f>IF(OR(L902="",AND(L902=L901,L902=L903)),NA(), L902)</f>
        <v>0</v>
      </c>
      <c r="M1272">
        <f>IF(ISNA(N1272),NA(),M902)</f>
        <v>0</v>
      </c>
      <c r="N1272">
        <f>IF(OR(N902="",AND(N902=N901,N902=N903)),NA(), N902)</f>
        <v>0</v>
      </c>
    </row>
    <row r="1273" spans="5:14">
      <c r="E1273">
        <f>IF(ISNA(F1273),NA(),E903)</f>
        <v>0</v>
      </c>
      <c r="F1273">
        <f>IF(OR(F903="",AND(F903=F902,F903=F904)),NA(), F903)</f>
        <v>0</v>
      </c>
      <c r="G1273">
        <f>IF(ISNA(H1273),NA(),G903)</f>
        <v>0</v>
      </c>
      <c r="H1273">
        <f>IF(OR(H903="",AND(H903=H902,H903=H904)),NA(), H903)</f>
        <v>0</v>
      </c>
      <c r="K1273">
        <f>IF(ISNA(L1273),NA(),K903)</f>
        <v>0</v>
      </c>
      <c r="L1273">
        <f>IF(OR(L903="",AND(L903=L902,L903=L904)),NA(), L903)</f>
        <v>0</v>
      </c>
      <c r="M1273">
        <f>IF(ISNA(N1273),NA(),M903)</f>
        <v>0</v>
      </c>
      <c r="N1273">
        <f>IF(OR(N903="",AND(N903=N902,N903=N904)),NA(), N903)</f>
        <v>0</v>
      </c>
    </row>
    <row r="1274" spans="5:14">
      <c r="E1274">
        <f>IF(ISNA(F1274),NA(),E904)</f>
        <v>0</v>
      </c>
      <c r="F1274">
        <f>IF(OR(F904="",AND(F904=F903,F904=F905)),NA(), F904)</f>
        <v>0</v>
      </c>
      <c r="G1274">
        <f>IF(ISNA(H1274),NA(),G904)</f>
        <v>0</v>
      </c>
      <c r="H1274">
        <f>IF(OR(H904="",AND(H904=H903,H904=H905)),NA(), H904)</f>
        <v>0</v>
      </c>
      <c r="K1274">
        <f>IF(ISNA(L1274),NA(),K904)</f>
        <v>0</v>
      </c>
      <c r="L1274">
        <f>IF(OR(L904="",AND(L904=L903,L904=L905)),NA(), L904)</f>
        <v>0</v>
      </c>
      <c r="M1274">
        <f>IF(ISNA(N1274),NA(),M904)</f>
        <v>0</v>
      </c>
      <c r="N1274">
        <f>IF(OR(N904="",AND(N904=N903,N904=N905)),NA(), N904)</f>
        <v>0</v>
      </c>
    </row>
    <row r="1275" spans="5:14">
      <c r="E1275">
        <f>IF(ISNA(F1275),NA(),E905)</f>
        <v>0</v>
      </c>
      <c r="F1275">
        <f>IF(OR(F905="",AND(F905=F904,F905=F906)),NA(), F905)</f>
        <v>0</v>
      </c>
      <c r="G1275">
        <f>IF(ISNA(H1275),NA(),G905)</f>
        <v>0</v>
      </c>
      <c r="H1275">
        <f>IF(OR(H905="",AND(H905=H904,H905=H906)),NA(), H905)</f>
        <v>0</v>
      </c>
      <c r="K1275">
        <f>IF(ISNA(L1275),NA(),K905)</f>
        <v>0</v>
      </c>
      <c r="L1275">
        <f>IF(OR(L905="",AND(L905=L904,L905=L906)),NA(), L905)</f>
        <v>0</v>
      </c>
      <c r="M1275">
        <f>IF(ISNA(N1275),NA(),M905)</f>
        <v>0</v>
      </c>
      <c r="N1275">
        <f>IF(OR(N905="",AND(N905=N904,N905=N906)),NA(), N905)</f>
        <v>0</v>
      </c>
    </row>
    <row r="1276" spans="5:14">
      <c r="E1276">
        <f>IF(ISNA(F1276),NA(),E906)</f>
        <v>0</v>
      </c>
      <c r="F1276">
        <f>IF(OR(F906="",AND(F906=F905,F906=F907)),NA(), F906)</f>
        <v>0</v>
      </c>
      <c r="G1276">
        <f>IF(ISNA(H1276),NA(),G906)</f>
        <v>0</v>
      </c>
      <c r="H1276">
        <f>IF(OR(H906="",AND(H906=H905,H906=H907)),NA(), H906)</f>
        <v>0</v>
      </c>
      <c r="K1276">
        <f>IF(ISNA(L1276),NA(),K906)</f>
        <v>0</v>
      </c>
      <c r="L1276">
        <f>IF(OR(L906="",AND(L906=L905,L906=L907)),NA(), L906)</f>
        <v>0</v>
      </c>
      <c r="M1276">
        <f>IF(ISNA(N1276),NA(),M906)</f>
        <v>0</v>
      </c>
      <c r="N1276">
        <f>IF(OR(N906="",AND(N906=N905,N906=N907)),NA(), N906)</f>
        <v>0</v>
      </c>
    </row>
    <row r="1277" spans="5:14">
      <c r="E1277">
        <f>IF(ISNA(F1277),NA(),E907)</f>
        <v>0</v>
      </c>
      <c r="F1277">
        <f>IF(OR(F907="",AND(F907=F906,F907=F908)),NA(), F907)</f>
        <v>0</v>
      </c>
      <c r="G1277">
        <f>IF(ISNA(H1277),NA(),G907)</f>
        <v>0</v>
      </c>
      <c r="H1277">
        <f>IF(OR(H907="",AND(H907=H906,H907=H908)),NA(), H907)</f>
        <v>0</v>
      </c>
      <c r="K1277">
        <f>IF(ISNA(L1277),NA(),K907)</f>
        <v>0</v>
      </c>
      <c r="L1277">
        <f>IF(OR(L907="",AND(L907=L906,L907=L908)),NA(), L907)</f>
        <v>0</v>
      </c>
      <c r="M1277">
        <f>IF(ISNA(N1277),NA(),M907)</f>
        <v>0</v>
      </c>
      <c r="N1277">
        <f>IF(OR(N907="",AND(N907=N906,N907=N908)),NA(), N907)</f>
        <v>0</v>
      </c>
    </row>
    <row r="1278" spans="5:14">
      <c r="E1278">
        <f>IF(ISNA(F1278),NA(),E908)</f>
        <v>0</v>
      </c>
      <c r="F1278">
        <f>IF(OR(F908="",AND(F908=F907,F908=F909)),NA(), F908)</f>
        <v>0</v>
      </c>
      <c r="G1278">
        <f>IF(ISNA(H1278),NA(),G908)</f>
        <v>0</v>
      </c>
      <c r="H1278">
        <f>IF(OR(H908="",AND(H908=H907,H908=H909)),NA(), H908)</f>
        <v>0</v>
      </c>
      <c r="K1278">
        <f>IF(ISNA(L1278),NA(),K908)</f>
        <v>0</v>
      </c>
      <c r="L1278">
        <f>IF(OR(L908="",AND(L908=L907,L908=L909)),NA(), L908)</f>
        <v>0</v>
      </c>
      <c r="M1278">
        <f>IF(ISNA(N1278),NA(),M908)</f>
        <v>0</v>
      </c>
      <c r="N1278">
        <f>IF(OR(N908="",AND(N908=N907,N908=N909)),NA(), N908)</f>
        <v>0</v>
      </c>
    </row>
    <row r="1279" spans="5:14">
      <c r="E1279">
        <f>IF(ISNA(F1279),NA(),E909)</f>
        <v>0</v>
      </c>
      <c r="F1279">
        <f>IF(OR(F909="",AND(F909=F908,F909=F910)),NA(), F909)</f>
        <v>0</v>
      </c>
      <c r="G1279">
        <f>IF(ISNA(H1279),NA(),G909)</f>
        <v>0</v>
      </c>
      <c r="H1279">
        <f>IF(OR(H909="",AND(H909=H908,H909=H910)),NA(), H909)</f>
        <v>0</v>
      </c>
      <c r="K1279">
        <f>IF(ISNA(L1279),NA(),K909)</f>
        <v>0</v>
      </c>
      <c r="L1279">
        <f>IF(OR(L909="",AND(L909=L908,L909=L910)),NA(), L909)</f>
        <v>0</v>
      </c>
      <c r="M1279">
        <f>IF(ISNA(N1279),NA(),M909)</f>
        <v>0</v>
      </c>
      <c r="N1279">
        <f>IF(OR(N909="",AND(N909=N908,N909=N910)),NA(), N909)</f>
        <v>0</v>
      </c>
    </row>
    <row r="1280" spans="5:14">
      <c r="E1280">
        <f>IF(ISNA(F1280),NA(),E910)</f>
        <v>0</v>
      </c>
      <c r="F1280">
        <f>IF(OR(F910="",AND(F910=F909,F910=F911)),NA(), F910)</f>
        <v>0</v>
      </c>
      <c r="G1280">
        <f>IF(ISNA(H1280),NA(),G910)</f>
        <v>0</v>
      </c>
      <c r="H1280">
        <f>IF(OR(H910="",AND(H910=H909,H910=H911)),NA(), H910)</f>
        <v>0</v>
      </c>
      <c r="K1280">
        <f>IF(ISNA(L1280),NA(),K910)</f>
        <v>0</v>
      </c>
      <c r="L1280">
        <f>IF(OR(L910="",AND(L910=L909,L910=L911)),NA(), L910)</f>
        <v>0</v>
      </c>
      <c r="M1280">
        <f>IF(ISNA(N1280),NA(),M910)</f>
        <v>0</v>
      </c>
      <c r="N1280">
        <f>IF(OR(N910="",AND(N910=N909,N910=N911)),NA(), N910)</f>
        <v>0</v>
      </c>
    </row>
    <row r="1281" spans="5:14">
      <c r="E1281">
        <f>IF(ISNA(F1281),NA(),E911)</f>
        <v>0</v>
      </c>
      <c r="F1281">
        <f>IF(OR(F911="",AND(F911=F910,F911=F912)),NA(), F911)</f>
        <v>0</v>
      </c>
      <c r="G1281">
        <f>IF(ISNA(H1281),NA(),G911)</f>
        <v>0</v>
      </c>
      <c r="H1281">
        <f>IF(OR(H911="",AND(H911=H910,H911=H912)),NA(), H911)</f>
        <v>0</v>
      </c>
      <c r="K1281">
        <f>IF(ISNA(L1281),NA(),K911)</f>
        <v>0</v>
      </c>
      <c r="L1281">
        <f>IF(OR(L911="",AND(L911=L910,L911=L912)),NA(), L911)</f>
        <v>0</v>
      </c>
      <c r="M1281">
        <f>IF(ISNA(N1281),NA(),M911)</f>
        <v>0</v>
      </c>
      <c r="N1281">
        <f>IF(OR(N911="",AND(N911=N910,N911=N912)),NA(), N911)</f>
        <v>0</v>
      </c>
    </row>
    <row r="1282" spans="5:14">
      <c r="E1282">
        <f>IF(ISNA(F1282),NA(),E912)</f>
        <v>0</v>
      </c>
      <c r="F1282">
        <f>IF(OR(F912="",AND(F912=F911,F912=F913)),NA(), F912)</f>
        <v>0</v>
      </c>
      <c r="G1282">
        <f>IF(ISNA(H1282),NA(),G912)</f>
        <v>0</v>
      </c>
      <c r="H1282">
        <f>IF(OR(H912="",AND(H912=H911,H912=H913)),NA(), H912)</f>
        <v>0</v>
      </c>
      <c r="K1282">
        <f>IF(ISNA(L1282),NA(),K912)</f>
        <v>0</v>
      </c>
      <c r="L1282">
        <f>IF(OR(L912="",AND(L912=L911,L912=L913)),NA(), L912)</f>
        <v>0</v>
      </c>
      <c r="M1282">
        <f>IF(ISNA(N1282),NA(),M912)</f>
        <v>0</v>
      </c>
      <c r="N1282">
        <f>IF(OR(N912="",AND(N912=N911,N912=N913)),NA(), N912)</f>
        <v>0</v>
      </c>
    </row>
    <row r="1283" spans="5:14">
      <c r="E1283">
        <f>IF(ISNA(F1283),NA(),E913)</f>
        <v>0</v>
      </c>
      <c r="F1283">
        <f>IF(OR(F913="",AND(F913=F912,F913=F914)),NA(), F913)</f>
        <v>0</v>
      </c>
      <c r="G1283">
        <f>IF(ISNA(H1283),NA(),G913)</f>
        <v>0</v>
      </c>
      <c r="H1283">
        <f>IF(OR(H913="",AND(H913=H912,H913=H914)),NA(), H913)</f>
        <v>0</v>
      </c>
      <c r="K1283">
        <f>IF(ISNA(L1283),NA(),K913)</f>
        <v>0</v>
      </c>
      <c r="L1283">
        <f>IF(OR(L913="",AND(L913=L912,L913=L914)),NA(), L913)</f>
        <v>0</v>
      </c>
      <c r="M1283">
        <f>IF(ISNA(N1283),NA(),M913)</f>
        <v>0</v>
      </c>
      <c r="N1283">
        <f>IF(OR(N913="",AND(N913=N912,N913=N914)),NA(), N913)</f>
        <v>0</v>
      </c>
    </row>
    <row r="1284" spans="5:14">
      <c r="E1284">
        <f>IF(ISNA(F1284),NA(),E914)</f>
        <v>0</v>
      </c>
      <c r="F1284">
        <f>IF(OR(F914="",AND(F914=F913,F914=F915)),NA(), F914)</f>
        <v>0</v>
      </c>
      <c r="G1284">
        <f>IF(ISNA(H1284),NA(),G914)</f>
        <v>0</v>
      </c>
      <c r="H1284">
        <f>IF(OR(H914="",AND(H914=H913,H914=H915)),NA(), H914)</f>
        <v>0</v>
      </c>
      <c r="K1284">
        <f>IF(ISNA(L1284),NA(),K914)</f>
        <v>0</v>
      </c>
      <c r="L1284">
        <f>IF(OR(L914="",AND(L914=L913,L914=L915)),NA(), L914)</f>
        <v>0</v>
      </c>
      <c r="M1284">
        <f>IF(ISNA(N1284),NA(),M914)</f>
        <v>0</v>
      </c>
      <c r="N1284">
        <f>IF(OR(N914="",AND(N914=N913,N914=N915)),NA(), N914)</f>
        <v>0</v>
      </c>
    </row>
    <row r="1285" spans="5:14">
      <c r="E1285">
        <f>IF(ISNA(F1285),NA(),E915)</f>
        <v>0</v>
      </c>
      <c r="F1285">
        <f>IF(OR(F915="",AND(F915=F914,F915=F916)),NA(), F915)</f>
        <v>0</v>
      </c>
      <c r="G1285">
        <f>IF(ISNA(H1285),NA(),G915)</f>
        <v>0</v>
      </c>
      <c r="H1285">
        <f>IF(OR(H915="",AND(H915=H914,H915=H916)),NA(), H915)</f>
        <v>0</v>
      </c>
      <c r="K1285">
        <f>IF(ISNA(L1285),NA(),K915)</f>
        <v>0</v>
      </c>
      <c r="L1285">
        <f>IF(OR(L915="",AND(L915=L914,L915=L916)),NA(), L915)</f>
        <v>0</v>
      </c>
      <c r="M1285">
        <f>IF(ISNA(N1285),NA(),M915)</f>
        <v>0</v>
      </c>
      <c r="N1285">
        <f>IF(OR(N915="",AND(N915=N914,N915=N916)),NA(), N915)</f>
        <v>0</v>
      </c>
    </row>
    <row r="1286" spans="5:14">
      <c r="E1286">
        <f>IF(ISNA(F1286),NA(),E916)</f>
        <v>0</v>
      </c>
      <c r="F1286">
        <f>IF(OR(F916="",AND(F916=F915,F916=F917)),NA(), F916)</f>
        <v>0</v>
      </c>
      <c r="G1286">
        <f>IF(ISNA(H1286),NA(),G916)</f>
        <v>0</v>
      </c>
      <c r="H1286">
        <f>IF(OR(H916="",AND(H916=H915,H916=H917)),NA(), H916)</f>
        <v>0</v>
      </c>
      <c r="K1286">
        <f>IF(ISNA(L1286),NA(),K916)</f>
        <v>0</v>
      </c>
      <c r="L1286">
        <f>IF(OR(L916="",AND(L916=L915,L916=L917)),NA(), L916)</f>
        <v>0</v>
      </c>
      <c r="M1286">
        <f>IF(ISNA(N1286),NA(),M916)</f>
        <v>0</v>
      </c>
      <c r="N1286">
        <f>IF(OR(N916="",AND(N916=N915,N916=N917)),NA(), N916)</f>
        <v>0</v>
      </c>
    </row>
    <row r="1287" spans="5:14">
      <c r="E1287">
        <f>IF(ISNA(F1287),NA(),E917)</f>
        <v>0</v>
      </c>
      <c r="F1287">
        <f>IF(OR(F917="",AND(F917=F916,F917=F918)),NA(), F917)</f>
        <v>0</v>
      </c>
      <c r="G1287">
        <f>IF(ISNA(H1287),NA(),G917)</f>
        <v>0</v>
      </c>
      <c r="H1287">
        <f>IF(OR(H917="",AND(H917=H916,H917=H918)),NA(), H917)</f>
        <v>0</v>
      </c>
      <c r="K1287">
        <f>IF(ISNA(L1287),NA(),K917)</f>
        <v>0</v>
      </c>
      <c r="L1287">
        <f>IF(OR(L917="",AND(L917=L916,L917=L918)),NA(), L917)</f>
        <v>0</v>
      </c>
      <c r="M1287">
        <f>IF(ISNA(N1287),NA(),M917)</f>
        <v>0</v>
      </c>
      <c r="N1287">
        <f>IF(OR(N917="",AND(N917=N916,N917=N918)),NA(), N917)</f>
        <v>0</v>
      </c>
    </row>
    <row r="1288" spans="5:14">
      <c r="E1288">
        <f>IF(ISNA(F1288),NA(),E918)</f>
        <v>0</v>
      </c>
      <c r="F1288">
        <f>IF(OR(F918="",AND(F918=F917,F918=F919)),NA(), F918)</f>
        <v>0</v>
      </c>
      <c r="G1288">
        <f>IF(ISNA(H1288),NA(),G918)</f>
        <v>0</v>
      </c>
      <c r="H1288">
        <f>IF(OR(H918="",AND(H918=H917,H918=H919)),NA(), H918)</f>
        <v>0</v>
      </c>
      <c r="K1288">
        <f>IF(ISNA(L1288),NA(),K918)</f>
        <v>0</v>
      </c>
      <c r="L1288">
        <f>IF(OR(L918="",AND(L918=L917,L918=L919)),NA(), L918)</f>
        <v>0</v>
      </c>
      <c r="M1288">
        <f>IF(ISNA(N1288),NA(),M918)</f>
        <v>0</v>
      </c>
      <c r="N1288">
        <f>IF(OR(N918="",AND(N918=N917,N918=N919)),NA(), N918)</f>
        <v>0</v>
      </c>
    </row>
    <row r="1289" spans="5:14">
      <c r="E1289">
        <f>IF(ISNA(F1289),NA(),E919)</f>
        <v>0</v>
      </c>
      <c r="F1289">
        <f>IF(OR(F919="",AND(F919=F918,F919=F920)),NA(), F919)</f>
        <v>0</v>
      </c>
      <c r="G1289">
        <f>IF(ISNA(H1289),NA(),G919)</f>
        <v>0</v>
      </c>
      <c r="H1289">
        <f>IF(OR(H919="",AND(H919=H918,H919=H920)),NA(), H919)</f>
        <v>0</v>
      </c>
      <c r="K1289">
        <f>IF(ISNA(L1289),NA(),K919)</f>
        <v>0</v>
      </c>
      <c r="L1289">
        <f>IF(OR(L919="",AND(L919=L918,L919=L920)),NA(), L919)</f>
        <v>0</v>
      </c>
      <c r="M1289">
        <f>IF(ISNA(N1289),NA(),M919)</f>
        <v>0</v>
      </c>
      <c r="N1289">
        <f>IF(OR(N919="",AND(N919=N918,N919=N920)),NA(), N919)</f>
        <v>0</v>
      </c>
    </row>
    <row r="1290" spans="5:14">
      <c r="E1290">
        <f>IF(ISNA(F1290),NA(),E920)</f>
        <v>0</v>
      </c>
      <c r="F1290">
        <f>IF(OR(F920="",AND(F920=F919,F920=F921)),NA(), F920)</f>
        <v>0</v>
      </c>
      <c r="G1290">
        <f>IF(ISNA(H1290),NA(),G920)</f>
        <v>0</v>
      </c>
      <c r="H1290">
        <f>IF(OR(H920="",AND(H920=H919,H920=H921)),NA(), H920)</f>
        <v>0</v>
      </c>
      <c r="K1290">
        <f>IF(ISNA(L1290),NA(),K920)</f>
        <v>0</v>
      </c>
      <c r="L1290">
        <f>IF(OR(L920="",AND(L920=L919,L920=L921)),NA(), L920)</f>
        <v>0</v>
      </c>
      <c r="M1290">
        <f>IF(ISNA(N1290),NA(),M920)</f>
        <v>0</v>
      </c>
      <c r="N1290">
        <f>IF(OR(N920="",AND(N920=N919,N920=N921)),NA(), N920)</f>
        <v>0</v>
      </c>
    </row>
    <row r="1291" spans="5:14">
      <c r="E1291">
        <f>IF(ISNA(F1291),NA(),E921)</f>
        <v>0</v>
      </c>
      <c r="F1291">
        <f>IF(OR(F921="",AND(F921=F920,F921=F922)),NA(), F921)</f>
        <v>0</v>
      </c>
      <c r="G1291">
        <f>IF(ISNA(H1291),NA(),G921)</f>
        <v>0</v>
      </c>
      <c r="H1291">
        <f>IF(OR(H921="",AND(H921=H920,H921=H922)),NA(), H921)</f>
        <v>0</v>
      </c>
      <c r="K1291">
        <f>IF(ISNA(L1291),NA(),K921)</f>
        <v>0</v>
      </c>
      <c r="L1291">
        <f>IF(OR(L921="",AND(L921=L920,L921=L922)),NA(), L921)</f>
        <v>0</v>
      </c>
      <c r="M1291">
        <f>IF(ISNA(N1291),NA(),M921)</f>
        <v>0</v>
      </c>
      <c r="N1291">
        <f>IF(OR(N921="",AND(N921=N920,N921=N922)),NA(), N921)</f>
        <v>0</v>
      </c>
    </row>
    <row r="1292" spans="5:14">
      <c r="E1292">
        <f>IF(ISNA(F1292),NA(),E922)</f>
        <v>0</v>
      </c>
      <c r="F1292">
        <f>IF(OR(F922="",AND(F922=F921,F922=F923)),NA(), F922)</f>
        <v>0</v>
      </c>
      <c r="G1292">
        <f>IF(ISNA(H1292),NA(),G922)</f>
        <v>0</v>
      </c>
      <c r="H1292">
        <f>IF(OR(H922="",AND(H922=H921,H922=H923)),NA(), H922)</f>
        <v>0</v>
      </c>
      <c r="K1292">
        <f>IF(ISNA(L1292),NA(),K922)</f>
        <v>0</v>
      </c>
      <c r="L1292">
        <f>IF(OR(L922="",AND(L922=L921,L922=L923)),NA(), L922)</f>
        <v>0</v>
      </c>
      <c r="M1292">
        <f>IF(ISNA(N1292),NA(),M922)</f>
        <v>0</v>
      </c>
      <c r="N1292">
        <f>IF(OR(N922="",AND(N922=N921,N922=N923)),NA(), N922)</f>
        <v>0</v>
      </c>
    </row>
    <row r="1293" spans="5:14">
      <c r="E1293">
        <f>IF(ISNA(F1293),NA(),E923)</f>
        <v>0</v>
      </c>
      <c r="F1293">
        <f>IF(OR(F923="",AND(F923=F922,F923=F924)),NA(), F923)</f>
        <v>0</v>
      </c>
      <c r="G1293">
        <f>IF(ISNA(H1293),NA(),G923)</f>
        <v>0</v>
      </c>
      <c r="H1293">
        <f>IF(OR(H923="",AND(H923=H922,H923=H924)),NA(), H923)</f>
        <v>0</v>
      </c>
      <c r="K1293">
        <f>IF(ISNA(L1293),NA(),K923)</f>
        <v>0</v>
      </c>
      <c r="L1293">
        <f>IF(OR(L923="",AND(L923=L922,L923=L924)),NA(), L923)</f>
        <v>0</v>
      </c>
      <c r="M1293">
        <f>IF(ISNA(N1293),NA(),M923)</f>
        <v>0</v>
      </c>
      <c r="N1293">
        <f>IF(OR(N923="",AND(N923=N922,N923=N924)),NA(), N923)</f>
        <v>0</v>
      </c>
    </row>
    <row r="1294" spans="5:14">
      <c r="E1294">
        <f>IF(ISNA(F1294),NA(),E924)</f>
        <v>0</v>
      </c>
      <c r="F1294">
        <f>IF(OR(F924="",AND(F924=F923,F924=F925)),NA(), F924)</f>
        <v>0</v>
      </c>
      <c r="G1294">
        <f>IF(ISNA(H1294),NA(),G924)</f>
        <v>0</v>
      </c>
      <c r="H1294">
        <f>IF(OR(H924="",AND(H924=H923,H924=H925)),NA(), H924)</f>
        <v>0</v>
      </c>
      <c r="K1294">
        <f>IF(ISNA(L1294),NA(),K924)</f>
        <v>0</v>
      </c>
      <c r="L1294">
        <f>IF(OR(L924="",AND(L924=L923,L924=L925)),NA(), L924)</f>
        <v>0</v>
      </c>
      <c r="M1294">
        <f>IF(ISNA(N1294),NA(),M924)</f>
        <v>0</v>
      </c>
      <c r="N1294">
        <f>IF(OR(N924="",AND(N924=N923,N924=N925)),NA(), N924)</f>
        <v>0</v>
      </c>
    </row>
    <row r="1295" spans="5:14">
      <c r="E1295">
        <f>IF(ISNA(F1295),NA(),E925)</f>
        <v>0</v>
      </c>
      <c r="F1295">
        <f>IF(OR(F925="",AND(F925=F924,F925=F926)),NA(), F925)</f>
        <v>0</v>
      </c>
      <c r="G1295">
        <f>IF(ISNA(H1295),NA(),G925)</f>
        <v>0</v>
      </c>
      <c r="H1295">
        <f>IF(OR(H925="",AND(H925=H924,H925=H926)),NA(), H925)</f>
        <v>0</v>
      </c>
      <c r="K1295">
        <f>IF(ISNA(L1295),NA(),K925)</f>
        <v>0</v>
      </c>
      <c r="L1295">
        <f>IF(OR(L925="",AND(L925=L924,L925=L926)),NA(), L925)</f>
        <v>0</v>
      </c>
      <c r="M1295">
        <f>IF(ISNA(N1295),NA(),M925)</f>
        <v>0</v>
      </c>
      <c r="N1295">
        <f>IF(OR(N925="",AND(N925=N924,N925=N926)),NA(), N925)</f>
        <v>0</v>
      </c>
    </row>
    <row r="1296" spans="5:14">
      <c r="E1296">
        <f>IF(ISNA(F1296),NA(),E926)</f>
        <v>0</v>
      </c>
      <c r="F1296">
        <f>IF(OR(F926="",AND(F926=F925,F926=F927)),NA(), F926)</f>
        <v>0</v>
      </c>
      <c r="G1296">
        <f>IF(ISNA(H1296),NA(),G926)</f>
        <v>0</v>
      </c>
      <c r="H1296">
        <f>IF(OR(H926="",AND(H926=H925,H926=H927)),NA(), H926)</f>
        <v>0</v>
      </c>
      <c r="K1296">
        <f>IF(ISNA(L1296),NA(),K926)</f>
        <v>0</v>
      </c>
      <c r="L1296">
        <f>IF(OR(L926="",AND(L926=L925,L926=L927)),NA(), L926)</f>
        <v>0</v>
      </c>
      <c r="M1296">
        <f>IF(ISNA(N1296),NA(),M926)</f>
        <v>0</v>
      </c>
      <c r="N1296">
        <f>IF(OR(N926="",AND(N926=N925,N926=N927)),NA(), N926)</f>
        <v>0</v>
      </c>
    </row>
    <row r="1297" spans="5:14">
      <c r="E1297">
        <f>IF(ISNA(F1297),NA(),E927)</f>
        <v>0</v>
      </c>
      <c r="F1297">
        <f>IF(OR(F927="",AND(F927=F926,F927=F928)),NA(), F927)</f>
        <v>0</v>
      </c>
      <c r="G1297">
        <f>IF(ISNA(H1297),NA(),G927)</f>
        <v>0</v>
      </c>
      <c r="H1297">
        <f>IF(OR(H927="",AND(H927=H926,H927=H928)),NA(), H927)</f>
        <v>0</v>
      </c>
      <c r="K1297">
        <f>IF(ISNA(L1297),NA(),K927)</f>
        <v>0</v>
      </c>
      <c r="L1297">
        <f>IF(OR(L927="",AND(L927=L926,L927=L928)),NA(), L927)</f>
        <v>0</v>
      </c>
      <c r="M1297">
        <f>IF(ISNA(N1297),NA(),M927)</f>
        <v>0</v>
      </c>
      <c r="N1297">
        <f>IF(OR(N927="",AND(N927=N926,N927=N928)),NA(), N927)</f>
        <v>0</v>
      </c>
    </row>
    <row r="1298" spans="5:14">
      <c r="E1298">
        <f>IF(ISNA(F1298),NA(),E928)</f>
        <v>0</v>
      </c>
      <c r="F1298">
        <f>IF(OR(F928="",AND(F928=F927,F928=F929)),NA(), F928)</f>
        <v>0</v>
      </c>
      <c r="G1298">
        <f>IF(ISNA(H1298),NA(),G928)</f>
        <v>0</v>
      </c>
      <c r="H1298">
        <f>IF(OR(H928="",AND(H928=H927,H928=H929)),NA(), H928)</f>
        <v>0</v>
      </c>
      <c r="K1298">
        <f>IF(ISNA(L1298),NA(),K928)</f>
        <v>0</v>
      </c>
      <c r="L1298">
        <f>IF(OR(L928="",AND(L928=L927,L928=L929)),NA(), L928)</f>
        <v>0</v>
      </c>
      <c r="M1298">
        <f>IF(ISNA(N1298),NA(),M928)</f>
        <v>0</v>
      </c>
      <c r="N1298">
        <f>IF(OR(N928="",AND(N928=N927,N928=N929)),NA(), N928)</f>
        <v>0</v>
      </c>
    </row>
    <row r="1299" spans="5:14">
      <c r="E1299">
        <f>IF(ISNA(F1299),NA(),E929)</f>
        <v>0</v>
      </c>
      <c r="F1299">
        <f>IF(F929="",NA(),F929)</f>
        <v>0</v>
      </c>
      <c r="G1299">
        <f>IF(ISNA(H1299),NA(),G929)</f>
        <v>0</v>
      </c>
      <c r="H1299">
        <f>IF(H929="",NA(),H929)</f>
        <v>0</v>
      </c>
      <c r="K1299">
        <f>IF(ISNA(L1299),NA(),K929)</f>
        <v>0</v>
      </c>
      <c r="L1299">
        <f>IF(L929="",NA(),L929)</f>
        <v>0</v>
      </c>
      <c r="M1299">
        <f>IF(ISNA(N1299),NA(),M929)</f>
        <v>0</v>
      </c>
      <c r="N1299">
        <f>IF(N929="",NA(),N929)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F3"/>
  <sheetViews>
    <sheetView workbookViewId="0"/>
  </sheetViews>
  <sheetFormatPr defaultRowHeight="15"/>
  <sheetData>
    <row r="2" spans="2:6">
      <c r="B2" t="s">
        <v>228</v>
      </c>
      <c r="F2" t="s">
        <v>230</v>
      </c>
    </row>
    <row r="3" spans="2:6">
      <c r="B3" s="2" t="s">
        <v>229</v>
      </c>
      <c r="F3" s="2" t="s">
        <v>192</v>
      </c>
    </row>
  </sheetData>
  <dataValidations count="2">
    <dataValidation type="list" allowBlank="1" showInputMessage="1" showErrorMessage="1" prompt="Select how runs should be merged. 'none' means no merging." sqref="B3">
      <formula1>"none,average,median,min,max"</formula1>
    </dataValidation>
    <dataValidation type="list" allowBlank="1" showInputMessage="1" showErrorMessage="1" prompt="Select measure to display." sqref="F3">
      <formula1>"choices,conflicts,constraints,error,mem,memout,models,overall-time,par2,restarts,rules,solving-time,time,timeout,variables"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Instances</vt:lpstr>
      <vt:lpstr>Merged Runs</vt:lpstr>
      <vt:lpstr>Classes</vt:lpstr>
      <vt:lpstr>Helper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2026-09-30T07:05:48Z</dcterms:created>
  <dcterms:modified xsi:type="dcterms:W3CDTF">2026-09-30T07:05:48Z</dcterms:modified>
</cp:coreProperties>
</file>