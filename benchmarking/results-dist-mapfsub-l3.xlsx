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<sst xmlns="http://schemas.openxmlformats.org/spreadsheetml/2006/main" count="722" uniqueCount="217">
  <si>
    <t>./10-145162646848673</t>
  </si>
  <si>
    <t>./10-17630975493234</t>
  </si>
  <si>
    <t>./10-18708915822629</t>
  </si>
  <si>
    <t>./10-282093612040832</t>
  </si>
  <si>
    <t>./10-283712654672237</t>
  </si>
  <si>
    <t>./10-611399871496200</t>
  </si>
  <si>
    <t>./10-703945206928000</t>
  </si>
  <si>
    <t>./11-142936786347061</t>
  </si>
  <si>
    <t>./11-142992641884424</t>
  </si>
  <si>
    <t>./11-302094043054658</t>
  </si>
  <si>
    <t>./11-563345380114560</t>
  </si>
  <si>
    <t>./11-567405982269522</t>
  </si>
  <si>
    <t>./11-571385269453832</t>
  </si>
  <si>
    <t>./11-810374446711170</t>
  </si>
  <si>
    <t>./12-189666869380232</t>
  </si>
  <si>
    <t>./12-2519275178260</t>
  </si>
  <si>
    <t>./12-3790376017930</t>
  </si>
  <si>
    <t>./12-399125136932878</t>
  </si>
  <si>
    <t>./12-404725658288384</t>
  </si>
  <si>
    <t>./12-576148478132417</t>
  </si>
  <si>
    <t>./12-758051023945728</t>
  </si>
  <si>
    <t>./13-146097676099682</t>
  </si>
  <si>
    <t>./13-148984098980483</t>
  </si>
  <si>
    <t>./13-217846278128642</t>
  </si>
  <si>
    <t>./13-599247263146059</t>
  </si>
  <si>
    <t>./13-74777697989732</t>
  </si>
  <si>
    <t>./13-74809879310603</t>
  </si>
  <si>
    <t>./13-962351680519</t>
  </si>
  <si>
    <t>./14-38633264383335</t>
  </si>
  <si>
    <t>./14-392536406398272</t>
  </si>
  <si>
    <t>./14-43982080788289</t>
  </si>
  <si>
    <t>./14-58551330414606</t>
  </si>
  <si>
    <t>./14-635537048243893</t>
  </si>
  <si>
    <t>./14-637730811827716</t>
  </si>
  <si>
    <t>./14-92947393577832</t>
  </si>
  <si>
    <t>./2-1099780063232</t>
  </si>
  <si>
    <t>./2-141012366262272</t>
  </si>
  <si>
    <t>./2-281479271677952</t>
  </si>
  <si>
    <t>./2-34359738432</t>
  </si>
  <si>
    <t>./2-6291456</t>
  </si>
  <si>
    <t>./2-68719509504</t>
  </si>
  <si>
    <t>./2-70368744308736</t>
  </si>
  <si>
    <t>./3-1116708274176</t>
  </si>
  <si>
    <t>./3-141012634697728</t>
  </si>
  <si>
    <t>./3-17180131456</t>
  </si>
  <si>
    <t>./3-281474993520640</t>
  </si>
  <si>
    <t>./3-36507222017</t>
  </si>
  <si>
    <t>./3-562951027163138</t>
  </si>
  <si>
    <t>./3-570556416</t>
  </si>
  <si>
    <t>./4-140874927570948</t>
  </si>
  <si>
    <t>./4-21491613824</t>
  </si>
  <si>
    <t>./4-316659349192704</t>
  </si>
  <si>
    <t>./4-422229644935424</t>
  </si>
  <si>
    <t>./4-5498095017984</t>
  </si>
  <si>
    <t>./4-562949954011152</t>
  </si>
  <si>
    <t>./4-8796095184960</t>
  </si>
  <si>
    <t>./5-1100321132544</t>
  </si>
  <si>
    <t>./5-146029430784</t>
  </si>
  <si>
    <t>./5-17179942978</t>
  </si>
  <si>
    <t>./5-17592194703368</t>
  </si>
  <si>
    <t>./5-281474978818064</t>
  </si>
  <si>
    <t>./5-335552532</t>
  </si>
  <si>
    <t>./5-558345945090</t>
  </si>
  <si>
    <t>./6-137439054337</t>
  </si>
  <si>
    <t>./6-145208549310656</t>
  </si>
  <si>
    <t>./6-17609366438082</t>
  </si>
  <si>
    <t>./6-17626562560290</t>
  </si>
  <si>
    <t>./6-37418294050817</t>
  </si>
  <si>
    <t>./6-4471069344064</t>
  </si>
  <si>
    <t>./6-69634048</t>
  </si>
  <si>
    <t>./7-1101661749282</t>
  </si>
  <si>
    <t>./7-140879423602976</t>
  </si>
  <si>
    <t>./7-176755218333696</t>
  </si>
  <si>
    <t>./7-3298673296418</t>
  </si>
  <si>
    <t>./7-35193029141522</t>
  </si>
  <si>
    <t>./7-634486937100304</t>
  </si>
  <si>
    <t>./7-9363297141265</t>
  </si>
  <si>
    <t>./8-18143284056069</t>
  </si>
  <si>
    <t>./8-22011724181508</t>
  </si>
  <si>
    <t>./8-281560881349120</t>
  </si>
  <si>
    <t>./8-3299077136512</t>
  </si>
  <si>
    <t>./8-429530333232</t>
  </si>
  <si>
    <t>./8-43980600905824</t>
  </si>
  <si>
    <t>./8-71476980058116</t>
  </si>
  <si>
    <t>./9-24190161797122</t>
  </si>
  <si>
    <t>./9-313802227812</t>
  </si>
  <si>
    <t>./9-38839287850</t>
  </si>
  <si>
    <t>./9-44256467435520</t>
  </si>
  <si>
    <t>./9-563224877532256</t>
  </si>
  <si>
    <t>./9-633868588754948</t>
  </si>
  <si>
    <t>./9-829197649987</t>
  </si>
  <si>
    <t>./manifest</t>
  </si>
  <si>
    <t>./10-12095176376325</t>
  </si>
  <si>
    <t>./10-211381519384680</t>
  </si>
  <si>
    <t>./10-27701533474816</t>
  </si>
  <si>
    <t>./10-36422413369353</t>
  </si>
  <si>
    <t>./10-705062938634304</t>
  </si>
  <si>
    <t>./10-965302947872</t>
  </si>
  <si>
    <t>./10-96800086164480</t>
  </si>
  <si>
    <t>./11-125372243937282</t>
  </si>
  <si>
    <t>./11-14407736248321</t>
  </si>
  <si>
    <t>./11-301266764861509</t>
  </si>
  <si>
    <t>./11-308967885505792</t>
  </si>
  <si>
    <t>./11-521173078114305</t>
  </si>
  <si>
    <t>./11-585226086793220</t>
  </si>
  <si>
    <t>./11-601511243808962</t>
  </si>
  <si>
    <t>./12-1307154909512</t>
  </si>
  <si>
    <t>./12-138380204164</t>
  </si>
  <si>
    <t>./12-294809164120096</t>
  </si>
  <si>
    <t>./12-497260845073696</t>
  </si>
  <si>
    <t>./12-499885104168960</t>
  </si>
  <si>
    <t>./12-568580722672642</t>
  </si>
  <si>
    <t>./12-97103338540066</t>
  </si>
  <si>
    <t>./13-10445933511979</t>
  </si>
  <si>
    <t>./13-17953269646209</t>
  </si>
  <si>
    <t>./13-287666176284692</t>
  </si>
  <si>
    <t>./13-316871969866792</t>
  </si>
  <si>
    <t>./13-432112533545112</t>
  </si>
  <si>
    <t>./13-75973681422360</t>
  </si>
  <si>
    <t>./13-9904264112000</t>
  </si>
  <si>
    <t>./14-19818059991744</t>
  </si>
  <si>
    <t>./14-219947431432900</t>
  </si>
  <si>
    <t>./14-22265865573193</t>
  </si>
  <si>
    <t>./14-496981404822634</t>
  </si>
  <si>
    <t>./14-54976795726025</t>
  </si>
  <si>
    <t>./14-564101742892344</t>
  </si>
  <si>
    <t>./14-738887122419808</t>
  </si>
  <si>
    <t>./2-138512695296</t>
  </si>
  <si>
    <t>./2-140737488617472</t>
  </si>
  <si>
    <t>./2-274911461376</t>
  </si>
  <si>
    <t>./2-562949961809920</t>
  </si>
  <si>
    <t>./2-567347999932416</t>
  </si>
  <si>
    <t>./2-67117056</t>
  </si>
  <si>
    <t>./2-68719476738</t>
  </si>
  <si>
    <t>./3-17179877888</t>
  </si>
  <si>
    <t>./3-17448312832</t>
  </si>
  <si>
    <t>./3-201326600</t>
  </si>
  <si>
    <t>./3-35184376283392</t>
  </si>
  <si>
    <t>./3-4294984192</t>
  </si>
  <si>
    <t>./3-549764202624</t>
  </si>
  <si>
    <t>./3-67174912</t>
  </si>
  <si>
    <t>./4-137455731716</t>
  </si>
  <si>
    <t>./4-138412304</t>
  </si>
  <si>
    <t>./4-140737493602304</t>
  </si>
  <si>
    <t>./4-18416819765256</t>
  </si>
  <si>
    <t>./4-562984382365696</t>
  </si>
  <si>
    <t>./4-563018674999296</t>
  </si>
  <si>
    <t>./4-70369281048641</t>
  </si>
  <si>
    <t>./5-140739837169664</t>
  </si>
  <si>
    <t>./5-141287277725184</t>
  </si>
  <si>
    <t>./5-155692662784</t>
  </si>
  <si>
    <t>./5-26390560776192</t>
  </si>
  <si>
    <t>./5-290271071834128</t>
  </si>
  <si>
    <t>./5-70369298087944</t>
  </si>
  <si>
    <t>./5-88510971248640</t>
  </si>
  <si>
    <t>./6-105691092353280</t>
  </si>
  <si>
    <t>./6-140754685018625</t>
  </si>
  <si>
    <t>./6-17592189190213</t>
  </si>
  <si>
    <t>./6-275704184836</t>
  </si>
  <si>
    <t>./6-301334972628992</t>
  </si>
  <si>
    <t>./6-4488240826370</t>
  </si>
  <si>
    <t>./6-8798379474944</t>
  </si>
  <si>
    <t>./7-149542188515328</t>
  </si>
  <si>
    <t>./7-149686052716576</t>
  </si>
  <si>
    <t>./7-149877178778116</t>
  </si>
  <si>
    <t>./7-176211772833792</t>
  </si>
  <si>
    <t>./7-17622250856452</t>
  </si>
  <si>
    <t>./7-299687785660544</t>
  </si>
  <si>
    <t>./7-774056190157320</t>
  </si>
  <si>
    <t>./8-140806749487233</t>
  </si>
  <si>
    <t>./8-211244493570308</t>
  </si>
  <si>
    <t>./8-213305255985674</t>
  </si>
  <si>
    <t>./8-282162741905665</t>
  </si>
  <si>
    <t>./8-328565003584</t>
  </si>
  <si>
    <t>./8-554957012994</t>
  </si>
  <si>
    <t>./8-572879985181697</t>
  </si>
  <si>
    <t>./9-158527393890320</t>
  </si>
  <si>
    <t>./9-316665925534726</t>
  </si>
  <si>
    <t>./9-35736552346628</t>
  </si>
  <si>
    <t>./9-395828481230866</t>
  </si>
  <si>
    <t>./9-511547793212032</t>
  </si>
  <si>
    <t>./9-581882236633090</t>
  </si>
  <si>
    <t>./9-619079403908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</si>
  <si>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</si>
  <si>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</si>
  <si>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</si>
  <si>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</si>
  <si>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</si>
  <si>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</si>
  <si>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</si>
  <si>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</si>
  <si>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</si>
  <si>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error</t>
  </si>
  <si>
    <t>mem</t>
  </si>
  <si>
    <t>memout</t>
  </si>
  <si>
    <t>par2</t>
  </si>
  <si>
    <t>rstatus</t>
  </si>
  <si>
    <t>ok</t>
  </si>
  <si>
    <t>time</t>
  </si>
  <si>
    <t>timeout</t>
  </si>
  <si>
    <t>min</t>
  </si>
  <si>
    <t>median</t>
  </si>
  <si>
    <t>max</t>
  </si>
  <si>
    <t>Merge criteria:</t>
  </si>
  <si>
    <t>.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</si>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</sst>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(Helper!T5:T373)</c:f>
            </c:numRef>
          </c:xVal>
          <c:yVal>
            <c:numRef>
              <c:f>(Helper!S5:S373)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error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(Helper!Q5:Q373)</c:f>
            </c:numRef>
          </c:xVal>
          <c:yVal>
            <c:numRef>
              <c:f>(Helper!R5:R373)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error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(Helper!R5:R373)</c:f>
            </c:numRef>
          </c:xVal>
          <c:yVal>
            <c:numRef>
              <c:f>(Helper!Q5:Q373)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error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9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0.140625" customWidth="1"/>
    <col min="2" max="26" width="11.42578125" customWidth="1"/>
  </cols>
  <sheetData>
    <row r="1" spans="1:26">
      <c r="A1" s="1"/>
      <c r="B1" s="1" t="s">
        <v>191</v>
      </c>
      <c r="C1" s="1"/>
      <c r="D1" s="1"/>
      <c r="E1" s="1"/>
      <c r="F1" s="1"/>
      <c r="G1" s="1"/>
      <c r="H1" s="1"/>
      <c r="I1" s="1" t="s">
        <v>200</v>
      </c>
      <c r="J1" s="1"/>
      <c r="K1" s="1"/>
      <c r="L1" s="1"/>
      <c r="M1" s="1"/>
      <c r="N1" s="1"/>
      <c r="O1" s="1" t="s">
        <v>201</v>
      </c>
      <c r="P1" s="1"/>
      <c r="Q1" s="1"/>
      <c r="R1" s="1"/>
      <c r="S1" s="1"/>
      <c r="T1" s="1"/>
      <c r="U1" s="1" t="s">
        <v>202</v>
      </c>
      <c r="V1" s="1"/>
      <c r="W1" s="1"/>
      <c r="X1" s="1"/>
      <c r="Y1" s="1"/>
      <c r="Z1" s="1"/>
    </row>
    <row r="2" spans="1:26">
      <c r="A2" s="1"/>
      <c r="B2" s="1" t="s">
        <v>192</v>
      </c>
      <c r="C2" s="1" t="s">
        <v>193</v>
      </c>
      <c r="D2" s="1" t="s">
        <v>194</v>
      </c>
      <c r="E2" s="1" t="s">
        <v>195</v>
      </c>
      <c r="F2" s="1" t="s">
        <v>196</v>
      </c>
      <c r="G2" s="1" t="s">
        <v>198</v>
      </c>
      <c r="H2" s="1" t="s">
        <v>199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198</v>
      </c>
      <c r="N2" s="1" t="s">
        <v>199</v>
      </c>
      <c r="O2" s="1" t="s">
        <v>192</v>
      </c>
      <c r="P2" s="1" t="s">
        <v>193</v>
      </c>
      <c r="Q2" s="1" t="s">
        <v>194</v>
      </c>
      <c r="R2" s="1" t="s">
        <v>195</v>
      </c>
      <c r="S2" s="1" t="s">
        <v>198</v>
      </c>
      <c r="T2" s="1" t="s">
        <v>199</v>
      </c>
      <c r="U2" s="1" t="s">
        <v>192</v>
      </c>
      <c r="V2" s="1" t="s">
        <v>193</v>
      </c>
      <c r="W2" s="1" t="s">
        <v>194</v>
      </c>
      <c r="X2" s="1" t="s">
        <v>195</v>
      </c>
      <c r="Y2" s="1" t="s">
        <v>198</v>
      </c>
      <c r="Z2" s="1" t="s">
        <v>199</v>
      </c>
    </row>
    <row r="3" spans="1:26">
      <c r="A3" s="1" t="s">
        <v>0</v>
      </c>
      <c r="B3" s="1">
        <v>1</v>
      </c>
      <c r="C3" s="1">
        <v>0</v>
      </c>
      <c r="D3" s="1">
        <v>0</v>
      </c>
      <c r="E3" s="1">
        <v>10000</v>
      </c>
      <c r="F3" s="1" t="s">
        <v>197</v>
      </c>
      <c r="G3" s="1">
        <v>5000</v>
      </c>
      <c r="H3" s="1">
        <v>1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 t="s">
        <v>1</v>
      </c>
      <c r="B4" s="1">
        <v>1</v>
      </c>
      <c r="C4" s="1">
        <v>0</v>
      </c>
      <c r="D4" s="1">
        <v>0</v>
      </c>
      <c r="E4" s="1">
        <v>10000</v>
      </c>
      <c r="F4" s="1" t="s">
        <v>197</v>
      </c>
      <c r="G4" s="1">
        <v>5000</v>
      </c>
      <c r="H4" s="1">
        <v>1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 t="s">
        <v>2</v>
      </c>
      <c r="B5" s="1">
        <v>1</v>
      </c>
      <c r="C5" s="1">
        <v>0</v>
      </c>
      <c r="D5" s="1">
        <v>0</v>
      </c>
      <c r="E5" s="1">
        <v>10000</v>
      </c>
      <c r="F5" s="1" t="s">
        <v>197</v>
      </c>
      <c r="G5" s="1">
        <v>5000</v>
      </c>
      <c r="H5" s="1">
        <v>1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 t="s">
        <v>3</v>
      </c>
      <c r="B6" s="1">
        <v>1</v>
      </c>
      <c r="C6" s="1">
        <v>0</v>
      </c>
      <c r="D6" s="1">
        <v>0</v>
      </c>
      <c r="E6" s="1">
        <v>10000</v>
      </c>
      <c r="F6" s="1" t="s">
        <v>197</v>
      </c>
      <c r="G6" s="1">
        <v>5000</v>
      </c>
      <c r="H6" s="1">
        <v>1</v>
      </c>
      <c r="I6" s="1">
        <f>MIN($B6)</f>
        <v>0</v>
      </c>
      <c r="J6" s="1">
        <f>MIN($C6)</f>
        <v>0</v>
      </c>
      <c r="K6" s="1">
        <f>MIN($D6)</f>
        <v>0</v>
      </c>
      <c r="L6" s="1">
        <f>MIN($E6)</f>
        <v>0</v>
      </c>
      <c r="M6" s="1">
        <f>MIN($G6)</f>
        <v>0</v>
      </c>
      <c r="N6" s="1">
        <f>MIN($H6)</f>
        <v>0</v>
      </c>
      <c r="O6" s="1">
        <f>MEDIAN($B6)</f>
        <v>0</v>
      </c>
      <c r="P6" s="1">
        <f>MEDIAN($C6)</f>
        <v>0</v>
      </c>
      <c r="Q6" s="1">
        <f>MEDIAN($D6)</f>
        <v>0</v>
      </c>
      <c r="R6" s="1">
        <f>MEDIAN($E6)</f>
        <v>0</v>
      </c>
      <c r="S6" s="1">
        <f>MEDIAN($G6)</f>
        <v>0</v>
      </c>
      <c r="T6" s="1">
        <f>MEDIAN($H6)</f>
        <v>0</v>
      </c>
      <c r="U6" s="1">
        <f>MAX($B6)</f>
        <v>0</v>
      </c>
      <c r="V6" s="1">
        <f>MAX($C6)</f>
        <v>0</v>
      </c>
      <c r="W6" s="1">
        <f>MAX($D6)</f>
        <v>0</v>
      </c>
      <c r="X6" s="1">
        <f>MAX($E6)</f>
        <v>0</v>
      </c>
      <c r="Y6" s="1">
        <f>MAX($G6)</f>
        <v>0</v>
      </c>
      <c r="Z6" s="1">
        <f>MAX($H6)</f>
        <v>0</v>
      </c>
    </row>
    <row r="7" spans="1:26">
      <c r="A7" s="1" t="s">
        <v>4</v>
      </c>
      <c r="B7" s="1">
        <v>1</v>
      </c>
      <c r="C7" s="1">
        <v>0</v>
      </c>
      <c r="D7" s="1">
        <v>0</v>
      </c>
      <c r="E7" s="1">
        <v>10000</v>
      </c>
      <c r="F7" s="1" t="s">
        <v>197</v>
      </c>
      <c r="G7" s="1">
        <v>5000</v>
      </c>
      <c r="H7" s="1">
        <v>1</v>
      </c>
      <c r="I7" s="1">
        <f>MIN($B7)</f>
        <v>0</v>
      </c>
      <c r="J7" s="1">
        <f>MIN($C7)</f>
        <v>0</v>
      </c>
      <c r="K7" s="1">
        <f>MIN($D7)</f>
        <v>0</v>
      </c>
      <c r="L7" s="1">
        <f>MIN($E7)</f>
        <v>0</v>
      </c>
      <c r="M7" s="1">
        <f>MIN($G7)</f>
        <v>0</v>
      </c>
      <c r="N7" s="1">
        <f>MIN($H7)</f>
        <v>0</v>
      </c>
      <c r="O7" s="1">
        <f>MEDIAN($B7)</f>
        <v>0</v>
      </c>
      <c r="P7" s="1">
        <f>MEDIAN($C7)</f>
        <v>0</v>
      </c>
      <c r="Q7" s="1">
        <f>MEDIAN($D7)</f>
        <v>0</v>
      </c>
      <c r="R7" s="1">
        <f>MEDIAN($E7)</f>
        <v>0</v>
      </c>
      <c r="S7" s="1">
        <f>MEDIAN($G7)</f>
        <v>0</v>
      </c>
      <c r="T7" s="1">
        <f>MEDIAN($H7)</f>
        <v>0</v>
      </c>
      <c r="U7" s="1">
        <f>MAX($B7)</f>
        <v>0</v>
      </c>
      <c r="V7" s="1">
        <f>MAX($C7)</f>
        <v>0</v>
      </c>
      <c r="W7" s="1">
        <f>MAX($D7)</f>
        <v>0</v>
      </c>
      <c r="X7" s="1">
        <f>MAX($E7)</f>
        <v>0</v>
      </c>
      <c r="Y7" s="1">
        <f>MAX($G7)</f>
        <v>0</v>
      </c>
      <c r="Z7" s="1">
        <f>MAX($H7)</f>
        <v>0</v>
      </c>
    </row>
    <row r="8" spans="1:26">
      <c r="A8" s="1" t="s">
        <v>5</v>
      </c>
      <c r="B8" s="1">
        <v>1</v>
      </c>
      <c r="C8" s="1">
        <v>0</v>
      </c>
      <c r="D8" s="1">
        <v>0</v>
      </c>
      <c r="E8" s="1">
        <v>10000</v>
      </c>
      <c r="F8" s="1" t="s">
        <v>197</v>
      </c>
      <c r="G8" s="1">
        <v>5000</v>
      </c>
      <c r="H8" s="1">
        <v>1</v>
      </c>
      <c r="I8" s="1">
        <f>MIN($B8)</f>
        <v>0</v>
      </c>
      <c r="J8" s="1">
        <f>MIN($C8)</f>
        <v>0</v>
      </c>
      <c r="K8" s="1">
        <f>MIN($D8)</f>
        <v>0</v>
      </c>
      <c r="L8" s="1">
        <f>MIN($E8)</f>
        <v>0</v>
      </c>
      <c r="M8" s="1">
        <f>MIN($G8)</f>
        <v>0</v>
      </c>
      <c r="N8" s="1">
        <f>MIN($H8)</f>
        <v>0</v>
      </c>
      <c r="O8" s="1">
        <f>MEDIAN($B8)</f>
        <v>0</v>
      </c>
      <c r="P8" s="1">
        <f>MEDIAN($C8)</f>
        <v>0</v>
      </c>
      <c r="Q8" s="1">
        <f>MEDIAN($D8)</f>
        <v>0</v>
      </c>
      <c r="R8" s="1">
        <f>MEDIAN($E8)</f>
        <v>0</v>
      </c>
      <c r="S8" s="1">
        <f>MEDIAN($G8)</f>
        <v>0</v>
      </c>
      <c r="T8" s="1">
        <f>MEDIAN($H8)</f>
        <v>0</v>
      </c>
      <c r="U8" s="1">
        <f>MAX($B8)</f>
        <v>0</v>
      </c>
      <c r="V8" s="1">
        <f>MAX($C8)</f>
        <v>0</v>
      </c>
      <c r="W8" s="1">
        <f>MAX($D8)</f>
        <v>0</v>
      </c>
      <c r="X8" s="1">
        <f>MAX($E8)</f>
        <v>0</v>
      </c>
      <c r="Y8" s="1">
        <f>MAX($G8)</f>
        <v>0</v>
      </c>
      <c r="Z8" s="1">
        <f>MAX($H8)</f>
        <v>0</v>
      </c>
    </row>
    <row r="9" spans="1:26">
      <c r="A9" s="1" t="s">
        <v>6</v>
      </c>
      <c r="B9" s="1">
        <v>1</v>
      </c>
      <c r="C9" s="1">
        <v>0</v>
      </c>
      <c r="D9" s="1">
        <v>0</v>
      </c>
      <c r="E9" s="1">
        <v>10000</v>
      </c>
      <c r="F9" s="1" t="s">
        <v>197</v>
      </c>
      <c r="G9" s="1">
        <v>5000</v>
      </c>
      <c r="H9" s="1">
        <v>1</v>
      </c>
      <c r="I9" s="1">
        <f>MIN($B9)</f>
        <v>0</v>
      </c>
      <c r="J9" s="1">
        <f>MIN($C9)</f>
        <v>0</v>
      </c>
      <c r="K9" s="1">
        <f>MIN($D9)</f>
        <v>0</v>
      </c>
      <c r="L9" s="1">
        <f>MIN($E9)</f>
        <v>0</v>
      </c>
      <c r="M9" s="1">
        <f>MIN($G9)</f>
        <v>0</v>
      </c>
      <c r="N9" s="1">
        <f>MIN($H9)</f>
        <v>0</v>
      </c>
      <c r="O9" s="1">
        <f>MEDIAN($B9)</f>
        <v>0</v>
      </c>
      <c r="P9" s="1">
        <f>MEDIAN($C9)</f>
        <v>0</v>
      </c>
      <c r="Q9" s="1">
        <f>MEDIAN($D9)</f>
        <v>0</v>
      </c>
      <c r="R9" s="1">
        <f>MEDIAN($E9)</f>
        <v>0</v>
      </c>
      <c r="S9" s="1">
        <f>MEDIAN($G9)</f>
        <v>0</v>
      </c>
      <c r="T9" s="1">
        <f>MEDIAN($H9)</f>
        <v>0</v>
      </c>
      <c r="U9" s="1">
        <f>MAX($B9)</f>
        <v>0</v>
      </c>
      <c r="V9" s="1">
        <f>MAX($C9)</f>
        <v>0</v>
      </c>
      <c r="W9" s="1">
        <f>MAX($D9)</f>
        <v>0</v>
      </c>
      <c r="X9" s="1">
        <f>MAX($E9)</f>
        <v>0</v>
      </c>
      <c r="Y9" s="1">
        <f>MAX($G9)</f>
        <v>0</v>
      </c>
      <c r="Z9" s="1">
        <f>MAX($H9)</f>
        <v>0</v>
      </c>
    </row>
    <row r="10" spans="1:26">
      <c r="A10" s="1" t="s">
        <v>7</v>
      </c>
      <c r="B10" s="1">
        <v>1</v>
      </c>
      <c r="C10" s="1">
        <v>0</v>
      </c>
      <c r="D10" s="1">
        <v>0</v>
      </c>
      <c r="E10" s="1">
        <v>10000</v>
      </c>
      <c r="F10" s="1" t="s">
        <v>197</v>
      </c>
      <c r="G10" s="1">
        <v>5000</v>
      </c>
      <c r="H10" s="1">
        <v>1</v>
      </c>
      <c r="I10" s="1">
        <f>MIN($B10)</f>
        <v>0</v>
      </c>
      <c r="J10" s="1">
        <f>MIN($C10)</f>
        <v>0</v>
      </c>
      <c r="K10" s="1">
        <f>MIN($D10)</f>
        <v>0</v>
      </c>
      <c r="L10" s="1">
        <f>MIN($E10)</f>
        <v>0</v>
      </c>
      <c r="M10" s="1">
        <f>MIN($G10)</f>
        <v>0</v>
      </c>
      <c r="N10" s="1">
        <f>MIN($H10)</f>
        <v>0</v>
      </c>
      <c r="O10" s="1">
        <f>MEDIAN($B10)</f>
        <v>0</v>
      </c>
      <c r="P10" s="1">
        <f>MEDIAN($C10)</f>
        <v>0</v>
      </c>
      <c r="Q10" s="1">
        <f>MEDIAN($D10)</f>
        <v>0</v>
      </c>
      <c r="R10" s="1">
        <f>MEDIAN($E10)</f>
        <v>0</v>
      </c>
      <c r="S10" s="1">
        <f>MEDIAN($G10)</f>
        <v>0</v>
      </c>
      <c r="T10" s="1">
        <f>MEDIAN($H10)</f>
        <v>0</v>
      </c>
      <c r="U10" s="1">
        <f>MAX($B10)</f>
        <v>0</v>
      </c>
      <c r="V10" s="1">
        <f>MAX($C10)</f>
        <v>0</v>
      </c>
      <c r="W10" s="1">
        <f>MAX($D10)</f>
        <v>0</v>
      </c>
      <c r="X10" s="1">
        <f>MAX($E10)</f>
        <v>0</v>
      </c>
      <c r="Y10" s="1">
        <f>MAX($G10)</f>
        <v>0</v>
      </c>
      <c r="Z10" s="1">
        <f>MAX($H10)</f>
        <v>0</v>
      </c>
    </row>
    <row r="11" spans="1:26">
      <c r="A11" s="1" t="s">
        <v>8</v>
      </c>
      <c r="B11" s="1">
        <v>1</v>
      </c>
      <c r="C11" s="1">
        <v>0</v>
      </c>
      <c r="D11" s="1">
        <v>0</v>
      </c>
      <c r="E11" s="1">
        <v>10000</v>
      </c>
      <c r="F11" s="1" t="s">
        <v>197</v>
      </c>
      <c r="G11" s="1">
        <v>5000</v>
      </c>
      <c r="H11" s="1">
        <v>1</v>
      </c>
      <c r="I11" s="1">
        <f>MIN($B11)</f>
        <v>0</v>
      </c>
      <c r="J11" s="1">
        <f>MIN($C11)</f>
        <v>0</v>
      </c>
      <c r="K11" s="1">
        <f>MIN($D11)</f>
        <v>0</v>
      </c>
      <c r="L11" s="1">
        <f>MIN($E11)</f>
        <v>0</v>
      </c>
      <c r="M11" s="1">
        <f>MIN($G11)</f>
        <v>0</v>
      </c>
      <c r="N11" s="1">
        <f>MIN($H11)</f>
        <v>0</v>
      </c>
      <c r="O11" s="1">
        <f>MEDIAN($B11)</f>
        <v>0</v>
      </c>
      <c r="P11" s="1">
        <f>MEDIAN($C11)</f>
        <v>0</v>
      </c>
      <c r="Q11" s="1">
        <f>MEDIAN($D11)</f>
        <v>0</v>
      </c>
      <c r="R11" s="1">
        <f>MEDIAN($E11)</f>
        <v>0</v>
      </c>
      <c r="S11" s="1">
        <f>MEDIAN($G11)</f>
        <v>0</v>
      </c>
      <c r="T11" s="1">
        <f>MEDIAN($H11)</f>
        <v>0</v>
      </c>
      <c r="U11" s="1">
        <f>MAX($B11)</f>
        <v>0</v>
      </c>
      <c r="V11" s="1">
        <f>MAX($C11)</f>
        <v>0</v>
      </c>
      <c r="W11" s="1">
        <f>MAX($D11)</f>
        <v>0</v>
      </c>
      <c r="X11" s="1">
        <f>MAX($E11)</f>
        <v>0</v>
      </c>
      <c r="Y11" s="1">
        <f>MAX($G11)</f>
        <v>0</v>
      </c>
      <c r="Z11" s="1">
        <f>MAX($H11)</f>
        <v>0</v>
      </c>
    </row>
    <row r="12" spans="1:26">
      <c r="A12" s="1" t="s">
        <v>9</v>
      </c>
      <c r="B12" s="1">
        <v>1</v>
      </c>
      <c r="C12" s="1">
        <v>0</v>
      </c>
      <c r="D12" s="1">
        <v>0</v>
      </c>
      <c r="E12" s="1">
        <v>10000</v>
      </c>
      <c r="F12" s="1" t="s">
        <v>197</v>
      </c>
      <c r="G12" s="1">
        <v>5000</v>
      </c>
      <c r="H12" s="1">
        <v>1</v>
      </c>
      <c r="I12" s="1">
        <f>MIN($B12)</f>
        <v>0</v>
      </c>
      <c r="J12" s="1">
        <f>MIN($C12)</f>
        <v>0</v>
      </c>
      <c r="K12" s="1">
        <f>MIN($D12)</f>
        <v>0</v>
      </c>
      <c r="L12" s="1">
        <f>MIN($E12)</f>
        <v>0</v>
      </c>
      <c r="M12" s="1">
        <f>MIN($G12)</f>
        <v>0</v>
      </c>
      <c r="N12" s="1">
        <f>MIN($H12)</f>
        <v>0</v>
      </c>
      <c r="O12" s="1">
        <f>MEDIAN($B12)</f>
        <v>0</v>
      </c>
      <c r="P12" s="1">
        <f>MEDIAN($C12)</f>
        <v>0</v>
      </c>
      <c r="Q12" s="1">
        <f>MEDIAN($D12)</f>
        <v>0</v>
      </c>
      <c r="R12" s="1">
        <f>MEDIAN($E12)</f>
        <v>0</v>
      </c>
      <c r="S12" s="1">
        <f>MEDIAN($G12)</f>
        <v>0</v>
      </c>
      <c r="T12" s="1">
        <f>MEDIAN($H12)</f>
        <v>0</v>
      </c>
      <c r="U12" s="1">
        <f>MAX($B12)</f>
        <v>0</v>
      </c>
      <c r="V12" s="1">
        <f>MAX($C12)</f>
        <v>0</v>
      </c>
      <c r="W12" s="1">
        <f>MAX($D12)</f>
        <v>0</v>
      </c>
      <c r="X12" s="1">
        <f>MAX($E12)</f>
        <v>0</v>
      </c>
      <c r="Y12" s="1">
        <f>MAX($G12)</f>
        <v>0</v>
      </c>
      <c r="Z12" s="1">
        <f>MAX($H12)</f>
        <v>0</v>
      </c>
    </row>
    <row r="13" spans="1:26">
      <c r="A13" s="1" t="s">
        <v>10</v>
      </c>
      <c r="B13" s="1">
        <v>1</v>
      </c>
      <c r="C13" s="1">
        <v>0</v>
      </c>
      <c r="D13" s="1">
        <v>0</v>
      </c>
      <c r="E13" s="1">
        <v>10000</v>
      </c>
      <c r="F13" s="1" t="s">
        <v>197</v>
      </c>
      <c r="G13" s="1">
        <v>5000</v>
      </c>
      <c r="H13" s="1">
        <v>1</v>
      </c>
      <c r="I13" s="1">
        <f>MIN($B13)</f>
        <v>0</v>
      </c>
      <c r="J13" s="1">
        <f>MIN($C13)</f>
        <v>0</v>
      </c>
      <c r="K13" s="1">
        <f>MIN($D13)</f>
        <v>0</v>
      </c>
      <c r="L13" s="1">
        <f>MIN($E13)</f>
        <v>0</v>
      </c>
      <c r="M13" s="1">
        <f>MIN($G13)</f>
        <v>0</v>
      </c>
      <c r="N13" s="1">
        <f>MIN($H13)</f>
        <v>0</v>
      </c>
      <c r="O13" s="1">
        <f>MEDIAN($B13)</f>
        <v>0</v>
      </c>
      <c r="P13" s="1">
        <f>MEDIAN($C13)</f>
        <v>0</v>
      </c>
      <c r="Q13" s="1">
        <f>MEDIAN($D13)</f>
        <v>0</v>
      </c>
      <c r="R13" s="1">
        <f>MEDIAN($E13)</f>
        <v>0</v>
      </c>
      <c r="S13" s="1">
        <f>MEDIAN($G13)</f>
        <v>0</v>
      </c>
      <c r="T13" s="1">
        <f>MEDIAN($H13)</f>
        <v>0</v>
      </c>
      <c r="U13" s="1">
        <f>MAX($B13)</f>
        <v>0</v>
      </c>
      <c r="V13" s="1">
        <f>MAX($C13)</f>
        <v>0</v>
      </c>
      <c r="W13" s="1">
        <f>MAX($D13)</f>
        <v>0</v>
      </c>
      <c r="X13" s="1">
        <f>MAX($E13)</f>
        <v>0</v>
      </c>
      <c r="Y13" s="1">
        <f>MAX($G13)</f>
        <v>0</v>
      </c>
      <c r="Z13" s="1">
        <f>MAX($H13)</f>
        <v>0</v>
      </c>
    </row>
    <row r="14" spans="1:26">
      <c r="A14" s="1" t="s">
        <v>11</v>
      </c>
      <c r="B14" s="1">
        <v>1</v>
      </c>
      <c r="C14" s="1">
        <v>0</v>
      </c>
      <c r="D14" s="1">
        <v>0</v>
      </c>
      <c r="E14" s="1">
        <v>10000</v>
      </c>
      <c r="F14" s="1" t="s">
        <v>197</v>
      </c>
      <c r="G14" s="1">
        <v>5000</v>
      </c>
      <c r="H14" s="1">
        <v>1</v>
      </c>
      <c r="I14" s="1">
        <f>MIN($B14)</f>
        <v>0</v>
      </c>
      <c r="J14" s="1">
        <f>MIN($C14)</f>
        <v>0</v>
      </c>
      <c r="K14" s="1">
        <f>MIN($D14)</f>
        <v>0</v>
      </c>
      <c r="L14" s="1">
        <f>MIN($E14)</f>
        <v>0</v>
      </c>
      <c r="M14" s="1">
        <f>MIN($G14)</f>
        <v>0</v>
      </c>
      <c r="N14" s="1">
        <f>MIN($H14)</f>
        <v>0</v>
      </c>
      <c r="O14" s="1">
        <f>MEDIAN($B14)</f>
        <v>0</v>
      </c>
      <c r="P14" s="1">
        <f>MEDIAN($C14)</f>
        <v>0</v>
      </c>
      <c r="Q14" s="1">
        <f>MEDIAN($D14)</f>
        <v>0</v>
      </c>
      <c r="R14" s="1">
        <f>MEDIAN($E14)</f>
        <v>0</v>
      </c>
      <c r="S14" s="1">
        <f>MEDIAN($G14)</f>
        <v>0</v>
      </c>
      <c r="T14" s="1">
        <f>MEDIAN($H14)</f>
        <v>0</v>
      </c>
      <c r="U14" s="1">
        <f>MAX($B14)</f>
        <v>0</v>
      </c>
      <c r="V14" s="1">
        <f>MAX($C14)</f>
        <v>0</v>
      </c>
      <c r="W14" s="1">
        <f>MAX($D14)</f>
        <v>0</v>
      </c>
      <c r="X14" s="1">
        <f>MAX($E14)</f>
        <v>0</v>
      </c>
      <c r="Y14" s="1">
        <f>MAX($G14)</f>
        <v>0</v>
      </c>
      <c r="Z14" s="1">
        <f>MAX($H14)</f>
        <v>0</v>
      </c>
    </row>
    <row r="15" spans="1:26">
      <c r="A15" s="1" t="s">
        <v>12</v>
      </c>
      <c r="B15" s="1">
        <v>1</v>
      </c>
      <c r="C15" s="1">
        <v>0</v>
      </c>
      <c r="D15" s="1">
        <v>0</v>
      </c>
      <c r="E15" s="1">
        <v>10000</v>
      </c>
      <c r="F15" s="1" t="s">
        <v>197</v>
      </c>
      <c r="G15" s="1">
        <v>5000</v>
      </c>
      <c r="H15" s="1">
        <v>1</v>
      </c>
      <c r="I15" s="1">
        <f>MIN($B15)</f>
        <v>0</v>
      </c>
      <c r="J15" s="1">
        <f>MIN($C15)</f>
        <v>0</v>
      </c>
      <c r="K15" s="1">
        <f>MIN($D15)</f>
        <v>0</v>
      </c>
      <c r="L15" s="1">
        <f>MIN($E15)</f>
        <v>0</v>
      </c>
      <c r="M15" s="1">
        <f>MIN($G15)</f>
        <v>0</v>
      </c>
      <c r="N15" s="1">
        <f>MIN($H15)</f>
        <v>0</v>
      </c>
      <c r="O15" s="1">
        <f>MEDIAN($B15)</f>
        <v>0</v>
      </c>
      <c r="P15" s="1">
        <f>MEDIAN($C15)</f>
        <v>0</v>
      </c>
      <c r="Q15" s="1">
        <f>MEDIAN($D15)</f>
        <v>0</v>
      </c>
      <c r="R15" s="1">
        <f>MEDIAN($E15)</f>
        <v>0</v>
      </c>
      <c r="S15" s="1">
        <f>MEDIAN($G15)</f>
        <v>0</v>
      </c>
      <c r="T15" s="1">
        <f>MEDIAN($H15)</f>
        <v>0</v>
      </c>
      <c r="U15" s="1">
        <f>MAX($B15)</f>
        <v>0</v>
      </c>
      <c r="V15" s="1">
        <f>MAX($C15)</f>
        <v>0</v>
      </c>
      <c r="W15" s="1">
        <f>MAX($D15)</f>
        <v>0</v>
      </c>
      <c r="X15" s="1">
        <f>MAX($E15)</f>
        <v>0</v>
      </c>
      <c r="Y15" s="1">
        <f>MAX($G15)</f>
        <v>0</v>
      </c>
      <c r="Z15" s="1">
        <f>MAX($H15)</f>
        <v>0</v>
      </c>
    </row>
    <row r="16" spans="1:26">
      <c r="A16" s="1" t="s">
        <v>13</v>
      </c>
      <c r="B16" s="1">
        <v>1</v>
      </c>
      <c r="C16" s="1">
        <v>0</v>
      </c>
      <c r="D16" s="1">
        <v>0</v>
      </c>
      <c r="E16" s="1">
        <v>10000</v>
      </c>
      <c r="F16" s="1" t="s">
        <v>197</v>
      </c>
      <c r="G16" s="1">
        <v>5000</v>
      </c>
      <c r="H16" s="1">
        <v>1</v>
      </c>
      <c r="I16" s="1">
        <f>MIN($B16)</f>
        <v>0</v>
      </c>
      <c r="J16" s="1">
        <f>MIN($C16)</f>
        <v>0</v>
      </c>
      <c r="K16" s="1">
        <f>MIN($D16)</f>
        <v>0</v>
      </c>
      <c r="L16" s="1">
        <f>MIN($E16)</f>
        <v>0</v>
      </c>
      <c r="M16" s="1">
        <f>MIN($G16)</f>
        <v>0</v>
      </c>
      <c r="N16" s="1">
        <f>MIN($H16)</f>
        <v>0</v>
      </c>
      <c r="O16" s="1">
        <f>MEDIAN($B16)</f>
        <v>0</v>
      </c>
      <c r="P16" s="1">
        <f>MEDIAN($C16)</f>
        <v>0</v>
      </c>
      <c r="Q16" s="1">
        <f>MEDIAN($D16)</f>
        <v>0</v>
      </c>
      <c r="R16" s="1">
        <f>MEDIAN($E16)</f>
        <v>0</v>
      </c>
      <c r="S16" s="1">
        <f>MEDIAN($G16)</f>
        <v>0</v>
      </c>
      <c r="T16" s="1">
        <f>MEDIAN($H16)</f>
        <v>0</v>
      </c>
      <c r="U16" s="1">
        <f>MAX($B16)</f>
        <v>0</v>
      </c>
      <c r="V16" s="1">
        <f>MAX($C16)</f>
        <v>0</v>
      </c>
      <c r="W16" s="1">
        <f>MAX($D16)</f>
        <v>0</v>
      </c>
      <c r="X16" s="1">
        <f>MAX($E16)</f>
        <v>0</v>
      </c>
      <c r="Y16" s="1">
        <f>MAX($G16)</f>
        <v>0</v>
      </c>
      <c r="Z16" s="1">
        <f>MAX($H16)</f>
        <v>0</v>
      </c>
    </row>
    <row r="17" spans="1:26">
      <c r="A17" s="1" t="s">
        <v>14</v>
      </c>
      <c r="B17" s="1">
        <v>1</v>
      </c>
      <c r="C17" s="1">
        <v>0</v>
      </c>
      <c r="D17" s="1">
        <v>0</v>
      </c>
      <c r="E17" s="1">
        <v>10000</v>
      </c>
      <c r="F17" s="1" t="s">
        <v>197</v>
      </c>
      <c r="G17" s="1">
        <v>5000</v>
      </c>
      <c r="H17" s="1">
        <v>1</v>
      </c>
      <c r="I17" s="1">
        <f>MIN($B17)</f>
        <v>0</v>
      </c>
      <c r="J17" s="1">
        <f>MIN($C17)</f>
        <v>0</v>
      </c>
      <c r="K17" s="1">
        <f>MIN($D17)</f>
        <v>0</v>
      </c>
      <c r="L17" s="1">
        <f>MIN($E17)</f>
        <v>0</v>
      </c>
      <c r="M17" s="1">
        <f>MIN($G17)</f>
        <v>0</v>
      </c>
      <c r="N17" s="1">
        <f>MIN($H17)</f>
        <v>0</v>
      </c>
      <c r="O17" s="1">
        <f>MEDIAN($B17)</f>
        <v>0</v>
      </c>
      <c r="P17" s="1">
        <f>MEDIAN($C17)</f>
        <v>0</v>
      </c>
      <c r="Q17" s="1">
        <f>MEDIAN($D17)</f>
        <v>0</v>
      </c>
      <c r="R17" s="1">
        <f>MEDIAN($E17)</f>
        <v>0</v>
      </c>
      <c r="S17" s="1">
        <f>MEDIAN($G17)</f>
        <v>0</v>
      </c>
      <c r="T17" s="1">
        <f>MEDIAN($H17)</f>
        <v>0</v>
      </c>
      <c r="U17" s="1">
        <f>MAX($B17)</f>
        <v>0</v>
      </c>
      <c r="V17" s="1">
        <f>MAX($C17)</f>
        <v>0</v>
      </c>
      <c r="W17" s="1">
        <f>MAX($D17)</f>
        <v>0</v>
      </c>
      <c r="X17" s="1">
        <f>MAX($E17)</f>
        <v>0</v>
      </c>
      <c r="Y17" s="1">
        <f>MAX($G17)</f>
        <v>0</v>
      </c>
      <c r="Z17" s="1">
        <f>MAX($H17)</f>
        <v>0</v>
      </c>
    </row>
    <row r="18" spans="1:26">
      <c r="A18" s="1" t="s">
        <v>15</v>
      </c>
      <c r="B18" s="1">
        <v>1</v>
      </c>
      <c r="C18" s="1">
        <v>0</v>
      </c>
      <c r="D18" s="1">
        <v>0</v>
      </c>
      <c r="E18" s="1">
        <v>10000</v>
      </c>
      <c r="F18" s="1" t="s">
        <v>197</v>
      </c>
      <c r="G18" s="1">
        <v>5000</v>
      </c>
      <c r="H18" s="1">
        <v>1</v>
      </c>
      <c r="I18" s="1">
        <f>MIN($B18)</f>
        <v>0</v>
      </c>
      <c r="J18" s="1">
        <f>MIN($C18)</f>
        <v>0</v>
      </c>
      <c r="K18" s="1">
        <f>MIN($D18)</f>
        <v>0</v>
      </c>
      <c r="L18" s="1">
        <f>MIN($E18)</f>
        <v>0</v>
      </c>
      <c r="M18" s="1">
        <f>MIN($G18)</f>
        <v>0</v>
      </c>
      <c r="N18" s="1">
        <f>MIN($H18)</f>
        <v>0</v>
      </c>
      <c r="O18" s="1">
        <f>MEDIAN($B18)</f>
        <v>0</v>
      </c>
      <c r="P18" s="1">
        <f>MEDIAN($C18)</f>
        <v>0</v>
      </c>
      <c r="Q18" s="1">
        <f>MEDIAN($D18)</f>
        <v>0</v>
      </c>
      <c r="R18" s="1">
        <f>MEDIAN($E18)</f>
        <v>0</v>
      </c>
      <c r="S18" s="1">
        <f>MEDIAN($G18)</f>
        <v>0</v>
      </c>
      <c r="T18" s="1">
        <f>MEDIAN($H18)</f>
        <v>0</v>
      </c>
      <c r="U18" s="1">
        <f>MAX($B18)</f>
        <v>0</v>
      </c>
      <c r="V18" s="1">
        <f>MAX($C18)</f>
        <v>0</v>
      </c>
      <c r="W18" s="1">
        <f>MAX($D18)</f>
        <v>0</v>
      </c>
      <c r="X18" s="1">
        <f>MAX($E18)</f>
        <v>0</v>
      </c>
      <c r="Y18" s="1">
        <f>MAX($G18)</f>
        <v>0</v>
      </c>
      <c r="Z18" s="1">
        <f>MAX($H18)</f>
        <v>0</v>
      </c>
    </row>
    <row r="19" spans="1:26">
      <c r="A19" s="1" t="s">
        <v>16</v>
      </c>
      <c r="B19" s="1">
        <v>1</v>
      </c>
      <c r="C19" s="1">
        <v>0</v>
      </c>
      <c r="D19" s="1">
        <v>0</v>
      </c>
      <c r="E19" s="1">
        <v>10000</v>
      </c>
      <c r="F19" s="1" t="s">
        <v>197</v>
      </c>
      <c r="G19" s="1">
        <v>5000</v>
      </c>
      <c r="H19" s="1">
        <v>1</v>
      </c>
      <c r="I19" s="1">
        <f>MIN($B19)</f>
        <v>0</v>
      </c>
      <c r="J19" s="1">
        <f>MIN($C19)</f>
        <v>0</v>
      </c>
      <c r="K19" s="1">
        <f>MIN($D19)</f>
        <v>0</v>
      </c>
      <c r="L19" s="1">
        <f>MIN($E19)</f>
        <v>0</v>
      </c>
      <c r="M19" s="1">
        <f>MIN($G19)</f>
        <v>0</v>
      </c>
      <c r="N19" s="1">
        <f>MIN($H19)</f>
        <v>0</v>
      </c>
      <c r="O19" s="1">
        <f>MEDIAN($B19)</f>
        <v>0</v>
      </c>
      <c r="P19" s="1">
        <f>MEDIAN($C19)</f>
        <v>0</v>
      </c>
      <c r="Q19" s="1">
        <f>MEDIAN($D19)</f>
        <v>0</v>
      </c>
      <c r="R19" s="1">
        <f>MEDIAN($E19)</f>
        <v>0</v>
      </c>
      <c r="S19" s="1">
        <f>MEDIAN($G19)</f>
        <v>0</v>
      </c>
      <c r="T19" s="1">
        <f>MEDIAN($H19)</f>
        <v>0</v>
      </c>
      <c r="U19" s="1">
        <f>MAX($B19)</f>
        <v>0</v>
      </c>
      <c r="V19" s="1">
        <f>MAX($C19)</f>
        <v>0</v>
      </c>
      <c r="W19" s="1">
        <f>MAX($D19)</f>
        <v>0</v>
      </c>
      <c r="X19" s="1">
        <f>MAX($E19)</f>
        <v>0</v>
      </c>
      <c r="Y19" s="1">
        <f>MAX($G19)</f>
        <v>0</v>
      </c>
      <c r="Z19" s="1">
        <f>MAX($H19)</f>
        <v>0</v>
      </c>
    </row>
    <row r="20" spans="1:26">
      <c r="A20" s="1" t="s">
        <v>17</v>
      </c>
      <c r="B20" s="1">
        <v>1</v>
      </c>
      <c r="C20" s="1">
        <v>0</v>
      </c>
      <c r="D20" s="1">
        <v>0</v>
      </c>
      <c r="E20" s="1">
        <v>10000</v>
      </c>
      <c r="F20" s="1" t="s">
        <v>197</v>
      </c>
      <c r="G20" s="1">
        <v>5000</v>
      </c>
      <c r="H20" s="1">
        <v>1</v>
      </c>
      <c r="I20" s="1">
        <f>MIN($B20)</f>
        <v>0</v>
      </c>
      <c r="J20" s="1">
        <f>MIN($C20)</f>
        <v>0</v>
      </c>
      <c r="K20" s="1">
        <f>MIN($D20)</f>
        <v>0</v>
      </c>
      <c r="L20" s="1">
        <f>MIN($E20)</f>
        <v>0</v>
      </c>
      <c r="M20" s="1">
        <f>MIN($G20)</f>
        <v>0</v>
      </c>
      <c r="N20" s="1">
        <f>MIN($H20)</f>
        <v>0</v>
      </c>
      <c r="O20" s="1">
        <f>MEDIAN($B20)</f>
        <v>0</v>
      </c>
      <c r="P20" s="1">
        <f>MEDIAN($C20)</f>
        <v>0</v>
      </c>
      <c r="Q20" s="1">
        <f>MEDIAN($D20)</f>
        <v>0</v>
      </c>
      <c r="R20" s="1">
        <f>MEDIAN($E20)</f>
        <v>0</v>
      </c>
      <c r="S20" s="1">
        <f>MEDIAN($G20)</f>
        <v>0</v>
      </c>
      <c r="T20" s="1">
        <f>MEDIAN($H20)</f>
        <v>0</v>
      </c>
      <c r="U20" s="1">
        <f>MAX($B20)</f>
        <v>0</v>
      </c>
      <c r="V20" s="1">
        <f>MAX($C20)</f>
        <v>0</v>
      </c>
      <c r="W20" s="1">
        <f>MAX($D20)</f>
        <v>0</v>
      </c>
      <c r="X20" s="1">
        <f>MAX($E20)</f>
        <v>0</v>
      </c>
      <c r="Y20" s="1">
        <f>MAX($G20)</f>
        <v>0</v>
      </c>
      <c r="Z20" s="1">
        <f>MAX($H20)</f>
        <v>0</v>
      </c>
    </row>
    <row r="21" spans="1:26">
      <c r="A21" s="1" t="s">
        <v>18</v>
      </c>
      <c r="B21" s="1">
        <v>1</v>
      </c>
      <c r="C21" s="1">
        <v>0</v>
      </c>
      <c r="D21" s="1">
        <v>0</v>
      </c>
      <c r="E21" s="1">
        <v>10000</v>
      </c>
      <c r="F21" s="1" t="s">
        <v>197</v>
      </c>
      <c r="G21" s="1">
        <v>5000</v>
      </c>
      <c r="H21" s="1">
        <v>1</v>
      </c>
      <c r="I21" s="1">
        <f>MIN($B21)</f>
        <v>0</v>
      </c>
      <c r="J21" s="1">
        <f>MIN($C21)</f>
        <v>0</v>
      </c>
      <c r="K21" s="1">
        <f>MIN($D21)</f>
        <v>0</v>
      </c>
      <c r="L21" s="1">
        <f>MIN($E21)</f>
        <v>0</v>
      </c>
      <c r="M21" s="1">
        <f>MIN($G21)</f>
        <v>0</v>
      </c>
      <c r="N21" s="1">
        <f>MIN($H21)</f>
        <v>0</v>
      </c>
      <c r="O21" s="1">
        <f>MEDIAN($B21)</f>
        <v>0</v>
      </c>
      <c r="P21" s="1">
        <f>MEDIAN($C21)</f>
        <v>0</v>
      </c>
      <c r="Q21" s="1">
        <f>MEDIAN($D21)</f>
        <v>0</v>
      </c>
      <c r="R21" s="1">
        <f>MEDIAN($E21)</f>
        <v>0</v>
      </c>
      <c r="S21" s="1">
        <f>MEDIAN($G21)</f>
        <v>0</v>
      </c>
      <c r="T21" s="1">
        <f>MEDIAN($H21)</f>
        <v>0</v>
      </c>
      <c r="U21" s="1">
        <f>MAX($B21)</f>
        <v>0</v>
      </c>
      <c r="V21" s="1">
        <f>MAX($C21)</f>
        <v>0</v>
      </c>
      <c r="W21" s="1">
        <f>MAX($D21)</f>
        <v>0</v>
      </c>
      <c r="X21" s="1">
        <f>MAX($E21)</f>
        <v>0</v>
      </c>
      <c r="Y21" s="1">
        <f>MAX($G21)</f>
        <v>0</v>
      </c>
      <c r="Z21" s="1">
        <f>MAX($H21)</f>
        <v>0</v>
      </c>
    </row>
    <row r="22" spans="1:26">
      <c r="A22" s="1" t="s">
        <v>19</v>
      </c>
      <c r="B22" s="1">
        <v>1</v>
      </c>
      <c r="C22" s="1">
        <v>0</v>
      </c>
      <c r="D22" s="1">
        <v>0</v>
      </c>
      <c r="E22" s="1">
        <v>10000</v>
      </c>
      <c r="F22" s="1" t="s">
        <v>197</v>
      </c>
      <c r="G22" s="1">
        <v>5000</v>
      </c>
      <c r="H22" s="1">
        <v>1</v>
      </c>
      <c r="I22" s="1">
        <f>MIN($B22)</f>
        <v>0</v>
      </c>
      <c r="J22" s="1">
        <f>MIN($C22)</f>
        <v>0</v>
      </c>
      <c r="K22" s="1">
        <f>MIN($D22)</f>
        <v>0</v>
      </c>
      <c r="L22" s="1">
        <f>MIN($E22)</f>
        <v>0</v>
      </c>
      <c r="M22" s="1">
        <f>MIN($G22)</f>
        <v>0</v>
      </c>
      <c r="N22" s="1">
        <f>MIN($H22)</f>
        <v>0</v>
      </c>
      <c r="O22" s="1">
        <f>MEDIAN($B22)</f>
        <v>0</v>
      </c>
      <c r="P22" s="1">
        <f>MEDIAN($C22)</f>
        <v>0</v>
      </c>
      <c r="Q22" s="1">
        <f>MEDIAN($D22)</f>
        <v>0</v>
      </c>
      <c r="R22" s="1">
        <f>MEDIAN($E22)</f>
        <v>0</v>
      </c>
      <c r="S22" s="1">
        <f>MEDIAN($G22)</f>
        <v>0</v>
      </c>
      <c r="T22" s="1">
        <f>MEDIAN($H22)</f>
        <v>0</v>
      </c>
      <c r="U22" s="1">
        <f>MAX($B22)</f>
        <v>0</v>
      </c>
      <c r="V22" s="1">
        <f>MAX($C22)</f>
        <v>0</v>
      </c>
      <c r="W22" s="1">
        <f>MAX($D22)</f>
        <v>0</v>
      </c>
      <c r="X22" s="1">
        <f>MAX($E22)</f>
        <v>0</v>
      </c>
      <c r="Y22" s="1">
        <f>MAX($G22)</f>
        <v>0</v>
      </c>
      <c r="Z22" s="1">
        <f>MAX($H22)</f>
        <v>0</v>
      </c>
    </row>
    <row r="23" spans="1:26">
      <c r="A23" s="1" t="s">
        <v>20</v>
      </c>
      <c r="B23" s="1">
        <v>1</v>
      </c>
      <c r="C23" s="1">
        <v>0</v>
      </c>
      <c r="D23" s="1">
        <v>0</v>
      </c>
      <c r="E23" s="1">
        <v>10000</v>
      </c>
      <c r="F23" s="1" t="s">
        <v>197</v>
      </c>
      <c r="G23" s="1">
        <v>5000</v>
      </c>
      <c r="H23" s="1">
        <v>1</v>
      </c>
      <c r="I23" s="1">
        <f>MIN($B23)</f>
        <v>0</v>
      </c>
      <c r="J23" s="1">
        <f>MIN($C23)</f>
        <v>0</v>
      </c>
      <c r="K23" s="1">
        <f>MIN($D23)</f>
        <v>0</v>
      </c>
      <c r="L23" s="1">
        <f>MIN($E23)</f>
        <v>0</v>
      </c>
      <c r="M23" s="1">
        <f>MIN($G23)</f>
        <v>0</v>
      </c>
      <c r="N23" s="1">
        <f>MIN($H23)</f>
        <v>0</v>
      </c>
      <c r="O23" s="1">
        <f>MEDIAN($B23)</f>
        <v>0</v>
      </c>
      <c r="P23" s="1">
        <f>MEDIAN($C23)</f>
        <v>0</v>
      </c>
      <c r="Q23" s="1">
        <f>MEDIAN($D23)</f>
        <v>0</v>
      </c>
      <c r="R23" s="1">
        <f>MEDIAN($E23)</f>
        <v>0</v>
      </c>
      <c r="S23" s="1">
        <f>MEDIAN($G23)</f>
        <v>0</v>
      </c>
      <c r="T23" s="1">
        <f>MEDIAN($H23)</f>
        <v>0</v>
      </c>
      <c r="U23" s="1">
        <f>MAX($B23)</f>
        <v>0</v>
      </c>
      <c r="V23" s="1">
        <f>MAX($C23)</f>
        <v>0</v>
      </c>
      <c r="W23" s="1">
        <f>MAX($D23)</f>
        <v>0</v>
      </c>
      <c r="X23" s="1">
        <f>MAX($E23)</f>
        <v>0</v>
      </c>
      <c r="Y23" s="1">
        <f>MAX($G23)</f>
        <v>0</v>
      </c>
      <c r="Z23" s="1">
        <f>MAX($H23)</f>
        <v>0</v>
      </c>
    </row>
    <row r="24" spans="1:26">
      <c r="A24" s="1" t="s">
        <v>21</v>
      </c>
      <c r="B24" s="1">
        <v>1</v>
      </c>
      <c r="C24" s="1">
        <v>0</v>
      </c>
      <c r="D24" s="1">
        <v>0</v>
      </c>
      <c r="E24" s="1">
        <v>10000</v>
      </c>
      <c r="F24" s="1" t="s">
        <v>197</v>
      </c>
      <c r="G24" s="1">
        <v>5000</v>
      </c>
      <c r="H24" s="1">
        <v>1</v>
      </c>
      <c r="I24" s="1">
        <f>MIN($B24)</f>
        <v>0</v>
      </c>
      <c r="J24" s="1">
        <f>MIN($C24)</f>
        <v>0</v>
      </c>
      <c r="K24" s="1">
        <f>MIN($D24)</f>
        <v>0</v>
      </c>
      <c r="L24" s="1">
        <f>MIN($E24)</f>
        <v>0</v>
      </c>
      <c r="M24" s="1">
        <f>MIN($G24)</f>
        <v>0</v>
      </c>
      <c r="N24" s="1">
        <f>MIN($H24)</f>
        <v>0</v>
      </c>
      <c r="O24" s="1">
        <f>MEDIAN($B24)</f>
        <v>0</v>
      </c>
      <c r="P24" s="1">
        <f>MEDIAN($C24)</f>
        <v>0</v>
      </c>
      <c r="Q24" s="1">
        <f>MEDIAN($D24)</f>
        <v>0</v>
      </c>
      <c r="R24" s="1">
        <f>MEDIAN($E24)</f>
        <v>0</v>
      </c>
      <c r="S24" s="1">
        <f>MEDIAN($G24)</f>
        <v>0</v>
      </c>
      <c r="T24" s="1">
        <f>MEDIAN($H24)</f>
        <v>0</v>
      </c>
      <c r="U24" s="1">
        <f>MAX($B24)</f>
        <v>0</v>
      </c>
      <c r="V24" s="1">
        <f>MAX($C24)</f>
        <v>0</v>
      </c>
      <c r="W24" s="1">
        <f>MAX($D24)</f>
        <v>0</v>
      </c>
      <c r="X24" s="1">
        <f>MAX($E24)</f>
        <v>0</v>
      </c>
      <c r="Y24" s="1">
        <f>MAX($G24)</f>
        <v>0</v>
      </c>
      <c r="Z24" s="1">
        <f>MAX($H24)</f>
        <v>0</v>
      </c>
    </row>
    <row r="25" spans="1:26">
      <c r="A25" s="1" t="s">
        <v>22</v>
      </c>
      <c r="B25" s="1">
        <v>1</v>
      </c>
      <c r="C25" s="1">
        <v>0</v>
      </c>
      <c r="D25" s="1">
        <v>0</v>
      </c>
      <c r="E25" s="1">
        <v>10000</v>
      </c>
      <c r="F25" s="1" t="s">
        <v>197</v>
      </c>
      <c r="G25" s="1">
        <v>5000</v>
      </c>
      <c r="H25" s="1">
        <v>1</v>
      </c>
      <c r="I25" s="1">
        <f>MIN($B25)</f>
        <v>0</v>
      </c>
      <c r="J25" s="1">
        <f>MIN($C25)</f>
        <v>0</v>
      </c>
      <c r="K25" s="1">
        <f>MIN($D25)</f>
        <v>0</v>
      </c>
      <c r="L25" s="1">
        <f>MIN($E25)</f>
        <v>0</v>
      </c>
      <c r="M25" s="1">
        <f>MIN($G25)</f>
        <v>0</v>
      </c>
      <c r="N25" s="1">
        <f>MIN($H25)</f>
        <v>0</v>
      </c>
      <c r="O25" s="1">
        <f>MEDIAN($B25)</f>
        <v>0</v>
      </c>
      <c r="P25" s="1">
        <f>MEDIAN($C25)</f>
        <v>0</v>
      </c>
      <c r="Q25" s="1">
        <f>MEDIAN($D25)</f>
        <v>0</v>
      </c>
      <c r="R25" s="1">
        <f>MEDIAN($E25)</f>
        <v>0</v>
      </c>
      <c r="S25" s="1">
        <f>MEDIAN($G25)</f>
        <v>0</v>
      </c>
      <c r="T25" s="1">
        <f>MEDIAN($H25)</f>
        <v>0</v>
      </c>
      <c r="U25" s="1">
        <f>MAX($B25)</f>
        <v>0</v>
      </c>
      <c r="V25" s="1">
        <f>MAX($C25)</f>
        <v>0</v>
      </c>
      <c r="W25" s="1">
        <f>MAX($D25)</f>
        <v>0</v>
      </c>
      <c r="X25" s="1">
        <f>MAX($E25)</f>
        <v>0</v>
      </c>
      <c r="Y25" s="1">
        <f>MAX($G25)</f>
        <v>0</v>
      </c>
      <c r="Z25" s="1">
        <f>MAX($H25)</f>
        <v>0</v>
      </c>
    </row>
    <row r="26" spans="1:26">
      <c r="A26" s="1" t="s">
        <v>23</v>
      </c>
      <c r="B26" s="1">
        <v>1</v>
      </c>
      <c r="C26" s="1">
        <v>0</v>
      </c>
      <c r="D26" s="1">
        <v>0</v>
      </c>
      <c r="E26" s="1">
        <v>10000</v>
      </c>
      <c r="F26" s="1" t="s">
        <v>197</v>
      </c>
      <c r="G26" s="1">
        <v>5000</v>
      </c>
      <c r="H26" s="1">
        <v>1</v>
      </c>
      <c r="I26" s="1">
        <f>MIN($B26)</f>
        <v>0</v>
      </c>
      <c r="J26" s="1">
        <f>MIN($C26)</f>
        <v>0</v>
      </c>
      <c r="K26" s="1">
        <f>MIN($D26)</f>
        <v>0</v>
      </c>
      <c r="L26" s="1">
        <f>MIN($E26)</f>
        <v>0</v>
      </c>
      <c r="M26" s="1">
        <f>MIN($G26)</f>
        <v>0</v>
      </c>
      <c r="N26" s="1">
        <f>MIN($H26)</f>
        <v>0</v>
      </c>
      <c r="O26" s="1">
        <f>MEDIAN($B26)</f>
        <v>0</v>
      </c>
      <c r="P26" s="1">
        <f>MEDIAN($C26)</f>
        <v>0</v>
      </c>
      <c r="Q26" s="1">
        <f>MEDIAN($D26)</f>
        <v>0</v>
      </c>
      <c r="R26" s="1">
        <f>MEDIAN($E26)</f>
        <v>0</v>
      </c>
      <c r="S26" s="1">
        <f>MEDIAN($G26)</f>
        <v>0</v>
      </c>
      <c r="T26" s="1">
        <f>MEDIAN($H26)</f>
        <v>0</v>
      </c>
      <c r="U26" s="1">
        <f>MAX($B26)</f>
        <v>0</v>
      </c>
      <c r="V26" s="1">
        <f>MAX($C26)</f>
        <v>0</v>
      </c>
      <c r="W26" s="1">
        <f>MAX($D26)</f>
        <v>0</v>
      </c>
      <c r="X26" s="1">
        <f>MAX($E26)</f>
        <v>0</v>
      </c>
      <c r="Y26" s="1">
        <f>MAX($G26)</f>
        <v>0</v>
      </c>
      <c r="Z26" s="1">
        <f>MAX($H26)</f>
        <v>0</v>
      </c>
    </row>
    <row r="27" spans="1:26">
      <c r="A27" s="1" t="s">
        <v>24</v>
      </c>
      <c r="B27" s="1">
        <v>1</v>
      </c>
      <c r="C27" s="1">
        <v>0</v>
      </c>
      <c r="D27" s="1">
        <v>0</v>
      </c>
      <c r="E27" s="1">
        <v>10000</v>
      </c>
      <c r="F27" s="1" t="s">
        <v>197</v>
      </c>
      <c r="G27" s="1">
        <v>5000</v>
      </c>
      <c r="H27" s="1">
        <v>1</v>
      </c>
      <c r="I27" s="1">
        <f>MIN($B27)</f>
        <v>0</v>
      </c>
      <c r="J27" s="1">
        <f>MIN($C27)</f>
        <v>0</v>
      </c>
      <c r="K27" s="1">
        <f>MIN($D27)</f>
        <v>0</v>
      </c>
      <c r="L27" s="1">
        <f>MIN($E27)</f>
        <v>0</v>
      </c>
      <c r="M27" s="1">
        <f>MIN($G27)</f>
        <v>0</v>
      </c>
      <c r="N27" s="1">
        <f>MIN($H27)</f>
        <v>0</v>
      </c>
      <c r="O27" s="1">
        <f>MEDIAN($B27)</f>
        <v>0</v>
      </c>
      <c r="P27" s="1">
        <f>MEDIAN($C27)</f>
        <v>0</v>
      </c>
      <c r="Q27" s="1">
        <f>MEDIAN($D27)</f>
        <v>0</v>
      </c>
      <c r="R27" s="1">
        <f>MEDIAN($E27)</f>
        <v>0</v>
      </c>
      <c r="S27" s="1">
        <f>MEDIAN($G27)</f>
        <v>0</v>
      </c>
      <c r="T27" s="1">
        <f>MEDIAN($H27)</f>
        <v>0</v>
      </c>
      <c r="U27" s="1">
        <f>MAX($B27)</f>
        <v>0</v>
      </c>
      <c r="V27" s="1">
        <f>MAX($C27)</f>
        <v>0</v>
      </c>
      <c r="W27" s="1">
        <f>MAX($D27)</f>
        <v>0</v>
      </c>
      <c r="X27" s="1">
        <f>MAX($E27)</f>
        <v>0</v>
      </c>
      <c r="Y27" s="1">
        <f>MAX($G27)</f>
        <v>0</v>
      </c>
      <c r="Z27" s="1">
        <f>MAX($H27)</f>
        <v>0</v>
      </c>
    </row>
    <row r="28" spans="1:26">
      <c r="A28" s="1" t="s">
        <v>25</v>
      </c>
      <c r="B28" s="1">
        <v>1</v>
      </c>
      <c r="C28" s="1">
        <v>0</v>
      </c>
      <c r="D28" s="1">
        <v>0</v>
      </c>
      <c r="E28" s="1">
        <v>10000</v>
      </c>
      <c r="F28" s="1" t="s">
        <v>197</v>
      </c>
      <c r="G28" s="1">
        <v>5000</v>
      </c>
      <c r="H28" s="1">
        <v>1</v>
      </c>
      <c r="I28" s="1">
        <f>MIN($B28)</f>
        <v>0</v>
      </c>
      <c r="J28" s="1">
        <f>MIN($C28)</f>
        <v>0</v>
      </c>
      <c r="K28" s="1">
        <f>MIN($D28)</f>
        <v>0</v>
      </c>
      <c r="L28" s="1">
        <f>MIN($E28)</f>
        <v>0</v>
      </c>
      <c r="M28" s="1">
        <f>MIN($G28)</f>
        <v>0</v>
      </c>
      <c r="N28" s="1">
        <f>MIN($H28)</f>
        <v>0</v>
      </c>
      <c r="O28" s="1">
        <f>MEDIAN($B28)</f>
        <v>0</v>
      </c>
      <c r="P28" s="1">
        <f>MEDIAN($C28)</f>
        <v>0</v>
      </c>
      <c r="Q28" s="1">
        <f>MEDIAN($D28)</f>
        <v>0</v>
      </c>
      <c r="R28" s="1">
        <f>MEDIAN($E28)</f>
        <v>0</v>
      </c>
      <c r="S28" s="1">
        <f>MEDIAN($G28)</f>
        <v>0</v>
      </c>
      <c r="T28" s="1">
        <f>MEDIAN($H28)</f>
        <v>0</v>
      </c>
      <c r="U28" s="1">
        <f>MAX($B28)</f>
        <v>0</v>
      </c>
      <c r="V28" s="1">
        <f>MAX($C28)</f>
        <v>0</v>
      </c>
      <c r="W28" s="1">
        <f>MAX($D28)</f>
        <v>0</v>
      </c>
      <c r="X28" s="1">
        <f>MAX($E28)</f>
        <v>0</v>
      </c>
      <c r="Y28" s="1">
        <f>MAX($G28)</f>
        <v>0</v>
      </c>
      <c r="Z28" s="1">
        <f>MAX($H28)</f>
        <v>0</v>
      </c>
    </row>
    <row r="29" spans="1:26">
      <c r="A29" s="1" t="s">
        <v>26</v>
      </c>
      <c r="B29" s="1">
        <v>1</v>
      </c>
      <c r="C29" s="1">
        <v>0</v>
      </c>
      <c r="D29" s="1">
        <v>0</v>
      </c>
      <c r="E29" s="1">
        <v>10000</v>
      </c>
      <c r="F29" s="1" t="s">
        <v>197</v>
      </c>
      <c r="G29" s="1">
        <v>5000</v>
      </c>
      <c r="H29" s="1">
        <v>1</v>
      </c>
      <c r="I29" s="1">
        <f>MIN($B29)</f>
        <v>0</v>
      </c>
      <c r="J29" s="1">
        <f>MIN($C29)</f>
        <v>0</v>
      </c>
      <c r="K29" s="1">
        <f>MIN($D29)</f>
        <v>0</v>
      </c>
      <c r="L29" s="1">
        <f>MIN($E29)</f>
        <v>0</v>
      </c>
      <c r="M29" s="1">
        <f>MIN($G29)</f>
        <v>0</v>
      </c>
      <c r="N29" s="1">
        <f>MIN($H29)</f>
        <v>0</v>
      </c>
      <c r="O29" s="1">
        <f>MEDIAN($B29)</f>
        <v>0</v>
      </c>
      <c r="P29" s="1">
        <f>MEDIAN($C29)</f>
        <v>0</v>
      </c>
      <c r="Q29" s="1">
        <f>MEDIAN($D29)</f>
        <v>0</v>
      </c>
      <c r="R29" s="1">
        <f>MEDIAN($E29)</f>
        <v>0</v>
      </c>
      <c r="S29" s="1">
        <f>MEDIAN($G29)</f>
        <v>0</v>
      </c>
      <c r="T29" s="1">
        <f>MEDIAN($H29)</f>
        <v>0</v>
      </c>
      <c r="U29" s="1">
        <f>MAX($B29)</f>
        <v>0</v>
      </c>
      <c r="V29" s="1">
        <f>MAX($C29)</f>
        <v>0</v>
      </c>
      <c r="W29" s="1">
        <f>MAX($D29)</f>
        <v>0</v>
      </c>
      <c r="X29" s="1">
        <f>MAX($E29)</f>
        <v>0</v>
      </c>
      <c r="Y29" s="1">
        <f>MAX($G29)</f>
        <v>0</v>
      </c>
      <c r="Z29" s="1">
        <f>MAX($H29)</f>
        <v>0</v>
      </c>
    </row>
    <row r="30" spans="1:26">
      <c r="A30" s="1" t="s">
        <v>27</v>
      </c>
      <c r="B30" s="1">
        <v>1</v>
      </c>
      <c r="C30" s="1">
        <v>0</v>
      </c>
      <c r="D30" s="1">
        <v>0</v>
      </c>
      <c r="E30" s="1">
        <v>10000</v>
      </c>
      <c r="F30" s="1" t="s">
        <v>197</v>
      </c>
      <c r="G30" s="1">
        <v>5000</v>
      </c>
      <c r="H30" s="1">
        <v>1</v>
      </c>
      <c r="I30" s="1">
        <f>MIN($B30)</f>
        <v>0</v>
      </c>
      <c r="J30" s="1">
        <f>MIN($C30)</f>
        <v>0</v>
      </c>
      <c r="K30" s="1">
        <f>MIN($D30)</f>
        <v>0</v>
      </c>
      <c r="L30" s="1">
        <f>MIN($E30)</f>
        <v>0</v>
      </c>
      <c r="M30" s="1">
        <f>MIN($G30)</f>
        <v>0</v>
      </c>
      <c r="N30" s="1">
        <f>MIN($H30)</f>
        <v>0</v>
      </c>
      <c r="O30" s="1">
        <f>MEDIAN($B30)</f>
        <v>0</v>
      </c>
      <c r="P30" s="1">
        <f>MEDIAN($C30)</f>
        <v>0</v>
      </c>
      <c r="Q30" s="1">
        <f>MEDIAN($D30)</f>
        <v>0</v>
      </c>
      <c r="R30" s="1">
        <f>MEDIAN($E30)</f>
        <v>0</v>
      </c>
      <c r="S30" s="1">
        <f>MEDIAN($G30)</f>
        <v>0</v>
      </c>
      <c r="T30" s="1">
        <f>MEDIAN($H30)</f>
        <v>0</v>
      </c>
      <c r="U30" s="1">
        <f>MAX($B30)</f>
        <v>0</v>
      </c>
      <c r="V30" s="1">
        <f>MAX($C30)</f>
        <v>0</v>
      </c>
      <c r="W30" s="1">
        <f>MAX($D30)</f>
        <v>0</v>
      </c>
      <c r="X30" s="1">
        <f>MAX($E30)</f>
        <v>0</v>
      </c>
      <c r="Y30" s="1">
        <f>MAX($G30)</f>
        <v>0</v>
      </c>
      <c r="Z30" s="1">
        <f>MAX($H30)</f>
        <v>0</v>
      </c>
    </row>
    <row r="31" spans="1:26">
      <c r="A31" s="1" t="s">
        <v>28</v>
      </c>
      <c r="B31" s="1">
        <v>1</v>
      </c>
      <c r="C31" s="1">
        <v>0</v>
      </c>
      <c r="D31" s="1">
        <v>0</v>
      </c>
      <c r="E31" s="1">
        <v>10000</v>
      </c>
      <c r="F31" s="1" t="s">
        <v>197</v>
      </c>
      <c r="G31" s="1">
        <v>5000</v>
      </c>
      <c r="H31" s="1">
        <v>1</v>
      </c>
      <c r="I31" s="1">
        <f>MIN($B31)</f>
        <v>0</v>
      </c>
      <c r="J31" s="1">
        <f>MIN($C31)</f>
        <v>0</v>
      </c>
      <c r="K31" s="1">
        <f>MIN($D31)</f>
        <v>0</v>
      </c>
      <c r="L31" s="1">
        <f>MIN($E31)</f>
        <v>0</v>
      </c>
      <c r="M31" s="1">
        <f>MIN($G31)</f>
        <v>0</v>
      </c>
      <c r="N31" s="1">
        <f>MIN($H31)</f>
        <v>0</v>
      </c>
      <c r="O31" s="1">
        <f>MEDIAN($B31)</f>
        <v>0</v>
      </c>
      <c r="P31" s="1">
        <f>MEDIAN($C31)</f>
        <v>0</v>
      </c>
      <c r="Q31" s="1">
        <f>MEDIAN($D31)</f>
        <v>0</v>
      </c>
      <c r="R31" s="1">
        <f>MEDIAN($E31)</f>
        <v>0</v>
      </c>
      <c r="S31" s="1">
        <f>MEDIAN($G31)</f>
        <v>0</v>
      </c>
      <c r="T31" s="1">
        <f>MEDIAN($H31)</f>
        <v>0</v>
      </c>
      <c r="U31" s="1">
        <f>MAX($B31)</f>
        <v>0</v>
      </c>
      <c r="V31" s="1">
        <f>MAX($C31)</f>
        <v>0</v>
      </c>
      <c r="W31" s="1">
        <f>MAX($D31)</f>
        <v>0</v>
      </c>
      <c r="X31" s="1">
        <f>MAX($E31)</f>
        <v>0</v>
      </c>
      <c r="Y31" s="1">
        <f>MAX($G31)</f>
        <v>0</v>
      </c>
      <c r="Z31" s="1">
        <f>MAX($H31)</f>
        <v>0</v>
      </c>
    </row>
    <row r="32" spans="1:26">
      <c r="A32" s="1" t="s">
        <v>29</v>
      </c>
      <c r="B32" s="1">
        <v>1</v>
      </c>
      <c r="C32" s="1">
        <v>0</v>
      </c>
      <c r="D32" s="1">
        <v>0</v>
      </c>
      <c r="E32" s="1">
        <v>10000</v>
      </c>
      <c r="F32" s="1" t="s">
        <v>197</v>
      </c>
      <c r="G32" s="1">
        <v>5000</v>
      </c>
      <c r="H32" s="1">
        <v>1</v>
      </c>
      <c r="I32" s="1">
        <f>MIN($B32)</f>
        <v>0</v>
      </c>
      <c r="J32" s="1">
        <f>MIN($C32)</f>
        <v>0</v>
      </c>
      <c r="K32" s="1">
        <f>MIN($D32)</f>
        <v>0</v>
      </c>
      <c r="L32" s="1">
        <f>MIN($E32)</f>
        <v>0</v>
      </c>
      <c r="M32" s="1">
        <f>MIN($G32)</f>
        <v>0</v>
      </c>
      <c r="N32" s="1">
        <f>MIN($H32)</f>
        <v>0</v>
      </c>
      <c r="O32" s="1">
        <f>MEDIAN($B32)</f>
        <v>0</v>
      </c>
      <c r="P32" s="1">
        <f>MEDIAN($C32)</f>
        <v>0</v>
      </c>
      <c r="Q32" s="1">
        <f>MEDIAN($D32)</f>
        <v>0</v>
      </c>
      <c r="R32" s="1">
        <f>MEDIAN($E32)</f>
        <v>0</v>
      </c>
      <c r="S32" s="1">
        <f>MEDIAN($G32)</f>
        <v>0</v>
      </c>
      <c r="T32" s="1">
        <f>MEDIAN($H32)</f>
        <v>0</v>
      </c>
      <c r="U32" s="1">
        <f>MAX($B32)</f>
        <v>0</v>
      </c>
      <c r="V32" s="1">
        <f>MAX($C32)</f>
        <v>0</v>
      </c>
      <c r="W32" s="1">
        <f>MAX($D32)</f>
        <v>0</v>
      </c>
      <c r="X32" s="1">
        <f>MAX($E32)</f>
        <v>0</v>
      </c>
      <c r="Y32" s="1">
        <f>MAX($G32)</f>
        <v>0</v>
      </c>
      <c r="Z32" s="1">
        <f>MAX($H32)</f>
        <v>0</v>
      </c>
    </row>
    <row r="33" spans="1:26">
      <c r="A33" s="1" t="s">
        <v>30</v>
      </c>
      <c r="B33" s="1">
        <v>1</v>
      </c>
      <c r="C33" s="1">
        <v>0</v>
      </c>
      <c r="D33" s="1">
        <v>0</v>
      </c>
      <c r="E33" s="1">
        <v>10000</v>
      </c>
      <c r="F33" s="1" t="s">
        <v>197</v>
      </c>
      <c r="G33" s="1">
        <v>5000</v>
      </c>
      <c r="H33" s="1">
        <v>1</v>
      </c>
      <c r="I33" s="1">
        <f>MIN($B33)</f>
        <v>0</v>
      </c>
      <c r="J33" s="1">
        <f>MIN($C33)</f>
        <v>0</v>
      </c>
      <c r="K33" s="1">
        <f>MIN($D33)</f>
        <v>0</v>
      </c>
      <c r="L33" s="1">
        <f>MIN($E33)</f>
        <v>0</v>
      </c>
      <c r="M33" s="1">
        <f>MIN($G33)</f>
        <v>0</v>
      </c>
      <c r="N33" s="1">
        <f>MIN($H33)</f>
        <v>0</v>
      </c>
      <c r="O33" s="1">
        <f>MEDIAN($B33)</f>
        <v>0</v>
      </c>
      <c r="P33" s="1">
        <f>MEDIAN($C33)</f>
        <v>0</v>
      </c>
      <c r="Q33" s="1">
        <f>MEDIAN($D33)</f>
        <v>0</v>
      </c>
      <c r="R33" s="1">
        <f>MEDIAN($E33)</f>
        <v>0</v>
      </c>
      <c r="S33" s="1">
        <f>MEDIAN($G33)</f>
        <v>0</v>
      </c>
      <c r="T33" s="1">
        <f>MEDIAN($H33)</f>
        <v>0</v>
      </c>
      <c r="U33" s="1">
        <f>MAX($B33)</f>
        <v>0</v>
      </c>
      <c r="V33" s="1">
        <f>MAX($C33)</f>
        <v>0</v>
      </c>
      <c r="W33" s="1">
        <f>MAX($D33)</f>
        <v>0</v>
      </c>
      <c r="X33" s="1">
        <f>MAX($E33)</f>
        <v>0</v>
      </c>
      <c r="Y33" s="1">
        <f>MAX($G33)</f>
        <v>0</v>
      </c>
      <c r="Z33" s="1">
        <f>MAX($H33)</f>
        <v>0</v>
      </c>
    </row>
    <row r="34" spans="1:26">
      <c r="A34" s="1" t="s">
        <v>31</v>
      </c>
      <c r="B34" s="1">
        <v>1</v>
      </c>
      <c r="C34" s="1">
        <v>0</v>
      </c>
      <c r="D34" s="1">
        <v>0</v>
      </c>
      <c r="E34" s="1">
        <v>10000</v>
      </c>
      <c r="F34" s="1" t="s">
        <v>197</v>
      </c>
      <c r="G34" s="1">
        <v>5000</v>
      </c>
      <c r="H34" s="1">
        <v>1</v>
      </c>
      <c r="I34" s="1">
        <f>MIN($B34)</f>
        <v>0</v>
      </c>
      <c r="J34" s="1">
        <f>MIN($C34)</f>
        <v>0</v>
      </c>
      <c r="K34" s="1">
        <f>MIN($D34)</f>
        <v>0</v>
      </c>
      <c r="L34" s="1">
        <f>MIN($E34)</f>
        <v>0</v>
      </c>
      <c r="M34" s="1">
        <f>MIN($G34)</f>
        <v>0</v>
      </c>
      <c r="N34" s="1">
        <f>MIN($H34)</f>
        <v>0</v>
      </c>
      <c r="O34" s="1">
        <f>MEDIAN($B34)</f>
        <v>0</v>
      </c>
      <c r="P34" s="1">
        <f>MEDIAN($C34)</f>
        <v>0</v>
      </c>
      <c r="Q34" s="1">
        <f>MEDIAN($D34)</f>
        <v>0</v>
      </c>
      <c r="R34" s="1">
        <f>MEDIAN($E34)</f>
        <v>0</v>
      </c>
      <c r="S34" s="1">
        <f>MEDIAN($G34)</f>
        <v>0</v>
      </c>
      <c r="T34" s="1">
        <f>MEDIAN($H34)</f>
        <v>0</v>
      </c>
      <c r="U34" s="1">
        <f>MAX($B34)</f>
        <v>0</v>
      </c>
      <c r="V34" s="1">
        <f>MAX($C34)</f>
        <v>0</v>
      </c>
      <c r="W34" s="1">
        <f>MAX($D34)</f>
        <v>0</v>
      </c>
      <c r="X34" s="1">
        <f>MAX($E34)</f>
        <v>0</v>
      </c>
      <c r="Y34" s="1">
        <f>MAX($G34)</f>
        <v>0</v>
      </c>
      <c r="Z34" s="1">
        <f>MAX($H34)</f>
        <v>0</v>
      </c>
    </row>
    <row r="35" spans="1:26">
      <c r="A35" s="1" t="s">
        <v>32</v>
      </c>
      <c r="B35" s="1">
        <v>1</v>
      </c>
      <c r="C35" s="1">
        <v>0</v>
      </c>
      <c r="D35" s="1">
        <v>0</v>
      </c>
      <c r="E35" s="1">
        <v>10000</v>
      </c>
      <c r="F35" s="1" t="s">
        <v>197</v>
      </c>
      <c r="G35" s="1">
        <v>5000</v>
      </c>
      <c r="H35" s="1">
        <v>1</v>
      </c>
      <c r="I35" s="1">
        <f>MIN($B35)</f>
        <v>0</v>
      </c>
      <c r="J35" s="1">
        <f>MIN($C35)</f>
        <v>0</v>
      </c>
      <c r="K35" s="1">
        <f>MIN($D35)</f>
        <v>0</v>
      </c>
      <c r="L35" s="1">
        <f>MIN($E35)</f>
        <v>0</v>
      </c>
      <c r="M35" s="1">
        <f>MIN($G35)</f>
        <v>0</v>
      </c>
      <c r="N35" s="1">
        <f>MIN($H35)</f>
        <v>0</v>
      </c>
      <c r="O35" s="1">
        <f>MEDIAN($B35)</f>
        <v>0</v>
      </c>
      <c r="P35" s="1">
        <f>MEDIAN($C35)</f>
        <v>0</v>
      </c>
      <c r="Q35" s="1">
        <f>MEDIAN($D35)</f>
        <v>0</v>
      </c>
      <c r="R35" s="1">
        <f>MEDIAN($E35)</f>
        <v>0</v>
      </c>
      <c r="S35" s="1">
        <f>MEDIAN($G35)</f>
        <v>0</v>
      </c>
      <c r="T35" s="1">
        <f>MEDIAN($H35)</f>
        <v>0</v>
      </c>
      <c r="U35" s="1">
        <f>MAX($B35)</f>
        <v>0</v>
      </c>
      <c r="V35" s="1">
        <f>MAX($C35)</f>
        <v>0</v>
      </c>
      <c r="W35" s="1">
        <f>MAX($D35)</f>
        <v>0</v>
      </c>
      <c r="X35" s="1">
        <f>MAX($E35)</f>
        <v>0</v>
      </c>
      <c r="Y35" s="1">
        <f>MAX($G35)</f>
        <v>0</v>
      </c>
      <c r="Z35" s="1">
        <f>MAX($H35)</f>
        <v>0</v>
      </c>
    </row>
    <row r="36" spans="1:26">
      <c r="A36" s="1" t="s">
        <v>33</v>
      </c>
      <c r="B36" s="1">
        <v>1</v>
      </c>
      <c r="C36" s="1">
        <v>0</v>
      </c>
      <c r="D36" s="1">
        <v>0</v>
      </c>
      <c r="E36" s="1">
        <v>10000</v>
      </c>
      <c r="F36" s="1" t="s">
        <v>197</v>
      </c>
      <c r="G36" s="1">
        <v>5000</v>
      </c>
      <c r="H36" s="1">
        <v>1</v>
      </c>
      <c r="I36" s="1">
        <f>MIN($B36)</f>
        <v>0</v>
      </c>
      <c r="J36" s="1">
        <f>MIN($C36)</f>
        <v>0</v>
      </c>
      <c r="K36" s="1">
        <f>MIN($D36)</f>
        <v>0</v>
      </c>
      <c r="L36" s="1">
        <f>MIN($E36)</f>
        <v>0</v>
      </c>
      <c r="M36" s="1">
        <f>MIN($G36)</f>
        <v>0</v>
      </c>
      <c r="N36" s="1">
        <f>MIN($H36)</f>
        <v>0</v>
      </c>
      <c r="O36" s="1">
        <f>MEDIAN($B36)</f>
        <v>0</v>
      </c>
      <c r="P36" s="1">
        <f>MEDIAN($C36)</f>
        <v>0</v>
      </c>
      <c r="Q36" s="1">
        <f>MEDIAN($D36)</f>
        <v>0</v>
      </c>
      <c r="R36" s="1">
        <f>MEDIAN($E36)</f>
        <v>0</v>
      </c>
      <c r="S36" s="1">
        <f>MEDIAN($G36)</f>
        <v>0</v>
      </c>
      <c r="T36" s="1">
        <f>MEDIAN($H36)</f>
        <v>0</v>
      </c>
      <c r="U36" s="1">
        <f>MAX($B36)</f>
        <v>0</v>
      </c>
      <c r="V36" s="1">
        <f>MAX($C36)</f>
        <v>0</v>
      </c>
      <c r="W36" s="1">
        <f>MAX($D36)</f>
        <v>0</v>
      </c>
      <c r="X36" s="1">
        <f>MAX($E36)</f>
        <v>0</v>
      </c>
      <c r="Y36" s="1">
        <f>MAX($G36)</f>
        <v>0</v>
      </c>
      <c r="Z36" s="1">
        <f>MAX($H36)</f>
        <v>0</v>
      </c>
    </row>
    <row r="37" spans="1:26">
      <c r="A37" s="1" t="s">
        <v>34</v>
      </c>
      <c r="B37" s="1">
        <v>1</v>
      </c>
      <c r="C37" s="1">
        <v>0</v>
      </c>
      <c r="D37" s="1">
        <v>0</v>
      </c>
      <c r="E37" s="1">
        <v>10000</v>
      </c>
      <c r="F37" s="1" t="s">
        <v>197</v>
      </c>
      <c r="G37" s="1">
        <v>5000</v>
      </c>
      <c r="H37" s="1">
        <v>1</v>
      </c>
      <c r="I37" s="1">
        <f>MIN($B37)</f>
        <v>0</v>
      </c>
      <c r="J37" s="1">
        <f>MIN($C37)</f>
        <v>0</v>
      </c>
      <c r="K37" s="1">
        <f>MIN($D37)</f>
        <v>0</v>
      </c>
      <c r="L37" s="1">
        <f>MIN($E37)</f>
        <v>0</v>
      </c>
      <c r="M37" s="1">
        <f>MIN($G37)</f>
        <v>0</v>
      </c>
      <c r="N37" s="1">
        <f>MIN($H37)</f>
        <v>0</v>
      </c>
      <c r="O37" s="1">
        <f>MEDIAN($B37)</f>
        <v>0</v>
      </c>
      <c r="P37" s="1">
        <f>MEDIAN($C37)</f>
        <v>0</v>
      </c>
      <c r="Q37" s="1">
        <f>MEDIAN($D37)</f>
        <v>0</v>
      </c>
      <c r="R37" s="1">
        <f>MEDIAN($E37)</f>
        <v>0</v>
      </c>
      <c r="S37" s="1">
        <f>MEDIAN($G37)</f>
        <v>0</v>
      </c>
      <c r="T37" s="1">
        <f>MEDIAN($H37)</f>
        <v>0</v>
      </c>
      <c r="U37" s="1">
        <f>MAX($B37)</f>
        <v>0</v>
      </c>
      <c r="V37" s="1">
        <f>MAX($C37)</f>
        <v>0</v>
      </c>
      <c r="W37" s="1">
        <f>MAX($D37)</f>
        <v>0</v>
      </c>
      <c r="X37" s="1">
        <f>MAX($E37)</f>
        <v>0</v>
      </c>
      <c r="Y37" s="1">
        <f>MAX($G37)</f>
        <v>0</v>
      </c>
      <c r="Z37" s="1">
        <f>MAX($H37)</f>
        <v>0</v>
      </c>
    </row>
    <row r="38" spans="1:26">
      <c r="A38" s="1" t="s">
        <v>35</v>
      </c>
      <c r="B38" s="1">
        <v>1</v>
      </c>
      <c r="C38" s="1">
        <v>0</v>
      </c>
      <c r="D38" s="1">
        <v>0</v>
      </c>
      <c r="E38" s="1">
        <v>10000</v>
      </c>
      <c r="F38" s="1" t="s">
        <v>197</v>
      </c>
      <c r="G38" s="1">
        <v>5000</v>
      </c>
      <c r="H38" s="1">
        <v>1</v>
      </c>
      <c r="I38" s="1">
        <f>MIN($B38)</f>
        <v>0</v>
      </c>
      <c r="J38" s="1">
        <f>MIN($C38)</f>
        <v>0</v>
      </c>
      <c r="K38" s="1">
        <f>MIN($D38)</f>
        <v>0</v>
      </c>
      <c r="L38" s="1">
        <f>MIN($E38)</f>
        <v>0</v>
      </c>
      <c r="M38" s="1">
        <f>MIN($G38)</f>
        <v>0</v>
      </c>
      <c r="N38" s="1">
        <f>MIN($H38)</f>
        <v>0</v>
      </c>
      <c r="O38" s="1">
        <f>MEDIAN($B38)</f>
        <v>0</v>
      </c>
      <c r="P38" s="1">
        <f>MEDIAN($C38)</f>
        <v>0</v>
      </c>
      <c r="Q38" s="1">
        <f>MEDIAN($D38)</f>
        <v>0</v>
      </c>
      <c r="R38" s="1">
        <f>MEDIAN($E38)</f>
        <v>0</v>
      </c>
      <c r="S38" s="1">
        <f>MEDIAN($G38)</f>
        <v>0</v>
      </c>
      <c r="T38" s="1">
        <f>MEDIAN($H38)</f>
        <v>0</v>
      </c>
      <c r="U38" s="1">
        <f>MAX($B38)</f>
        <v>0</v>
      </c>
      <c r="V38" s="1">
        <f>MAX($C38)</f>
        <v>0</v>
      </c>
      <c r="W38" s="1">
        <f>MAX($D38)</f>
        <v>0</v>
      </c>
      <c r="X38" s="1">
        <f>MAX($E38)</f>
        <v>0</v>
      </c>
      <c r="Y38" s="1">
        <f>MAX($G38)</f>
        <v>0</v>
      </c>
      <c r="Z38" s="1">
        <f>MAX($H38)</f>
        <v>0</v>
      </c>
    </row>
    <row r="39" spans="1:26">
      <c r="A39" s="1" t="s">
        <v>36</v>
      </c>
      <c r="B39" s="1">
        <v>1</v>
      </c>
      <c r="C39" s="1">
        <v>0</v>
      </c>
      <c r="D39" s="1">
        <v>0</v>
      </c>
      <c r="E39" s="1">
        <v>10000</v>
      </c>
      <c r="F39" s="1" t="s">
        <v>197</v>
      </c>
      <c r="G39" s="1">
        <v>5000</v>
      </c>
      <c r="H39" s="1">
        <v>1</v>
      </c>
      <c r="I39" s="1">
        <f>MIN($B39)</f>
        <v>0</v>
      </c>
      <c r="J39" s="1">
        <f>MIN($C39)</f>
        <v>0</v>
      </c>
      <c r="K39" s="1">
        <f>MIN($D39)</f>
        <v>0</v>
      </c>
      <c r="L39" s="1">
        <f>MIN($E39)</f>
        <v>0</v>
      </c>
      <c r="M39" s="1">
        <f>MIN($G39)</f>
        <v>0</v>
      </c>
      <c r="N39" s="1">
        <f>MIN($H39)</f>
        <v>0</v>
      </c>
      <c r="O39" s="1">
        <f>MEDIAN($B39)</f>
        <v>0</v>
      </c>
      <c r="P39" s="1">
        <f>MEDIAN($C39)</f>
        <v>0</v>
      </c>
      <c r="Q39" s="1">
        <f>MEDIAN($D39)</f>
        <v>0</v>
      </c>
      <c r="R39" s="1">
        <f>MEDIAN($E39)</f>
        <v>0</v>
      </c>
      <c r="S39" s="1">
        <f>MEDIAN($G39)</f>
        <v>0</v>
      </c>
      <c r="T39" s="1">
        <f>MEDIAN($H39)</f>
        <v>0</v>
      </c>
      <c r="U39" s="1">
        <f>MAX($B39)</f>
        <v>0</v>
      </c>
      <c r="V39" s="1">
        <f>MAX($C39)</f>
        <v>0</v>
      </c>
      <c r="W39" s="1">
        <f>MAX($D39)</f>
        <v>0</v>
      </c>
      <c r="X39" s="1">
        <f>MAX($E39)</f>
        <v>0</v>
      </c>
      <c r="Y39" s="1">
        <f>MAX($G39)</f>
        <v>0</v>
      </c>
      <c r="Z39" s="1">
        <f>MAX($H39)</f>
        <v>0</v>
      </c>
    </row>
    <row r="40" spans="1:26">
      <c r="A40" s="1" t="s">
        <v>37</v>
      </c>
      <c r="B40" s="1">
        <v>1</v>
      </c>
      <c r="C40" s="1">
        <v>0</v>
      </c>
      <c r="D40" s="1">
        <v>0</v>
      </c>
      <c r="E40" s="1">
        <v>10000</v>
      </c>
      <c r="F40" s="1" t="s">
        <v>197</v>
      </c>
      <c r="G40" s="1">
        <v>5000</v>
      </c>
      <c r="H40" s="1">
        <v>1</v>
      </c>
      <c r="I40" s="1">
        <f>MIN($B40)</f>
        <v>0</v>
      </c>
      <c r="J40" s="1">
        <f>MIN($C40)</f>
        <v>0</v>
      </c>
      <c r="K40" s="1">
        <f>MIN($D40)</f>
        <v>0</v>
      </c>
      <c r="L40" s="1">
        <f>MIN($E40)</f>
        <v>0</v>
      </c>
      <c r="M40" s="1">
        <f>MIN($G40)</f>
        <v>0</v>
      </c>
      <c r="N40" s="1">
        <f>MIN($H40)</f>
        <v>0</v>
      </c>
      <c r="O40" s="1">
        <f>MEDIAN($B40)</f>
        <v>0</v>
      </c>
      <c r="P40" s="1">
        <f>MEDIAN($C40)</f>
        <v>0</v>
      </c>
      <c r="Q40" s="1">
        <f>MEDIAN($D40)</f>
        <v>0</v>
      </c>
      <c r="R40" s="1">
        <f>MEDIAN($E40)</f>
        <v>0</v>
      </c>
      <c r="S40" s="1">
        <f>MEDIAN($G40)</f>
        <v>0</v>
      </c>
      <c r="T40" s="1">
        <f>MEDIAN($H40)</f>
        <v>0</v>
      </c>
      <c r="U40" s="1">
        <f>MAX($B40)</f>
        <v>0</v>
      </c>
      <c r="V40" s="1">
        <f>MAX($C40)</f>
        <v>0</v>
      </c>
      <c r="W40" s="1">
        <f>MAX($D40)</f>
        <v>0</v>
      </c>
      <c r="X40" s="1">
        <f>MAX($E40)</f>
        <v>0</v>
      </c>
      <c r="Y40" s="1">
        <f>MAX($G40)</f>
        <v>0</v>
      </c>
      <c r="Z40" s="1">
        <f>MAX($H40)</f>
        <v>0</v>
      </c>
    </row>
    <row r="41" spans="1:26">
      <c r="A41" s="1" t="s">
        <v>38</v>
      </c>
      <c r="B41" s="1">
        <v>1</v>
      </c>
      <c r="C41" s="1">
        <v>0</v>
      </c>
      <c r="D41" s="1">
        <v>0</v>
      </c>
      <c r="E41" s="1">
        <v>10000</v>
      </c>
      <c r="F41" s="1" t="s">
        <v>197</v>
      </c>
      <c r="G41" s="1">
        <v>5000</v>
      </c>
      <c r="H41" s="1">
        <v>1</v>
      </c>
      <c r="I41" s="1">
        <f>MIN($B41)</f>
        <v>0</v>
      </c>
      <c r="J41" s="1">
        <f>MIN($C41)</f>
        <v>0</v>
      </c>
      <c r="K41" s="1">
        <f>MIN($D41)</f>
        <v>0</v>
      </c>
      <c r="L41" s="1">
        <f>MIN($E41)</f>
        <v>0</v>
      </c>
      <c r="M41" s="1">
        <f>MIN($G41)</f>
        <v>0</v>
      </c>
      <c r="N41" s="1">
        <f>MIN($H41)</f>
        <v>0</v>
      </c>
      <c r="O41" s="1">
        <f>MEDIAN($B41)</f>
        <v>0</v>
      </c>
      <c r="P41" s="1">
        <f>MEDIAN($C41)</f>
        <v>0</v>
      </c>
      <c r="Q41" s="1">
        <f>MEDIAN($D41)</f>
        <v>0</v>
      </c>
      <c r="R41" s="1">
        <f>MEDIAN($E41)</f>
        <v>0</v>
      </c>
      <c r="S41" s="1">
        <f>MEDIAN($G41)</f>
        <v>0</v>
      </c>
      <c r="T41" s="1">
        <f>MEDIAN($H41)</f>
        <v>0</v>
      </c>
      <c r="U41" s="1">
        <f>MAX($B41)</f>
        <v>0</v>
      </c>
      <c r="V41" s="1">
        <f>MAX($C41)</f>
        <v>0</v>
      </c>
      <c r="W41" s="1">
        <f>MAX($D41)</f>
        <v>0</v>
      </c>
      <c r="X41" s="1">
        <f>MAX($E41)</f>
        <v>0</v>
      </c>
      <c r="Y41" s="1">
        <f>MAX($G41)</f>
        <v>0</v>
      </c>
      <c r="Z41" s="1">
        <f>MAX($H41)</f>
        <v>0</v>
      </c>
    </row>
    <row r="42" spans="1:26">
      <c r="A42" s="1" t="s">
        <v>39</v>
      </c>
      <c r="B42" s="1">
        <v>1</v>
      </c>
      <c r="C42" s="1">
        <v>0</v>
      </c>
      <c r="D42" s="1">
        <v>0</v>
      </c>
      <c r="E42" s="1">
        <v>10000</v>
      </c>
      <c r="F42" s="1" t="s">
        <v>197</v>
      </c>
      <c r="G42" s="1">
        <v>5000</v>
      </c>
      <c r="H42" s="1">
        <v>1</v>
      </c>
      <c r="I42" s="1">
        <f>MIN($B42)</f>
        <v>0</v>
      </c>
      <c r="J42" s="1">
        <f>MIN($C42)</f>
        <v>0</v>
      </c>
      <c r="K42" s="1">
        <f>MIN($D42)</f>
        <v>0</v>
      </c>
      <c r="L42" s="1">
        <f>MIN($E42)</f>
        <v>0</v>
      </c>
      <c r="M42" s="1">
        <f>MIN($G42)</f>
        <v>0</v>
      </c>
      <c r="N42" s="1">
        <f>MIN($H42)</f>
        <v>0</v>
      </c>
      <c r="O42" s="1">
        <f>MEDIAN($B42)</f>
        <v>0</v>
      </c>
      <c r="P42" s="1">
        <f>MEDIAN($C42)</f>
        <v>0</v>
      </c>
      <c r="Q42" s="1">
        <f>MEDIAN($D42)</f>
        <v>0</v>
      </c>
      <c r="R42" s="1">
        <f>MEDIAN($E42)</f>
        <v>0</v>
      </c>
      <c r="S42" s="1">
        <f>MEDIAN($G42)</f>
        <v>0</v>
      </c>
      <c r="T42" s="1">
        <f>MEDIAN($H42)</f>
        <v>0</v>
      </c>
      <c r="U42" s="1">
        <f>MAX($B42)</f>
        <v>0</v>
      </c>
      <c r="V42" s="1">
        <f>MAX($C42)</f>
        <v>0</v>
      </c>
      <c r="W42" s="1">
        <f>MAX($D42)</f>
        <v>0</v>
      </c>
      <c r="X42" s="1">
        <f>MAX($E42)</f>
        <v>0</v>
      </c>
      <c r="Y42" s="1">
        <f>MAX($G42)</f>
        <v>0</v>
      </c>
      <c r="Z42" s="1">
        <f>MAX($H42)</f>
        <v>0</v>
      </c>
    </row>
    <row r="43" spans="1:26">
      <c r="A43" s="1" t="s">
        <v>40</v>
      </c>
      <c r="B43" s="1">
        <v>1</v>
      </c>
      <c r="C43" s="1">
        <v>0</v>
      </c>
      <c r="D43" s="1">
        <v>0</v>
      </c>
      <c r="E43" s="1">
        <v>10000</v>
      </c>
      <c r="F43" s="1" t="s">
        <v>197</v>
      </c>
      <c r="G43" s="1">
        <v>5000</v>
      </c>
      <c r="H43" s="1">
        <v>1</v>
      </c>
      <c r="I43" s="1">
        <f>MIN($B43)</f>
        <v>0</v>
      </c>
      <c r="J43" s="1">
        <f>MIN($C43)</f>
        <v>0</v>
      </c>
      <c r="K43" s="1">
        <f>MIN($D43)</f>
        <v>0</v>
      </c>
      <c r="L43" s="1">
        <f>MIN($E43)</f>
        <v>0</v>
      </c>
      <c r="M43" s="1">
        <f>MIN($G43)</f>
        <v>0</v>
      </c>
      <c r="N43" s="1">
        <f>MIN($H43)</f>
        <v>0</v>
      </c>
      <c r="O43" s="1">
        <f>MEDIAN($B43)</f>
        <v>0</v>
      </c>
      <c r="P43" s="1">
        <f>MEDIAN($C43)</f>
        <v>0</v>
      </c>
      <c r="Q43" s="1">
        <f>MEDIAN($D43)</f>
        <v>0</v>
      </c>
      <c r="R43" s="1">
        <f>MEDIAN($E43)</f>
        <v>0</v>
      </c>
      <c r="S43" s="1">
        <f>MEDIAN($G43)</f>
        <v>0</v>
      </c>
      <c r="T43" s="1">
        <f>MEDIAN($H43)</f>
        <v>0</v>
      </c>
      <c r="U43" s="1">
        <f>MAX($B43)</f>
        <v>0</v>
      </c>
      <c r="V43" s="1">
        <f>MAX($C43)</f>
        <v>0</v>
      </c>
      <c r="W43" s="1">
        <f>MAX($D43)</f>
        <v>0</v>
      </c>
      <c r="X43" s="1">
        <f>MAX($E43)</f>
        <v>0</v>
      </c>
      <c r="Y43" s="1">
        <f>MAX($G43)</f>
        <v>0</v>
      </c>
      <c r="Z43" s="1">
        <f>MAX($H43)</f>
        <v>0</v>
      </c>
    </row>
    <row r="44" spans="1:26">
      <c r="A44" s="1" t="s">
        <v>41</v>
      </c>
      <c r="B44" s="1">
        <v>1</v>
      </c>
      <c r="C44" s="1">
        <v>0</v>
      </c>
      <c r="D44" s="1">
        <v>0</v>
      </c>
      <c r="E44" s="1">
        <v>10000</v>
      </c>
      <c r="F44" s="1" t="s">
        <v>197</v>
      </c>
      <c r="G44" s="1">
        <v>5000</v>
      </c>
      <c r="H44" s="1">
        <v>1</v>
      </c>
      <c r="I44" s="1">
        <f>MIN($B44)</f>
        <v>0</v>
      </c>
      <c r="J44" s="1">
        <f>MIN($C44)</f>
        <v>0</v>
      </c>
      <c r="K44" s="1">
        <f>MIN($D44)</f>
        <v>0</v>
      </c>
      <c r="L44" s="1">
        <f>MIN($E44)</f>
        <v>0</v>
      </c>
      <c r="M44" s="1">
        <f>MIN($G44)</f>
        <v>0</v>
      </c>
      <c r="N44" s="1">
        <f>MIN($H44)</f>
        <v>0</v>
      </c>
      <c r="O44" s="1">
        <f>MEDIAN($B44)</f>
        <v>0</v>
      </c>
      <c r="P44" s="1">
        <f>MEDIAN($C44)</f>
        <v>0</v>
      </c>
      <c r="Q44" s="1">
        <f>MEDIAN($D44)</f>
        <v>0</v>
      </c>
      <c r="R44" s="1">
        <f>MEDIAN($E44)</f>
        <v>0</v>
      </c>
      <c r="S44" s="1">
        <f>MEDIAN($G44)</f>
        <v>0</v>
      </c>
      <c r="T44" s="1">
        <f>MEDIAN($H44)</f>
        <v>0</v>
      </c>
      <c r="U44" s="1">
        <f>MAX($B44)</f>
        <v>0</v>
      </c>
      <c r="V44" s="1">
        <f>MAX($C44)</f>
        <v>0</v>
      </c>
      <c r="W44" s="1">
        <f>MAX($D44)</f>
        <v>0</v>
      </c>
      <c r="X44" s="1">
        <f>MAX($E44)</f>
        <v>0</v>
      </c>
      <c r="Y44" s="1">
        <f>MAX($G44)</f>
        <v>0</v>
      </c>
      <c r="Z44" s="1">
        <f>MAX($H44)</f>
        <v>0</v>
      </c>
    </row>
    <row r="45" spans="1:26">
      <c r="A45" s="1" t="s">
        <v>42</v>
      </c>
      <c r="B45" s="1">
        <v>1</v>
      </c>
      <c r="C45" s="1">
        <v>0</v>
      </c>
      <c r="D45" s="1">
        <v>0</v>
      </c>
      <c r="E45" s="1">
        <v>10000</v>
      </c>
      <c r="F45" s="1" t="s">
        <v>197</v>
      </c>
      <c r="G45" s="1">
        <v>5000</v>
      </c>
      <c r="H45" s="1">
        <v>1</v>
      </c>
      <c r="I45" s="1">
        <f>MIN($B45)</f>
        <v>0</v>
      </c>
      <c r="J45" s="1">
        <f>MIN($C45)</f>
        <v>0</v>
      </c>
      <c r="K45" s="1">
        <f>MIN($D45)</f>
        <v>0</v>
      </c>
      <c r="L45" s="1">
        <f>MIN($E45)</f>
        <v>0</v>
      </c>
      <c r="M45" s="1">
        <f>MIN($G45)</f>
        <v>0</v>
      </c>
      <c r="N45" s="1">
        <f>MIN($H45)</f>
        <v>0</v>
      </c>
      <c r="O45" s="1">
        <f>MEDIAN($B45)</f>
        <v>0</v>
      </c>
      <c r="P45" s="1">
        <f>MEDIAN($C45)</f>
        <v>0</v>
      </c>
      <c r="Q45" s="1">
        <f>MEDIAN($D45)</f>
        <v>0</v>
      </c>
      <c r="R45" s="1">
        <f>MEDIAN($E45)</f>
        <v>0</v>
      </c>
      <c r="S45" s="1">
        <f>MEDIAN($G45)</f>
        <v>0</v>
      </c>
      <c r="T45" s="1">
        <f>MEDIAN($H45)</f>
        <v>0</v>
      </c>
      <c r="U45" s="1">
        <f>MAX($B45)</f>
        <v>0</v>
      </c>
      <c r="V45" s="1">
        <f>MAX($C45)</f>
        <v>0</v>
      </c>
      <c r="W45" s="1">
        <f>MAX($D45)</f>
        <v>0</v>
      </c>
      <c r="X45" s="1">
        <f>MAX($E45)</f>
        <v>0</v>
      </c>
      <c r="Y45" s="1">
        <f>MAX($G45)</f>
        <v>0</v>
      </c>
      <c r="Z45" s="1">
        <f>MAX($H45)</f>
        <v>0</v>
      </c>
    </row>
    <row r="46" spans="1:26">
      <c r="A46" s="1" t="s">
        <v>43</v>
      </c>
      <c r="B46" s="1">
        <v>1</v>
      </c>
      <c r="C46" s="1">
        <v>0</v>
      </c>
      <c r="D46" s="1">
        <v>0</v>
      </c>
      <c r="E46" s="1">
        <v>10000</v>
      </c>
      <c r="F46" s="1" t="s">
        <v>197</v>
      </c>
      <c r="G46" s="1">
        <v>5000</v>
      </c>
      <c r="H46" s="1">
        <v>1</v>
      </c>
      <c r="I46" s="1">
        <f>MIN($B46)</f>
        <v>0</v>
      </c>
      <c r="J46" s="1">
        <f>MIN($C46)</f>
        <v>0</v>
      </c>
      <c r="K46" s="1">
        <f>MIN($D46)</f>
        <v>0</v>
      </c>
      <c r="L46" s="1">
        <f>MIN($E46)</f>
        <v>0</v>
      </c>
      <c r="M46" s="1">
        <f>MIN($G46)</f>
        <v>0</v>
      </c>
      <c r="N46" s="1">
        <f>MIN($H46)</f>
        <v>0</v>
      </c>
      <c r="O46" s="1">
        <f>MEDIAN($B46)</f>
        <v>0</v>
      </c>
      <c r="P46" s="1">
        <f>MEDIAN($C46)</f>
        <v>0</v>
      </c>
      <c r="Q46" s="1">
        <f>MEDIAN($D46)</f>
        <v>0</v>
      </c>
      <c r="R46" s="1">
        <f>MEDIAN($E46)</f>
        <v>0</v>
      </c>
      <c r="S46" s="1">
        <f>MEDIAN($G46)</f>
        <v>0</v>
      </c>
      <c r="T46" s="1">
        <f>MEDIAN($H46)</f>
        <v>0</v>
      </c>
      <c r="U46" s="1">
        <f>MAX($B46)</f>
        <v>0</v>
      </c>
      <c r="V46" s="1">
        <f>MAX($C46)</f>
        <v>0</v>
      </c>
      <c r="W46" s="1">
        <f>MAX($D46)</f>
        <v>0</v>
      </c>
      <c r="X46" s="1">
        <f>MAX($E46)</f>
        <v>0</v>
      </c>
      <c r="Y46" s="1">
        <f>MAX($G46)</f>
        <v>0</v>
      </c>
      <c r="Z46" s="1">
        <f>MAX($H46)</f>
        <v>0</v>
      </c>
    </row>
    <row r="47" spans="1:26">
      <c r="A47" s="1" t="s">
        <v>44</v>
      </c>
      <c r="B47" s="1">
        <v>1</v>
      </c>
      <c r="C47" s="1">
        <v>0</v>
      </c>
      <c r="D47" s="1">
        <v>0</v>
      </c>
      <c r="E47" s="1">
        <v>10000</v>
      </c>
      <c r="F47" s="1" t="s">
        <v>197</v>
      </c>
      <c r="G47" s="1">
        <v>5000</v>
      </c>
      <c r="H47" s="1">
        <v>1</v>
      </c>
      <c r="I47" s="1">
        <f>MIN($B47)</f>
        <v>0</v>
      </c>
      <c r="J47" s="1">
        <f>MIN($C47)</f>
        <v>0</v>
      </c>
      <c r="K47" s="1">
        <f>MIN($D47)</f>
        <v>0</v>
      </c>
      <c r="L47" s="1">
        <f>MIN($E47)</f>
        <v>0</v>
      </c>
      <c r="M47" s="1">
        <f>MIN($G47)</f>
        <v>0</v>
      </c>
      <c r="N47" s="1">
        <f>MIN($H47)</f>
        <v>0</v>
      </c>
      <c r="O47" s="1">
        <f>MEDIAN($B47)</f>
        <v>0</v>
      </c>
      <c r="P47" s="1">
        <f>MEDIAN($C47)</f>
        <v>0</v>
      </c>
      <c r="Q47" s="1">
        <f>MEDIAN($D47)</f>
        <v>0</v>
      </c>
      <c r="R47" s="1">
        <f>MEDIAN($E47)</f>
        <v>0</v>
      </c>
      <c r="S47" s="1">
        <f>MEDIAN($G47)</f>
        <v>0</v>
      </c>
      <c r="T47" s="1">
        <f>MEDIAN($H47)</f>
        <v>0</v>
      </c>
      <c r="U47" s="1">
        <f>MAX($B47)</f>
        <v>0</v>
      </c>
      <c r="V47" s="1">
        <f>MAX($C47)</f>
        <v>0</v>
      </c>
      <c r="W47" s="1">
        <f>MAX($D47)</f>
        <v>0</v>
      </c>
      <c r="X47" s="1">
        <f>MAX($E47)</f>
        <v>0</v>
      </c>
      <c r="Y47" s="1">
        <f>MAX($G47)</f>
        <v>0</v>
      </c>
      <c r="Z47" s="1">
        <f>MAX($H47)</f>
        <v>0</v>
      </c>
    </row>
    <row r="48" spans="1:26">
      <c r="A48" s="1" t="s">
        <v>45</v>
      </c>
      <c r="B48" s="1">
        <v>1</v>
      </c>
      <c r="C48" s="1">
        <v>0</v>
      </c>
      <c r="D48" s="1">
        <v>0</v>
      </c>
      <c r="E48" s="1">
        <v>10000</v>
      </c>
      <c r="F48" s="1" t="s">
        <v>197</v>
      </c>
      <c r="G48" s="1">
        <v>5000</v>
      </c>
      <c r="H48" s="1">
        <v>1</v>
      </c>
      <c r="I48" s="1">
        <f>MIN($B48)</f>
        <v>0</v>
      </c>
      <c r="J48" s="1">
        <f>MIN($C48)</f>
        <v>0</v>
      </c>
      <c r="K48" s="1">
        <f>MIN($D48)</f>
        <v>0</v>
      </c>
      <c r="L48" s="1">
        <f>MIN($E48)</f>
        <v>0</v>
      </c>
      <c r="M48" s="1">
        <f>MIN($G48)</f>
        <v>0</v>
      </c>
      <c r="N48" s="1">
        <f>MIN($H48)</f>
        <v>0</v>
      </c>
      <c r="O48" s="1">
        <f>MEDIAN($B48)</f>
        <v>0</v>
      </c>
      <c r="P48" s="1">
        <f>MEDIAN($C48)</f>
        <v>0</v>
      </c>
      <c r="Q48" s="1">
        <f>MEDIAN($D48)</f>
        <v>0</v>
      </c>
      <c r="R48" s="1">
        <f>MEDIAN($E48)</f>
        <v>0</v>
      </c>
      <c r="S48" s="1">
        <f>MEDIAN($G48)</f>
        <v>0</v>
      </c>
      <c r="T48" s="1">
        <f>MEDIAN($H48)</f>
        <v>0</v>
      </c>
      <c r="U48" s="1">
        <f>MAX($B48)</f>
        <v>0</v>
      </c>
      <c r="V48" s="1">
        <f>MAX($C48)</f>
        <v>0</v>
      </c>
      <c r="W48" s="1">
        <f>MAX($D48)</f>
        <v>0</v>
      </c>
      <c r="X48" s="1">
        <f>MAX($E48)</f>
        <v>0</v>
      </c>
      <c r="Y48" s="1">
        <f>MAX($G48)</f>
        <v>0</v>
      </c>
      <c r="Z48" s="1">
        <f>MAX($H48)</f>
        <v>0</v>
      </c>
    </row>
    <row r="49" spans="1:26">
      <c r="A49" s="1" t="s">
        <v>46</v>
      </c>
      <c r="B49" s="1">
        <v>1</v>
      </c>
      <c r="C49" s="1">
        <v>0</v>
      </c>
      <c r="D49" s="1">
        <v>0</v>
      </c>
      <c r="E49" s="1">
        <v>10000</v>
      </c>
      <c r="F49" s="1" t="s">
        <v>197</v>
      </c>
      <c r="G49" s="1">
        <v>5000</v>
      </c>
      <c r="H49" s="1">
        <v>1</v>
      </c>
      <c r="I49" s="1">
        <f>MIN($B49)</f>
        <v>0</v>
      </c>
      <c r="J49" s="1">
        <f>MIN($C49)</f>
        <v>0</v>
      </c>
      <c r="K49" s="1">
        <f>MIN($D49)</f>
        <v>0</v>
      </c>
      <c r="L49" s="1">
        <f>MIN($E49)</f>
        <v>0</v>
      </c>
      <c r="M49" s="1">
        <f>MIN($G49)</f>
        <v>0</v>
      </c>
      <c r="N49" s="1">
        <f>MIN($H49)</f>
        <v>0</v>
      </c>
      <c r="O49" s="1">
        <f>MEDIAN($B49)</f>
        <v>0</v>
      </c>
      <c r="P49" s="1">
        <f>MEDIAN($C49)</f>
        <v>0</v>
      </c>
      <c r="Q49" s="1">
        <f>MEDIAN($D49)</f>
        <v>0</v>
      </c>
      <c r="R49" s="1">
        <f>MEDIAN($E49)</f>
        <v>0</v>
      </c>
      <c r="S49" s="1">
        <f>MEDIAN($G49)</f>
        <v>0</v>
      </c>
      <c r="T49" s="1">
        <f>MEDIAN($H49)</f>
        <v>0</v>
      </c>
      <c r="U49" s="1">
        <f>MAX($B49)</f>
        <v>0</v>
      </c>
      <c r="V49" s="1">
        <f>MAX($C49)</f>
        <v>0</v>
      </c>
      <c r="W49" s="1">
        <f>MAX($D49)</f>
        <v>0</v>
      </c>
      <c r="X49" s="1">
        <f>MAX($E49)</f>
        <v>0</v>
      </c>
      <c r="Y49" s="1">
        <f>MAX($G49)</f>
        <v>0</v>
      </c>
      <c r="Z49" s="1">
        <f>MAX($H49)</f>
        <v>0</v>
      </c>
    </row>
    <row r="50" spans="1:26">
      <c r="A50" s="1" t="s">
        <v>47</v>
      </c>
      <c r="B50" s="1">
        <v>1</v>
      </c>
      <c r="C50" s="1">
        <v>0</v>
      </c>
      <c r="D50" s="1">
        <v>0</v>
      </c>
      <c r="E50" s="1">
        <v>10000</v>
      </c>
      <c r="F50" s="1" t="s">
        <v>197</v>
      </c>
      <c r="G50" s="1">
        <v>5000</v>
      </c>
      <c r="H50" s="1">
        <v>1</v>
      </c>
      <c r="I50" s="1">
        <f>MIN($B50)</f>
        <v>0</v>
      </c>
      <c r="J50" s="1">
        <f>MIN($C50)</f>
        <v>0</v>
      </c>
      <c r="K50" s="1">
        <f>MIN($D50)</f>
        <v>0</v>
      </c>
      <c r="L50" s="1">
        <f>MIN($E50)</f>
        <v>0</v>
      </c>
      <c r="M50" s="1">
        <f>MIN($G50)</f>
        <v>0</v>
      </c>
      <c r="N50" s="1">
        <f>MIN($H50)</f>
        <v>0</v>
      </c>
      <c r="O50" s="1">
        <f>MEDIAN($B50)</f>
        <v>0</v>
      </c>
      <c r="P50" s="1">
        <f>MEDIAN($C50)</f>
        <v>0</v>
      </c>
      <c r="Q50" s="1">
        <f>MEDIAN($D50)</f>
        <v>0</v>
      </c>
      <c r="R50" s="1">
        <f>MEDIAN($E50)</f>
        <v>0</v>
      </c>
      <c r="S50" s="1">
        <f>MEDIAN($G50)</f>
        <v>0</v>
      </c>
      <c r="T50" s="1">
        <f>MEDIAN($H50)</f>
        <v>0</v>
      </c>
      <c r="U50" s="1">
        <f>MAX($B50)</f>
        <v>0</v>
      </c>
      <c r="V50" s="1">
        <f>MAX($C50)</f>
        <v>0</v>
      </c>
      <c r="W50" s="1">
        <f>MAX($D50)</f>
        <v>0</v>
      </c>
      <c r="X50" s="1">
        <f>MAX($E50)</f>
        <v>0</v>
      </c>
      <c r="Y50" s="1">
        <f>MAX($G50)</f>
        <v>0</v>
      </c>
      <c r="Z50" s="1">
        <f>MAX($H50)</f>
        <v>0</v>
      </c>
    </row>
    <row r="51" spans="1:26">
      <c r="A51" s="1" t="s">
        <v>48</v>
      </c>
      <c r="B51" s="1">
        <v>1</v>
      </c>
      <c r="C51" s="1">
        <v>0</v>
      </c>
      <c r="D51" s="1">
        <v>0</v>
      </c>
      <c r="E51" s="1">
        <v>10000</v>
      </c>
      <c r="F51" s="1" t="s">
        <v>197</v>
      </c>
      <c r="G51" s="1">
        <v>5000</v>
      </c>
      <c r="H51" s="1">
        <v>1</v>
      </c>
      <c r="I51" s="1">
        <f>MIN($B51)</f>
        <v>0</v>
      </c>
      <c r="J51" s="1">
        <f>MIN($C51)</f>
        <v>0</v>
      </c>
      <c r="K51" s="1">
        <f>MIN($D51)</f>
        <v>0</v>
      </c>
      <c r="L51" s="1">
        <f>MIN($E51)</f>
        <v>0</v>
      </c>
      <c r="M51" s="1">
        <f>MIN($G51)</f>
        <v>0</v>
      </c>
      <c r="N51" s="1">
        <f>MIN($H51)</f>
        <v>0</v>
      </c>
      <c r="O51" s="1">
        <f>MEDIAN($B51)</f>
        <v>0</v>
      </c>
      <c r="P51" s="1">
        <f>MEDIAN($C51)</f>
        <v>0</v>
      </c>
      <c r="Q51" s="1">
        <f>MEDIAN($D51)</f>
        <v>0</v>
      </c>
      <c r="R51" s="1">
        <f>MEDIAN($E51)</f>
        <v>0</v>
      </c>
      <c r="S51" s="1">
        <f>MEDIAN($G51)</f>
        <v>0</v>
      </c>
      <c r="T51" s="1">
        <f>MEDIAN($H51)</f>
        <v>0</v>
      </c>
      <c r="U51" s="1">
        <f>MAX($B51)</f>
        <v>0</v>
      </c>
      <c r="V51" s="1">
        <f>MAX($C51)</f>
        <v>0</v>
      </c>
      <c r="W51" s="1">
        <f>MAX($D51)</f>
        <v>0</v>
      </c>
      <c r="X51" s="1">
        <f>MAX($E51)</f>
        <v>0</v>
      </c>
      <c r="Y51" s="1">
        <f>MAX($G51)</f>
        <v>0</v>
      </c>
      <c r="Z51" s="1">
        <f>MAX($H51)</f>
        <v>0</v>
      </c>
    </row>
    <row r="52" spans="1:26">
      <c r="A52" s="1" t="s">
        <v>49</v>
      </c>
      <c r="B52" s="1">
        <v>1</v>
      </c>
      <c r="C52" s="1">
        <v>0</v>
      </c>
      <c r="D52" s="1">
        <v>0</v>
      </c>
      <c r="E52" s="1">
        <v>10000</v>
      </c>
      <c r="F52" s="1" t="s">
        <v>197</v>
      </c>
      <c r="G52" s="1">
        <v>5000</v>
      </c>
      <c r="H52" s="1">
        <v>1</v>
      </c>
      <c r="I52" s="1">
        <f>MIN($B52)</f>
        <v>0</v>
      </c>
      <c r="J52" s="1">
        <f>MIN($C52)</f>
        <v>0</v>
      </c>
      <c r="K52" s="1">
        <f>MIN($D52)</f>
        <v>0</v>
      </c>
      <c r="L52" s="1">
        <f>MIN($E52)</f>
        <v>0</v>
      </c>
      <c r="M52" s="1">
        <f>MIN($G52)</f>
        <v>0</v>
      </c>
      <c r="N52" s="1">
        <f>MIN($H52)</f>
        <v>0</v>
      </c>
      <c r="O52" s="1">
        <f>MEDIAN($B52)</f>
        <v>0</v>
      </c>
      <c r="P52" s="1">
        <f>MEDIAN($C52)</f>
        <v>0</v>
      </c>
      <c r="Q52" s="1">
        <f>MEDIAN($D52)</f>
        <v>0</v>
      </c>
      <c r="R52" s="1">
        <f>MEDIAN($E52)</f>
        <v>0</v>
      </c>
      <c r="S52" s="1">
        <f>MEDIAN($G52)</f>
        <v>0</v>
      </c>
      <c r="T52" s="1">
        <f>MEDIAN($H52)</f>
        <v>0</v>
      </c>
      <c r="U52" s="1">
        <f>MAX($B52)</f>
        <v>0</v>
      </c>
      <c r="V52" s="1">
        <f>MAX($C52)</f>
        <v>0</v>
      </c>
      <c r="W52" s="1">
        <f>MAX($D52)</f>
        <v>0</v>
      </c>
      <c r="X52" s="1">
        <f>MAX($E52)</f>
        <v>0</v>
      </c>
      <c r="Y52" s="1">
        <f>MAX($G52)</f>
        <v>0</v>
      </c>
      <c r="Z52" s="1">
        <f>MAX($H52)</f>
        <v>0</v>
      </c>
    </row>
    <row r="53" spans="1:26">
      <c r="A53" s="1" t="s">
        <v>50</v>
      </c>
      <c r="B53" s="1">
        <v>1</v>
      </c>
      <c r="C53" s="1">
        <v>0</v>
      </c>
      <c r="D53" s="1">
        <v>0</v>
      </c>
      <c r="E53" s="1">
        <v>10000</v>
      </c>
      <c r="F53" s="1" t="s">
        <v>197</v>
      </c>
      <c r="G53" s="1">
        <v>5000</v>
      </c>
      <c r="H53" s="1">
        <v>1</v>
      </c>
      <c r="I53" s="1">
        <f>MIN($B53)</f>
        <v>0</v>
      </c>
      <c r="J53" s="1">
        <f>MIN($C53)</f>
        <v>0</v>
      </c>
      <c r="K53" s="1">
        <f>MIN($D53)</f>
        <v>0</v>
      </c>
      <c r="L53" s="1">
        <f>MIN($E53)</f>
        <v>0</v>
      </c>
      <c r="M53" s="1">
        <f>MIN($G53)</f>
        <v>0</v>
      </c>
      <c r="N53" s="1">
        <f>MIN($H53)</f>
        <v>0</v>
      </c>
      <c r="O53" s="1">
        <f>MEDIAN($B53)</f>
        <v>0</v>
      </c>
      <c r="P53" s="1">
        <f>MEDIAN($C53)</f>
        <v>0</v>
      </c>
      <c r="Q53" s="1">
        <f>MEDIAN($D53)</f>
        <v>0</v>
      </c>
      <c r="R53" s="1">
        <f>MEDIAN($E53)</f>
        <v>0</v>
      </c>
      <c r="S53" s="1">
        <f>MEDIAN($G53)</f>
        <v>0</v>
      </c>
      <c r="T53" s="1">
        <f>MEDIAN($H53)</f>
        <v>0</v>
      </c>
      <c r="U53" s="1">
        <f>MAX($B53)</f>
        <v>0</v>
      </c>
      <c r="V53" s="1">
        <f>MAX($C53)</f>
        <v>0</v>
      </c>
      <c r="W53" s="1">
        <f>MAX($D53)</f>
        <v>0</v>
      </c>
      <c r="X53" s="1">
        <f>MAX($E53)</f>
        <v>0</v>
      </c>
      <c r="Y53" s="1">
        <f>MAX($G53)</f>
        <v>0</v>
      </c>
      <c r="Z53" s="1">
        <f>MAX($H53)</f>
        <v>0</v>
      </c>
    </row>
    <row r="54" spans="1:26">
      <c r="A54" s="1" t="s">
        <v>51</v>
      </c>
      <c r="B54" s="1">
        <v>1</v>
      </c>
      <c r="C54" s="1">
        <v>0</v>
      </c>
      <c r="D54" s="1">
        <v>0</v>
      </c>
      <c r="E54" s="1">
        <v>10000</v>
      </c>
      <c r="F54" s="1" t="s">
        <v>197</v>
      </c>
      <c r="G54" s="1">
        <v>5000</v>
      </c>
      <c r="H54" s="1">
        <v>1</v>
      </c>
      <c r="I54" s="1">
        <f>MIN($B54)</f>
        <v>0</v>
      </c>
      <c r="J54" s="1">
        <f>MIN($C54)</f>
        <v>0</v>
      </c>
      <c r="K54" s="1">
        <f>MIN($D54)</f>
        <v>0</v>
      </c>
      <c r="L54" s="1">
        <f>MIN($E54)</f>
        <v>0</v>
      </c>
      <c r="M54" s="1">
        <f>MIN($G54)</f>
        <v>0</v>
      </c>
      <c r="N54" s="1">
        <f>MIN($H54)</f>
        <v>0</v>
      </c>
      <c r="O54" s="1">
        <f>MEDIAN($B54)</f>
        <v>0</v>
      </c>
      <c r="P54" s="1">
        <f>MEDIAN($C54)</f>
        <v>0</v>
      </c>
      <c r="Q54" s="1">
        <f>MEDIAN($D54)</f>
        <v>0</v>
      </c>
      <c r="R54" s="1">
        <f>MEDIAN($E54)</f>
        <v>0</v>
      </c>
      <c r="S54" s="1">
        <f>MEDIAN($G54)</f>
        <v>0</v>
      </c>
      <c r="T54" s="1">
        <f>MEDIAN($H54)</f>
        <v>0</v>
      </c>
      <c r="U54" s="1">
        <f>MAX($B54)</f>
        <v>0</v>
      </c>
      <c r="V54" s="1">
        <f>MAX($C54)</f>
        <v>0</v>
      </c>
      <c r="W54" s="1">
        <f>MAX($D54)</f>
        <v>0</v>
      </c>
      <c r="X54" s="1">
        <f>MAX($E54)</f>
        <v>0</v>
      </c>
      <c r="Y54" s="1">
        <f>MAX($G54)</f>
        <v>0</v>
      </c>
      <c r="Z54" s="1">
        <f>MAX($H54)</f>
        <v>0</v>
      </c>
    </row>
    <row r="55" spans="1:26">
      <c r="A55" s="1" t="s">
        <v>52</v>
      </c>
      <c r="B55" s="1">
        <v>1</v>
      </c>
      <c r="C55" s="1">
        <v>0</v>
      </c>
      <c r="D55" s="1">
        <v>0</v>
      </c>
      <c r="E55" s="1">
        <v>10000</v>
      </c>
      <c r="F55" s="1" t="s">
        <v>197</v>
      </c>
      <c r="G55" s="1">
        <v>5000</v>
      </c>
      <c r="H55" s="1">
        <v>1</v>
      </c>
      <c r="I55" s="1">
        <f>MIN($B55)</f>
        <v>0</v>
      </c>
      <c r="J55" s="1">
        <f>MIN($C55)</f>
        <v>0</v>
      </c>
      <c r="K55" s="1">
        <f>MIN($D55)</f>
        <v>0</v>
      </c>
      <c r="L55" s="1">
        <f>MIN($E55)</f>
        <v>0</v>
      </c>
      <c r="M55" s="1">
        <f>MIN($G55)</f>
        <v>0</v>
      </c>
      <c r="N55" s="1">
        <f>MIN($H55)</f>
        <v>0</v>
      </c>
      <c r="O55" s="1">
        <f>MEDIAN($B55)</f>
        <v>0</v>
      </c>
      <c r="P55" s="1">
        <f>MEDIAN($C55)</f>
        <v>0</v>
      </c>
      <c r="Q55" s="1">
        <f>MEDIAN($D55)</f>
        <v>0</v>
      </c>
      <c r="R55" s="1">
        <f>MEDIAN($E55)</f>
        <v>0</v>
      </c>
      <c r="S55" s="1">
        <f>MEDIAN($G55)</f>
        <v>0</v>
      </c>
      <c r="T55" s="1">
        <f>MEDIAN($H55)</f>
        <v>0</v>
      </c>
      <c r="U55" s="1">
        <f>MAX($B55)</f>
        <v>0</v>
      </c>
      <c r="V55" s="1">
        <f>MAX($C55)</f>
        <v>0</v>
      </c>
      <c r="W55" s="1">
        <f>MAX($D55)</f>
        <v>0</v>
      </c>
      <c r="X55" s="1">
        <f>MAX($E55)</f>
        <v>0</v>
      </c>
      <c r="Y55" s="1">
        <f>MAX($G55)</f>
        <v>0</v>
      </c>
      <c r="Z55" s="1">
        <f>MAX($H55)</f>
        <v>0</v>
      </c>
    </row>
    <row r="56" spans="1:26">
      <c r="A56" s="1" t="s">
        <v>53</v>
      </c>
      <c r="B56" s="1">
        <v>1</v>
      </c>
      <c r="C56" s="1">
        <v>0</v>
      </c>
      <c r="D56" s="1">
        <v>0</v>
      </c>
      <c r="E56" s="1">
        <v>10000</v>
      </c>
      <c r="F56" s="1" t="s">
        <v>197</v>
      </c>
      <c r="G56" s="1">
        <v>5000</v>
      </c>
      <c r="H56" s="1">
        <v>1</v>
      </c>
      <c r="I56" s="1">
        <f>MIN($B56)</f>
        <v>0</v>
      </c>
      <c r="J56" s="1">
        <f>MIN($C56)</f>
        <v>0</v>
      </c>
      <c r="K56" s="1">
        <f>MIN($D56)</f>
        <v>0</v>
      </c>
      <c r="L56" s="1">
        <f>MIN($E56)</f>
        <v>0</v>
      </c>
      <c r="M56" s="1">
        <f>MIN($G56)</f>
        <v>0</v>
      </c>
      <c r="N56" s="1">
        <f>MIN($H56)</f>
        <v>0</v>
      </c>
      <c r="O56" s="1">
        <f>MEDIAN($B56)</f>
        <v>0</v>
      </c>
      <c r="P56" s="1">
        <f>MEDIAN($C56)</f>
        <v>0</v>
      </c>
      <c r="Q56" s="1">
        <f>MEDIAN($D56)</f>
        <v>0</v>
      </c>
      <c r="R56" s="1">
        <f>MEDIAN($E56)</f>
        <v>0</v>
      </c>
      <c r="S56" s="1">
        <f>MEDIAN($G56)</f>
        <v>0</v>
      </c>
      <c r="T56" s="1">
        <f>MEDIAN($H56)</f>
        <v>0</v>
      </c>
      <c r="U56" s="1">
        <f>MAX($B56)</f>
        <v>0</v>
      </c>
      <c r="V56" s="1">
        <f>MAX($C56)</f>
        <v>0</v>
      </c>
      <c r="W56" s="1">
        <f>MAX($D56)</f>
        <v>0</v>
      </c>
      <c r="X56" s="1">
        <f>MAX($E56)</f>
        <v>0</v>
      </c>
      <c r="Y56" s="1">
        <f>MAX($G56)</f>
        <v>0</v>
      </c>
      <c r="Z56" s="1">
        <f>MAX($H56)</f>
        <v>0</v>
      </c>
    </row>
    <row r="57" spans="1:26">
      <c r="A57" s="1" t="s">
        <v>54</v>
      </c>
      <c r="B57" s="1">
        <v>1</v>
      </c>
      <c r="C57" s="1">
        <v>0</v>
      </c>
      <c r="D57" s="1">
        <v>0</v>
      </c>
      <c r="E57" s="1">
        <v>10000</v>
      </c>
      <c r="F57" s="1" t="s">
        <v>197</v>
      </c>
      <c r="G57" s="1">
        <v>5000</v>
      </c>
      <c r="H57" s="1">
        <v>1</v>
      </c>
      <c r="I57" s="1">
        <f>MIN($B57)</f>
        <v>0</v>
      </c>
      <c r="J57" s="1">
        <f>MIN($C57)</f>
        <v>0</v>
      </c>
      <c r="K57" s="1">
        <f>MIN($D57)</f>
        <v>0</v>
      </c>
      <c r="L57" s="1">
        <f>MIN($E57)</f>
        <v>0</v>
      </c>
      <c r="M57" s="1">
        <f>MIN($G57)</f>
        <v>0</v>
      </c>
      <c r="N57" s="1">
        <f>MIN($H57)</f>
        <v>0</v>
      </c>
      <c r="O57" s="1">
        <f>MEDIAN($B57)</f>
        <v>0</v>
      </c>
      <c r="P57" s="1">
        <f>MEDIAN($C57)</f>
        <v>0</v>
      </c>
      <c r="Q57" s="1">
        <f>MEDIAN($D57)</f>
        <v>0</v>
      </c>
      <c r="R57" s="1">
        <f>MEDIAN($E57)</f>
        <v>0</v>
      </c>
      <c r="S57" s="1">
        <f>MEDIAN($G57)</f>
        <v>0</v>
      </c>
      <c r="T57" s="1">
        <f>MEDIAN($H57)</f>
        <v>0</v>
      </c>
      <c r="U57" s="1">
        <f>MAX($B57)</f>
        <v>0</v>
      </c>
      <c r="V57" s="1">
        <f>MAX($C57)</f>
        <v>0</v>
      </c>
      <c r="W57" s="1">
        <f>MAX($D57)</f>
        <v>0</v>
      </c>
      <c r="X57" s="1">
        <f>MAX($E57)</f>
        <v>0</v>
      </c>
      <c r="Y57" s="1">
        <f>MAX($G57)</f>
        <v>0</v>
      </c>
      <c r="Z57" s="1">
        <f>MAX($H57)</f>
        <v>0</v>
      </c>
    </row>
    <row r="58" spans="1:26">
      <c r="A58" s="1" t="s">
        <v>55</v>
      </c>
      <c r="B58" s="1">
        <v>1</v>
      </c>
      <c r="C58" s="1">
        <v>0</v>
      </c>
      <c r="D58" s="1">
        <v>0</v>
      </c>
      <c r="E58" s="1">
        <v>10000</v>
      </c>
      <c r="F58" s="1" t="s">
        <v>197</v>
      </c>
      <c r="G58" s="1">
        <v>5000</v>
      </c>
      <c r="H58" s="1">
        <v>1</v>
      </c>
      <c r="I58" s="1">
        <f>MIN($B58)</f>
        <v>0</v>
      </c>
      <c r="J58" s="1">
        <f>MIN($C58)</f>
        <v>0</v>
      </c>
      <c r="K58" s="1">
        <f>MIN($D58)</f>
        <v>0</v>
      </c>
      <c r="L58" s="1">
        <f>MIN($E58)</f>
        <v>0</v>
      </c>
      <c r="M58" s="1">
        <f>MIN($G58)</f>
        <v>0</v>
      </c>
      <c r="N58" s="1">
        <f>MIN($H58)</f>
        <v>0</v>
      </c>
      <c r="O58" s="1">
        <f>MEDIAN($B58)</f>
        <v>0</v>
      </c>
      <c r="P58" s="1">
        <f>MEDIAN($C58)</f>
        <v>0</v>
      </c>
      <c r="Q58" s="1">
        <f>MEDIAN($D58)</f>
        <v>0</v>
      </c>
      <c r="R58" s="1">
        <f>MEDIAN($E58)</f>
        <v>0</v>
      </c>
      <c r="S58" s="1">
        <f>MEDIAN($G58)</f>
        <v>0</v>
      </c>
      <c r="T58" s="1">
        <f>MEDIAN($H58)</f>
        <v>0</v>
      </c>
      <c r="U58" s="1">
        <f>MAX($B58)</f>
        <v>0</v>
      </c>
      <c r="V58" s="1">
        <f>MAX($C58)</f>
        <v>0</v>
      </c>
      <c r="W58" s="1">
        <f>MAX($D58)</f>
        <v>0</v>
      </c>
      <c r="X58" s="1">
        <f>MAX($E58)</f>
        <v>0</v>
      </c>
      <c r="Y58" s="1">
        <f>MAX($G58)</f>
        <v>0</v>
      </c>
      <c r="Z58" s="1">
        <f>MAX($H58)</f>
        <v>0</v>
      </c>
    </row>
    <row r="59" spans="1:26">
      <c r="A59" s="1" t="s">
        <v>56</v>
      </c>
      <c r="B59" s="1">
        <v>1</v>
      </c>
      <c r="C59" s="1">
        <v>0</v>
      </c>
      <c r="D59" s="1">
        <v>0</v>
      </c>
      <c r="E59" s="1">
        <v>10000</v>
      </c>
      <c r="F59" s="1" t="s">
        <v>197</v>
      </c>
      <c r="G59" s="1">
        <v>5000</v>
      </c>
      <c r="H59" s="1">
        <v>1</v>
      </c>
      <c r="I59" s="1">
        <f>MIN($B59)</f>
        <v>0</v>
      </c>
      <c r="J59" s="1">
        <f>MIN($C59)</f>
        <v>0</v>
      </c>
      <c r="K59" s="1">
        <f>MIN($D59)</f>
        <v>0</v>
      </c>
      <c r="L59" s="1">
        <f>MIN($E59)</f>
        <v>0</v>
      </c>
      <c r="M59" s="1">
        <f>MIN($G59)</f>
        <v>0</v>
      </c>
      <c r="N59" s="1">
        <f>MIN($H59)</f>
        <v>0</v>
      </c>
      <c r="O59" s="1">
        <f>MEDIAN($B59)</f>
        <v>0</v>
      </c>
      <c r="P59" s="1">
        <f>MEDIAN($C59)</f>
        <v>0</v>
      </c>
      <c r="Q59" s="1">
        <f>MEDIAN($D59)</f>
        <v>0</v>
      </c>
      <c r="R59" s="1">
        <f>MEDIAN($E59)</f>
        <v>0</v>
      </c>
      <c r="S59" s="1">
        <f>MEDIAN($G59)</f>
        <v>0</v>
      </c>
      <c r="T59" s="1">
        <f>MEDIAN($H59)</f>
        <v>0</v>
      </c>
      <c r="U59" s="1">
        <f>MAX($B59)</f>
        <v>0</v>
      </c>
      <c r="V59" s="1">
        <f>MAX($C59)</f>
        <v>0</v>
      </c>
      <c r="W59" s="1">
        <f>MAX($D59)</f>
        <v>0</v>
      </c>
      <c r="X59" s="1">
        <f>MAX($E59)</f>
        <v>0</v>
      </c>
      <c r="Y59" s="1">
        <f>MAX($G59)</f>
        <v>0</v>
      </c>
      <c r="Z59" s="1">
        <f>MAX($H59)</f>
        <v>0</v>
      </c>
    </row>
    <row r="60" spans="1:26">
      <c r="A60" s="1" t="s">
        <v>57</v>
      </c>
      <c r="B60" s="1">
        <v>1</v>
      </c>
      <c r="C60" s="1">
        <v>0</v>
      </c>
      <c r="D60" s="1">
        <v>0</v>
      </c>
      <c r="E60" s="1">
        <v>10000</v>
      </c>
      <c r="F60" s="1" t="s">
        <v>197</v>
      </c>
      <c r="G60" s="1">
        <v>5000</v>
      </c>
      <c r="H60" s="1">
        <v>1</v>
      </c>
      <c r="I60" s="1">
        <f>MIN($B60)</f>
        <v>0</v>
      </c>
      <c r="J60" s="1">
        <f>MIN($C60)</f>
        <v>0</v>
      </c>
      <c r="K60" s="1">
        <f>MIN($D60)</f>
        <v>0</v>
      </c>
      <c r="L60" s="1">
        <f>MIN($E60)</f>
        <v>0</v>
      </c>
      <c r="M60" s="1">
        <f>MIN($G60)</f>
        <v>0</v>
      </c>
      <c r="N60" s="1">
        <f>MIN($H60)</f>
        <v>0</v>
      </c>
      <c r="O60" s="1">
        <f>MEDIAN($B60)</f>
        <v>0</v>
      </c>
      <c r="P60" s="1">
        <f>MEDIAN($C60)</f>
        <v>0</v>
      </c>
      <c r="Q60" s="1">
        <f>MEDIAN($D60)</f>
        <v>0</v>
      </c>
      <c r="R60" s="1">
        <f>MEDIAN($E60)</f>
        <v>0</v>
      </c>
      <c r="S60" s="1">
        <f>MEDIAN($G60)</f>
        <v>0</v>
      </c>
      <c r="T60" s="1">
        <f>MEDIAN($H60)</f>
        <v>0</v>
      </c>
      <c r="U60" s="1">
        <f>MAX($B60)</f>
        <v>0</v>
      </c>
      <c r="V60" s="1">
        <f>MAX($C60)</f>
        <v>0</v>
      </c>
      <c r="W60" s="1">
        <f>MAX($D60)</f>
        <v>0</v>
      </c>
      <c r="X60" s="1">
        <f>MAX($E60)</f>
        <v>0</v>
      </c>
      <c r="Y60" s="1">
        <f>MAX($G60)</f>
        <v>0</v>
      </c>
      <c r="Z60" s="1">
        <f>MAX($H60)</f>
        <v>0</v>
      </c>
    </row>
    <row r="61" spans="1:26">
      <c r="A61" s="1" t="s">
        <v>58</v>
      </c>
      <c r="B61" s="1">
        <v>1</v>
      </c>
      <c r="C61" s="1">
        <v>0</v>
      </c>
      <c r="D61" s="1">
        <v>0</v>
      </c>
      <c r="E61" s="1">
        <v>10000</v>
      </c>
      <c r="F61" s="1" t="s">
        <v>197</v>
      </c>
      <c r="G61" s="1">
        <v>5000</v>
      </c>
      <c r="H61" s="1">
        <v>1</v>
      </c>
      <c r="I61" s="1">
        <f>MIN($B61)</f>
        <v>0</v>
      </c>
      <c r="J61" s="1">
        <f>MIN($C61)</f>
        <v>0</v>
      </c>
      <c r="K61" s="1">
        <f>MIN($D61)</f>
        <v>0</v>
      </c>
      <c r="L61" s="1">
        <f>MIN($E61)</f>
        <v>0</v>
      </c>
      <c r="M61" s="1">
        <f>MIN($G61)</f>
        <v>0</v>
      </c>
      <c r="N61" s="1">
        <f>MIN($H61)</f>
        <v>0</v>
      </c>
      <c r="O61" s="1">
        <f>MEDIAN($B61)</f>
        <v>0</v>
      </c>
      <c r="P61" s="1">
        <f>MEDIAN($C61)</f>
        <v>0</v>
      </c>
      <c r="Q61" s="1">
        <f>MEDIAN($D61)</f>
        <v>0</v>
      </c>
      <c r="R61" s="1">
        <f>MEDIAN($E61)</f>
        <v>0</v>
      </c>
      <c r="S61" s="1">
        <f>MEDIAN($G61)</f>
        <v>0</v>
      </c>
      <c r="T61" s="1">
        <f>MEDIAN($H61)</f>
        <v>0</v>
      </c>
      <c r="U61" s="1">
        <f>MAX($B61)</f>
        <v>0</v>
      </c>
      <c r="V61" s="1">
        <f>MAX($C61)</f>
        <v>0</v>
      </c>
      <c r="W61" s="1">
        <f>MAX($D61)</f>
        <v>0</v>
      </c>
      <c r="X61" s="1">
        <f>MAX($E61)</f>
        <v>0</v>
      </c>
      <c r="Y61" s="1">
        <f>MAX($G61)</f>
        <v>0</v>
      </c>
      <c r="Z61" s="1">
        <f>MAX($H61)</f>
        <v>0</v>
      </c>
    </row>
    <row r="62" spans="1:26">
      <c r="A62" s="1" t="s">
        <v>59</v>
      </c>
      <c r="B62" s="1">
        <v>1</v>
      </c>
      <c r="C62" s="1">
        <v>0</v>
      </c>
      <c r="D62" s="1">
        <v>0</v>
      </c>
      <c r="E62" s="1">
        <v>10000</v>
      </c>
      <c r="F62" s="1" t="s">
        <v>197</v>
      </c>
      <c r="G62" s="1">
        <v>5000</v>
      </c>
      <c r="H62" s="1">
        <v>1</v>
      </c>
      <c r="I62" s="1">
        <f>MIN($B62)</f>
        <v>0</v>
      </c>
      <c r="J62" s="1">
        <f>MIN($C62)</f>
        <v>0</v>
      </c>
      <c r="K62" s="1">
        <f>MIN($D62)</f>
        <v>0</v>
      </c>
      <c r="L62" s="1">
        <f>MIN($E62)</f>
        <v>0</v>
      </c>
      <c r="M62" s="1">
        <f>MIN($G62)</f>
        <v>0</v>
      </c>
      <c r="N62" s="1">
        <f>MIN($H62)</f>
        <v>0</v>
      </c>
      <c r="O62" s="1">
        <f>MEDIAN($B62)</f>
        <v>0</v>
      </c>
      <c r="P62" s="1">
        <f>MEDIAN($C62)</f>
        <v>0</v>
      </c>
      <c r="Q62" s="1">
        <f>MEDIAN($D62)</f>
        <v>0</v>
      </c>
      <c r="R62" s="1">
        <f>MEDIAN($E62)</f>
        <v>0</v>
      </c>
      <c r="S62" s="1">
        <f>MEDIAN($G62)</f>
        <v>0</v>
      </c>
      <c r="T62" s="1">
        <f>MEDIAN($H62)</f>
        <v>0</v>
      </c>
      <c r="U62" s="1">
        <f>MAX($B62)</f>
        <v>0</v>
      </c>
      <c r="V62" s="1">
        <f>MAX($C62)</f>
        <v>0</v>
      </c>
      <c r="W62" s="1">
        <f>MAX($D62)</f>
        <v>0</v>
      </c>
      <c r="X62" s="1">
        <f>MAX($E62)</f>
        <v>0</v>
      </c>
      <c r="Y62" s="1">
        <f>MAX($G62)</f>
        <v>0</v>
      </c>
      <c r="Z62" s="1">
        <f>MAX($H62)</f>
        <v>0</v>
      </c>
    </row>
    <row r="63" spans="1:26">
      <c r="A63" s="1" t="s">
        <v>60</v>
      </c>
      <c r="B63" s="1">
        <v>1</v>
      </c>
      <c r="C63" s="1">
        <v>0</v>
      </c>
      <c r="D63" s="1">
        <v>0</v>
      </c>
      <c r="E63" s="1">
        <v>10000</v>
      </c>
      <c r="F63" s="1" t="s">
        <v>197</v>
      </c>
      <c r="G63" s="1">
        <v>5000</v>
      </c>
      <c r="H63" s="1">
        <v>1</v>
      </c>
      <c r="I63" s="1">
        <f>MIN($B63)</f>
        <v>0</v>
      </c>
      <c r="J63" s="1">
        <f>MIN($C63)</f>
        <v>0</v>
      </c>
      <c r="K63" s="1">
        <f>MIN($D63)</f>
        <v>0</v>
      </c>
      <c r="L63" s="1">
        <f>MIN($E63)</f>
        <v>0</v>
      </c>
      <c r="M63" s="1">
        <f>MIN($G63)</f>
        <v>0</v>
      </c>
      <c r="N63" s="1">
        <f>MIN($H63)</f>
        <v>0</v>
      </c>
      <c r="O63" s="1">
        <f>MEDIAN($B63)</f>
        <v>0</v>
      </c>
      <c r="P63" s="1">
        <f>MEDIAN($C63)</f>
        <v>0</v>
      </c>
      <c r="Q63" s="1">
        <f>MEDIAN($D63)</f>
        <v>0</v>
      </c>
      <c r="R63" s="1">
        <f>MEDIAN($E63)</f>
        <v>0</v>
      </c>
      <c r="S63" s="1">
        <f>MEDIAN($G63)</f>
        <v>0</v>
      </c>
      <c r="T63" s="1">
        <f>MEDIAN($H63)</f>
        <v>0</v>
      </c>
      <c r="U63" s="1">
        <f>MAX($B63)</f>
        <v>0</v>
      </c>
      <c r="V63" s="1">
        <f>MAX($C63)</f>
        <v>0</v>
      </c>
      <c r="W63" s="1">
        <f>MAX($D63)</f>
        <v>0</v>
      </c>
      <c r="X63" s="1">
        <f>MAX($E63)</f>
        <v>0</v>
      </c>
      <c r="Y63" s="1">
        <f>MAX($G63)</f>
        <v>0</v>
      </c>
      <c r="Z63" s="1">
        <f>MAX($H63)</f>
        <v>0</v>
      </c>
    </row>
    <row r="64" spans="1:26">
      <c r="A64" s="1" t="s">
        <v>61</v>
      </c>
      <c r="B64" s="1">
        <v>1</v>
      </c>
      <c r="C64" s="1">
        <v>0</v>
      </c>
      <c r="D64" s="1">
        <v>0</v>
      </c>
      <c r="E64" s="1">
        <v>10000</v>
      </c>
      <c r="F64" s="1" t="s">
        <v>197</v>
      </c>
      <c r="G64" s="1">
        <v>5000</v>
      </c>
      <c r="H64" s="1">
        <v>1</v>
      </c>
      <c r="I64" s="1">
        <f>MIN($B64)</f>
        <v>0</v>
      </c>
      <c r="J64" s="1">
        <f>MIN($C64)</f>
        <v>0</v>
      </c>
      <c r="K64" s="1">
        <f>MIN($D64)</f>
        <v>0</v>
      </c>
      <c r="L64" s="1">
        <f>MIN($E64)</f>
        <v>0</v>
      </c>
      <c r="M64" s="1">
        <f>MIN($G64)</f>
        <v>0</v>
      </c>
      <c r="N64" s="1">
        <f>MIN($H64)</f>
        <v>0</v>
      </c>
      <c r="O64" s="1">
        <f>MEDIAN($B64)</f>
        <v>0</v>
      </c>
      <c r="P64" s="1">
        <f>MEDIAN($C64)</f>
        <v>0</v>
      </c>
      <c r="Q64" s="1">
        <f>MEDIAN($D64)</f>
        <v>0</v>
      </c>
      <c r="R64" s="1">
        <f>MEDIAN($E64)</f>
        <v>0</v>
      </c>
      <c r="S64" s="1">
        <f>MEDIAN($G64)</f>
        <v>0</v>
      </c>
      <c r="T64" s="1">
        <f>MEDIAN($H64)</f>
        <v>0</v>
      </c>
      <c r="U64" s="1">
        <f>MAX($B64)</f>
        <v>0</v>
      </c>
      <c r="V64" s="1">
        <f>MAX($C64)</f>
        <v>0</v>
      </c>
      <c r="W64" s="1">
        <f>MAX($D64)</f>
        <v>0</v>
      </c>
      <c r="X64" s="1">
        <f>MAX($E64)</f>
        <v>0</v>
      </c>
      <c r="Y64" s="1">
        <f>MAX($G64)</f>
        <v>0</v>
      </c>
      <c r="Z64" s="1">
        <f>MAX($H64)</f>
        <v>0</v>
      </c>
    </row>
    <row r="65" spans="1:26">
      <c r="A65" s="1" t="s">
        <v>62</v>
      </c>
      <c r="B65" s="1">
        <v>1</v>
      </c>
      <c r="C65" s="1">
        <v>0</v>
      </c>
      <c r="D65" s="1">
        <v>0</v>
      </c>
      <c r="E65" s="1">
        <v>10000</v>
      </c>
      <c r="F65" s="1" t="s">
        <v>197</v>
      </c>
      <c r="G65" s="1">
        <v>5000</v>
      </c>
      <c r="H65" s="1">
        <v>1</v>
      </c>
      <c r="I65" s="1">
        <f>MIN($B65)</f>
        <v>0</v>
      </c>
      <c r="J65" s="1">
        <f>MIN($C65)</f>
        <v>0</v>
      </c>
      <c r="K65" s="1">
        <f>MIN($D65)</f>
        <v>0</v>
      </c>
      <c r="L65" s="1">
        <f>MIN($E65)</f>
        <v>0</v>
      </c>
      <c r="M65" s="1">
        <f>MIN($G65)</f>
        <v>0</v>
      </c>
      <c r="N65" s="1">
        <f>MIN($H65)</f>
        <v>0</v>
      </c>
      <c r="O65" s="1">
        <f>MEDIAN($B65)</f>
        <v>0</v>
      </c>
      <c r="P65" s="1">
        <f>MEDIAN($C65)</f>
        <v>0</v>
      </c>
      <c r="Q65" s="1">
        <f>MEDIAN($D65)</f>
        <v>0</v>
      </c>
      <c r="R65" s="1">
        <f>MEDIAN($E65)</f>
        <v>0</v>
      </c>
      <c r="S65" s="1">
        <f>MEDIAN($G65)</f>
        <v>0</v>
      </c>
      <c r="T65" s="1">
        <f>MEDIAN($H65)</f>
        <v>0</v>
      </c>
      <c r="U65" s="1">
        <f>MAX($B65)</f>
        <v>0</v>
      </c>
      <c r="V65" s="1">
        <f>MAX($C65)</f>
        <v>0</v>
      </c>
      <c r="W65" s="1">
        <f>MAX($D65)</f>
        <v>0</v>
      </c>
      <c r="X65" s="1">
        <f>MAX($E65)</f>
        <v>0</v>
      </c>
      <c r="Y65" s="1">
        <f>MAX($G65)</f>
        <v>0</v>
      </c>
      <c r="Z65" s="1">
        <f>MAX($H65)</f>
        <v>0</v>
      </c>
    </row>
    <row r="66" spans="1:26">
      <c r="A66" s="1" t="s">
        <v>63</v>
      </c>
      <c r="B66" s="1">
        <v>1</v>
      </c>
      <c r="C66" s="1">
        <v>0</v>
      </c>
      <c r="D66" s="1">
        <v>0</v>
      </c>
      <c r="E66" s="1">
        <v>10000</v>
      </c>
      <c r="F66" s="1" t="s">
        <v>197</v>
      </c>
      <c r="G66" s="1">
        <v>5000</v>
      </c>
      <c r="H66" s="1">
        <v>1</v>
      </c>
      <c r="I66" s="1">
        <f>MIN($B66)</f>
        <v>0</v>
      </c>
      <c r="J66" s="1">
        <f>MIN($C66)</f>
        <v>0</v>
      </c>
      <c r="K66" s="1">
        <f>MIN($D66)</f>
        <v>0</v>
      </c>
      <c r="L66" s="1">
        <f>MIN($E66)</f>
        <v>0</v>
      </c>
      <c r="M66" s="1">
        <f>MIN($G66)</f>
        <v>0</v>
      </c>
      <c r="N66" s="1">
        <f>MIN($H66)</f>
        <v>0</v>
      </c>
      <c r="O66" s="1">
        <f>MEDIAN($B66)</f>
        <v>0</v>
      </c>
      <c r="P66" s="1">
        <f>MEDIAN($C66)</f>
        <v>0</v>
      </c>
      <c r="Q66" s="1">
        <f>MEDIAN($D66)</f>
        <v>0</v>
      </c>
      <c r="R66" s="1">
        <f>MEDIAN($E66)</f>
        <v>0</v>
      </c>
      <c r="S66" s="1">
        <f>MEDIAN($G66)</f>
        <v>0</v>
      </c>
      <c r="T66" s="1">
        <f>MEDIAN($H66)</f>
        <v>0</v>
      </c>
      <c r="U66" s="1">
        <f>MAX($B66)</f>
        <v>0</v>
      </c>
      <c r="V66" s="1">
        <f>MAX($C66)</f>
        <v>0</v>
      </c>
      <c r="W66" s="1">
        <f>MAX($D66)</f>
        <v>0</v>
      </c>
      <c r="X66" s="1">
        <f>MAX($E66)</f>
        <v>0</v>
      </c>
      <c r="Y66" s="1">
        <f>MAX($G66)</f>
        <v>0</v>
      </c>
      <c r="Z66" s="1">
        <f>MAX($H66)</f>
        <v>0</v>
      </c>
    </row>
    <row r="67" spans="1:26">
      <c r="A67" s="1" t="s">
        <v>64</v>
      </c>
      <c r="B67" s="1">
        <v>1</v>
      </c>
      <c r="C67" s="1">
        <v>0</v>
      </c>
      <c r="D67" s="1">
        <v>0</v>
      </c>
      <c r="E67" s="1">
        <v>10000</v>
      </c>
      <c r="F67" s="1" t="s">
        <v>197</v>
      </c>
      <c r="G67" s="1">
        <v>5000</v>
      </c>
      <c r="H67" s="1">
        <v>1</v>
      </c>
      <c r="I67" s="1">
        <f>MIN($B67)</f>
        <v>0</v>
      </c>
      <c r="J67" s="1">
        <f>MIN($C67)</f>
        <v>0</v>
      </c>
      <c r="K67" s="1">
        <f>MIN($D67)</f>
        <v>0</v>
      </c>
      <c r="L67" s="1">
        <f>MIN($E67)</f>
        <v>0</v>
      </c>
      <c r="M67" s="1">
        <f>MIN($G67)</f>
        <v>0</v>
      </c>
      <c r="N67" s="1">
        <f>MIN($H67)</f>
        <v>0</v>
      </c>
      <c r="O67" s="1">
        <f>MEDIAN($B67)</f>
        <v>0</v>
      </c>
      <c r="P67" s="1">
        <f>MEDIAN($C67)</f>
        <v>0</v>
      </c>
      <c r="Q67" s="1">
        <f>MEDIAN($D67)</f>
        <v>0</v>
      </c>
      <c r="R67" s="1">
        <f>MEDIAN($E67)</f>
        <v>0</v>
      </c>
      <c r="S67" s="1">
        <f>MEDIAN($G67)</f>
        <v>0</v>
      </c>
      <c r="T67" s="1">
        <f>MEDIAN($H67)</f>
        <v>0</v>
      </c>
      <c r="U67" s="1">
        <f>MAX($B67)</f>
        <v>0</v>
      </c>
      <c r="V67" s="1">
        <f>MAX($C67)</f>
        <v>0</v>
      </c>
      <c r="W67" s="1">
        <f>MAX($D67)</f>
        <v>0</v>
      </c>
      <c r="X67" s="1">
        <f>MAX($E67)</f>
        <v>0</v>
      </c>
      <c r="Y67" s="1">
        <f>MAX($G67)</f>
        <v>0</v>
      </c>
      <c r="Z67" s="1">
        <f>MAX($H67)</f>
        <v>0</v>
      </c>
    </row>
    <row r="68" spans="1:26">
      <c r="A68" s="1" t="s">
        <v>65</v>
      </c>
      <c r="B68" s="1">
        <v>1</v>
      </c>
      <c r="C68" s="1">
        <v>0</v>
      </c>
      <c r="D68" s="1">
        <v>0</v>
      </c>
      <c r="E68" s="1">
        <v>10000</v>
      </c>
      <c r="F68" s="1" t="s">
        <v>197</v>
      </c>
      <c r="G68" s="1">
        <v>5000</v>
      </c>
      <c r="H68" s="1">
        <v>1</v>
      </c>
      <c r="I68" s="1">
        <f>MIN($B68)</f>
        <v>0</v>
      </c>
      <c r="J68" s="1">
        <f>MIN($C68)</f>
        <v>0</v>
      </c>
      <c r="K68" s="1">
        <f>MIN($D68)</f>
        <v>0</v>
      </c>
      <c r="L68" s="1">
        <f>MIN($E68)</f>
        <v>0</v>
      </c>
      <c r="M68" s="1">
        <f>MIN($G68)</f>
        <v>0</v>
      </c>
      <c r="N68" s="1">
        <f>MIN($H68)</f>
        <v>0</v>
      </c>
      <c r="O68" s="1">
        <f>MEDIAN($B68)</f>
        <v>0</v>
      </c>
      <c r="P68" s="1">
        <f>MEDIAN($C68)</f>
        <v>0</v>
      </c>
      <c r="Q68" s="1">
        <f>MEDIAN($D68)</f>
        <v>0</v>
      </c>
      <c r="R68" s="1">
        <f>MEDIAN($E68)</f>
        <v>0</v>
      </c>
      <c r="S68" s="1">
        <f>MEDIAN($G68)</f>
        <v>0</v>
      </c>
      <c r="T68" s="1">
        <f>MEDIAN($H68)</f>
        <v>0</v>
      </c>
      <c r="U68" s="1">
        <f>MAX($B68)</f>
        <v>0</v>
      </c>
      <c r="V68" s="1">
        <f>MAX($C68)</f>
        <v>0</v>
      </c>
      <c r="W68" s="1">
        <f>MAX($D68)</f>
        <v>0</v>
      </c>
      <c r="X68" s="1">
        <f>MAX($E68)</f>
        <v>0</v>
      </c>
      <c r="Y68" s="1">
        <f>MAX($G68)</f>
        <v>0</v>
      </c>
      <c r="Z68" s="1">
        <f>MAX($H68)</f>
        <v>0</v>
      </c>
    </row>
    <row r="69" spans="1:26">
      <c r="A69" s="1" t="s">
        <v>66</v>
      </c>
      <c r="B69" s="1">
        <v>1</v>
      </c>
      <c r="C69" s="1">
        <v>0</v>
      </c>
      <c r="D69" s="1">
        <v>0</v>
      </c>
      <c r="E69" s="1">
        <v>10000</v>
      </c>
      <c r="F69" s="1" t="s">
        <v>197</v>
      </c>
      <c r="G69" s="1">
        <v>5000</v>
      </c>
      <c r="H69" s="1">
        <v>1</v>
      </c>
      <c r="I69" s="1">
        <f>MIN($B69)</f>
        <v>0</v>
      </c>
      <c r="J69" s="1">
        <f>MIN($C69)</f>
        <v>0</v>
      </c>
      <c r="K69" s="1">
        <f>MIN($D69)</f>
        <v>0</v>
      </c>
      <c r="L69" s="1">
        <f>MIN($E69)</f>
        <v>0</v>
      </c>
      <c r="M69" s="1">
        <f>MIN($G69)</f>
        <v>0</v>
      </c>
      <c r="N69" s="1">
        <f>MIN($H69)</f>
        <v>0</v>
      </c>
      <c r="O69" s="1">
        <f>MEDIAN($B69)</f>
        <v>0</v>
      </c>
      <c r="P69" s="1">
        <f>MEDIAN($C69)</f>
        <v>0</v>
      </c>
      <c r="Q69" s="1">
        <f>MEDIAN($D69)</f>
        <v>0</v>
      </c>
      <c r="R69" s="1">
        <f>MEDIAN($E69)</f>
        <v>0</v>
      </c>
      <c r="S69" s="1">
        <f>MEDIAN($G69)</f>
        <v>0</v>
      </c>
      <c r="T69" s="1">
        <f>MEDIAN($H69)</f>
        <v>0</v>
      </c>
      <c r="U69" s="1">
        <f>MAX($B69)</f>
        <v>0</v>
      </c>
      <c r="V69" s="1">
        <f>MAX($C69)</f>
        <v>0</v>
      </c>
      <c r="W69" s="1">
        <f>MAX($D69)</f>
        <v>0</v>
      </c>
      <c r="X69" s="1">
        <f>MAX($E69)</f>
        <v>0</v>
      </c>
      <c r="Y69" s="1">
        <f>MAX($G69)</f>
        <v>0</v>
      </c>
      <c r="Z69" s="1">
        <f>MAX($H69)</f>
        <v>0</v>
      </c>
    </row>
    <row r="70" spans="1:26">
      <c r="A70" s="1" t="s">
        <v>67</v>
      </c>
      <c r="B70" s="1">
        <v>1</v>
      </c>
      <c r="C70" s="1">
        <v>0</v>
      </c>
      <c r="D70" s="1">
        <v>0</v>
      </c>
      <c r="E70" s="1">
        <v>10000</v>
      </c>
      <c r="F70" s="1" t="s">
        <v>197</v>
      </c>
      <c r="G70" s="1">
        <v>5000</v>
      </c>
      <c r="H70" s="1">
        <v>1</v>
      </c>
      <c r="I70" s="1">
        <f>MIN($B70)</f>
        <v>0</v>
      </c>
      <c r="J70" s="1">
        <f>MIN($C70)</f>
        <v>0</v>
      </c>
      <c r="K70" s="1">
        <f>MIN($D70)</f>
        <v>0</v>
      </c>
      <c r="L70" s="1">
        <f>MIN($E70)</f>
        <v>0</v>
      </c>
      <c r="M70" s="1">
        <f>MIN($G70)</f>
        <v>0</v>
      </c>
      <c r="N70" s="1">
        <f>MIN($H70)</f>
        <v>0</v>
      </c>
      <c r="O70" s="1">
        <f>MEDIAN($B70)</f>
        <v>0</v>
      </c>
      <c r="P70" s="1">
        <f>MEDIAN($C70)</f>
        <v>0</v>
      </c>
      <c r="Q70" s="1">
        <f>MEDIAN($D70)</f>
        <v>0</v>
      </c>
      <c r="R70" s="1">
        <f>MEDIAN($E70)</f>
        <v>0</v>
      </c>
      <c r="S70" s="1">
        <f>MEDIAN($G70)</f>
        <v>0</v>
      </c>
      <c r="T70" s="1">
        <f>MEDIAN($H70)</f>
        <v>0</v>
      </c>
      <c r="U70" s="1">
        <f>MAX($B70)</f>
        <v>0</v>
      </c>
      <c r="V70" s="1">
        <f>MAX($C70)</f>
        <v>0</v>
      </c>
      <c r="W70" s="1">
        <f>MAX($D70)</f>
        <v>0</v>
      </c>
      <c r="X70" s="1">
        <f>MAX($E70)</f>
        <v>0</v>
      </c>
      <c r="Y70" s="1">
        <f>MAX($G70)</f>
        <v>0</v>
      </c>
      <c r="Z70" s="1">
        <f>MAX($H70)</f>
        <v>0</v>
      </c>
    </row>
    <row r="71" spans="1:26">
      <c r="A71" s="1" t="s">
        <v>68</v>
      </c>
      <c r="B71" s="1">
        <v>1</v>
      </c>
      <c r="C71" s="1">
        <v>0</v>
      </c>
      <c r="D71" s="1">
        <v>0</v>
      </c>
      <c r="E71" s="1">
        <v>10000</v>
      </c>
      <c r="F71" s="1" t="s">
        <v>197</v>
      </c>
      <c r="G71" s="1">
        <v>5000</v>
      </c>
      <c r="H71" s="1">
        <v>1</v>
      </c>
      <c r="I71" s="1">
        <f>MIN($B71)</f>
        <v>0</v>
      </c>
      <c r="J71" s="1">
        <f>MIN($C71)</f>
        <v>0</v>
      </c>
      <c r="K71" s="1">
        <f>MIN($D71)</f>
        <v>0</v>
      </c>
      <c r="L71" s="1">
        <f>MIN($E71)</f>
        <v>0</v>
      </c>
      <c r="M71" s="1">
        <f>MIN($G71)</f>
        <v>0</v>
      </c>
      <c r="N71" s="1">
        <f>MIN($H71)</f>
        <v>0</v>
      </c>
      <c r="O71" s="1">
        <f>MEDIAN($B71)</f>
        <v>0</v>
      </c>
      <c r="P71" s="1">
        <f>MEDIAN($C71)</f>
        <v>0</v>
      </c>
      <c r="Q71" s="1">
        <f>MEDIAN($D71)</f>
        <v>0</v>
      </c>
      <c r="R71" s="1">
        <f>MEDIAN($E71)</f>
        <v>0</v>
      </c>
      <c r="S71" s="1">
        <f>MEDIAN($G71)</f>
        <v>0</v>
      </c>
      <c r="T71" s="1">
        <f>MEDIAN($H71)</f>
        <v>0</v>
      </c>
      <c r="U71" s="1">
        <f>MAX($B71)</f>
        <v>0</v>
      </c>
      <c r="V71" s="1">
        <f>MAX($C71)</f>
        <v>0</v>
      </c>
      <c r="W71" s="1">
        <f>MAX($D71)</f>
        <v>0</v>
      </c>
      <c r="X71" s="1">
        <f>MAX($E71)</f>
        <v>0</v>
      </c>
      <c r="Y71" s="1">
        <f>MAX($G71)</f>
        <v>0</v>
      </c>
      <c r="Z71" s="1">
        <f>MAX($H71)</f>
        <v>0</v>
      </c>
    </row>
    <row r="72" spans="1:26">
      <c r="A72" s="1" t="s">
        <v>69</v>
      </c>
      <c r="B72" s="1">
        <v>1</v>
      </c>
      <c r="C72" s="1">
        <v>0</v>
      </c>
      <c r="D72" s="1">
        <v>0</v>
      </c>
      <c r="E72" s="1">
        <v>10000</v>
      </c>
      <c r="F72" s="1" t="s">
        <v>197</v>
      </c>
      <c r="G72" s="1">
        <v>5000</v>
      </c>
      <c r="H72" s="1">
        <v>1</v>
      </c>
      <c r="I72" s="1">
        <f>MIN($B72)</f>
        <v>0</v>
      </c>
      <c r="J72" s="1">
        <f>MIN($C72)</f>
        <v>0</v>
      </c>
      <c r="K72" s="1">
        <f>MIN($D72)</f>
        <v>0</v>
      </c>
      <c r="L72" s="1">
        <f>MIN($E72)</f>
        <v>0</v>
      </c>
      <c r="M72" s="1">
        <f>MIN($G72)</f>
        <v>0</v>
      </c>
      <c r="N72" s="1">
        <f>MIN($H72)</f>
        <v>0</v>
      </c>
      <c r="O72" s="1">
        <f>MEDIAN($B72)</f>
        <v>0</v>
      </c>
      <c r="P72" s="1">
        <f>MEDIAN($C72)</f>
        <v>0</v>
      </c>
      <c r="Q72" s="1">
        <f>MEDIAN($D72)</f>
        <v>0</v>
      </c>
      <c r="R72" s="1">
        <f>MEDIAN($E72)</f>
        <v>0</v>
      </c>
      <c r="S72" s="1">
        <f>MEDIAN($G72)</f>
        <v>0</v>
      </c>
      <c r="T72" s="1">
        <f>MEDIAN($H72)</f>
        <v>0</v>
      </c>
      <c r="U72" s="1">
        <f>MAX($B72)</f>
        <v>0</v>
      </c>
      <c r="V72" s="1">
        <f>MAX($C72)</f>
        <v>0</v>
      </c>
      <c r="W72" s="1">
        <f>MAX($D72)</f>
        <v>0</v>
      </c>
      <c r="X72" s="1">
        <f>MAX($E72)</f>
        <v>0</v>
      </c>
      <c r="Y72" s="1">
        <f>MAX($G72)</f>
        <v>0</v>
      </c>
      <c r="Z72" s="1">
        <f>MAX($H72)</f>
        <v>0</v>
      </c>
    </row>
    <row r="73" spans="1:26">
      <c r="A73" s="1" t="s">
        <v>70</v>
      </c>
      <c r="B73" s="1">
        <v>1</v>
      </c>
      <c r="C73" s="1">
        <v>0</v>
      </c>
      <c r="D73" s="1">
        <v>0</v>
      </c>
      <c r="E73" s="1">
        <v>10000</v>
      </c>
      <c r="F73" s="1" t="s">
        <v>197</v>
      </c>
      <c r="G73" s="1">
        <v>5000</v>
      </c>
      <c r="H73" s="1">
        <v>1</v>
      </c>
      <c r="I73" s="1">
        <f>MIN($B73)</f>
        <v>0</v>
      </c>
      <c r="J73" s="1">
        <f>MIN($C73)</f>
        <v>0</v>
      </c>
      <c r="K73" s="1">
        <f>MIN($D73)</f>
        <v>0</v>
      </c>
      <c r="L73" s="1">
        <f>MIN($E73)</f>
        <v>0</v>
      </c>
      <c r="M73" s="1">
        <f>MIN($G73)</f>
        <v>0</v>
      </c>
      <c r="N73" s="1">
        <f>MIN($H73)</f>
        <v>0</v>
      </c>
      <c r="O73" s="1">
        <f>MEDIAN($B73)</f>
        <v>0</v>
      </c>
      <c r="P73" s="1">
        <f>MEDIAN($C73)</f>
        <v>0</v>
      </c>
      <c r="Q73" s="1">
        <f>MEDIAN($D73)</f>
        <v>0</v>
      </c>
      <c r="R73" s="1">
        <f>MEDIAN($E73)</f>
        <v>0</v>
      </c>
      <c r="S73" s="1">
        <f>MEDIAN($G73)</f>
        <v>0</v>
      </c>
      <c r="T73" s="1">
        <f>MEDIAN($H73)</f>
        <v>0</v>
      </c>
      <c r="U73" s="1">
        <f>MAX($B73)</f>
        <v>0</v>
      </c>
      <c r="V73" s="1">
        <f>MAX($C73)</f>
        <v>0</v>
      </c>
      <c r="W73" s="1">
        <f>MAX($D73)</f>
        <v>0</v>
      </c>
      <c r="X73" s="1">
        <f>MAX($E73)</f>
        <v>0</v>
      </c>
      <c r="Y73" s="1">
        <f>MAX($G73)</f>
        <v>0</v>
      </c>
      <c r="Z73" s="1">
        <f>MAX($H73)</f>
        <v>0</v>
      </c>
    </row>
    <row r="74" spans="1:26">
      <c r="A74" s="1" t="s">
        <v>71</v>
      </c>
      <c r="B74" s="1">
        <v>1</v>
      </c>
      <c r="C74" s="1">
        <v>0</v>
      </c>
      <c r="D74" s="1">
        <v>0</v>
      </c>
      <c r="E74" s="1">
        <v>10000</v>
      </c>
      <c r="F74" s="1" t="s">
        <v>197</v>
      </c>
      <c r="G74" s="1">
        <v>5000</v>
      </c>
      <c r="H74" s="1">
        <v>1</v>
      </c>
      <c r="I74" s="1">
        <f>MIN($B74)</f>
        <v>0</v>
      </c>
      <c r="J74" s="1">
        <f>MIN($C74)</f>
        <v>0</v>
      </c>
      <c r="K74" s="1">
        <f>MIN($D74)</f>
        <v>0</v>
      </c>
      <c r="L74" s="1">
        <f>MIN($E74)</f>
        <v>0</v>
      </c>
      <c r="M74" s="1">
        <f>MIN($G74)</f>
        <v>0</v>
      </c>
      <c r="N74" s="1">
        <f>MIN($H74)</f>
        <v>0</v>
      </c>
      <c r="O74" s="1">
        <f>MEDIAN($B74)</f>
        <v>0</v>
      </c>
      <c r="P74" s="1">
        <f>MEDIAN($C74)</f>
        <v>0</v>
      </c>
      <c r="Q74" s="1">
        <f>MEDIAN($D74)</f>
        <v>0</v>
      </c>
      <c r="R74" s="1">
        <f>MEDIAN($E74)</f>
        <v>0</v>
      </c>
      <c r="S74" s="1">
        <f>MEDIAN($G74)</f>
        <v>0</v>
      </c>
      <c r="T74" s="1">
        <f>MEDIAN($H74)</f>
        <v>0</v>
      </c>
      <c r="U74" s="1">
        <f>MAX($B74)</f>
        <v>0</v>
      </c>
      <c r="V74" s="1">
        <f>MAX($C74)</f>
        <v>0</v>
      </c>
      <c r="W74" s="1">
        <f>MAX($D74)</f>
        <v>0</v>
      </c>
      <c r="X74" s="1">
        <f>MAX($E74)</f>
        <v>0</v>
      </c>
      <c r="Y74" s="1">
        <f>MAX($G74)</f>
        <v>0</v>
      </c>
      <c r="Z74" s="1">
        <f>MAX($H74)</f>
        <v>0</v>
      </c>
    </row>
    <row r="75" spans="1:26">
      <c r="A75" s="1" t="s">
        <v>72</v>
      </c>
      <c r="B75" s="1">
        <v>1</v>
      </c>
      <c r="C75" s="1">
        <v>0</v>
      </c>
      <c r="D75" s="1">
        <v>0</v>
      </c>
      <c r="E75" s="1">
        <v>10000</v>
      </c>
      <c r="F75" s="1" t="s">
        <v>197</v>
      </c>
      <c r="G75" s="1">
        <v>5000</v>
      </c>
      <c r="H75" s="1">
        <v>1</v>
      </c>
      <c r="I75" s="1">
        <f>MIN($B75)</f>
        <v>0</v>
      </c>
      <c r="J75" s="1">
        <f>MIN($C75)</f>
        <v>0</v>
      </c>
      <c r="K75" s="1">
        <f>MIN($D75)</f>
        <v>0</v>
      </c>
      <c r="L75" s="1">
        <f>MIN($E75)</f>
        <v>0</v>
      </c>
      <c r="M75" s="1">
        <f>MIN($G75)</f>
        <v>0</v>
      </c>
      <c r="N75" s="1">
        <f>MIN($H75)</f>
        <v>0</v>
      </c>
      <c r="O75" s="1">
        <f>MEDIAN($B75)</f>
        <v>0</v>
      </c>
      <c r="P75" s="1">
        <f>MEDIAN($C75)</f>
        <v>0</v>
      </c>
      <c r="Q75" s="1">
        <f>MEDIAN($D75)</f>
        <v>0</v>
      </c>
      <c r="R75" s="1">
        <f>MEDIAN($E75)</f>
        <v>0</v>
      </c>
      <c r="S75" s="1">
        <f>MEDIAN($G75)</f>
        <v>0</v>
      </c>
      <c r="T75" s="1">
        <f>MEDIAN($H75)</f>
        <v>0</v>
      </c>
      <c r="U75" s="1">
        <f>MAX($B75)</f>
        <v>0</v>
      </c>
      <c r="V75" s="1">
        <f>MAX($C75)</f>
        <v>0</v>
      </c>
      <c r="W75" s="1">
        <f>MAX($D75)</f>
        <v>0</v>
      </c>
      <c r="X75" s="1">
        <f>MAX($E75)</f>
        <v>0</v>
      </c>
      <c r="Y75" s="1">
        <f>MAX($G75)</f>
        <v>0</v>
      </c>
      <c r="Z75" s="1">
        <f>MAX($H75)</f>
        <v>0</v>
      </c>
    </row>
    <row r="76" spans="1:26">
      <c r="A76" s="1" t="s">
        <v>73</v>
      </c>
      <c r="B76" s="1">
        <v>1</v>
      </c>
      <c r="C76" s="1">
        <v>0</v>
      </c>
      <c r="D76" s="1">
        <v>0</v>
      </c>
      <c r="E76" s="1">
        <v>10000</v>
      </c>
      <c r="F76" s="1" t="s">
        <v>197</v>
      </c>
      <c r="G76" s="1">
        <v>5000</v>
      </c>
      <c r="H76" s="1">
        <v>1</v>
      </c>
      <c r="I76" s="1">
        <f>MIN($B76)</f>
        <v>0</v>
      </c>
      <c r="J76" s="1">
        <f>MIN($C76)</f>
        <v>0</v>
      </c>
      <c r="K76" s="1">
        <f>MIN($D76)</f>
        <v>0</v>
      </c>
      <c r="L76" s="1">
        <f>MIN($E76)</f>
        <v>0</v>
      </c>
      <c r="M76" s="1">
        <f>MIN($G76)</f>
        <v>0</v>
      </c>
      <c r="N76" s="1">
        <f>MIN($H76)</f>
        <v>0</v>
      </c>
      <c r="O76" s="1">
        <f>MEDIAN($B76)</f>
        <v>0</v>
      </c>
      <c r="P76" s="1">
        <f>MEDIAN($C76)</f>
        <v>0</v>
      </c>
      <c r="Q76" s="1">
        <f>MEDIAN($D76)</f>
        <v>0</v>
      </c>
      <c r="R76" s="1">
        <f>MEDIAN($E76)</f>
        <v>0</v>
      </c>
      <c r="S76" s="1">
        <f>MEDIAN($G76)</f>
        <v>0</v>
      </c>
      <c r="T76" s="1">
        <f>MEDIAN($H76)</f>
        <v>0</v>
      </c>
      <c r="U76" s="1">
        <f>MAX($B76)</f>
        <v>0</v>
      </c>
      <c r="V76" s="1">
        <f>MAX($C76)</f>
        <v>0</v>
      </c>
      <c r="W76" s="1">
        <f>MAX($D76)</f>
        <v>0</v>
      </c>
      <c r="X76" s="1">
        <f>MAX($E76)</f>
        <v>0</v>
      </c>
      <c r="Y76" s="1">
        <f>MAX($G76)</f>
        <v>0</v>
      </c>
      <c r="Z76" s="1">
        <f>MAX($H76)</f>
        <v>0</v>
      </c>
    </row>
    <row r="77" spans="1:26">
      <c r="A77" s="1" t="s">
        <v>74</v>
      </c>
      <c r="B77" s="1">
        <v>1</v>
      </c>
      <c r="C77" s="1">
        <v>0</v>
      </c>
      <c r="D77" s="1">
        <v>0</v>
      </c>
      <c r="E77" s="1">
        <v>10000</v>
      </c>
      <c r="F77" s="1" t="s">
        <v>197</v>
      </c>
      <c r="G77" s="1">
        <v>5000</v>
      </c>
      <c r="H77" s="1">
        <v>1</v>
      </c>
      <c r="I77" s="1">
        <f>MIN($B77)</f>
        <v>0</v>
      </c>
      <c r="J77" s="1">
        <f>MIN($C77)</f>
        <v>0</v>
      </c>
      <c r="K77" s="1">
        <f>MIN($D77)</f>
        <v>0</v>
      </c>
      <c r="L77" s="1">
        <f>MIN($E77)</f>
        <v>0</v>
      </c>
      <c r="M77" s="1">
        <f>MIN($G77)</f>
        <v>0</v>
      </c>
      <c r="N77" s="1">
        <f>MIN($H77)</f>
        <v>0</v>
      </c>
      <c r="O77" s="1">
        <f>MEDIAN($B77)</f>
        <v>0</v>
      </c>
      <c r="P77" s="1">
        <f>MEDIAN($C77)</f>
        <v>0</v>
      </c>
      <c r="Q77" s="1">
        <f>MEDIAN($D77)</f>
        <v>0</v>
      </c>
      <c r="R77" s="1">
        <f>MEDIAN($E77)</f>
        <v>0</v>
      </c>
      <c r="S77" s="1">
        <f>MEDIAN($G77)</f>
        <v>0</v>
      </c>
      <c r="T77" s="1">
        <f>MEDIAN($H77)</f>
        <v>0</v>
      </c>
      <c r="U77" s="1">
        <f>MAX($B77)</f>
        <v>0</v>
      </c>
      <c r="V77" s="1">
        <f>MAX($C77)</f>
        <v>0</v>
      </c>
      <c r="W77" s="1">
        <f>MAX($D77)</f>
        <v>0</v>
      </c>
      <c r="X77" s="1">
        <f>MAX($E77)</f>
        <v>0</v>
      </c>
      <c r="Y77" s="1">
        <f>MAX($G77)</f>
        <v>0</v>
      </c>
      <c r="Z77" s="1">
        <f>MAX($H77)</f>
        <v>0</v>
      </c>
    </row>
    <row r="78" spans="1:26">
      <c r="A78" s="1" t="s">
        <v>75</v>
      </c>
      <c r="B78" s="1">
        <v>1</v>
      </c>
      <c r="C78" s="1">
        <v>0</v>
      </c>
      <c r="D78" s="1">
        <v>0</v>
      </c>
      <c r="E78" s="1">
        <v>10000</v>
      </c>
      <c r="F78" s="1" t="s">
        <v>197</v>
      </c>
      <c r="G78" s="1">
        <v>5000</v>
      </c>
      <c r="H78" s="1">
        <v>1</v>
      </c>
      <c r="I78" s="1">
        <f>MIN($B78)</f>
        <v>0</v>
      </c>
      <c r="J78" s="1">
        <f>MIN($C78)</f>
        <v>0</v>
      </c>
      <c r="K78" s="1">
        <f>MIN($D78)</f>
        <v>0</v>
      </c>
      <c r="L78" s="1">
        <f>MIN($E78)</f>
        <v>0</v>
      </c>
      <c r="M78" s="1">
        <f>MIN($G78)</f>
        <v>0</v>
      </c>
      <c r="N78" s="1">
        <f>MIN($H78)</f>
        <v>0</v>
      </c>
      <c r="O78" s="1">
        <f>MEDIAN($B78)</f>
        <v>0</v>
      </c>
      <c r="P78" s="1">
        <f>MEDIAN($C78)</f>
        <v>0</v>
      </c>
      <c r="Q78" s="1">
        <f>MEDIAN($D78)</f>
        <v>0</v>
      </c>
      <c r="R78" s="1">
        <f>MEDIAN($E78)</f>
        <v>0</v>
      </c>
      <c r="S78" s="1">
        <f>MEDIAN($G78)</f>
        <v>0</v>
      </c>
      <c r="T78" s="1">
        <f>MEDIAN($H78)</f>
        <v>0</v>
      </c>
      <c r="U78" s="1">
        <f>MAX($B78)</f>
        <v>0</v>
      </c>
      <c r="V78" s="1">
        <f>MAX($C78)</f>
        <v>0</v>
      </c>
      <c r="W78" s="1">
        <f>MAX($D78)</f>
        <v>0</v>
      </c>
      <c r="X78" s="1">
        <f>MAX($E78)</f>
        <v>0</v>
      </c>
      <c r="Y78" s="1">
        <f>MAX($G78)</f>
        <v>0</v>
      </c>
      <c r="Z78" s="1">
        <f>MAX($H78)</f>
        <v>0</v>
      </c>
    </row>
    <row r="79" spans="1:26">
      <c r="A79" s="1" t="s">
        <v>76</v>
      </c>
      <c r="B79" s="1">
        <v>1</v>
      </c>
      <c r="C79" s="1">
        <v>0</v>
      </c>
      <c r="D79" s="1">
        <v>0</v>
      </c>
      <c r="E79" s="1">
        <v>10000</v>
      </c>
      <c r="F79" s="1" t="s">
        <v>197</v>
      </c>
      <c r="G79" s="1">
        <v>5000</v>
      </c>
      <c r="H79" s="1">
        <v>1</v>
      </c>
      <c r="I79" s="1">
        <f>MIN($B79)</f>
        <v>0</v>
      </c>
      <c r="J79" s="1">
        <f>MIN($C79)</f>
        <v>0</v>
      </c>
      <c r="K79" s="1">
        <f>MIN($D79)</f>
        <v>0</v>
      </c>
      <c r="L79" s="1">
        <f>MIN($E79)</f>
        <v>0</v>
      </c>
      <c r="M79" s="1">
        <f>MIN($G79)</f>
        <v>0</v>
      </c>
      <c r="N79" s="1">
        <f>MIN($H79)</f>
        <v>0</v>
      </c>
      <c r="O79" s="1">
        <f>MEDIAN($B79)</f>
        <v>0</v>
      </c>
      <c r="P79" s="1">
        <f>MEDIAN($C79)</f>
        <v>0</v>
      </c>
      <c r="Q79" s="1">
        <f>MEDIAN($D79)</f>
        <v>0</v>
      </c>
      <c r="R79" s="1">
        <f>MEDIAN($E79)</f>
        <v>0</v>
      </c>
      <c r="S79" s="1">
        <f>MEDIAN($G79)</f>
        <v>0</v>
      </c>
      <c r="T79" s="1">
        <f>MEDIAN($H79)</f>
        <v>0</v>
      </c>
      <c r="U79" s="1">
        <f>MAX($B79)</f>
        <v>0</v>
      </c>
      <c r="V79" s="1">
        <f>MAX($C79)</f>
        <v>0</v>
      </c>
      <c r="W79" s="1">
        <f>MAX($D79)</f>
        <v>0</v>
      </c>
      <c r="X79" s="1">
        <f>MAX($E79)</f>
        <v>0</v>
      </c>
      <c r="Y79" s="1">
        <f>MAX($G79)</f>
        <v>0</v>
      </c>
      <c r="Z79" s="1">
        <f>MAX($H79)</f>
        <v>0</v>
      </c>
    </row>
    <row r="80" spans="1:26">
      <c r="A80" s="1" t="s">
        <v>77</v>
      </c>
      <c r="B80" s="1">
        <v>1</v>
      </c>
      <c r="C80" s="1">
        <v>0</v>
      </c>
      <c r="D80" s="1">
        <v>0</v>
      </c>
      <c r="E80" s="1">
        <v>10000</v>
      </c>
      <c r="F80" s="1" t="s">
        <v>197</v>
      </c>
      <c r="G80" s="1">
        <v>5000</v>
      </c>
      <c r="H80" s="1">
        <v>1</v>
      </c>
      <c r="I80" s="1">
        <f>MIN($B80)</f>
        <v>0</v>
      </c>
      <c r="J80" s="1">
        <f>MIN($C80)</f>
        <v>0</v>
      </c>
      <c r="K80" s="1">
        <f>MIN($D80)</f>
        <v>0</v>
      </c>
      <c r="L80" s="1">
        <f>MIN($E80)</f>
        <v>0</v>
      </c>
      <c r="M80" s="1">
        <f>MIN($G80)</f>
        <v>0</v>
      </c>
      <c r="N80" s="1">
        <f>MIN($H80)</f>
        <v>0</v>
      </c>
      <c r="O80" s="1">
        <f>MEDIAN($B80)</f>
        <v>0</v>
      </c>
      <c r="P80" s="1">
        <f>MEDIAN($C80)</f>
        <v>0</v>
      </c>
      <c r="Q80" s="1">
        <f>MEDIAN($D80)</f>
        <v>0</v>
      </c>
      <c r="R80" s="1">
        <f>MEDIAN($E80)</f>
        <v>0</v>
      </c>
      <c r="S80" s="1">
        <f>MEDIAN($G80)</f>
        <v>0</v>
      </c>
      <c r="T80" s="1">
        <f>MEDIAN($H80)</f>
        <v>0</v>
      </c>
      <c r="U80" s="1">
        <f>MAX($B80)</f>
        <v>0</v>
      </c>
      <c r="V80" s="1">
        <f>MAX($C80)</f>
        <v>0</v>
      </c>
      <c r="W80" s="1">
        <f>MAX($D80)</f>
        <v>0</v>
      </c>
      <c r="X80" s="1">
        <f>MAX($E80)</f>
        <v>0</v>
      </c>
      <c r="Y80" s="1">
        <f>MAX($G80)</f>
        <v>0</v>
      </c>
      <c r="Z80" s="1">
        <f>MAX($H80)</f>
        <v>0</v>
      </c>
    </row>
    <row r="81" spans="1:26">
      <c r="A81" s="1" t="s">
        <v>78</v>
      </c>
      <c r="B81" s="1">
        <v>1</v>
      </c>
      <c r="C81" s="1">
        <v>0</v>
      </c>
      <c r="D81" s="1">
        <v>0</v>
      </c>
      <c r="E81" s="1">
        <v>10000</v>
      </c>
      <c r="F81" s="1" t="s">
        <v>197</v>
      </c>
      <c r="G81" s="1">
        <v>5000</v>
      </c>
      <c r="H81" s="1">
        <v>1</v>
      </c>
      <c r="I81" s="1">
        <f>MIN($B81)</f>
        <v>0</v>
      </c>
      <c r="J81" s="1">
        <f>MIN($C81)</f>
        <v>0</v>
      </c>
      <c r="K81" s="1">
        <f>MIN($D81)</f>
        <v>0</v>
      </c>
      <c r="L81" s="1">
        <f>MIN($E81)</f>
        <v>0</v>
      </c>
      <c r="M81" s="1">
        <f>MIN($G81)</f>
        <v>0</v>
      </c>
      <c r="N81" s="1">
        <f>MIN($H81)</f>
        <v>0</v>
      </c>
      <c r="O81" s="1">
        <f>MEDIAN($B81)</f>
        <v>0</v>
      </c>
      <c r="P81" s="1">
        <f>MEDIAN($C81)</f>
        <v>0</v>
      </c>
      <c r="Q81" s="1">
        <f>MEDIAN($D81)</f>
        <v>0</v>
      </c>
      <c r="R81" s="1">
        <f>MEDIAN($E81)</f>
        <v>0</v>
      </c>
      <c r="S81" s="1">
        <f>MEDIAN($G81)</f>
        <v>0</v>
      </c>
      <c r="T81" s="1">
        <f>MEDIAN($H81)</f>
        <v>0</v>
      </c>
      <c r="U81" s="1">
        <f>MAX($B81)</f>
        <v>0</v>
      </c>
      <c r="V81" s="1">
        <f>MAX($C81)</f>
        <v>0</v>
      </c>
      <c r="W81" s="1">
        <f>MAX($D81)</f>
        <v>0</v>
      </c>
      <c r="X81" s="1">
        <f>MAX($E81)</f>
        <v>0</v>
      </c>
      <c r="Y81" s="1">
        <f>MAX($G81)</f>
        <v>0</v>
      </c>
      <c r="Z81" s="1">
        <f>MAX($H81)</f>
        <v>0</v>
      </c>
    </row>
    <row r="82" spans="1:26">
      <c r="A82" s="1" t="s">
        <v>79</v>
      </c>
      <c r="B82" s="1">
        <v>1</v>
      </c>
      <c r="C82" s="1">
        <v>0</v>
      </c>
      <c r="D82" s="1">
        <v>0</v>
      </c>
      <c r="E82" s="1">
        <v>10000</v>
      </c>
      <c r="F82" s="1" t="s">
        <v>197</v>
      </c>
      <c r="G82" s="1">
        <v>5000</v>
      </c>
      <c r="H82" s="1">
        <v>1</v>
      </c>
      <c r="I82" s="1">
        <f>MIN($B82)</f>
        <v>0</v>
      </c>
      <c r="J82" s="1">
        <f>MIN($C82)</f>
        <v>0</v>
      </c>
      <c r="K82" s="1">
        <f>MIN($D82)</f>
        <v>0</v>
      </c>
      <c r="L82" s="1">
        <f>MIN($E82)</f>
        <v>0</v>
      </c>
      <c r="M82" s="1">
        <f>MIN($G82)</f>
        <v>0</v>
      </c>
      <c r="N82" s="1">
        <f>MIN($H82)</f>
        <v>0</v>
      </c>
      <c r="O82" s="1">
        <f>MEDIAN($B82)</f>
        <v>0</v>
      </c>
      <c r="P82" s="1">
        <f>MEDIAN($C82)</f>
        <v>0</v>
      </c>
      <c r="Q82" s="1">
        <f>MEDIAN($D82)</f>
        <v>0</v>
      </c>
      <c r="R82" s="1">
        <f>MEDIAN($E82)</f>
        <v>0</v>
      </c>
      <c r="S82" s="1">
        <f>MEDIAN($G82)</f>
        <v>0</v>
      </c>
      <c r="T82" s="1">
        <f>MEDIAN($H82)</f>
        <v>0</v>
      </c>
      <c r="U82" s="1">
        <f>MAX($B82)</f>
        <v>0</v>
      </c>
      <c r="V82" s="1">
        <f>MAX($C82)</f>
        <v>0</v>
      </c>
      <c r="W82" s="1">
        <f>MAX($D82)</f>
        <v>0</v>
      </c>
      <c r="X82" s="1">
        <f>MAX($E82)</f>
        <v>0</v>
      </c>
      <c r="Y82" s="1">
        <f>MAX($G82)</f>
        <v>0</v>
      </c>
      <c r="Z82" s="1">
        <f>MAX($H82)</f>
        <v>0</v>
      </c>
    </row>
    <row r="83" spans="1:26">
      <c r="A83" s="1" t="s">
        <v>80</v>
      </c>
      <c r="B83" s="1">
        <v>1</v>
      </c>
      <c r="C83" s="1">
        <v>0</v>
      </c>
      <c r="D83" s="1">
        <v>0</v>
      </c>
      <c r="E83" s="1">
        <v>10000</v>
      </c>
      <c r="F83" s="1" t="s">
        <v>197</v>
      </c>
      <c r="G83" s="1">
        <v>5000</v>
      </c>
      <c r="H83" s="1">
        <v>1</v>
      </c>
      <c r="I83" s="1">
        <f>MIN($B83)</f>
        <v>0</v>
      </c>
      <c r="J83" s="1">
        <f>MIN($C83)</f>
        <v>0</v>
      </c>
      <c r="K83" s="1">
        <f>MIN($D83)</f>
        <v>0</v>
      </c>
      <c r="L83" s="1">
        <f>MIN($E83)</f>
        <v>0</v>
      </c>
      <c r="M83" s="1">
        <f>MIN($G83)</f>
        <v>0</v>
      </c>
      <c r="N83" s="1">
        <f>MIN($H83)</f>
        <v>0</v>
      </c>
      <c r="O83" s="1">
        <f>MEDIAN($B83)</f>
        <v>0</v>
      </c>
      <c r="P83" s="1">
        <f>MEDIAN($C83)</f>
        <v>0</v>
      </c>
      <c r="Q83" s="1">
        <f>MEDIAN($D83)</f>
        <v>0</v>
      </c>
      <c r="R83" s="1">
        <f>MEDIAN($E83)</f>
        <v>0</v>
      </c>
      <c r="S83" s="1">
        <f>MEDIAN($G83)</f>
        <v>0</v>
      </c>
      <c r="T83" s="1">
        <f>MEDIAN($H83)</f>
        <v>0</v>
      </c>
      <c r="U83" s="1">
        <f>MAX($B83)</f>
        <v>0</v>
      </c>
      <c r="V83" s="1">
        <f>MAX($C83)</f>
        <v>0</v>
      </c>
      <c r="W83" s="1">
        <f>MAX($D83)</f>
        <v>0</v>
      </c>
      <c r="X83" s="1">
        <f>MAX($E83)</f>
        <v>0</v>
      </c>
      <c r="Y83" s="1">
        <f>MAX($G83)</f>
        <v>0</v>
      </c>
      <c r="Z83" s="1">
        <f>MAX($H83)</f>
        <v>0</v>
      </c>
    </row>
    <row r="84" spans="1:26">
      <c r="A84" s="1" t="s">
        <v>81</v>
      </c>
      <c r="B84" s="1">
        <v>1</v>
      </c>
      <c r="C84" s="1">
        <v>0</v>
      </c>
      <c r="D84" s="1">
        <v>0</v>
      </c>
      <c r="E84" s="1">
        <v>10000</v>
      </c>
      <c r="F84" s="1" t="s">
        <v>197</v>
      </c>
      <c r="G84" s="1">
        <v>5000</v>
      </c>
      <c r="H84" s="1">
        <v>1</v>
      </c>
      <c r="I84" s="1">
        <f>MIN($B84)</f>
        <v>0</v>
      </c>
      <c r="J84" s="1">
        <f>MIN($C84)</f>
        <v>0</v>
      </c>
      <c r="K84" s="1">
        <f>MIN($D84)</f>
        <v>0</v>
      </c>
      <c r="L84" s="1">
        <f>MIN($E84)</f>
        <v>0</v>
      </c>
      <c r="M84" s="1">
        <f>MIN($G84)</f>
        <v>0</v>
      </c>
      <c r="N84" s="1">
        <f>MIN($H84)</f>
        <v>0</v>
      </c>
      <c r="O84" s="1">
        <f>MEDIAN($B84)</f>
        <v>0</v>
      </c>
      <c r="P84" s="1">
        <f>MEDIAN($C84)</f>
        <v>0</v>
      </c>
      <c r="Q84" s="1">
        <f>MEDIAN($D84)</f>
        <v>0</v>
      </c>
      <c r="R84" s="1">
        <f>MEDIAN($E84)</f>
        <v>0</v>
      </c>
      <c r="S84" s="1">
        <f>MEDIAN($G84)</f>
        <v>0</v>
      </c>
      <c r="T84" s="1">
        <f>MEDIAN($H84)</f>
        <v>0</v>
      </c>
      <c r="U84" s="1">
        <f>MAX($B84)</f>
        <v>0</v>
      </c>
      <c r="V84" s="1">
        <f>MAX($C84)</f>
        <v>0</v>
      </c>
      <c r="W84" s="1">
        <f>MAX($D84)</f>
        <v>0</v>
      </c>
      <c r="X84" s="1">
        <f>MAX($E84)</f>
        <v>0</v>
      </c>
      <c r="Y84" s="1">
        <f>MAX($G84)</f>
        <v>0</v>
      </c>
      <c r="Z84" s="1">
        <f>MAX($H84)</f>
        <v>0</v>
      </c>
    </row>
    <row r="85" spans="1:26">
      <c r="A85" s="1" t="s">
        <v>82</v>
      </c>
      <c r="B85" s="1">
        <v>1</v>
      </c>
      <c r="C85" s="1">
        <v>0</v>
      </c>
      <c r="D85" s="1">
        <v>0</v>
      </c>
      <c r="E85" s="1">
        <v>10000</v>
      </c>
      <c r="F85" s="1" t="s">
        <v>197</v>
      </c>
      <c r="G85" s="1">
        <v>5000</v>
      </c>
      <c r="H85" s="1">
        <v>1</v>
      </c>
      <c r="I85" s="1">
        <f>MIN($B85)</f>
        <v>0</v>
      </c>
      <c r="J85" s="1">
        <f>MIN($C85)</f>
        <v>0</v>
      </c>
      <c r="K85" s="1">
        <f>MIN($D85)</f>
        <v>0</v>
      </c>
      <c r="L85" s="1">
        <f>MIN($E85)</f>
        <v>0</v>
      </c>
      <c r="M85" s="1">
        <f>MIN($G85)</f>
        <v>0</v>
      </c>
      <c r="N85" s="1">
        <f>MIN($H85)</f>
        <v>0</v>
      </c>
      <c r="O85" s="1">
        <f>MEDIAN($B85)</f>
        <v>0</v>
      </c>
      <c r="P85" s="1">
        <f>MEDIAN($C85)</f>
        <v>0</v>
      </c>
      <c r="Q85" s="1">
        <f>MEDIAN($D85)</f>
        <v>0</v>
      </c>
      <c r="R85" s="1">
        <f>MEDIAN($E85)</f>
        <v>0</v>
      </c>
      <c r="S85" s="1">
        <f>MEDIAN($G85)</f>
        <v>0</v>
      </c>
      <c r="T85" s="1">
        <f>MEDIAN($H85)</f>
        <v>0</v>
      </c>
      <c r="U85" s="1">
        <f>MAX($B85)</f>
        <v>0</v>
      </c>
      <c r="V85" s="1">
        <f>MAX($C85)</f>
        <v>0</v>
      </c>
      <c r="W85" s="1">
        <f>MAX($D85)</f>
        <v>0</v>
      </c>
      <c r="X85" s="1">
        <f>MAX($E85)</f>
        <v>0</v>
      </c>
      <c r="Y85" s="1">
        <f>MAX($G85)</f>
        <v>0</v>
      </c>
      <c r="Z85" s="1">
        <f>MAX($H85)</f>
        <v>0</v>
      </c>
    </row>
    <row r="86" spans="1:26">
      <c r="A86" s="1" t="s">
        <v>83</v>
      </c>
      <c r="B86" s="1">
        <v>1</v>
      </c>
      <c r="C86" s="1">
        <v>0</v>
      </c>
      <c r="D86" s="1">
        <v>0</v>
      </c>
      <c r="E86" s="1">
        <v>10000</v>
      </c>
      <c r="F86" s="1" t="s">
        <v>197</v>
      </c>
      <c r="G86" s="1">
        <v>5000</v>
      </c>
      <c r="H86" s="1">
        <v>1</v>
      </c>
      <c r="I86" s="1">
        <f>MIN($B86)</f>
        <v>0</v>
      </c>
      <c r="J86" s="1">
        <f>MIN($C86)</f>
        <v>0</v>
      </c>
      <c r="K86" s="1">
        <f>MIN($D86)</f>
        <v>0</v>
      </c>
      <c r="L86" s="1">
        <f>MIN($E86)</f>
        <v>0</v>
      </c>
      <c r="M86" s="1">
        <f>MIN($G86)</f>
        <v>0</v>
      </c>
      <c r="N86" s="1">
        <f>MIN($H86)</f>
        <v>0</v>
      </c>
      <c r="O86" s="1">
        <f>MEDIAN($B86)</f>
        <v>0</v>
      </c>
      <c r="P86" s="1">
        <f>MEDIAN($C86)</f>
        <v>0</v>
      </c>
      <c r="Q86" s="1">
        <f>MEDIAN($D86)</f>
        <v>0</v>
      </c>
      <c r="R86" s="1">
        <f>MEDIAN($E86)</f>
        <v>0</v>
      </c>
      <c r="S86" s="1">
        <f>MEDIAN($G86)</f>
        <v>0</v>
      </c>
      <c r="T86" s="1">
        <f>MEDIAN($H86)</f>
        <v>0</v>
      </c>
      <c r="U86" s="1">
        <f>MAX($B86)</f>
        <v>0</v>
      </c>
      <c r="V86" s="1">
        <f>MAX($C86)</f>
        <v>0</v>
      </c>
      <c r="W86" s="1">
        <f>MAX($D86)</f>
        <v>0</v>
      </c>
      <c r="X86" s="1">
        <f>MAX($E86)</f>
        <v>0</v>
      </c>
      <c r="Y86" s="1">
        <f>MAX($G86)</f>
        <v>0</v>
      </c>
      <c r="Z86" s="1">
        <f>MAX($H86)</f>
        <v>0</v>
      </c>
    </row>
    <row r="87" spans="1:26">
      <c r="A87" s="1" t="s">
        <v>84</v>
      </c>
      <c r="B87" s="1">
        <v>1</v>
      </c>
      <c r="C87" s="1">
        <v>0</v>
      </c>
      <c r="D87" s="1">
        <v>0</v>
      </c>
      <c r="E87" s="1">
        <v>10000</v>
      </c>
      <c r="F87" s="1" t="s">
        <v>197</v>
      </c>
      <c r="G87" s="1">
        <v>5000</v>
      </c>
      <c r="H87" s="1">
        <v>1</v>
      </c>
      <c r="I87" s="1">
        <f>MIN($B87)</f>
        <v>0</v>
      </c>
      <c r="J87" s="1">
        <f>MIN($C87)</f>
        <v>0</v>
      </c>
      <c r="K87" s="1">
        <f>MIN($D87)</f>
        <v>0</v>
      </c>
      <c r="L87" s="1">
        <f>MIN($E87)</f>
        <v>0</v>
      </c>
      <c r="M87" s="1">
        <f>MIN($G87)</f>
        <v>0</v>
      </c>
      <c r="N87" s="1">
        <f>MIN($H87)</f>
        <v>0</v>
      </c>
      <c r="O87" s="1">
        <f>MEDIAN($B87)</f>
        <v>0</v>
      </c>
      <c r="P87" s="1">
        <f>MEDIAN($C87)</f>
        <v>0</v>
      </c>
      <c r="Q87" s="1">
        <f>MEDIAN($D87)</f>
        <v>0</v>
      </c>
      <c r="R87" s="1">
        <f>MEDIAN($E87)</f>
        <v>0</v>
      </c>
      <c r="S87" s="1">
        <f>MEDIAN($G87)</f>
        <v>0</v>
      </c>
      <c r="T87" s="1">
        <f>MEDIAN($H87)</f>
        <v>0</v>
      </c>
      <c r="U87" s="1">
        <f>MAX($B87)</f>
        <v>0</v>
      </c>
      <c r="V87" s="1">
        <f>MAX($C87)</f>
        <v>0</v>
      </c>
      <c r="W87" s="1">
        <f>MAX($D87)</f>
        <v>0</v>
      </c>
      <c r="X87" s="1">
        <f>MAX($E87)</f>
        <v>0</v>
      </c>
      <c r="Y87" s="1">
        <f>MAX($G87)</f>
        <v>0</v>
      </c>
      <c r="Z87" s="1">
        <f>MAX($H87)</f>
        <v>0</v>
      </c>
    </row>
    <row r="88" spans="1:26">
      <c r="A88" s="1" t="s">
        <v>85</v>
      </c>
      <c r="B88" s="1">
        <v>1</v>
      </c>
      <c r="C88" s="1">
        <v>0</v>
      </c>
      <c r="D88" s="1">
        <v>0</v>
      </c>
      <c r="E88" s="1">
        <v>10000</v>
      </c>
      <c r="F88" s="1" t="s">
        <v>197</v>
      </c>
      <c r="G88" s="1">
        <v>5000</v>
      </c>
      <c r="H88" s="1">
        <v>1</v>
      </c>
      <c r="I88" s="1">
        <f>MIN($B88)</f>
        <v>0</v>
      </c>
      <c r="J88" s="1">
        <f>MIN($C88)</f>
        <v>0</v>
      </c>
      <c r="K88" s="1">
        <f>MIN($D88)</f>
        <v>0</v>
      </c>
      <c r="L88" s="1">
        <f>MIN($E88)</f>
        <v>0</v>
      </c>
      <c r="M88" s="1">
        <f>MIN($G88)</f>
        <v>0</v>
      </c>
      <c r="N88" s="1">
        <f>MIN($H88)</f>
        <v>0</v>
      </c>
      <c r="O88" s="1">
        <f>MEDIAN($B88)</f>
        <v>0</v>
      </c>
      <c r="P88" s="1">
        <f>MEDIAN($C88)</f>
        <v>0</v>
      </c>
      <c r="Q88" s="1">
        <f>MEDIAN($D88)</f>
        <v>0</v>
      </c>
      <c r="R88" s="1">
        <f>MEDIAN($E88)</f>
        <v>0</v>
      </c>
      <c r="S88" s="1">
        <f>MEDIAN($G88)</f>
        <v>0</v>
      </c>
      <c r="T88" s="1">
        <f>MEDIAN($H88)</f>
        <v>0</v>
      </c>
      <c r="U88" s="1">
        <f>MAX($B88)</f>
        <v>0</v>
      </c>
      <c r="V88" s="1">
        <f>MAX($C88)</f>
        <v>0</v>
      </c>
      <c r="W88" s="1">
        <f>MAX($D88)</f>
        <v>0</v>
      </c>
      <c r="X88" s="1">
        <f>MAX($E88)</f>
        <v>0</v>
      </c>
      <c r="Y88" s="1">
        <f>MAX($G88)</f>
        <v>0</v>
      </c>
      <c r="Z88" s="1">
        <f>MAX($H88)</f>
        <v>0</v>
      </c>
    </row>
    <row r="89" spans="1:26">
      <c r="A89" s="1" t="s">
        <v>86</v>
      </c>
      <c r="B89" s="1">
        <v>1</v>
      </c>
      <c r="C89" s="1">
        <v>0</v>
      </c>
      <c r="D89" s="1">
        <v>0</v>
      </c>
      <c r="E89" s="1">
        <v>10000</v>
      </c>
      <c r="F89" s="1" t="s">
        <v>197</v>
      </c>
      <c r="G89" s="1">
        <v>5000</v>
      </c>
      <c r="H89" s="1">
        <v>1</v>
      </c>
      <c r="I89" s="1">
        <f>MIN($B89)</f>
        <v>0</v>
      </c>
      <c r="J89" s="1">
        <f>MIN($C89)</f>
        <v>0</v>
      </c>
      <c r="K89" s="1">
        <f>MIN($D89)</f>
        <v>0</v>
      </c>
      <c r="L89" s="1">
        <f>MIN($E89)</f>
        <v>0</v>
      </c>
      <c r="M89" s="1">
        <f>MIN($G89)</f>
        <v>0</v>
      </c>
      <c r="N89" s="1">
        <f>MIN($H89)</f>
        <v>0</v>
      </c>
      <c r="O89" s="1">
        <f>MEDIAN($B89)</f>
        <v>0</v>
      </c>
      <c r="P89" s="1">
        <f>MEDIAN($C89)</f>
        <v>0</v>
      </c>
      <c r="Q89" s="1">
        <f>MEDIAN($D89)</f>
        <v>0</v>
      </c>
      <c r="R89" s="1">
        <f>MEDIAN($E89)</f>
        <v>0</v>
      </c>
      <c r="S89" s="1">
        <f>MEDIAN($G89)</f>
        <v>0</v>
      </c>
      <c r="T89" s="1">
        <f>MEDIAN($H89)</f>
        <v>0</v>
      </c>
      <c r="U89" s="1">
        <f>MAX($B89)</f>
        <v>0</v>
      </c>
      <c r="V89" s="1">
        <f>MAX($C89)</f>
        <v>0</v>
      </c>
      <c r="W89" s="1">
        <f>MAX($D89)</f>
        <v>0</v>
      </c>
      <c r="X89" s="1">
        <f>MAX($E89)</f>
        <v>0</v>
      </c>
      <c r="Y89" s="1">
        <f>MAX($G89)</f>
        <v>0</v>
      </c>
      <c r="Z89" s="1">
        <f>MAX($H89)</f>
        <v>0</v>
      </c>
    </row>
    <row r="90" spans="1:26">
      <c r="A90" s="1" t="s">
        <v>87</v>
      </c>
      <c r="B90" s="1">
        <v>1</v>
      </c>
      <c r="C90" s="1">
        <v>0</v>
      </c>
      <c r="D90" s="1">
        <v>0</v>
      </c>
      <c r="E90" s="1">
        <v>10000</v>
      </c>
      <c r="F90" s="1" t="s">
        <v>197</v>
      </c>
      <c r="G90" s="1">
        <v>5000</v>
      </c>
      <c r="H90" s="1">
        <v>1</v>
      </c>
      <c r="I90" s="1">
        <f>MIN($B90)</f>
        <v>0</v>
      </c>
      <c r="J90" s="1">
        <f>MIN($C90)</f>
        <v>0</v>
      </c>
      <c r="K90" s="1">
        <f>MIN($D90)</f>
        <v>0</v>
      </c>
      <c r="L90" s="1">
        <f>MIN($E90)</f>
        <v>0</v>
      </c>
      <c r="M90" s="1">
        <f>MIN($G90)</f>
        <v>0</v>
      </c>
      <c r="N90" s="1">
        <f>MIN($H90)</f>
        <v>0</v>
      </c>
      <c r="O90" s="1">
        <f>MEDIAN($B90)</f>
        <v>0</v>
      </c>
      <c r="P90" s="1">
        <f>MEDIAN($C90)</f>
        <v>0</v>
      </c>
      <c r="Q90" s="1">
        <f>MEDIAN($D90)</f>
        <v>0</v>
      </c>
      <c r="R90" s="1">
        <f>MEDIAN($E90)</f>
        <v>0</v>
      </c>
      <c r="S90" s="1">
        <f>MEDIAN($G90)</f>
        <v>0</v>
      </c>
      <c r="T90" s="1">
        <f>MEDIAN($H90)</f>
        <v>0</v>
      </c>
      <c r="U90" s="1">
        <f>MAX($B90)</f>
        <v>0</v>
      </c>
      <c r="V90" s="1">
        <f>MAX($C90)</f>
        <v>0</v>
      </c>
      <c r="W90" s="1">
        <f>MAX($D90)</f>
        <v>0</v>
      </c>
      <c r="X90" s="1">
        <f>MAX($E90)</f>
        <v>0</v>
      </c>
      <c r="Y90" s="1">
        <f>MAX($G90)</f>
        <v>0</v>
      </c>
      <c r="Z90" s="1">
        <f>MAX($H90)</f>
        <v>0</v>
      </c>
    </row>
    <row r="91" spans="1:26">
      <c r="A91" s="1" t="s">
        <v>88</v>
      </c>
      <c r="B91" s="1">
        <v>1</v>
      </c>
      <c r="C91" s="1">
        <v>0</v>
      </c>
      <c r="D91" s="1">
        <v>0</v>
      </c>
      <c r="E91" s="1">
        <v>10000</v>
      </c>
      <c r="F91" s="1" t="s">
        <v>197</v>
      </c>
      <c r="G91" s="1">
        <v>5000</v>
      </c>
      <c r="H91" s="1">
        <v>1</v>
      </c>
      <c r="I91" s="1">
        <f>MIN($B91)</f>
        <v>0</v>
      </c>
      <c r="J91" s="1">
        <f>MIN($C91)</f>
        <v>0</v>
      </c>
      <c r="K91" s="1">
        <f>MIN($D91)</f>
        <v>0</v>
      </c>
      <c r="L91" s="1">
        <f>MIN($E91)</f>
        <v>0</v>
      </c>
      <c r="M91" s="1">
        <f>MIN($G91)</f>
        <v>0</v>
      </c>
      <c r="N91" s="1">
        <f>MIN($H91)</f>
        <v>0</v>
      </c>
      <c r="O91" s="1">
        <f>MEDIAN($B91)</f>
        <v>0</v>
      </c>
      <c r="P91" s="1">
        <f>MEDIAN($C91)</f>
        <v>0</v>
      </c>
      <c r="Q91" s="1">
        <f>MEDIAN($D91)</f>
        <v>0</v>
      </c>
      <c r="R91" s="1">
        <f>MEDIAN($E91)</f>
        <v>0</v>
      </c>
      <c r="S91" s="1">
        <f>MEDIAN($G91)</f>
        <v>0</v>
      </c>
      <c r="T91" s="1">
        <f>MEDIAN($H91)</f>
        <v>0</v>
      </c>
      <c r="U91" s="1">
        <f>MAX($B91)</f>
        <v>0</v>
      </c>
      <c r="V91" s="1">
        <f>MAX($C91)</f>
        <v>0</v>
      </c>
      <c r="W91" s="1">
        <f>MAX($D91)</f>
        <v>0</v>
      </c>
      <c r="X91" s="1">
        <f>MAX($E91)</f>
        <v>0</v>
      </c>
      <c r="Y91" s="1">
        <f>MAX($G91)</f>
        <v>0</v>
      </c>
      <c r="Z91" s="1">
        <f>MAX($H91)</f>
        <v>0</v>
      </c>
    </row>
    <row r="92" spans="1:26">
      <c r="A92" s="1" t="s">
        <v>89</v>
      </c>
      <c r="B92" s="1">
        <v>1</v>
      </c>
      <c r="C92" s="1">
        <v>0</v>
      </c>
      <c r="D92" s="1">
        <v>0</v>
      </c>
      <c r="E92" s="1">
        <v>10000</v>
      </c>
      <c r="F92" s="1" t="s">
        <v>197</v>
      </c>
      <c r="G92" s="1">
        <v>5000</v>
      </c>
      <c r="H92" s="1">
        <v>1</v>
      </c>
      <c r="I92" s="1">
        <f>MIN($B92)</f>
        <v>0</v>
      </c>
      <c r="J92" s="1">
        <f>MIN($C92)</f>
        <v>0</v>
      </c>
      <c r="K92" s="1">
        <f>MIN($D92)</f>
        <v>0</v>
      </c>
      <c r="L92" s="1">
        <f>MIN($E92)</f>
        <v>0</v>
      </c>
      <c r="M92" s="1">
        <f>MIN($G92)</f>
        <v>0</v>
      </c>
      <c r="N92" s="1">
        <f>MIN($H92)</f>
        <v>0</v>
      </c>
      <c r="O92" s="1">
        <f>MEDIAN($B92)</f>
        <v>0</v>
      </c>
      <c r="P92" s="1">
        <f>MEDIAN($C92)</f>
        <v>0</v>
      </c>
      <c r="Q92" s="1">
        <f>MEDIAN($D92)</f>
        <v>0</v>
      </c>
      <c r="R92" s="1">
        <f>MEDIAN($E92)</f>
        <v>0</v>
      </c>
      <c r="S92" s="1">
        <f>MEDIAN($G92)</f>
        <v>0</v>
      </c>
      <c r="T92" s="1">
        <f>MEDIAN($H92)</f>
        <v>0</v>
      </c>
      <c r="U92" s="1">
        <f>MAX($B92)</f>
        <v>0</v>
      </c>
      <c r="V92" s="1">
        <f>MAX($C92)</f>
        <v>0</v>
      </c>
      <c r="W92" s="1">
        <f>MAX($D92)</f>
        <v>0</v>
      </c>
      <c r="X92" s="1">
        <f>MAX($E92)</f>
        <v>0</v>
      </c>
      <c r="Y92" s="1">
        <f>MAX($G92)</f>
        <v>0</v>
      </c>
      <c r="Z92" s="1">
        <f>MAX($H92)</f>
        <v>0</v>
      </c>
    </row>
    <row r="93" spans="1:26">
      <c r="A93" s="1" t="s">
        <v>90</v>
      </c>
      <c r="B93" s="1">
        <v>1</v>
      </c>
      <c r="C93" s="1">
        <v>0</v>
      </c>
      <c r="D93" s="1">
        <v>0</v>
      </c>
      <c r="E93" s="1">
        <v>10000</v>
      </c>
      <c r="F93" s="1" t="s">
        <v>197</v>
      </c>
      <c r="G93" s="1">
        <v>5000</v>
      </c>
      <c r="H93" s="1">
        <v>1</v>
      </c>
      <c r="I93" s="1">
        <f>MIN($B93)</f>
        <v>0</v>
      </c>
      <c r="J93" s="1">
        <f>MIN($C93)</f>
        <v>0</v>
      </c>
      <c r="K93" s="1">
        <f>MIN($D93)</f>
        <v>0</v>
      </c>
      <c r="L93" s="1">
        <f>MIN($E93)</f>
        <v>0</v>
      </c>
      <c r="M93" s="1">
        <f>MIN($G93)</f>
        <v>0</v>
      </c>
      <c r="N93" s="1">
        <f>MIN($H93)</f>
        <v>0</v>
      </c>
      <c r="O93" s="1">
        <f>MEDIAN($B93)</f>
        <v>0</v>
      </c>
      <c r="P93" s="1">
        <f>MEDIAN($C93)</f>
        <v>0</v>
      </c>
      <c r="Q93" s="1">
        <f>MEDIAN($D93)</f>
        <v>0</v>
      </c>
      <c r="R93" s="1">
        <f>MEDIAN($E93)</f>
        <v>0</v>
      </c>
      <c r="S93" s="1">
        <f>MEDIAN($G93)</f>
        <v>0</v>
      </c>
      <c r="T93" s="1">
        <f>MEDIAN($H93)</f>
        <v>0</v>
      </c>
      <c r="U93" s="1">
        <f>MAX($B93)</f>
        <v>0</v>
      </c>
      <c r="V93" s="1">
        <f>MAX($C93)</f>
        <v>0</v>
      </c>
      <c r="W93" s="1">
        <f>MAX($D93)</f>
        <v>0</v>
      </c>
      <c r="X93" s="1">
        <f>MAX($E93)</f>
        <v>0</v>
      </c>
      <c r="Y93" s="1">
        <f>MAX($G93)</f>
        <v>0</v>
      </c>
      <c r="Z93" s="1">
        <f>MAX($H93)</f>
        <v>0</v>
      </c>
    </row>
    <row r="94" spans="1:26">
      <c r="A94" s="1" t="s">
        <v>91</v>
      </c>
      <c r="B94" s="1">
        <v>1</v>
      </c>
      <c r="C94" s="1">
        <v>0</v>
      </c>
      <c r="D94" s="1">
        <v>0</v>
      </c>
      <c r="E94" s="1">
        <v>10000</v>
      </c>
      <c r="F94" s="1" t="s">
        <v>197</v>
      </c>
      <c r="G94" s="1">
        <v>5000</v>
      </c>
      <c r="H94" s="1">
        <v>1</v>
      </c>
      <c r="I94" s="1">
        <f>MIN($B94)</f>
        <v>0</v>
      </c>
      <c r="J94" s="1">
        <f>MIN($C94)</f>
        <v>0</v>
      </c>
      <c r="K94" s="1">
        <f>MIN($D94)</f>
        <v>0</v>
      </c>
      <c r="L94" s="1">
        <f>MIN($E94)</f>
        <v>0</v>
      </c>
      <c r="M94" s="1">
        <f>MIN($G94)</f>
        <v>0</v>
      </c>
      <c r="N94" s="1">
        <f>MIN($H94)</f>
        <v>0</v>
      </c>
      <c r="O94" s="1">
        <f>MEDIAN($B94)</f>
        <v>0</v>
      </c>
      <c r="P94" s="1">
        <f>MEDIAN($C94)</f>
        <v>0</v>
      </c>
      <c r="Q94" s="1">
        <f>MEDIAN($D94)</f>
        <v>0</v>
      </c>
      <c r="R94" s="1">
        <f>MEDIAN($E94)</f>
        <v>0</v>
      </c>
      <c r="S94" s="1">
        <f>MEDIAN($G94)</f>
        <v>0</v>
      </c>
      <c r="T94" s="1">
        <f>MEDIAN($H94)</f>
        <v>0</v>
      </c>
      <c r="U94" s="1">
        <f>MAX($B94)</f>
        <v>0</v>
      </c>
      <c r="V94" s="1">
        <f>MAX($C94)</f>
        <v>0</v>
      </c>
      <c r="W94" s="1">
        <f>MAX($D94)</f>
        <v>0</v>
      </c>
      <c r="X94" s="1">
        <f>MAX($E94)</f>
        <v>0</v>
      </c>
      <c r="Y94" s="1">
        <f>MAX($G94)</f>
        <v>0</v>
      </c>
      <c r="Z94" s="1">
        <f>MAX($H94)</f>
        <v>0</v>
      </c>
    </row>
    <row r="95" spans="1:26">
      <c r="A95" s="1" t="s">
        <v>92</v>
      </c>
      <c r="B95" s="1">
        <v>1</v>
      </c>
      <c r="C95" s="1">
        <v>0</v>
      </c>
      <c r="D95" s="1">
        <v>0</v>
      </c>
      <c r="E95" s="1">
        <v>10000</v>
      </c>
      <c r="F95" s="1" t="s">
        <v>197</v>
      </c>
      <c r="G95" s="1">
        <v>5000</v>
      </c>
      <c r="H95" s="1">
        <v>1</v>
      </c>
      <c r="I95" s="1">
        <f>MIN($B95)</f>
        <v>0</v>
      </c>
      <c r="J95" s="1">
        <f>MIN($C95)</f>
        <v>0</v>
      </c>
      <c r="K95" s="1">
        <f>MIN($D95)</f>
        <v>0</v>
      </c>
      <c r="L95" s="1">
        <f>MIN($E95)</f>
        <v>0</v>
      </c>
      <c r="M95" s="1">
        <f>MIN($G95)</f>
        <v>0</v>
      </c>
      <c r="N95" s="1">
        <f>MIN($H95)</f>
        <v>0</v>
      </c>
      <c r="O95" s="1">
        <f>MEDIAN($B95)</f>
        <v>0</v>
      </c>
      <c r="P95" s="1">
        <f>MEDIAN($C95)</f>
        <v>0</v>
      </c>
      <c r="Q95" s="1">
        <f>MEDIAN($D95)</f>
        <v>0</v>
      </c>
      <c r="R95" s="1">
        <f>MEDIAN($E95)</f>
        <v>0</v>
      </c>
      <c r="S95" s="1">
        <f>MEDIAN($G95)</f>
        <v>0</v>
      </c>
      <c r="T95" s="1">
        <f>MEDIAN($H95)</f>
        <v>0</v>
      </c>
      <c r="U95" s="1">
        <f>MAX($B95)</f>
        <v>0</v>
      </c>
      <c r="V95" s="1">
        <f>MAX($C95)</f>
        <v>0</v>
      </c>
      <c r="W95" s="1">
        <f>MAX($D95)</f>
        <v>0</v>
      </c>
      <c r="X95" s="1">
        <f>MAX($E95)</f>
        <v>0</v>
      </c>
      <c r="Y95" s="1">
        <f>MAX($G95)</f>
        <v>0</v>
      </c>
      <c r="Z95" s="1">
        <f>MAX($H95)</f>
        <v>0</v>
      </c>
    </row>
    <row r="96" spans="1:26">
      <c r="A96" s="1" t="s">
        <v>93</v>
      </c>
      <c r="B96" s="1">
        <v>1</v>
      </c>
      <c r="C96" s="1">
        <v>0</v>
      </c>
      <c r="D96" s="1">
        <v>0</v>
      </c>
      <c r="E96" s="1">
        <v>10000</v>
      </c>
      <c r="F96" s="1" t="s">
        <v>197</v>
      </c>
      <c r="G96" s="1">
        <v>5000</v>
      </c>
      <c r="H96" s="1">
        <v>1</v>
      </c>
      <c r="I96" s="1">
        <f>MIN($B96)</f>
        <v>0</v>
      </c>
      <c r="J96" s="1">
        <f>MIN($C96)</f>
        <v>0</v>
      </c>
      <c r="K96" s="1">
        <f>MIN($D96)</f>
        <v>0</v>
      </c>
      <c r="L96" s="1">
        <f>MIN($E96)</f>
        <v>0</v>
      </c>
      <c r="M96" s="1">
        <f>MIN($G96)</f>
        <v>0</v>
      </c>
      <c r="N96" s="1">
        <f>MIN($H96)</f>
        <v>0</v>
      </c>
      <c r="O96" s="1">
        <f>MEDIAN($B96)</f>
        <v>0</v>
      </c>
      <c r="P96" s="1">
        <f>MEDIAN($C96)</f>
        <v>0</v>
      </c>
      <c r="Q96" s="1">
        <f>MEDIAN($D96)</f>
        <v>0</v>
      </c>
      <c r="R96" s="1">
        <f>MEDIAN($E96)</f>
        <v>0</v>
      </c>
      <c r="S96" s="1">
        <f>MEDIAN($G96)</f>
        <v>0</v>
      </c>
      <c r="T96" s="1">
        <f>MEDIAN($H96)</f>
        <v>0</v>
      </c>
      <c r="U96" s="1">
        <f>MAX($B96)</f>
        <v>0</v>
      </c>
      <c r="V96" s="1">
        <f>MAX($C96)</f>
        <v>0</v>
      </c>
      <c r="W96" s="1">
        <f>MAX($D96)</f>
        <v>0</v>
      </c>
      <c r="X96" s="1">
        <f>MAX($E96)</f>
        <v>0</v>
      </c>
      <c r="Y96" s="1">
        <f>MAX($G96)</f>
        <v>0</v>
      </c>
      <c r="Z96" s="1">
        <f>MAX($H96)</f>
        <v>0</v>
      </c>
    </row>
    <row r="97" spans="1:26">
      <c r="A97" s="1" t="s">
        <v>94</v>
      </c>
      <c r="B97" s="1">
        <v>1</v>
      </c>
      <c r="C97" s="1">
        <v>0</v>
      </c>
      <c r="D97" s="1">
        <v>0</v>
      </c>
      <c r="E97" s="1">
        <v>10000</v>
      </c>
      <c r="F97" s="1" t="s">
        <v>197</v>
      </c>
      <c r="G97" s="1">
        <v>5000</v>
      </c>
      <c r="H97" s="1">
        <v>1</v>
      </c>
      <c r="I97" s="1">
        <f>MIN($B97)</f>
        <v>0</v>
      </c>
      <c r="J97" s="1">
        <f>MIN($C97)</f>
        <v>0</v>
      </c>
      <c r="K97" s="1">
        <f>MIN($D97)</f>
        <v>0</v>
      </c>
      <c r="L97" s="1">
        <f>MIN($E97)</f>
        <v>0</v>
      </c>
      <c r="M97" s="1">
        <f>MIN($G97)</f>
        <v>0</v>
      </c>
      <c r="N97" s="1">
        <f>MIN($H97)</f>
        <v>0</v>
      </c>
      <c r="O97" s="1">
        <f>MEDIAN($B97)</f>
        <v>0</v>
      </c>
      <c r="P97" s="1">
        <f>MEDIAN($C97)</f>
        <v>0</v>
      </c>
      <c r="Q97" s="1">
        <f>MEDIAN($D97)</f>
        <v>0</v>
      </c>
      <c r="R97" s="1">
        <f>MEDIAN($E97)</f>
        <v>0</v>
      </c>
      <c r="S97" s="1">
        <f>MEDIAN($G97)</f>
        <v>0</v>
      </c>
      <c r="T97" s="1">
        <f>MEDIAN($H97)</f>
        <v>0</v>
      </c>
      <c r="U97" s="1">
        <f>MAX($B97)</f>
        <v>0</v>
      </c>
      <c r="V97" s="1">
        <f>MAX($C97)</f>
        <v>0</v>
      </c>
      <c r="W97" s="1">
        <f>MAX($D97)</f>
        <v>0</v>
      </c>
      <c r="X97" s="1">
        <f>MAX($E97)</f>
        <v>0</v>
      </c>
      <c r="Y97" s="1">
        <f>MAX($G97)</f>
        <v>0</v>
      </c>
      <c r="Z97" s="1">
        <f>MAX($H97)</f>
        <v>0</v>
      </c>
    </row>
    <row r="98" spans="1:26">
      <c r="A98" s="1" t="s">
        <v>95</v>
      </c>
      <c r="B98" s="1">
        <v>1</v>
      </c>
      <c r="C98" s="1">
        <v>0</v>
      </c>
      <c r="D98" s="1">
        <v>0</v>
      </c>
      <c r="E98" s="1">
        <v>10000</v>
      </c>
      <c r="F98" s="1" t="s">
        <v>197</v>
      </c>
      <c r="G98" s="1">
        <v>5000</v>
      </c>
      <c r="H98" s="1">
        <v>1</v>
      </c>
      <c r="I98" s="1">
        <f>MIN($B98)</f>
        <v>0</v>
      </c>
      <c r="J98" s="1">
        <f>MIN($C98)</f>
        <v>0</v>
      </c>
      <c r="K98" s="1">
        <f>MIN($D98)</f>
        <v>0</v>
      </c>
      <c r="L98" s="1">
        <f>MIN($E98)</f>
        <v>0</v>
      </c>
      <c r="M98" s="1">
        <f>MIN($G98)</f>
        <v>0</v>
      </c>
      <c r="N98" s="1">
        <f>MIN($H98)</f>
        <v>0</v>
      </c>
      <c r="O98" s="1">
        <f>MEDIAN($B98)</f>
        <v>0</v>
      </c>
      <c r="P98" s="1">
        <f>MEDIAN($C98)</f>
        <v>0</v>
      </c>
      <c r="Q98" s="1">
        <f>MEDIAN($D98)</f>
        <v>0</v>
      </c>
      <c r="R98" s="1">
        <f>MEDIAN($E98)</f>
        <v>0</v>
      </c>
      <c r="S98" s="1">
        <f>MEDIAN($G98)</f>
        <v>0</v>
      </c>
      <c r="T98" s="1">
        <f>MEDIAN($H98)</f>
        <v>0</v>
      </c>
      <c r="U98" s="1">
        <f>MAX($B98)</f>
        <v>0</v>
      </c>
      <c r="V98" s="1">
        <f>MAX($C98)</f>
        <v>0</v>
      </c>
      <c r="W98" s="1">
        <f>MAX($D98)</f>
        <v>0</v>
      </c>
      <c r="X98" s="1">
        <f>MAX($E98)</f>
        <v>0</v>
      </c>
      <c r="Y98" s="1">
        <f>MAX($G98)</f>
        <v>0</v>
      </c>
      <c r="Z98" s="1">
        <f>MAX($H98)</f>
        <v>0</v>
      </c>
    </row>
    <row r="99" spans="1:26">
      <c r="A99" s="1" t="s">
        <v>96</v>
      </c>
      <c r="B99" s="1">
        <v>1</v>
      </c>
      <c r="C99" s="1">
        <v>0</v>
      </c>
      <c r="D99" s="1">
        <v>0</v>
      </c>
      <c r="E99" s="1">
        <v>10000</v>
      </c>
      <c r="F99" s="1" t="s">
        <v>197</v>
      </c>
      <c r="G99" s="1">
        <v>5000</v>
      </c>
      <c r="H99" s="1">
        <v>1</v>
      </c>
      <c r="I99" s="1">
        <f>MIN($B99)</f>
        <v>0</v>
      </c>
      <c r="J99" s="1">
        <f>MIN($C99)</f>
        <v>0</v>
      </c>
      <c r="K99" s="1">
        <f>MIN($D99)</f>
        <v>0</v>
      </c>
      <c r="L99" s="1">
        <f>MIN($E99)</f>
        <v>0</v>
      </c>
      <c r="M99" s="1">
        <f>MIN($G99)</f>
        <v>0</v>
      </c>
      <c r="N99" s="1">
        <f>MIN($H99)</f>
        <v>0</v>
      </c>
      <c r="O99" s="1">
        <f>MEDIAN($B99)</f>
        <v>0</v>
      </c>
      <c r="P99" s="1">
        <f>MEDIAN($C99)</f>
        <v>0</v>
      </c>
      <c r="Q99" s="1">
        <f>MEDIAN($D99)</f>
        <v>0</v>
      </c>
      <c r="R99" s="1">
        <f>MEDIAN($E99)</f>
        <v>0</v>
      </c>
      <c r="S99" s="1">
        <f>MEDIAN($G99)</f>
        <v>0</v>
      </c>
      <c r="T99" s="1">
        <f>MEDIAN($H99)</f>
        <v>0</v>
      </c>
      <c r="U99" s="1">
        <f>MAX($B99)</f>
        <v>0</v>
      </c>
      <c r="V99" s="1">
        <f>MAX($C99)</f>
        <v>0</v>
      </c>
      <c r="W99" s="1">
        <f>MAX($D99)</f>
        <v>0</v>
      </c>
      <c r="X99" s="1">
        <f>MAX($E99)</f>
        <v>0</v>
      </c>
      <c r="Y99" s="1">
        <f>MAX($G99)</f>
        <v>0</v>
      </c>
      <c r="Z99" s="1">
        <f>MAX($H99)</f>
        <v>0</v>
      </c>
    </row>
    <row r="100" spans="1:26">
      <c r="A100" s="1" t="s">
        <v>97</v>
      </c>
      <c r="B100" s="1">
        <v>1</v>
      </c>
      <c r="C100" s="1">
        <v>0</v>
      </c>
      <c r="D100" s="1">
        <v>0</v>
      </c>
      <c r="E100" s="1">
        <v>10000</v>
      </c>
      <c r="F100" s="1" t="s">
        <v>197</v>
      </c>
      <c r="G100" s="1">
        <v>5000</v>
      </c>
      <c r="H100" s="1">
        <v>1</v>
      </c>
      <c r="I100" s="1">
        <f>MIN($B100)</f>
        <v>0</v>
      </c>
      <c r="J100" s="1">
        <f>MIN($C100)</f>
        <v>0</v>
      </c>
      <c r="K100" s="1">
        <f>MIN($D100)</f>
        <v>0</v>
      </c>
      <c r="L100" s="1">
        <f>MIN($E100)</f>
        <v>0</v>
      </c>
      <c r="M100" s="1">
        <f>MIN($G100)</f>
        <v>0</v>
      </c>
      <c r="N100" s="1">
        <f>MIN($H100)</f>
        <v>0</v>
      </c>
      <c r="O100" s="1">
        <f>MEDIAN($B100)</f>
        <v>0</v>
      </c>
      <c r="P100" s="1">
        <f>MEDIAN($C100)</f>
        <v>0</v>
      </c>
      <c r="Q100" s="1">
        <f>MEDIAN($D100)</f>
        <v>0</v>
      </c>
      <c r="R100" s="1">
        <f>MEDIAN($E100)</f>
        <v>0</v>
      </c>
      <c r="S100" s="1">
        <f>MEDIAN($G100)</f>
        <v>0</v>
      </c>
      <c r="T100" s="1">
        <f>MEDIAN($H100)</f>
        <v>0</v>
      </c>
      <c r="U100" s="1">
        <f>MAX($B100)</f>
        <v>0</v>
      </c>
      <c r="V100" s="1">
        <f>MAX($C100)</f>
        <v>0</v>
      </c>
      <c r="W100" s="1">
        <f>MAX($D100)</f>
        <v>0</v>
      </c>
      <c r="X100" s="1">
        <f>MAX($E100)</f>
        <v>0</v>
      </c>
      <c r="Y100" s="1">
        <f>MAX($G100)</f>
        <v>0</v>
      </c>
      <c r="Z100" s="1">
        <f>MAX($H100)</f>
        <v>0</v>
      </c>
    </row>
    <row r="101" spans="1:26">
      <c r="A101" s="1" t="s">
        <v>98</v>
      </c>
      <c r="B101" s="1">
        <v>1</v>
      </c>
      <c r="C101" s="1">
        <v>0</v>
      </c>
      <c r="D101" s="1">
        <v>0</v>
      </c>
      <c r="E101" s="1">
        <v>10000</v>
      </c>
      <c r="F101" s="1" t="s">
        <v>197</v>
      </c>
      <c r="G101" s="1">
        <v>5000</v>
      </c>
      <c r="H101" s="1">
        <v>1</v>
      </c>
      <c r="I101" s="1">
        <f>MIN($B101)</f>
        <v>0</v>
      </c>
      <c r="J101" s="1">
        <f>MIN($C101)</f>
        <v>0</v>
      </c>
      <c r="K101" s="1">
        <f>MIN($D101)</f>
        <v>0</v>
      </c>
      <c r="L101" s="1">
        <f>MIN($E101)</f>
        <v>0</v>
      </c>
      <c r="M101" s="1">
        <f>MIN($G101)</f>
        <v>0</v>
      </c>
      <c r="N101" s="1">
        <f>MIN($H101)</f>
        <v>0</v>
      </c>
      <c r="O101" s="1">
        <f>MEDIAN($B101)</f>
        <v>0</v>
      </c>
      <c r="P101" s="1">
        <f>MEDIAN($C101)</f>
        <v>0</v>
      </c>
      <c r="Q101" s="1">
        <f>MEDIAN($D101)</f>
        <v>0</v>
      </c>
      <c r="R101" s="1">
        <f>MEDIAN($E101)</f>
        <v>0</v>
      </c>
      <c r="S101" s="1">
        <f>MEDIAN($G101)</f>
        <v>0</v>
      </c>
      <c r="T101" s="1">
        <f>MEDIAN($H101)</f>
        <v>0</v>
      </c>
      <c r="U101" s="1">
        <f>MAX($B101)</f>
        <v>0</v>
      </c>
      <c r="V101" s="1">
        <f>MAX($C101)</f>
        <v>0</v>
      </c>
      <c r="W101" s="1">
        <f>MAX($D101)</f>
        <v>0</v>
      </c>
      <c r="X101" s="1">
        <f>MAX($E101)</f>
        <v>0</v>
      </c>
      <c r="Y101" s="1">
        <f>MAX($G101)</f>
        <v>0</v>
      </c>
      <c r="Z101" s="1">
        <f>MAX($H101)</f>
        <v>0</v>
      </c>
    </row>
    <row r="102" spans="1:26">
      <c r="A102" s="1" t="s">
        <v>99</v>
      </c>
      <c r="B102" s="1">
        <v>1</v>
      </c>
      <c r="C102" s="1">
        <v>0</v>
      </c>
      <c r="D102" s="1">
        <v>0</v>
      </c>
      <c r="E102" s="1">
        <v>10000</v>
      </c>
      <c r="F102" s="1" t="s">
        <v>197</v>
      </c>
      <c r="G102" s="1">
        <v>5000</v>
      </c>
      <c r="H102" s="1">
        <v>1</v>
      </c>
      <c r="I102" s="1">
        <f>MIN($B102)</f>
        <v>0</v>
      </c>
      <c r="J102" s="1">
        <f>MIN($C102)</f>
        <v>0</v>
      </c>
      <c r="K102" s="1">
        <f>MIN($D102)</f>
        <v>0</v>
      </c>
      <c r="L102" s="1">
        <f>MIN($E102)</f>
        <v>0</v>
      </c>
      <c r="M102" s="1">
        <f>MIN($G102)</f>
        <v>0</v>
      </c>
      <c r="N102" s="1">
        <f>MIN($H102)</f>
        <v>0</v>
      </c>
      <c r="O102" s="1">
        <f>MEDIAN($B102)</f>
        <v>0</v>
      </c>
      <c r="P102" s="1">
        <f>MEDIAN($C102)</f>
        <v>0</v>
      </c>
      <c r="Q102" s="1">
        <f>MEDIAN($D102)</f>
        <v>0</v>
      </c>
      <c r="R102" s="1">
        <f>MEDIAN($E102)</f>
        <v>0</v>
      </c>
      <c r="S102" s="1">
        <f>MEDIAN($G102)</f>
        <v>0</v>
      </c>
      <c r="T102" s="1">
        <f>MEDIAN($H102)</f>
        <v>0</v>
      </c>
      <c r="U102" s="1">
        <f>MAX($B102)</f>
        <v>0</v>
      </c>
      <c r="V102" s="1">
        <f>MAX($C102)</f>
        <v>0</v>
      </c>
      <c r="W102" s="1">
        <f>MAX($D102)</f>
        <v>0</v>
      </c>
      <c r="X102" s="1">
        <f>MAX($E102)</f>
        <v>0</v>
      </c>
      <c r="Y102" s="1">
        <f>MAX($G102)</f>
        <v>0</v>
      </c>
      <c r="Z102" s="1">
        <f>MAX($H102)</f>
        <v>0</v>
      </c>
    </row>
    <row r="103" spans="1:26">
      <c r="A103" s="1" t="s">
        <v>100</v>
      </c>
      <c r="B103" s="1">
        <v>1</v>
      </c>
      <c r="C103" s="1">
        <v>0</v>
      </c>
      <c r="D103" s="1">
        <v>0</v>
      </c>
      <c r="E103" s="1">
        <v>10000</v>
      </c>
      <c r="F103" s="1" t="s">
        <v>197</v>
      </c>
      <c r="G103" s="1">
        <v>5000</v>
      </c>
      <c r="H103" s="1">
        <v>1</v>
      </c>
      <c r="I103" s="1">
        <f>MIN($B103)</f>
        <v>0</v>
      </c>
      <c r="J103" s="1">
        <f>MIN($C103)</f>
        <v>0</v>
      </c>
      <c r="K103" s="1">
        <f>MIN($D103)</f>
        <v>0</v>
      </c>
      <c r="L103" s="1">
        <f>MIN($E103)</f>
        <v>0</v>
      </c>
      <c r="M103" s="1">
        <f>MIN($G103)</f>
        <v>0</v>
      </c>
      <c r="N103" s="1">
        <f>MIN($H103)</f>
        <v>0</v>
      </c>
      <c r="O103" s="1">
        <f>MEDIAN($B103)</f>
        <v>0</v>
      </c>
      <c r="P103" s="1">
        <f>MEDIAN($C103)</f>
        <v>0</v>
      </c>
      <c r="Q103" s="1">
        <f>MEDIAN($D103)</f>
        <v>0</v>
      </c>
      <c r="R103" s="1">
        <f>MEDIAN($E103)</f>
        <v>0</v>
      </c>
      <c r="S103" s="1">
        <f>MEDIAN($G103)</f>
        <v>0</v>
      </c>
      <c r="T103" s="1">
        <f>MEDIAN($H103)</f>
        <v>0</v>
      </c>
      <c r="U103" s="1">
        <f>MAX($B103)</f>
        <v>0</v>
      </c>
      <c r="V103" s="1">
        <f>MAX($C103)</f>
        <v>0</v>
      </c>
      <c r="W103" s="1">
        <f>MAX($D103)</f>
        <v>0</v>
      </c>
      <c r="X103" s="1">
        <f>MAX($E103)</f>
        <v>0</v>
      </c>
      <c r="Y103" s="1">
        <f>MAX($G103)</f>
        <v>0</v>
      </c>
      <c r="Z103" s="1">
        <f>MAX($H103)</f>
        <v>0</v>
      </c>
    </row>
    <row r="104" spans="1:26">
      <c r="A104" s="1" t="s">
        <v>101</v>
      </c>
      <c r="B104" s="1">
        <v>1</v>
      </c>
      <c r="C104" s="1">
        <v>0</v>
      </c>
      <c r="D104" s="1">
        <v>0</v>
      </c>
      <c r="E104" s="1">
        <v>10000</v>
      </c>
      <c r="F104" s="1" t="s">
        <v>197</v>
      </c>
      <c r="G104" s="1">
        <v>5000</v>
      </c>
      <c r="H104" s="1">
        <v>1</v>
      </c>
      <c r="I104" s="1">
        <f>MIN($B104)</f>
        <v>0</v>
      </c>
      <c r="J104" s="1">
        <f>MIN($C104)</f>
        <v>0</v>
      </c>
      <c r="K104" s="1">
        <f>MIN($D104)</f>
        <v>0</v>
      </c>
      <c r="L104" s="1">
        <f>MIN($E104)</f>
        <v>0</v>
      </c>
      <c r="M104" s="1">
        <f>MIN($G104)</f>
        <v>0</v>
      </c>
      <c r="N104" s="1">
        <f>MIN($H104)</f>
        <v>0</v>
      </c>
      <c r="O104" s="1">
        <f>MEDIAN($B104)</f>
        <v>0</v>
      </c>
      <c r="P104" s="1">
        <f>MEDIAN($C104)</f>
        <v>0</v>
      </c>
      <c r="Q104" s="1">
        <f>MEDIAN($D104)</f>
        <v>0</v>
      </c>
      <c r="R104" s="1">
        <f>MEDIAN($E104)</f>
        <v>0</v>
      </c>
      <c r="S104" s="1">
        <f>MEDIAN($G104)</f>
        <v>0</v>
      </c>
      <c r="T104" s="1">
        <f>MEDIAN($H104)</f>
        <v>0</v>
      </c>
      <c r="U104" s="1">
        <f>MAX($B104)</f>
        <v>0</v>
      </c>
      <c r="V104" s="1">
        <f>MAX($C104)</f>
        <v>0</v>
      </c>
      <c r="W104" s="1">
        <f>MAX($D104)</f>
        <v>0</v>
      </c>
      <c r="X104" s="1">
        <f>MAX($E104)</f>
        <v>0</v>
      </c>
      <c r="Y104" s="1">
        <f>MAX($G104)</f>
        <v>0</v>
      </c>
      <c r="Z104" s="1">
        <f>MAX($H104)</f>
        <v>0</v>
      </c>
    </row>
    <row r="105" spans="1:26">
      <c r="A105" s="1" t="s">
        <v>102</v>
      </c>
      <c r="B105" s="1">
        <v>1</v>
      </c>
      <c r="C105" s="1">
        <v>0</v>
      </c>
      <c r="D105" s="1">
        <v>0</v>
      </c>
      <c r="E105" s="1">
        <v>10000</v>
      </c>
      <c r="F105" s="1" t="s">
        <v>197</v>
      </c>
      <c r="G105" s="1">
        <v>5000</v>
      </c>
      <c r="H105" s="1">
        <v>1</v>
      </c>
      <c r="I105" s="1">
        <f>MIN($B105)</f>
        <v>0</v>
      </c>
      <c r="J105" s="1">
        <f>MIN($C105)</f>
        <v>0</v>
      </c>
      <c r="K105" s="1">
        <f>MIN($D105)</f>
        <v>0</v>
      </c>
      <c r="L105" s="1">
        <f>MIN($E105)</f>
        <v>0</v>
      </c>
      <c r="M105" s="1">
        <f>MIN($G105)</f>
        <v>0</v>
      </c>
      <c r="N105" s="1">
        <f>MIN($H105)</f>
        <v>0</v>
      </c>
      <c r="O105" s="1">
        <f>MEDIAN($B105)</f>
        <v>0</v>
      </c>
      <c r="P105" s="1">
        <f>MEDIAN($C105)</f>
        <v>0</v>
      </c>
      <c r="Q105" s="1">
        <f>MEDIAN($D105)</f>
        <v>0</v>
      </c>
      <c r="R105" s="1">
        <f>MEDIAN($E105)</f>
        <v>0</v>
      </c>
      <c r="S105" s="1">
        <f>MEDIAN($G105)</f>
        <v>0</v>
      </c>
      <c r="T105" s="1">
        <f>MEDIAN($H105)</f>
        <v>0</v>
      </c>
      <c r="U105" s="1">
        <f>MAX($B105)</f>
        <v>0</v>
      </c>
      <c r="V105" s="1">
        <f>MAX($C105)</f>
        <v>0</v>
      </c>
      <c r="W105" s="1">
        <f>MAX($D105)</f>
        <v>0</v>
      </c>
      <c r="X105" s="1">
        <f>MAX($E105)</f>
        <v>0</v>
      </c>
      <c r="Y105" s="1">
        <f>MAX($G105)</f>
        <v>0</v>
      </c>
      <c r="Z105" s="1">
        <f>MAX($H105)</f>
        <v>0</v>
      </c>
    </row>
    <row r="106" spans="1:26">
      <c r="A106" s="1" t="s">
        <v>103</v>
      </c>
      <c r="B106" s="1">
        <v>1</v>
      </c>
      <c r="C106" s="1">
        <v>0</v>
      </c>
      <c r="D106" s="1">
        <v>0</v>
      </c>
      <c r="E106" s="1">
        <v>10000</v>
      </c>
      <c r="F106" s="1" t="s">
        <v>197</v>
      </c>
      <c r="G106" s="1">
        <v>5000</v>
      </c>
      <c r="H106" s="1">
        <v>1</v>
      </c>
      <c r="I106" s="1">
        <f>MIN($B106)</f>
        <v>0</v>
      </c>
      <c r="J106" s="1">
        <f>MIN($C106)</f>
        <v>0</v>
      </c>
      <c r="K106" s="1">
        <f>MIN($D106)</f>
        <v>0</v>
      </c>
      <c r="L106" s="1">
        <f>MIN($E106)</f>
        <v>0</v>
      </c>
      <c r="M106" s="1">
        <f>MIN($G106)</f>
        <v>0</v>
      </c>
      <c r="N106" s="1">
        <f>MIN($H106)</f>
        <v>0</v>
      </c>
      <c r="O106" s="1">
        <f>MEDIAN($B106)</f>
        <v>0</v>
      </c>
      <c r="P106" s="1">
        <f>MEDIAN($C106)</f>
        <v>0</v>
      </c>
      <c r="Q106" s="1">
        <f>MEDIAN($D106)</f>
        <v>0</v>
      </c>
      <c r="R106" s="1">
        <f>MEDIAN($E106)</f>
        <v>0</v>
      </c>
      <c r="S106" s="1">
        <f>MEDIAN($G106)</f>
        <v>0</v>
      </c>
      <c r="T106" s="1">
        <f>MEDIAN($H106)</f>
        <v>0</v>
      </c>
      <c r="U106" s="1">
        <f>MAX($B106)</f>
        <v>0</v>
      </c>
      <c r="V106" s="1">
        <f>MAX($C106)</f>
        <v>0</v>
      </c>
      <c r="W106" s="1">
        <f>MAX($D106)</f>
        <v>0</v>
      </c>
      <c r="X106" s="1">
        <f>MAX($E106)</f>
        <v>0</v>
      </c>
      <c r="Y106" s="1">
        <f>MAX($G106)</f>
        <v>0</v>
      </c>
      <c r="Z106" s="1">
        <f>MAX($H106)</f>
        <v>0</v>
      </c>
    </row>
    <row r="107" spans="1:26">
      <c r="A107" s="1" t="s">
        <v>104</v>
      </c>
      <c r="B107" s="1">
        <v>1</v>
      </c>
      <c r="C107" s="1">
        <v>0</v>
      </c>
      <c r="D107" s="1">
        <v>0</v>
      </c>
      <c r="E107" s="1">
        <v>10000</v>
      </c>
      <c r="F107" s="1" t="s">
        <v>197</v>
      </c>
      <c r="G107" s="1">
        <v>5000</v>
      </c>
      <c r="H107" s="1">
        <v>1</v>
      </c>
      <c r="I107" s="1">
        <f>MIN($B107)</f>
        <v>0</v>
      </c>
      <c r="J107" s="1">
        <f>MIN($C107)</f>
        <v>0</v>
      </c>
      <c r="K107" s="1">
        <f>MIN($D107)</f>
        <v>0</v>
      </c>
      <c r="L107" s="1">
        <f>MIN($E107)</f>
        <v>0</v>
      </c>
      <c r="M107" s="1">
        <f>MIN($G107)</f>
        <v>0</v>
      </c>
      <c r="N107" s="1">
        <f>MIN($H107)</f>
        <v>0</v>
      </c>
      <c r="O107" s="1">
        <f>MEDIAN($B107)</f>
        <v>0</v>
      </c>
      <c r="P107" s="1">
        <f>MEDIAN($C107)</f>
        <v>0</v>
      </c>
      <c r="Q107" s="1">
        <f>MEDIAN($D107)</f>
        <v>0</v>
      </c>
      <c r="R107" s="1">
        <f>MEDIAN($E107)</f>
        <v>0</v>
      </c>
      <c r="S107" s="1">
        <f>MEDIAN($G107)</f>
        <v>0</v>
      </c>
      <c r="T107" s="1">
        <f>MEDIAN($H107)</f>
        <v>0</v>
      </c>
      <c r="U107" s="1">
        <f>MAX($B107)</f>
        <v>0</v>
      </c>
      <c r="V107" s="1">
        <f>MAX($C107)</f>
        <v>0</v>
      </c>
      <c r="W107" s="1">
        <f>MAX($D107)</f>
        <v>0</v>
      </c>
      <c r="X107" s="1">
        <f>MAX($E107)</f>
        <v>0</v>
      </c>
      <c r="Y107" s="1">
        <f>MAX($G107)</f>
        <v>0</v>
      </c>
      <c r="Z107" s="1">
        <f>MAX($H107)</f>
        <v>0</v>
      </c>
    </row>
    <row r="108" spans="1:26">
      <c r="A108" s="1" t="s">
        <v>105</v>
      </c>
      <c r="B108" s="1">
        <v>1</v>
      </c>
      <c r="C108" s="1">
        <v>0</v>
      </c>
      <c r="D108" s="1">
        <v>0</v>
      </c>
      <c r="E108" s="1">
        <v>10000</v>
      </c>
      <c r="F108" s="1" t="s">
        <v>197</v>
      </c>
      <c r="G108" s="1">
        <v>5000</v>
      </c>
      <c r="H108" s="1">
        <v>1</v>
      </c>
      <c r="I108" s="1">
        <f>MIN($B108)</f>
        <v>0</v>
      </c>
      <c r="J108" s="1">
        <f>MIN($C108)</f>
        <v>0</v>
      </c>
      <c r="K108" s="1">
        <f>MIN($D108)</f>
        <v>0</v>
      </c>
      <c r="L108" s="1">
        <f>MIN($E108)</f>
        <v>0</v>
      </c>
      <c r="M108" s="1">
        <f>MIN($G108)</f>
        <v>0</v>
      </c>
      <c r="N108" s="1">
        <f>MIN($H108)</f>
        <v>0</v>
      </c>
      <c r="O108" s="1">
        <f>MEDIAN($B108)</f>
        <v>0</v>
      </c>
      <c r="P108" s="1">
        <f>MEDIAN($C108)</f>
        <v>0</v>
      </c>
      <c r="Q108" s="1">
        <f>MEDIAN($D108)</f>
        <v>0</v>
      </c>
      <c r="R108" s="1">
        <f>MEDIAN($E108)</f>
        <v>0</v>
      </c>
      <c r="S108" s="1">
        <f>MEDIAN($G108)</f>
        <v>0</v>
      </c>
      <c r="T108" s="1">
        <f>MEDIAN($H108)</f>
        <v>0</v>
      </c>
      <c r="U108" s="1">
        <f>MAX($B108)</f>
        <v>0</v>
      </c>
      <c r="V108" s="1">
        <f>MAX($C108)</f>
        <v>0</v>
      </c>
      <c r="W108" s="1">
        <f>MAX($D108)</f>
        <v>0</v>
      </c>
      <c r="X108" s="1">
        <f>MAX($E108)</f>
        <v>0</v>
      </c>
      <c r="Y108" s="1">
        <f>MAX($G108)</f>
        <v>0</v>
      </c>
      <c r="Z108" s="1">
        <f>MAX($H108)</f>
        <v>0</v>
      </c>
    </row>
    <row r="109" spans="1:26">
      <c r="A109" s="1" t="s">
        <v>106</v>
      </c>
      <c r="B109" s="1">
        <v>1</v>
      </c>
      <c r="C109" s="1">
        <v>0</v>
      </c>
      <c r="D109" s="1">
        <v>0</v>
      </c>
      <c r="E109" s="1">
        <v>10000</v>
      </c>
      <c r="F109" s="1" t="s">
        <v>197</v>
      </c>
      <c r="G109" s="1">
        <v>5000</v>
      </c>
      <c r="H109" s="1">
        <v>1</v>
      </c>
      <c r="I109" s="1">
        <f>MIN($B109)</f>
        <v>0</v>
      </c>
      <c r="J109" s="1">
        <f>MIN($C109)</f>
        <v>0</v>
      </c>
      <c r="K109" s="1">
        <f>MIN($D109)</f>
        <v>0</v>
      </c>
      <c r="L109" s="1">
        <f>MIN($E109)</f>
        <v>0</v>
      </c>
      <c r="M109" s="1">
        <f>MIN($G109)</f>
        <v>0</v>
      </c>
      <c r="N109" s="1">
        <f>MIN($H109)</f>
        <v>0</v>
      </c>
      <c r="O109" s="1">
        <f>MEDIAN($B109)</f>
        <v>0</v>
      </c>
      <c r="P109" s="1">
        <f>MEDIAN($C109)</f>
        <v>0</v>
      </c>
      <c r="Q109" s="1">
        <f>MEDIAN($D109)</f>
        <v>0</v>
      </c>
      <c r="R109" s="1">
        <f>MEDIAN($E109)</f>
        <v>0</v>
      </c>
      <c r="S109" s="1">
        <f>MEDIAN($G109)</f>
        <v>0</v>
      </c>
      <c r="T109" s="1">
        <f>MEDIAN($H109)</f>
        <v>0</v>
      </c>
      <c r="U109" s="1">
        <f>MAX($B109)</f>
        <v>0</v>
      </c>
      <c r="V109" s="1">
        <f>MAX($C109)</f>
        <v>0</v>
      </c>
      <c r="W109" s="1">
        <f>MAX($D109)</f>
        <v>0</v>
      </c>
      <c r="X109" s="1">
        <f>MAX($E109)</f>
        <v>0</v>
      </c>
      <c r="Y109" s="1">
        <f>MAX($G109)</f>
        <v>0</v>
      </c>
      <c r="Z109" s="1">
        <f>MAX($H109)</f>
        <v>0</v>
      </c>
    </row>
    <row r="110" spans="1:26">
      <c r="A110" s="1" t="s">
        <v>107</v>
      </c>
      <c r="B110" s="1">
        <v>1</v>
      </c>
      <c r="C110" s="1">
        <v>0</v>
      </c>
      <c r="D110" s="1">
        <v>0</v>
      </c>
      <c r="E110" s="1">
        <v>10000</v>
      </c>
      <c r="F110" s="1" t="s">
        <v>197</v>
      </c>
      <c r="G110" s="1">
        <v>5000</v>
      </c>
      <c r="H110" s="1">
        <v>1</v>
      </c>
      <c r="I110" s="1">
        <f>MIN($B110)</f>
        <v>0</v>
      </c>
      <c r="J110" s="1">
        <f>MIN($C110)</f>
        <v>0</v>
      </c>
      <c r="K110" s="1">
        <f>MIN($D110)</f>
        <v>0</v>
      </c>
      <c r="L110" s="1">
        <f>MIN($E110)</f>
        <v>0</v>
      </c>
      <c r="M110" s="1">
        <f>MIN($G110)</f>
        <v>0</v>
      </c>
      <c r="N110" s="1">
        <f>MIN($H110)</f>
        <v>0</v>
      </c>
      <c r="O110" s="1">
        <f>MEDIAN($B110)</f>
        <v>0</v>
      </c>
      <c r="P110" s="1">
        <f>MEDIAN($C110)</f>
        <v>0</v>
      </c>
      <c r="Q110" s="1">
        <f>MEDIAN($D110)</f>
        <v>0</v>
      </c>
      <c r="R110" s="1">
        <f>MEDIAN($E110)</f>
        <v>0</v>
      </c>
      <c r="S110" s="1">
        <f>MEDIAN($G110)</f>
        <v>0</v>
      </c>
      <c r="T110" s="1">
        <f>MEDIAN($H110)</f>
        <v>0</v>
      </c>
      <c r="U110" s="1">
        <f>MAX($B110)</f>
        <v>0</v>
      </c>
      <c r="V110" s="1">
        <f>MAX($C110)</f>
        <v>0</v>
      </c>
      <c r="W110" s="1">
        <f>MAX($D110)</f>
        <v>0</v>
      </c>
      <c r="X110" s="1">
        <f>MAX($E110)</f>
        <v>0</v>
      </c>
      <c r="Y110" s="1">
        <f>MAX($G110)</f>
        <v>0</v>
      </c>
      <c r="Z110" s="1">
        <f>MAX($H110)</f>
        <v>0</v>
      </c>
    </row>
    <row r="111" spans="1:26">
      <c r="A111" s="1" t="s">
        <v>108</v>
      </c>
      <c r="B111" s="1">
        <v>1</v>
      </c>
      <c r="C111" s="1">
        <v>0</v>
      </c>
      <c r="D111" s="1">
        <v>0</v>
      </c>
      <c r="E111" s="1">
        <v>10000</v>
      </c>
      <c r="F111" s="1" t="s">
        <v>197</v>
      </c>
      <c r="G111" s="1">
        <v>5000</v>
      </c>
      <c r="H111" s="1">
        <v>1</v>
      </c>
      <c r="I111" s="1">
        <f>MIN($B111)</f>
        <v>0</v>
      </c>
      <c r="J111" s="1">
        <f>MIN($C111)</f>
        <v>0</v>
      </c>
      <c r="K111" s="1">
        <f>MIN($D111)</f>
        <v>0</v>
      </c>
      <c r="L111" s="1">
        <f>MIN($E111)</f>
        <v>0</v>
      </c>
      <c r="M111" s="1">
        <f>MIN($G111)</f>
        <v>0</v>
      </c>
      <c r="N111" s="1">
        <f>MIN($H111)</f>
        <v>0</v>
      </c>
      <c r="O111" s="1">
        <f>MEDIAN($B111)</f>
        <v>0</v>
      </c>
      <c r="P111" s="1">
        <f>MEDIAN($C111)</f>
        <v>0</v>
      </c>
      <c r="Q111" s="1">
        <f>MEDIAN($D111)</f>
        <v>0</v>
      </c>
      <c r="R111" s="1">
        <f>MEDIAN($E111)</f>
        <v>0</v>
      </c>
      <c r="S111" s="1">
        <f>MEDIAN($G111)</f>
        <v>0</v>
      </c>
      <c r="T111" s="1">
        <f>MEDIAN($H111)</f>
        <v>0</v>
      </c>
      <c r="U111" s="1">
        <f>MAX($B111)</f>
        <v>0</v>
      </c>
      <c r="V111" s="1">
        <f>MAX($C111)</f>
        <v>0</v>
      </c>
      <c r="W111" s="1">
        <f>MAX($D111)</f>
        <v>0</v>
      </c>
      <c r="X111" s="1">
        <f>MAX($E111)</f>
        <v>0</v>
      </c>
      <c r="Y111" s="1">
        <f>MAX($G111)</f>
        <v>0</v>
      </c>
      <c r="Z111" s="1">
        <f>MAX($H111)</f>
        <v>0</v>
      </c>
    </row>
    <row r="112" spans="1:26">
      <c r="A112" s="1" t="s">
        <v>109</v>
      </c>
      <c r="B112" s="1">
        <v>1</v>
      </c>
      <c r="C112" s="1">
        <v>0</v>
      </c>
      <c r="D112" s="1">
        <v>0</v>
      </c>
      <c r="E112" s="1">
        <v>10000</v>
      </c>
      <c r="F112" s="1" t="s">
        <v>197</v>
      </c>
      <c r="G112" s="1">
        <v>5000</v>
      </c>
      <c r="H112" s="1">
        <v>1</v>
      </c>
      <c r="I112" s="1">
        <f>MIN($B112)</f>
        <v>0</v>
      </c>
      <c r="J112" s="1">
        <f>MIN($C112)</f>
        <v>0</v>
      </c>
      <c r="K112" s="1">
        <f>MIN($D112)</f>
        <v>0</v>
      </c>
      <c r="L112" s="1">
        <f>MIN($E112)</f>
        <v>0</v>
      </c>
      <c r="M112" s="1">
        <f>MIN($G112)</f>
        <v>0</v>
      </c>
      <c r="N112" s="1">
        <f>MIN($H112)</f>
        <v>0</v>
      </c>
      <c r="O112" s="1">
        <f>MEDIAN($B112)</f>
        <v>0</v>
      </c>
      <c r="P112" s="1">
        <f>MEDIAN($C112)</f>
        <v>0</v>
      </c>
      <c r="Q112" s="1">
        <f>MEDIAN($D112)</f>
        <v>0</v>
      </c>
      <c r="R112" s="1">
        <f>MEDIAN($E112)</f>
        <v>0</v>
      </c>
      <c r="S112" s="1">
        <f>MEDIAN($G112)</f>
        <v>0</v>
      </c>
      <c r="T112" s="1">
        <f>MEDIAN($H112)</f>
        <v>0</v>
      </c>
      <c r="U112" s="1">
        <f>MAX($B112)</f>
        <v>0</v>
      </c>
      <c r="V112" s="1">
        <f>MAX($C112)</f>
        <v>0</v>
      </c>
      <c r="W112" s="1">
        <f>MAX($D112)</f>
        <v>0</v>
      </c>
      <c r="X112" s="1">
        <f>MAX($E112)</f>
        <v>0</v>
      </c>
      <c r="Y112" s="1">
        <f>MAX($G112)</f>
        <v>0</v>
      </c>
      <c r="Z112" s="1">
        <f>MAX($H112)</f>
        <v>0</v>
      </c>
    </row>
    <row r="113" spans="1:26">
      <c r="A113" s="1" t="s">
        <v>110</v>
      </c>
      <c r="B113" s="1">
        <v>1</v>
      </c>
      <c r="C113" s="1">
        <v>0</v>
      </c>
      <c r="D113" s="1">
        <v>0</v>
      </c>
      <c r="E113" s="1">
        <v>10000</v>
      </c>
      <c r="F113" s="1" t="s">
        <v>197</v>
      </c>
      <c r="G113" s="1">
        <v>5000</v>
      </c>
      <c r="H113" s="1">
        <v>1</v>
      </c>
      <c r="I113" s="1">
        <f>MIN($B113)</f>
        <v>0</v>
      </c>
      <c r="J113" s="1">
        <f>MIN($C113)</f>
        <v>0</v>
      </c>
      <c r="K113" s="1">
        <f>MIN($D113)</f>
        <v>0</v>
      </c>
      <c r="L113" s="1">
        <f>MIN($E113)</f>
        <v>0</v>
      </c>
      <c r="M113" s="1">
        <f>MIN($G113)</f>
        <v>0</v>
      </c>
      <c r="N113" s="1">
        <f>MIN($H113)</f>
        <v>0</v>
      </c>
      <c r="O113" s="1">
        <f>MEDIAN($B113)</f>
        <v>0</v>
      </c>
      <c r="P113" s="1">
        <f>MEDIAN($C113)</f>
        <v>0</v>
      </c>
      <c r="Q113" s="1">
        <f>MEDIAN($D113)</f>
        <v>0</v>
      </c>
      <c r="R113" s="1">
        <f>MEDIAN($E113)</f>
        <v>0</v>
      </c>
      <c r="S113" s="1">
        <f>MEDIAN($G113)</f>
        <v>0</v>
      </c>
      <c r="T113" s="1">
        <f>MEDIAN($H113)</f>
        <v>0</v>
      </c>
      <c r="U113" s="1">
        <f>MAX($B113)</f>
        <v>0</v>
      </c>
      <c r="V113" s="1">
        <f>MAX($C113)</f>
        <v>0</v>
      </c>
      <c r="W113" s="1">
        <f>MAX($D113)</f>
        <v>0</v>
      </c>
      <c r="X113" s="1">
        <f>MAX($E113)</f>
        <v>0</v>
      </c>
      <c r="Y113" s="1">
        <f>MAX($G113)</f>
        <v>0</v>
      </c>
      <c r="Z113" s="1">
        <f>MAX($H113)</f>
        <v>0</v>
      </c>
    </row>
    <row r="114" spans="1:26">
      <c r="A114" s="1" t="s">
        <v>111</v>
      </c>
      <c r="B114" s="1">
        <v>1</v>
      </c>
      <c r="C114" s="1">
        <v>0</v>
      </c>
      <c r="D114" s="1">
        <v>0</v>
      </c>
      <c r="E114" s="1">
        <v>10000</v>
      </c>
      <c r="F114" s="1" t="s">
        <v>197</v>
      </c>
      <c r="G114" s="1">
        <v>5000</v>
      </c>
      <c r="H114" s="1">
        <v>1</v>
      </c>
      <c r="I114" s="1">
        <f>MIN($B114)</f>
        <v>0</v>
      </c>
      <c r="J114" s="1">
        <f>MIN($C114)</f>
        <v>0</v>
      </c>
      <c r="K114" s="1">
        <f>MIN($D114)</f>
        <v>0</v>
      </c>
      <c r="L114" s="1">
        <f>MIN($E114)</f>
        <v>0</v>
      </c>
      <c r="M114" s="1">
        <f>MIN($G114)</f>
        <v>0</v>
      </c>
      <c r="N114" s="1">
        <f>MIN($H114)</f>
        <v>0</v>
      </c>
      <c r="O114" s="1">
        <f>MEDIAN($B114)</f>
        <v>0</v>
      </c>
      <c r="P114" s="1">
        <f>MEDIAN($C114)</f>
        <v>0</v>
      </c>
      <c r="Q114" s="1">
        <f>MEDIAN($D114)</f>
        <v>0</v>
      </c>
      <c r="R114" s="1">
        <f>MEDIAN($E114)</f>
        <v>0</v>
      </c>
      <c r="S114" s="1">
        <f>MEDIAN($G114)</f>
        <v>0</v>
      </c>
      <c r="T114" s="1">
        <f>MEDIAN($H114)</f>
        <v>0</v>
      </c>
      <c r="U114" s="1">
        <f>MAX($B114)</f>
        <v>0</v>
      </c>
      <c r="V114" s="1">
        <f>MAX($C114)</f>
        <v>0</v>
      </c>
      <c r="W114" s="1">
        <f>MAX($D114)</f>
        <v>0</v>
      </c>
      <c r="X114" s="1">
        <f>MAX($E114)</f>
        <v>0</v>
      </c>
      <c r="Y114" s="1">
        <f>MAX($G114)</f>
        <v>0</v>
      </c>
      <c r="Z114" s="1">
        <f>MAX($H114)</f>
        <v>0</v>
      </c>
    </row>
    <row r="115" spans="1:26">
      <c r="A115" s="1" t="s">
        <v>112</v>
      </c>
      <c r="B115" s="1">
        <v>1</v>
      </c>
      <c r="C115" s="1">
        <v>0</v>
      </c>
      <c r="D115" s="1">
        <v>0</v>
      </c>
      <c r="E115" s="1">
        <v>10000</v>
      </c>
      <c r="F115" s="1" t="s">
        <v>197</v>
      </c>
      <c r="G115" s="1">
        <v>5000</v>
      </c>
      <c r="H115" s="1">
        <v>1</v>
      </c>
      <c r="I115" s="1">
        <f>MIN($B115)</f>
        <v>0</v>
      </c>
      <c r="J115" s="1">
        <f>MIN($C115)</f>
        <v>0</v>
      </c>
      <c r="K115" s="1">
        <f>MIN($D115)</f>
        <v>0</v>
      </c>
      <c r="L115" s="1">
        <f>MIN($E115)</f>
        <v>0</v>
      </c>
      <c r="M115" s="1">
        <f>MIN($G115)</f>
        <v>0</v>
      </c>
      <c r="N115" s="1">
        <f>MIN($H115)</f>
        <v>0</v>
      </c>
      <c r="O115" s="1">
        <f>MEDIAN($B115)</f>
        <v>0</v>
      </c>
      <c r="P115" s="1">
        <f>MEDIAN($C115)</f>
        <v>0</v>
      </c>
      <c r="Q115" s="1">
        <f>MEDIAN($D115)</f>
        <v>0</v>
      </c>
      <c r="R115" s="1">
        <f>MEDIAN($E115)</f>
        <v>0</v>
      </c>
      <c r="S115" s="1">
        <f>MEDIAN($G115)</f>
        <v>0</v>
      </c>
      <c r="T115" s="1">
        <f>MEDIAN($H115)</f>
        <v>0</v>
      </c>
      <c r="U115" s="1">
        <f>MAX($B115)</f>
        <v>0</v>
      </c>
      <c r="V115" s="1">
        <f>MAX($C115)</f>
        <v>0</v>
      </c>
      <c r="W115" s="1">
        <f>MAX($D115)</f>
        <v>0</v>
      </c>
      <c r="X115" s="1">
        <f>MAX($E115)</f>
        <v>0</v>
      </c>
      <c r="Y115" s="1">
        <f>MAX($G115)</f>
        <v>0</v>
      </c>
      <c r="Z115" s="1">
        <f>MAX($H115)</f>
        <v>0</v>
      </c>
    </row>
    <row r="116" spans="1:26">
      <c r="A116" s="1" t="s">
        <v>113</v>
      </c>
      <c r="B116" s="1">
        <v>1</v>
      </c>
      <c r="C116" s="1">
        <v>0</v>
      </c>
      <c r="D116" s="1">
        <v>0</v>
      </c>
      <c r="E116" s="1">
        <v>10000</v>
      </c>
      <c r="F116" s="1" t="s">
        <v>197</v>
      </c>
      <c r="G116" s="1">
        <v>5000</v>
      </c>
      <c r="H116" s="1">
        <v>1</v>
      </c>
      <c r="I116" s="1">
        <f>MIN($B116)</f>
        <v>0</v>
      </c>
      <c r="J116" s="1">
        <f>MIN($C116)</f>
        <v>0</v>
      </c>
      <c r="K116" s="1">
        <f>MIN($D116)</f>
        <v>0</v>
      </c>
      <c r="L116" s="1">
        <f>MIN($E116)</f>
        <v>0</v>
      </c>
      <c r="M116" s="1">
        <f>MIN($G116)</f>
        <v>0</v>
      </c>
      <c r="N116" s="1">
        <f>MIN($H116)</f>
        <v>0</v>
      </c>
      <c r="O116" s="1">
        <f>MEDIAN($B116)</f>
        <v>0</v>
      </c>
      <c r="P116" s="1">
        <f>MEDIAN($C116)</f>
        <v>0</v>
      </c>
      <c r="Q116" s="1">
        <f>MEDIAN($D116)</f>
        <v>0</v>
      </c>
      <c r="R116" s="1">
        <f>MEDIAN($E116)</f>
        <v>0</v>
      </c>
      <c r="S116" s="1">
        <f>MEDIAN($G116)</f>
        <v>0</v>
      </c>
      <c r="T116" s="1">
        <f>MEDIAN($H116)</f>
        <v>0</v>
      </c>
      <c r="U116" s="1">
        <f>MAX($B116)</f>
        <v>0</v>
      </c>
      <c r="V116" s="1">
        <f>MAX($C116)</f>
        <v>0</v>
      </c>
      <c r="W116" s="1">
        <f>MAX($D116)</f>
        <v>0</v>
      </c>
      <c r="X116" s="1">
        <f>MAX($E116)</f>
        <v>0</v>
      </c>
      <c r="Y116" s="1">
        <f>MAX($G116)</f>
        <v>0</v>
      </c>
      <c r="Z116" s="1">
        <f>MAX($H116)</f>
        <v>0</v>
      </c>
    </row>
    <row r="117" spans="1:26">
      <c r="A117" s="1" t="s">
        <v>114</v>
      </c>
      <c r="B117" s="1">
        <v>1</v>
      </c>
      <c r="C117" s="1">
        <v>0</v>
      </c>
      <c r="D117" s="1">
        <v>0</v>
      </c>
      <c r="E117" s="1">
        <v>10000</v>
      </c>
      <c r="F117" s="1" t="s">
        <v>197</v>
      </c>
      <c r="G117" s="1">
        <v>5000</v>
      </c>
      <c r="H117" s="1">
        <v>1</v>
      </c>
      <c r="I117" s="1">
        <f>MIN($B117)</f>
        <v>0</v>
      </c>
      <c r="J117" s="1">
        <f>MIN($C117)</f>
        <v>0</v>
      </c>
      <c r="K117" s="1">
        <f>MIN($D117)</f>
        <v>0</v>
      </c>
      <c r="L117" s="1">
        <f>MIN($E117)</f>
        <v>0</v>
      </c>
      <c r="M117" s="1">
        <f>MIN($G117)</f>
        <v>0</v>
      </c>
      <c r="N117" s="1">
        <f>MIN($H117)</f>
        <v>0</v>
      </c>
      <c r="O117" s="1">
        <f>MEDIAN($B117)</f>
        <v>0</v>
      </c>
      <c r="P117" s="1">
        <f>MEDIAN($C117)</f>
        <v>0</v>
      </c>
      <c r="Q117" s="1">
        <f>MEDIAN($D117)</f>
        <v>0</v>
      </c>
      <c r="R117" s="1">
        <f>MEDIAN($E117)</f>
        <v>0</v>
      </c>
      <c r="S117" s="1">
        <f>MEDIAN($G117)</f>
        <v>0</v>
      </c>
      <c r="T117" s="1">
        <f>MEDIAN($H117)</f>
        <v>0</v>
      </c>
      <c r="U117" s="1">
        <f>MAX($B117)</f>
        <v>0</v>
      </c>
      <c r="V117" s="1">
        <f>MAX($C117)</f>
        <v>0</v>
      </c>
      <c r="W117" s="1">
        <f>MAX($D117)</f>
        <v>0</v>
      </c>
      <c r="X117" s="1">
        <f>MAX($E117)</f>
        <v>0</v>
      </c>
      <c r="Y117" s="1">
        <f>MAX($G117)</f>
        <v>0</v>
      </c>
      <c r="Z117" s="1">
        <f>MAX($H117)</f>
        <v>0</v>
      </c>
    </row>
    <row r="118" spans="1:26">
      <c r="A118" s="1" t="s">
        <v>115</v>
      </c>
      <c r="B118" s="1">
        <v>1</v>
      </c>
      <c r="C118" s="1">
        <v>0</v>
      </c>
      <c r="D118" s="1">
        <v>0</v>
      </c>
      <c r="E118" s="1">
        <v>10000</v>
      </c>
      <c r="F118" s="1" t="s">
        <v>197</v>
      </c>
      <c r="G118" s="1">
        <v>5000</v>
      </c>
      <c r="H118" s="1">
        <v>1</v>
      </c>
      <c r="I118" s="1">
        <f>MIN($B118)</f>
        <v>0</v>
      </c>
      <c r="J118" s="1">
        <f>MIN($C118)</f>
        <v>0</v>
      </c>
      <c r="K118" s="1">
        <f>MIN($D118)</f>
        <v>0</v>
      </c>
      <c r="L118" s="1">
        <f>MIN($E118)</f>
        <v>0</v>
      </c>
      <c r="M118" s="1">
        <f>MIN($G118)</f>
        <v>0</v>
      </c>
      <c r="N118" s="1">
        <f>MIN($H118)</f>
        <v>0</v>
      </c>
      <c r="O118" s="1">
        <f>MEDIAN($B118)</f>
        <v>0</v>
      </c>
      <c r="P118" s="1">
        <f>MEDIAN($C118)</f>
        <v>0</v>
      </c>
      <c r="Q118" s="1">
        <f>MEDIAN($D118)</f>
        <v>0</v>
      </c>
      <c r="R118" s="1">
        <f>MEDIAN($E118)</f>
        <v>0</v>
      </c>
      <c r="S118" s="1">
        <f>MEDIAN($G118)</f>
        <v>0</v>
      </c>
      <c r="T118" s="1">
        <f>MEDIAN($H118)</f>
        <v>0</v>
      </c>
      <c r="U118" s="1">
        <f>MAX($B118)</f>
        <v>0</v>
      </c>
      <c r="V118" s="1">
        <f>MAX($C118)</f>
        <v>0</v>
      </c>
      <c r="W118" s="1">
        <f>MAX($D118)</f>
        <v>0</v>
      </c>
      <c r="X118" s="1">
        <f>MAX($E118)</f>
        <v>0</v>
      </c>
      <c r="Y118" s="1">
        <f>MAX($G118)</f>
        <v>0</v>
      </c>
      <c r="Z118" s="1">
        <f>MAX($H118)</f>
        <v>0</v>
      </c>
    </row>
    <row r="119" spans="1:26">
      <c r="A119" s="1" t="s">
        <v>116</v>
      </c>
      <c r="B119" s="1">
        <v>1</v>
      </c>
      <c r="C119" s="1">
        <v>0</v>
      </c>
      <c r="D119" s="1">
        <v>0</v>
      </c>
      <c r="E119" s="1">
        <v>10000</v>
      </c>
      <c r="F119" s="1" t="s">
        <v>197</v>
      </c>
      <c r="G119" s="1">
        <v>5000</v>
      </c>
      <c r="H119" s="1">
        <v>1</v>
      </c>
      <c r="I119" s="1">
        <f>MIN($B119)</f>
        <v>0</v>
      </c>
      <c r="J119" s="1">
        <f>MIN($C119)</f>
        <v>0</v>
      </c>
      <c r="K119" s="1">
        <f>MIN($D119)</f>
        <v>0</v>
      </c>
      <c r="L119" s="1">
        <f>MIN($E119)</f>
        <v>0</v>
      </c>
      <c r="M119" s="1">
        <f>MIN($G119)</f>
        <v>0</v>
      </c>
      <c r="N119" s="1">
        <f>MIN($H119)</f>
        <v>0</v>
      </c>
      <c r="O119" s="1">
        <f>MEDIAN($B119)</f>
        <v>0</v>
      </c>
      <c r="P119" s="1">
        <f>MEDIAN($C119)</f>
        <v>0</v>
      </c>
      <c r="Q119" s="1">
        <f>MEDIAN($D119)</f>
        <v>0</v>
      </c>
      <c r="R119" s="1">
        <f>MEDIAN($E119)</f>
        <v>0</v>
      </c>
      <c r="S119" s="1">
        <f>MEDIAN($G119)</f>
        <v>0</v>
      </c>
      <c r="T119" s="1">
        <f>MEDIAN($H119)</f>
        <v>0</v>
      </c>
      <c r="U119" s="1">
        <f>MAX($B119)</f>
        <v>0</v>
      </c>
      <c r="V119" s="1">
        <f>MAX($C119)</f>
        <v>0</v>
      </c>
      <c r="W119" s="1">
        <f>MAX($D119)</f>
        <v>0</v>
      </c>
      <c r="X119" s="1">
        <f>MAX($E119)</f>
        <v>0</v>
      </c>
      <c r="Y119" s="1">
        <f>MAX($G119)</f>
        <v>0</v>
      </c>
      <c r="Z119" s="1">
        <f>MAX($H119)</f>
        <v>0</v>
      </c>
    </row>
    <row r="120" spans="1:26">
      <c r="A120" s="1" t="s">
        <v>117</v>
      </c>
      <c r="B120" s="1">
        <v>1</v>
      </c>
      <c r="C120" s="1">
        <v>0</v>
      </c>
      <c r="D120" s="1">
        <v>0</v>
      </c>
      <c r="E120" s="1">
        <v>10000</v>
      </c>
      <c r="F120" s="1" t="s">
        <v>197</v>
      </c>
      <c r="G120" s="1">
        <v>5000</v>
      </c>
      <c r="H120" s="1">
        <v>1</v>
      </c>
      <c r="I120" s="1">
        <f>MIN($B120)</f>
        <v>0</v>
      </c>
      <c r="J120" s="1">
        <f>MIN($C120)</f>
        <v>0</v>
      </c>
      <c r="K120" s="1">
        <f>MIN($D120)</f>
        <v>0</v>
      </c>
      <c r="L120" s="1">
        <f>MIN($E120)</f>
        <v>0</v>
      </c>
      <c r="M120" s="1">
        <f>MIN($G120)</f>
        <v>0</v>
      </c>
      <c r="N120" s="1">
        <f>MIN($H120)</f>
        <v>0</v>
      </c>
      <c r="O120" s="1">
        <f>MEDIAN($B120)</f>
        <v>0</v>
      </c>
      <c r="P120" s="1">
        <f>MEDIAN($C120)</f>
        <v>0</v>
      </c>
      <c r="Q120" s="1">
        <f>MEDIAN($D120)</f>
        <v>0</v>
      </c>
      <c r="R120" s="1">
        <f>MEDIAN($E120)</f>
        <v>0</v>
      </c>
      <c r="S120" s="1">
        <f>MEDIAN($G120)</f>
        <v>0</v>
      </c>
      <c r="T120" s="1">
        <f>MEDIAN($H120)</f>
        <v>0</v>
      </c>
      <c r="U120" s="1">
        <f>MAX($B120)</f>
        <v>0</v>
      </c>
      <c r="V120" s="1">
        <f>MAX($C120)</f>
        <v>0</v>
      </c>
      <c r="W120" s="1">
        <f>MAX($D120)</f>
        <v>0</v>
      </c>
      <c r="X120" s="1">
        <f>MAX($E120)</f>
        <v>0</v>
      </c>
      <c r="Y120" s="1">
        <f>MAX($G120)</f>
        <v>0</v>
      </c>
      <c r="Z120" s="1">
        <f>MAX($H120)</f>
        <v>0</v>
      </c>
    </row>
    <row r="121" spans="1:26">
      <c r="A121" s="1" t="s">
        <v>118</v>
      </c>
      <c r="B121" s="1">
        <v>1</v>
      </c>
      <c r="C121" s="1">
        <v>0</v>
      </c>
      <c r="D121" s="1">
        <v>0</v>
      </c>
      <c r="E121" s="1">
        <v>10000</v>
      </c>
      <c r="F121" s="1" t="s">
        <v>197</v>
      </c>
      <c r="G121" s="1">
        <v>5000</v>
      </c>
      <c r="H121" s="1">
        <v>1</v>
      </c>
      <c r="I121" s="1">
        <f>MIN($B121)</f>
        <v>0</v>
      </c>
      <c r="J121" s="1">
        <f>MIN($C121)</f>
        <v>0</v>
      </c>
      <c r="K121" s="1">
        <f>MIN($D121)</f>
        <v>0</v>
      </c>
      <c r="L121" s="1">
        <f>MIN($E121)</f>
        <v>0</v>
      </c>
      <c r="M121" s="1">
        <f>MIN($G121)</f>
        <v>0</v>
      </c>
      <c r="N121" s="1">
        <f>MIN($H121)</f>
        <v>0</v>
      </c>
      <c r="O121" s="1">
        <f>MEDIAN($B121)</f>
        <v>0</v>
      </c>
      <c r="P121" s="1">
        <f>MEDIAN($C121)</f>
        <v>0</v>
      </c>
      <c r="Q121" s="1">
        <f>MEDIAN($D121)</f>
        <v>0</v>
      </c>
      <c r="R121" s="1">
        <f>MEDIAN($E121)</f>
        <v>0</v>
      </c>
      <c r="S121" s="1">
        <f>MEDIAN($G121)</f>
        <v>0</v>
      </c>
      <c r="T121" s="1">
        <f>MEDIAN($H121)</f>
        <v>0</v>
      </c>
      <c r="U121" s="1">
        <f>MAX($B121)</f>
        <v>0</v>
      </c>
      <c r="V121" s="1">
        <f>MAX($C121)</f>
        <v>0</v>
      </c>
      <c r="W121" s="1">
        <f>MAX($D121)</f>
        <v>0</v>
      </c>
      <c r="X121" s="1">
        <f>MAX($E121)</f>
        <v>0</v>
      </c>
      <c r="Y121" s="1">
        <f>MAX($G121)</f>
        <v>0</v>
      </c>
      <c r="Z121" s="1">
        <f>MAX($H121)</f>
        <v>0</v>
      </c>
    </row>
    <row r="122" spans="1:26">
      <c r="A122" s="1" t="s">
        <v>119</v>
      </c>
      <c r="B122" s="1">
        <v>1</v>
      </c>
      <c r="C122" s="1">
        <v>0</v>
      </c>
      <c r="D122" s="1">
        <v>0</v>
      </c>
      <c r="E122" s="1">
        <v>10000</v>
      </c>
      <c r="F122" s="1" t="s">
        <v>197</v>
      </c>
      <c r="G122" s="1">
        <v>5000</v>
      </c>
      <c r="H122" s="1">
        <v>1</v>
      </c>
      <c r="I122" s="1">
        <f>MIN($B122)</f>
        <v>0</v>
      </c>
      <c r="J122" s="1">
        <f>MIN($C122)</f>
        <v>0</v>
      </c>
      <c r="K122" s="1">
        <f>MIN($D122)</f>
        <v>0</v>
      </c>
      <c r="L122" s="1">
        <f>MIN($E122)</f>
        <v>0</v>
      </c>
      <c r="M122" s="1">
        <f>MIN($G122)</f>
        <v>0</v>
      </c>
      <c r="N122" s="1">
        <f>MIN($H122)</f>
        <v>0</v>
      </c>
      <c r="O122" s="1">
        <f>MEDIAN($B122)</f>
        <v>0</v>
      </c>
      <c r="P122" s="1">
        <f>MEDIAN($C122)</f>
        <v>0</v>
      </c>
      <c r="Q122" s="1">
        <f>MEDIAN($D122)</f>
        <v>0</v>
      </c>
      <c r="R122" s="1">
        <f>MEDIAN($E122)</f>
        <v>0</v>
      </c>
      <c r="S122" s="1">
        <f>MEDIAN($G122)</f>
        <v>0</v>
      </c>
      <c r="T122" s="1">
        <f>MEDIAN($H122)</f>
        <v>0</v>
      </c>
      <c r="U122" s="1">
        <f>MAX($B122)</f>
        <v>0</v>
      </c>
      <c r="V122" s="1">
        <f>MAX($C122)</f>
        <v>0</v>
      </c>
      <c r="W122" s="1">
        <f>MAX($D122)</f>
        <v>0</v>
      </c>
      <c r="X122" s="1">
        <f>MAX($E122)</f>
        <v>0</v>
      </c>
      <c r="Y122" s="1">
        <f>MAX($G122)</f>
        <v>0</v>
      </c>
      <c r="Z122" s="1">
        <f>MAX($H122)</f>
        <v>0</v>
      </c>
    </row>
    <row r="123" spans="1:26">
      <c r="A123" s="1" t="s">
        <v>120</v>
      </c>
      <c r="B123" s="1">
        <v>1</v>
      </c>
      <c r="C123" s="1">
        <v>0</v>
      </c>
      <c r="D123" s="1">
        <v>0</v>
      </c>
      <c r="E123" s="1">
        <v>10000</v>
      </c>
      <c r="F123" s="1" t="s">
        <v>197</v>
      </c>
      <c r="G123" s="1">
        <v>5000</v>
      </c>
      <c r="H123" s="1">
        <v>1</v>
      </c>
      <c r="I123" s="1">
        <f>MIN($B123)</f>
        <v>0</v>
      </c>
      <c r="J123" s="1">
        <f>MIN($C123)</f>
        <v>0</v>
      </c>
      <c r="K123" s="1">
        <f>MIN($D123)</f>
        <v>0</v>
      </c>
      <c r="L123" s="1">
        <f>MIN($E123)</f>
        <v>0</v>
      </c>
      <c r="M123" s="1">
        <f>MIN($G123)</f>
        <v>0</v>
      </c>
      <c r="N123" s="1">
        <f>MIN($H123)</f>
        <v>0</v>
      </c>
      <c r="O123" s="1">
        <f>MEDIAN($B123)</f>
        <v>0</v>
      </c>
      <c r="P123" s="1">
        <f>MEDIAN($C123)</f>
        <v>0</v>
      </c>
      <c r="Q123" s="1">
        <f>MEDIAN($D123)</f>
        <v>0</v>
      </c>
      <c r="R123" s="1">
        <f>MEDIAN($E123)</f>
        <v>0</v>
      </c>
      <c r="S123" s="1">
        <f>MEDIAN($G123)</f>
        <v>0</v>
      </c>
      <c r="T123" s="1">
        <f>MEDIAN($H123)</f>
        <v>0</v>
      </c>
      <c r="U123" s="1">
        <f>MAX($B123)</f>
        <v>0</v>
      </c>
      <c r="V123" s="1">
        <f>MAX($C123)</f>
        <v>0</v>
      </c>
      <c r="W123" s="1">
        <f>MAX($D123)</f>
        <v>0</v>
      </c>
      <c r="X123" s="1">
        <f>MAX($E123)</f>
        <v>0</v>
      </c>
      <c r="Y123" s="1">
        <f>MAX($G123)</f>
        <v>0</v>
      </c>
      <c r="Z123" s="1">
        <f>MAX($H123)</f>
        <v>0</v>
      </c>
    </row>
    <row r="124" spans="1:26">
      <c r="A124" s="1" t="s">
        <v>121</v>
      </c>
      <c r="B124" s="1">
        <v>1</v>
      </c>
      <c r="C124" s="1">
        <v>0</v>
      </c>
      <c r="D124" s="1">
        <v>0</v>
      </c>
      <c r="E124" s="1">
        <v>10000</v>
      </c>
      <c r="F124" s="1" t="s">
        <v>197</v>
      </c>
      <c r="G124" s="1">
        <v>5000</v>
      </c>
      <c r="H124" s="1">
        <v>1</v>
      </c>
      <c r="I124" s="1">
        <f>MIN($B124)</f>
        <v>0</v>
      </c>
      <c r="J124" s="1">
        <f>MIN($C124)</f>
        <v>0</v>
      </c>
      <c r="K124" s="1">
        <f>MIN($D124)</f>
        <v>0</v>
      </c>
      <c r="L124" s="1">
        <f>MIN($E124)</f>
        <v>0</v>
      </c>
      <c r="M124" s="1">
        <f>MIN($G124)</f>
        <v>0</v>
      </c>
      <c r="N124" s="1">
        <f>MIN($H124)</f>
        <v>0</v>
      </c>
      <c r="O124" s="1">
        <f>MEDIAN($B124)</f>
        <v>0</v>
      </c>
      <c r="P124" s="1">
        <f>MEDIAN($C124)</f>
        <v>0</v>
      </c>
      <c r="Q124" s="1">
        <f>MEDIAN($D124)</f>
        <v>0</v>
      </c>
      <c r="R124" s="1">
        <f>MEDIAN($E124)</f>
        <v>0</v>
      </c>
      <c r="S124" s="1">
        <f>MEDIAN($G124)</f>
        <v>0</v>
      </c>
      <c r="T124" s="1">
        <f>MEDIAN($H124)</f>
        <v>0</v>
      </c>
      <c r="U124" s="1">
        <f>MAX($B124)</f>
        <v>0</v>
      </c>
      <c r="V124" s="1">
        <f>MAX($C124)</f>
        <v>0</v>
      </c>
      <c r="W124" s="1">
        <f>MAX($D124)</f>
        <v>0</v>
      </c>
      <c r="X124" s="1">
        <f>MAX($E124)</f>
        <v>0</v>
      </c>
      <c r="Y124" s="1">
        <f>MAX($G124)</f>
        <v>0</v>
      </c>
      <c r="Z124" s="1">
        <f>MAX($H124)</f>
        <v>0</v>
      </c>
    </row>
    <row r="125" spans="1:26">
      <c r="A125" s="1" t="s">
        <v>122</v>
      </c>
      <c r="B125" s="1">
        <v>1</v>
      </c>
      <c r="C125" s="1">
        <v>0</v>
      </c>
      <c r="D125" s="1">
        <v>0</v>
      </c>
      <c r="E125" s="1">
        <v>10000</v>
      </c>
      <c r="F125" s="1" t="s">
        <v>197</v>
      </c>
      <c r="G125" s="1">
        <v>5000</v>
      </c>
      <c r="H125" s="1">
        <v>1</v>
      </c>
      <c r="I125" s="1">
        <f>MIN($B125)</f>
        <v>0</v>
      </c>
      <c r="J125" s="1">
        <f>MIN($C125)</f>
        <v>0</v>
      </c>
      <c r="K125" s="1">
        <f>MIN($D125)</f>
        <v>0</v>
      </c>
      <c r="L125" s="1">
        <f>MIN($E125)</f>
        <v>0</v>
      </c>
      <c r="M125" s="1">
        <f>MIN($G125)</f>
        <v>0</v>
      </c>
      <c r="N125" s="1">
        <f>MIN($H125)</f>
        <v>0</v>
      </c>
      <c r="O125" s="1">
        <f>MEDIAN($B125)</f>
        <v>0</v>
      </c>
      <c r="P125" s="1">
        <f>MEDIAN($C125)</f>
        <v>0</v>
      </c>
      <c r="Q125" s="1">
        <f>MEDIAN($D125)</f>
        <v>0</v>
      </c>
      <c r="R125" s="1">
        <f>MEDIAN($E125)</f>
        <v>0</v>
      </c>
      <c r="S125" s="1">
        <f>MEDIAN($G125)</f>
        <v>0</v>
      </c>
      <c r="T125" s="1">
        <f>MEDIAN($H125)</f>
        <v>0</v>
      </c>
      <c r="U125" s="1">
        <f>MAX($B125)</f>
        <v>0</v>
      </c>
      <c r="V125" s="1">
        <f>MAX($C125)</f>
        <v>0</v>
      </c>
      <c r="W125" s="1">
        <f>MAX($D125)</f>
        <v>0</v>
      </c>
      <c r="X125" s="1">
        <f>MAX($E125)</f>
        <v>0</v>
      </c>
      <c r="Y125" s="1">
        <f>MAX($G125)</f>
        <v>0</v>
      </c>
      <c r="Z125" s="1">
        <f>MAX($H125)</f>
        <v>0</v>
      </c>
    </row>
    <row r="126" spans="1:26">
      <c r="A126" s="1" t="s">
        <v>123</v>
      </c>
      <c r="B126" s="1">
        <v>1</v>
      </c>
      <c r="C126" s="1">
        <v>0</v>
      </c>
      <c r="D126" s="1">
        <v>0</v>
      </c>
      <c r="E126" s="1">
        <v>10000</v>
      </c>
      <c r="F126" s="1" t="s">
        <v>197</v>
      </c>
      <c r="G126" s="1">
        <v>5000</v>
      </c>
      <c r="H126" s="1">
        <v>1</v>
      </c>
      <c r="I126" s="1">
        <f>MIN($B126)</f>
        <v>0</v>
      </c>
      <c r="J126" s="1">
        <f>MIN($C126)</f>
        <v>0</v>
      </c>
      <c r="K126" s="1">
        <f>MIN($D126)</f>
        <v>0</v>
      </c>
      <c r="L126" s="1">
        <f>MIN($E126)</f>
        <v>0</v>
      </c>
      <c r="M126" s="1">
        <f>MIN($G126)</f>
        <v>0</v>
      </c>
      <c r="N126" s="1">
        <f>MIN($H126)</f>
        <v>0</v>
      </c>
      <c r="O126" s="1">
        <f>MEDIAN($B126)</f>
        <v>0</v>
      </c>
      <c r="P126" s="1">
        <f>MEDIAN($C126)</f>
        <v>0</v>
      </c>
      <c r="Q126" s="1">
        <f>MEDIAN($D126)</f>
        <v>0</v>
      </c>
      <c r="R126" s="1">
        <f>MEDIAN($E126)</f>
        <v>0</v>
      </c>
      <c r="S126" s="1">
        <f>MEDIAN($G126)</f>
        <v>0</v>
      </c>
      <c r="T126" s="1">
        <f>MEDIAN($H126)</f>
        <v>0</v>
      </c>
      <c r="U126" s="1">
        <f>MAX($B126)</f>
        <v>0</v>
      </c>
      <c r="V126" s="1">
        <f>MAX($C126)</f>
        <v>0</v>
      </c>
      <c r="W126" s="1">
        <f>MAX($D126)</f>
        <v>0</v>
      </c>
      <c r="X126" s="1">
        <f>MAX($E126)</f>
        <v>0</v>
      </c>
      <c r="Y126" s="1">
        <f>MAX($G126)</f>
        <v>0</v>
      </c>
      <c r="Z126" s="1">
        <f>MAX($H126)</f>
        <v>0</v>
      </c>
    </row>
    <row r="127" spans="1:26">
      <c r="A127" s="1" t="s">
        <v>124</v>
      </c>
      <c r="B127" s="1">
        <v>1</v>
      </c>
      <c r="C127" s="1">
        <v>0</v>
      </c>
      <c r="D127" s="1">
        <v>0</v>
      </c>
      <c r="E127" s="1">
        <v>10000</v>
      </c>
      <c r="F127" s="1" t="s">
        <v>197</v>
      </c>
      <c r="G127" s="1">
        <v>5000</v>
      </c>
      <c r="H127" s="1">
        <v>1</v>
      </c>
      <c r="I127" s="1">
        <f>MIN($B127)</f>
        <v>0</v>
      </c>
      <c r="J127" s="1">
        <f>MIN($C127)</f>
        <v>0</v>
      </c>
      <c r="K127" s="1">
        <f>MIN($D127)</f>
        <v>0</v>
      </c>
      <c r="L127" s="1">
        <f>MIN($E127)</f>
        <v>0</v>
      </c>
      <c r="M127" s="1">
        <f>MIN($G127)</f>
        <v>0</v>
      </c>
      <c r="N127" s="1">
        <f>MIN($H127)</f>
        <v>0</v>
      </c>
      <c r="O127" s="1">
        <f>MEDIAN($B127)</f>
        <v>0</v>
      </c>
      <c r="P127" s="1">
        <f>MEDIAN($C127)</f>
        <v>0</v>
      </c>
      <c r="Q127" s="1">
        <f>MEDIAN($D127)</f>
        <v>0</v>
      </c>
      <c r="R127" s="1">
        <f>MEDIAN($E127)</f>
        <v>0</v>
      </c>
      <c r="S127" s="1">
        <f>MEDIAN($G127)</f>
        <v>0</v>
      </c>
      <c r="T127" s="1">
        <f>MEDIAN($H127)</f>
        <v>0</v>
      </c>
      <c r="U127" s="1">
        <f>MAX($B127)</f>
        <v>0</v>
      </c>
      <c r="V127" s="1">
        <f>MAX($C127)</f>
        <v>0</v>
      </c>
      <c r="W127" s="1">
        <f>MAX($D127)</f>
        <v>0</v>
      </c>
      <c r="X127" s="1">
        <f>MAX($E127)</f>
        <v>0</v>
      </c>
      <c r="Y127" s="1">
        <f>MAX($G127)</f>
        <v>0</v>
      </c>
      <c r="Z127" s="1">
        <f>MAX($H127)</f>
        <v>0</v>
      </c>
    </row>
    <row r="128" spans="1:26">
      <c r="A128" s="1" t="s">
        <v>125</v>
      </c>
      <c r="B128" s="1">
        <v>1</v>
      </c>
      <c r="C128" s="1">
        <v>0</v>
      </c>
      <c r="D128" s="1">
        <v>0</v>
      </c>
      <c r="E128" s="1">
        <v>10000</v>
      </c>
      <c r="F128" s="1" t="s">
        <v>197</v>
      </c>
      <c r="G128" s="1">
        <v>5000</v>
      </c>
      <c r="H128" s="1">
        <v>1</v>
      </c>
      <c r="I128" s="1">
        <f>MIN($B128)</f>
        <v>0</v>
      </c>
      <c r="J128" s="1">
        <f>MIN($C128)</f>
        <v>0</v>
      </c>
      <c r="K128" s="1">
        <f>MIN($D128)</f>
        <v>0</v>
      </c>
      <c r="L128" s="1">
        <f>MIN($E128)</f>
        <v>0</v>
      </c>
      <c r="M128" s="1">
        <f>MIN($G128)</f>
        <v>0</v>
      </c>
      <c r="N128" s="1">
        <f>MIN($H128)</f>
        <v>0</v>
      </c>
      <c r="O128" s="1">
        <f>MEDIAN($B128)</f>
        <v>0</v>
      </c>
      <c r="P128" s="1">
        <f>MEDIAN($C128)</f>
        <v>0</v>
      </c>
      <c r="Q128" s="1">
        <f>MEDIAN($D128)</f>
        <v>0</v>
      </c>
      <c r="R128" s="1">
        <f>MEDIAN($E128)</f>
        <v>0</v>
      </c>
      <c r="S128" s="1">
        <f>MEDIAN($G128)</f>
        <v>0</v>
      </c>
      <c r="T128" s="1">
        <f>MEDIAN($H128)</f>
        <v>0</v>
      </c>
      <c r="U128" s="1">
        <f>MAX($B128)</f>
        <v>0</v>
      </c>
      <c r="V128" s="1">
        <f>MAX($C128)</f>
        <v>0</v>
      </c>
      <c r="W128" s="1">
        <f>MAX($D128)</f>
        <v>0</v>
      </c>
      <c r="X128" s="1">
        <f>MAX($E128)</f>
        <v>0</v>
      </c>
      <c r="Y128" s="1">
        <f>MAX($G128)</f>
        <v>0</v>
      </c>
      <c r="Z128" s="1">
        <f>MAX($H128)</f>
        <v>0</v>
      </c>
    </row>
    <row r="129" spans="1:26">
      <c r="A129" s="1" t="s">
        <v>126</v>
      </c>
      <c r="B129" s="1">
        <v>1</v>
      </c>
      <c r="C129" s="1">
        <v>0</v>
      </c>
      <c r="D129" s="1">
        <v>0</v>
      </c>
      <c r="E129" s="1">
        <v>10000</v>
      </c>
      <c r="F129" s="1" t="s">
        <v>197</v>
      </c>
      <c r="G129" s="1">
        <v>5000</v>
      </c>
      <c r="H129" s="1">
        <v>1</v>
      </c>
      <c r="I129" s="1">
        <f>MIN($B129)</f>
        <v>0</v>
      </c>
      <c r="J129" s="1">
        <f>MIN($C129)</f>
        <v>0</v>
      </c>
      <c r="K129" s="1">
        <f>MIN($D129)</f>
        <v>0</v>
      </c>
      <c r="L129" s="1">
        <f>MIN($E129)</f>
        <v>0</v>
      </c>
      <c r="M129" s="1">
        <f>MIN($G129)</f>
        <v>0</v>
      </c>
      <c r="N129" s="1">
        <f>MIN($H129)</f>
        <v>0</v>
      </c>
      <c r="O129" s="1">
        <f>MEDIAN($B129)</f>
        <v>0</v>
      </c>
      <c r="P129" s="1">
        <f>MEDIAN($C129)</f>
        <v>0</v>
      </c>
      <c r="Q129" s="1">
        <f>MEDIAN($D129)</f>
        <v>0</v>
      </c>
      <c r="R129" s="1">
        <f>MEDIAN($E129)</f>
        <v>0</v>
      </c>
      <c r="S129" s="1">
        <f>MEDIAN($G129)</f>
        <v>0</v>
      </c>
      <c r="T129" s="1">
        <f>MEDIAN($H129)</f>
        <v>0</v>
      </c>
      <c r="U129" s="1">
        <f>MAX($B129)</f>
        <v>0</v>
      </c>
      <c r="V129" s="1">
        <f>MAX($C129)</f>
        <v>0</v>
      </c>
      <c r="W129" s="1">
        <f>MAX($D129)</f>
        <v>0</v>
      </c>
      <c r="X129" s="1">
        <f>MAX($E129)</f>
        <v>0</v>
      </c>
      <c r="Y129" s="1">
        <f>MAX($G129)</f>
        <v>0</v>
      </c>
      <c r="Z129" s="1">
        <f>MAX($H129)</f>
        <v>0</v>
      </c>
    </row>
    <row r="130" spans="1:26">
      <c r="A130" s="1" t="s">
        <v>127</v>
      </c>
      <c r="B130" s="1">
        <v>1</v>
      </c>
      <c r="C130" s="1">
        <v>0</v>
      </c>
      <c r="D130" s="1">
        <v>0</v>
      </c>
      <c r="E130" s="1">
        <v>10000</v>
      </c>
      <c r="F130" s="1" t="s">
        <v>197</v>
      </c>
      <c r="G130" s="1">
        <v>5000</v>
      </c>
      <c r="H130" s="1">
        <v>1</v>
      </c>
      <c r="I130" s="1">
        <f>MIN($B130)</f>
        <v>0</v>
      </c>
      <c r="J130" s="1">
        <f>MIN($C130)</f>
        <v>0</v>
      </c>
      <c r="K130" s="1">
        <f>MIN($D130)</f>
        <v>0</v>
      </c>
      <c r="L130" s="1">
        <f>MIN($E130)</f>
        <v>0</v>
      </c>
      <c r="M130" s="1">
        <f>MIN($G130)</f>
        <v>0</v>
      </c>
      <c r="N130" s="1">
        <f>MIN($H130)</f>
        <v>0</v>
      </c>
      <c r="O130" s="1">
        <f>MEDIAN($B130)</f>
        <v>0</v>
      </c>
      <c r="P130" s="1">
        <f>MEDIAN($C130)</f>
        <v>0</v>
      </c>
      <c r="Q130" s="1">
        <f>MEDIAN($D130)</f>
        <v>0</v>
      </c>
      <c r="R130" s="1">
        <f>MEDIAN($E130)</f>
        <v>0</v>
      </c>
      <c r="S130" s="1">
        <f>MEDIAN($G130)</f>
        <v>0</v>
      </c>
      <c r="T130" s="1">
        <f>MEDIAN($H130)</f>
        <v>0</v>
      </c>
      <c r="U130" s="1">
        <f>MAX($B130)</f>
        <v>0</v>
      </c>
      <c r="V130" s="1">
        <f>MAX($C130)</f>
        <v>0</v>
      </c>
      <c r="W130" s="1">
        <f>MAX($D130)</f>
        <v>0</v>
      </c>
      <c r="X130" s="1">
        <f>MAX($E130)</f>
        <v>0</v>
      </c>
      <c r="Y130" s="1">
        <f>MAX($G130)</f>
        <v>0</v>
      </c>
      <c r="Z130" s="1">
        <f>MAX($H130)</f>
        <v>0</v>
      </c>
    </row>
    <row r="131" spans="1:26">
      <c r="A131" s="1" t="s">
        <v>128</v>
      </c>
      <c r="B131" s="1">
        <v>1</v>
      </c>
      <c r="C131" s="1">
        <v>0</v>
      </c>
      <c r="D131" s="1">
        <v>0</v>
      </c>
      <c r="E131" s="1">
        <v>10000</v>
      </c>
      <c r="F131" s="1" t="s">
        <v>197</v>
      </c>
      <c r="G131" s="1">
        <v>5000</v>
      </c>
      <c r="H131" s="1">
        <v>1</v>
      </c>
      <c r="I131" s="1">
        <f>MIN($B131)</f>
        <v>0</v>
      </c>
      <c r="J131" s="1">
        <f>MIN($C131)</f>
        <v>0</v>
      </c>
      <c r="K131" s="1">
        <f>MIN($D131)</f>
        <v>0</v>
      </c>
      <c r="L131" s="1">
        <f>MIN($E131)</f>
        <v>0</v>
      </c>
      <c r="M131" s="1">
        <f>MIN($G131)</f>
        <v>0</v>
      </c>
      <c r="N131" s="1">
        <f>MIN($H131)</f>
        <v>0</v>
      </c>
      <c r="O131" s="1">
        <f>MEDIAN($B131)</f>
        <v>0</v>
      </c>
      <c r="P131" s="1">
        <f>MEDIAN($C131)</f>
        <v>0</v>
      </c>
      <c r="Q131" s="1">
        <f>MEDIAN($D131)</f>
        <v>0</v>
      </c>
      <c r="R131" s="1">
        <f>MEDIAN($E131)</f>
        <v>0</v>
      </c>
      <c r="S131" s="1">
        <f>MEDIAN($G131)</f>
        <v>0</v>
      </c>
      <c r="T131" s="1">
        <f>MEDIAN($H131)</f>
        <v>0</v>
      </c>
      <c r="U131" s="1">
        <f>MAX($B131)</f>
        <v>0</v>
      </c>
      <c r="V131" s="1">
        <f>MAX($C131)</f>
        <v>0</v>
      </c>
      <c r="W131" s="1">
        <f>MAX($D131)</f>
        <v>0</v>
      </c>
      <c r="X131" s="1">
        <f>MAX($E131)</f>
        <v>0</v>
      </c>
      <c r="Y131" s="1">
        <f>MAX($G131)</f>
        <v>0</v>
      </c>
      <c r="Z131" s="1">
        <f>MAX($H131)</f>
        <v>0</v>
      </c>
    </row>
    <row r="132" spans="1:26">
      <c r="A132" s="1" t="s">
        <v>129</v>
      </c>
      <c r="B132" s="1">
        <v>1</v>
      </c>
      <c r="C132" s="1">
        <v>0</v>
      </c>
      <c r="D132" s="1">
        <v>0</v>
      </c>
      <c r="E132" s="1">
        <v>10000</v>
      </c>
      <c r="F132" s="1" t="s">
        <v>197</v>
      </c>
      <c r="G132" s="1">
        <v>5000</v>
      </c>
      <c r="H132" s="1">
        <v>1</v>
      </c>
      <c r="I132" s="1">
        <f>MIN($B132)</f>
        <v>0</v>
      </c>
      <c r="J132" s="1">
        <f>MIN($C132)</f>
        <v>0</v>
      </c>
      <c r="K132" s="1">
        <f>MIN($D132)</f>
        <v>0</v>
      </c>
      <c r="L132" s="1">
        <f>MIN($E132)</f>
        <v>0</v>
      </c>
      <c r="M132" s="1">
        <f>MIN($G132)</f>
        <v>0</v>
      </c>
      <c r="N132" s="1">
        <f>MIN($H132)</f>
        <v>0</v>
      </c>
      <c r="O132" s="1">
        <f>MEDIAN($B132)</f>
        <v>0</v>
      </c>
      <c r="P132" s="1">
        <f>MEDIAN($C132)</f>
        <v>0</v>
      </c>
      <c r="Q132" s="1">
        <f>MEDIAN($D132)</f>
        <v>0</v>
      </c>
      <c r="R132" s="1">
        <f>MEDIAN($E132)</f>
        <v>0</v>
      </c>
      <c r="S132" s="1">
        <f>MEDIAN($G132)</f>
        <v>0</v>
      </c>
      <c r="T132" s="1">
        <f>MEDIAN($H132)</f>
        <v>0</v>
      </c>
      <c r="U132" s="1">
        <f>MAX($B132)</f>
        <v>0</v>
      </c>
      <c r="V132" s="1">
        <f>MAX($C132)</f>
        <v>0</v>
      </c>
      <c r="W132" s="1">
        <f>MAX($D132)</f>
        <v>0</v>
      </c>
      <c r="X132" s="1">
        <f>MAX($E132)</f>
        <v>0</v>
      </c>
      <c r="Y132" s="1">
        <f>MAX($G132)</f>
        <v>0</v>
      </c>
      <c r="Z132" s="1">
        <f>MAX($H132)</f>
        <v>0</v>
      </c>
    </row>
    <row r="133" spans="1:26">
      <c r="A133" s="1" t="s">
        <v>130</v>
      </c>
      <c r="B133" s="1">
        <v>1</v>
      </c>
      <c r="C133" s="1">
        <v>0</v>
      </c>
      <c r="D133" s="1">
        <v>0</v>
      </c>
      <c r="E133" s="1">
        <v>10000</v>
      </c>
      <c r="F133" s="1" t="s">
        <v>197</v>
      </c>
      <c r="G133" s="1">
        <v>5000</v>
      </c>
      <c r="H133" s="1">
        <v>1</v>
      </c>
      <c r="I133" s="1">
        <f>MIN($B133)</f>
        <v>0</v>
      </c>
      <c r="J133" s="1">
        <f>MIN($C133)</f>
        <v>0</v>
      </c>
      <c r="K133" s="1">
        <f>MIN($D133)</f>
        <v>0</v>
      </c>
      <c r="L133" s="1">
        <f>MIN($E133)</f>
        <v>0</v>
      </c>
      <c r="M133" s="1">
        <f>MIN($G133)</f>
        <v>0</v>
      </c>
      <c r="N133" s="1">
        <f>MIN($H133)</f>
        <v>0</v>
      </c>
      <c r="O133" s="1">
        <f>MEDIAN($B133)</f>
        <v>0</v>
      </c>
      <c r="P133" s="1">
        <f>MEDIAN($C133)</f>
        <v>0</v>
      </c>
      <c r="Q133" s="1">
        <f>MEDIAN($D133)</f>
        <v>0</v>
      </c>
      <c r="R133" s="1">
        <f>MEDIAN($E133)</f>
        <v>0</v>
      </c>
      <c r="S133" s="1">
        <f>MEDIAN($G133)</f>
        <v>0</v>
      </c>
      <c r="T133" s="1">
        <f>MEDIAN($H133)</f>
        <v>0</v>
      </c>
      <c r="U133" s="1">
        <f>MAX($B133)</f>
        <v>0</v>
      </c>
      <c r="V133" s="1">
        <f>MAX($C133)</f>
        <v>0</v>
      </c>
      <c r="W133" s="1">
        <f>MAX($D133)</f>
        <v>0</v>
      </c>
      <c r="X133" s="1">
        <f>MAX($E133)</f>
        <v>0</v>
      </c>
      <c r="Y133" s="1">
        <f>MAX($G133)</f>
        <v>0</v>
      </c>
      <c r="Z133" s="1">
        <f>MAX($H133)</f>
        <v>0</v>
      </c>
    </row>
    <row r="134" spans="1:26">
      <c r="A134" s="1" t="s">
        <v>131</v>
      </c>
      <c r="B134" s="1">
        <v>1</v>
      </c>
      <c r="C134" s="1">
        <v>0</v>
      </c>
      <c r="D134" s="1">
        <v>0</v>
      </c>
      <c r="E134" s="1">
        <v>10000</v>
      </c>
      <c r="F134" s="1" t="s">
        <v>197</v>
      </c>
      <c r="G134" s="1">
        <v>5000</v>
      </c>
      <c r="H134" s="1">
        <v>1</v>
      </c>
      <c r="I134" s="1">
        <f>MIN($B134)</f>
        <v>0</v>
      </c>
      <c r="J134" s="1">
        <f>MIN($C134)</f>
        <v>0</v>
      </c>
      <c r="K134" s="1">
        <f>MIN($D134)</f>
        <v>0</v>
      </c>
      <c r="L134" s="1">
        <f>MIN($E134)</f>
        <v>0</v>
      </c>
      <c r="M134" s="1">
        <f>MIN($G134)</f>
        <v>0</v>
      </c>
      <c r="N134" s="1">
        <f>MIN($H134)</f>
        <v>0</v>
      </c>
      <c r="O134" s="1">
        <f>MEDIAN($B134)</f>
        <v>0</v>
      </c>
      <c r="P134" s="1">
        <f>MEDIAN($C134)</f>
        <v>0</v>
      </c>
      <c r="Q134" s="1">
        <f>MEDIAN($D134)</f>
        <v>0</v>
      </c>
      <c r="R134" s="1">
        <f>MEDIAN($E134)</f>
        <v>0</v>
      </c>
      <c r="S134" s="1">
        <f>MEDIAN($G134)</f>
        <v>0</v>
      </c>
      <c r="T134" s="1">
        <f>MEDIAN($H134)</f>
        <v>0</v>
      </c>
      <c r="U134" s="1">
        <f>MAX($B134)</f>
        <v>0</v>
      </c>
      <c r="V134" s="1">
        <f>MAX($C134)</f>
        <v>0</v>
      </c>
      <c r="W134" s="1">
        <f>MAX($D134)</f>
        <v>0</v>
      </c>
      <c r="X134" s="1">
        <f>MAX($E134)</f>
        <v>0</v>
      </c>
      <c r="Y134" s="1">
        <f>MAX($G134)</f>
        <v>0</v>
      </c>
      <c r="Z134" s="1">
        <f>MAX($H134)</f>
        <v>0</v>
      </c>
    </row>
    <row r="135" spans="1:26">
      <c r="A135" s="1" t="s">
        <v>132</v>
      </c>
      <c r="B135" s="1">
        <v>1</v>
      </c>
      <c r="C135" s="1">
        <v>0</v>
      </c>
      <c r="D135" s="1">
        <v>0</v>
      </c>
      <c r="E135" s="1">
        <v>10000</v>
      </c>
      <c r="F135" s="1" t="s">
        <v>197</v>
      </c>
      <c r="G135" s="1">
        <v>5000</v>
      </c>
      <c r="H135" s="1">
        <v>1</v>
      </c>
      <c r="I135" s="1">
        <f>MIN($B135)</f>
        <v>0</v>
      </c>
      <c r="J135" s="1">
        <f>MIN($C135)</f>
        <v>0</v>
      </c>
      <c r="K135" s="1">
        <f>MIN($D135)</f>
        <v>0</v>
      </c>
      <c r="L135" s="1">
        <f>MIN($E135)</f>
        <v>0</v>
      </c>
      <c r="M135" s="1">
        <f>MIN($G135)</f>
        <v>0</v>
      </c>
      <c r="N135" s="1">
        <f>MIN($H135)</f>
        <v>0</v>
      </c>
      <c r="O135" s="1">
        <f>MEDIAN($B135)</f>
        <v>0</v>
      </c>
      <c r="P135" s="1">
        <f>MEDIAN($C135)</f>
        <v>0</v>
      </c>
      <c r="Q135" s="1">
        <f>MEDIAN($D135)</f>
        <v>0</v>
      </c>
      <c r="R135" s="1">
        <f>MEDIAN($E135)</f>
        <v>0</v>
      </c>
      <c r="S135" s="1">
        <f>MEDIAN($G135)</f>
        <v>0</v>
      </c>
      <c r="T135" s="1">
        <f>MEDIAN($H135)</f>
        <v>0</v>
      </c>
      <c r="U135" s="1">
        <f>MAX($B135)</f>
        <v>0</v>
      </c>
      <c r="V135" s="1">
        <f>MAX($C135)</f>
        <v>0</v>
      </c>
      <c r="W135" s="1">
        <f>MAX($D135)</f>
        <v>0</v>
      </c>
      <c r="X135" s="1">
        <f>MAX($E135)</f>
        <v>0</v>
      </c>
      <c r="Y135" s="1">
        <f>MAX($G135)</f>
        <v>0</v>
      </c>
      <c r="Z135" s="1">
        <f>MAX($H135)</f>
        <v>0</v>
      </c>
    </row>
    <row r="136" spans="1:26">
      <c r="A136" s="1" t="s">
        <v>133</v>
      </c>
      <c r="B136" s="1">
        <v>1</v>
      </c>
      <c r="C136" s="1">
        <v>0</v>
      </c>
      <c r="D136" s="1">
        <v>0</v>
      </c>
      <c r="E136" s="1">
        <v>10000</v>
      </c>
      <c r="F136" s="1" t="s">
        <v>197</v>
      </c>
      <c r="G136" s="1">
        <v>5000</v>
      </c>
      <c r="H136" s="1">
        <v>1</v>
      </c>
      <c r="I136" s="1">
        <f>MIN($B136)</f>
        <v>0</v>
      </c>
      <c r="J136" s="1">
        <f>MIN($C136)</f>
        <v>0</v>
      </c>
      <c r="K136" s="1">
        <f>MIN($D136)</f>
        <v>0</v>
      </c>
      <c r="L136" s="1">
        <f>MIN($E136)</f>
        <v>0</v>
      </c>
      <c r="M136" s="1">
        <f>MIN($G136)</f>
        <v>0</v>
      </c>
      <c r="N136" s="1">
        <f>MIN($H136)</f>
        <v>0</v>
      </c>
      <c r="O136" s="1">
        <f>MEDIAN($B136)</f>
        <v>0</v>
      </c>
      <c r="P136" s="1">
        <f>MEDIAN($C136)</f>
        <v>0</v>
      </c>
      <c r="Q136" s="1">
        <f>MEDIAN($D136)</f>
        <v>0</v>
      </c>
      <c r="R136" s="1">
        <f>MEDIAN($E136)</f>
        <v>0</v>
      </c>
      <c r="S136" s="1">
        <f>MEDIAN($G136)</f>
        <v>0</v>
      </c>
      <c r="T136" s="1">
        <f>MEDIAN($H136)</f>
        <v>0</v>
      </c>
      <c r="U136" s="1">
        <f>MAX($B136)</f>
        <v>0</v>
      </c>
      <c r="V136" s="1">
        <f>MAX($C136)</f>
        <v>0</v>
      </c>
      <c r="W136" s="1">
        <f>MAX($D136)</f>
        <v>0</v>
      </c>
      <c r="X136" s="1">
        <f>MAX($E136)</f>
        <v>0</v>
      </c>
      <c r="Y136" s="1">
        <f>MAX($G136)</f>
        <v>0</v>
      </c>
      <c r="Z136" s="1">
        <f>MAX($H136)</f>
        <v>0</v>
      </c>
    </row>
    <row r="137" spans="1:26">
      <c r="A137" s="1" t="s">
        <v>134</v>
      </c>
      <c r="B137" s="1">
        <v>1</v>
      </c>
      <c r="C137" s="1">
        <v>0</v>
      </c>
      <c r="D137" s="1">
        <v>0</v>
      </c>
      <c r="E137" s="1">
        <v>10000</v>
      </c>
      <c r="F137" s="1" t="s">
        <v>197</v>
      </c>
      <c r="G137" s="1">
        <v>5000</v>
      </c>
      <c r="H137" s="1">
        <v>1</v>
      </c>
      <c r="I137" s="1">
        <f>MIN($B137)</f>
        <v>0</v>
      </c>
      <c r="J137" s="1">
        <f>MIN($C137)</f>
        <v>0</v>
      </c>
      <c r="K137" s="1">
        <f>MIN($D137)</f>
        <v>0</v>
      </c>
      <c r="L137" s="1">
        <f>MIN($E137)</f>
        <v>0</v>
      </c>
      <c r="M137" s="1">
        <f>MIN($G137)</f>
        <v>0</v>
      </c>
      <c r="N137" s="1">
        <f>MIN($H137)</f>
        <v>0</v>
      </c>
      <c r="O137" s="1">
        <f>MEDIAN($B137)</f>
        <v>0</v>
      </c>
      <c r="P137" s="1">
        <f>MEDIAN($C137)</f>
        <v>0</v>
      </c>
      <c r="Q137" s="1">
        <f>MEDIAN($D137)</f>
        <v>0</v>
      </c>
      <c r="R137" s="1">
        <f>MEDIAN($E137)</f>
        <v>0</v>
      </c>
      <c r="S137" s="1">
        <f>MEDIAN($G137)</f>
        <v>0</v>
      </c>
      <c r="T137" s="1">
        <f>MEDIAN($H137)</f>
        <v>0</v>
      </c>
      <c r="U137" s="1">
        <f>MAX($B137)</f>
        <v>0</v>
      </c>
      <c r="V137" s="1">
        <f>MAX($C137)</f>
        <v>0</v>
      </c>
      <c r="W137" s="1">
        <f>MAX($D137)</f>
        <v>0</v>
      </c>
      <c r="X137" s="1">
        <f>MAX($E137)</f>
        <v>0</v>
      </c>
      <c r="Y137" s="1">
        <f>MAX($G137)</f>
        <v>0</v>
      </c>
      <c r="Z137" s="1">
        <f>MAX($H137)</f>
        <v>0</v>
      </c>
    </row>
    <row r="138" spans="1:26">
      <c r="A138" s="1" t="s">
        <v>135</v>
      </c>
      <c r="B138" s="1">
        <v>1</v>
      </c>
      <c r="C138" s="1">
        <v>0</v>
      </c>
      <c r="D138" s="1">
        <v>0</v>
      </c>
      <c r="E138" s="1">
        <v>10000</v>
      </c>
      <c r="F138" s="1" t="s">
        <v>197</v>
      </c>
      <c r="G138" s="1">
        <v>5000</v>
      </c>
      <c r="H138" s="1">
        <v>1</v>
      </c>
      <c r="I138" s="1">
        <f>MIN($B138)</f>
        <v>0</v>
      </c>
      <c r="J138" s="1">
        <f>MIN($C138)</f>
        <v>0</v>
      </c>
      <c r="K138" s="1">
        <f>MIN($D138)</f>
        <v>0</v>
      </c>
      <c r="L138" s="1">
        <f>MIN($E138)</f>
        <v>0</v>
      </c>
      <c r="M138" s="1">
        <f>MIN($G138)</f>
        <v>0</v>
      </c>
      <c r="N138" s="1">
        <f>MIN($H138)</f>
        <v>0</v>
      </c>
      <c r="O138" s="1">
        <f>MEDIAN($B138)</f>
        <v>0</v>
      </c>
      <c r="P138" s="1">
        <f>MEDIAN($C138)</f>
        <v>0</v>
      </c>
      <c r="Q138" s="1">
        <f>MEDIAN($D138)</f>
        <v>0</v>
      </c>
      <c r="R138" s="1">
        <f>MEDIAN($E138)</f>
        <v>0</v>
      </c>
      <c r="S138" s="1">
        <f>MEDIAN($G138)</f>
        <v>0</v>
      </c>
      <c r="T138" s="1">
        <f>MEDIAN($H138)</f>
        <v>0</v>
      </c>
      <c r="U138" s="1">
        <f>MAX($B138)</f>
        <v>0</v>
      </c>
      <c r="V138" s="1">
        <f>MAX($C138)</f>
        <v>0</v>
      </c>
      <c r="W138" s="1">
        <f>MAX($D138)</f>
        <v>0</v>
      </c>
      <c r="X138" s="1">
        <f>MAX($E138)</f>
        <v>0</v>
      </c>
      <c r="Y138" s="1">
        <f>MAX($G138)</f>
        <v>0</v>
      </c>
      <c r="Z138" s="1">
        <f>MAX($H138)</f>
        <v>0</v>
      </c>
    </row>
    <row r="139" spans="1:26">
      <c r="A139" s="1" t="s">
        <v>136</v>
      </c>
      <c r="B139" s="1">
        <v>1</v>
      </c>
      <c r="C139" s="1">
        <v>0</v>
      </c>
      <c r="D139" s="1">
        <v>0</v>
      </c>
      <c r="E139" s="1">
        <v>10000</v>
      </c>
      <c r="F139" s="1" t="s">
        <v>197</v>
      </c>
      <c r="G139" s="1">
        <v>5000</v>
      </c>
      <c r="H139" s="1">
        <v>1</v>
      </c>
      <c r="I139" s="1">
        <f>MIN($B139)</f>
        <v>0</v>
      </c>
      <c r="J139" s="1">
        <f>MIN($C139)</f>
        <v>0</v>
      </c>
      <c r="K139" s="1">
        <f>MIN($D139)</f>
        <v>0</v>
      </c>
      <c r="L139" s="1">
        <f>MIN($E139)</f>
        <v>0</v>
      </c>
      <c r="M139" s="1">
        <f>MIN($G139)</f>
        <v>0</v>
      </c>
      <c r="N139" s="1">
        <f>MIN($H139)</f>
        <v>0</v>
      </c>
      <c r="O139" s="1">
        <f>MEDIAN($B139)</f>
        <v>0</v>
      </c>
      <c r="P139" s="1">
        <f>MEDIAN($C139)</f>
        <v>0</v>
      </c>
      <c r="Q139" s="1">
        <f>MEDIAN($D139)</f>
        <v>0</v>
      </c>
      <c r="R139" s="1">
        <f>MEDIAN($E139)</f>
        <v>0</v>
      </c>
      <c r="S139" s="1">
        <f>MEDIAN($G139)</f>
        <v>0</v>
      </c>
      <c r="T139" s="1">
        <f>MEDIAN($H139)</f>
        <v>0</v>
      </c>
      <c r="U139" s="1">
        <f>MAX($B139)</f>
        <v>0</v>
      </c>
      <c r="V139" s="1">
        <f>MAX($C139)</f>
        <v>0</v>
      </c>
      <c r="W139" s="1">
        <f>MAX($D139)</f>
        <v>0</v>
      </c>
      <c r="X139" s="1">
        <f>MAX($E139)</f>
        <v>0</v>
      </c>
      <c r="Y139" s="1">
        <f>MAX($G139)</f>
        <v>0</v>
      </c>
      <c r="Z139" s="1">
        <f>MAX($H139)</f>
        <v>0</v>
      </c>
    </row>
    <row r="140" spans="1:26">
      <c r="A140" s="1" t="s">
        <v>137</v>
      </c>
      <c r="B140" s="1">
        <v>1</v>
      </c>
      <c r="C140" s="1">
        <v>0</v>
      </c>
      <c r="D140" s="1">
        <v>0</v>
      </c>
      <c r="E140" s="1">
        <v>10000</v>
      </c>
      <c r="F140" s="1" t="s">
        <v>197</v>
      </c>
      <c r="G140" s="1">
        <v>5000</v>
      </c>
      <c r="H140" s="1">
        <v>1</v>
      </c>
      <c r="I140" s="1">
        <f>MIN($B140)</f>
        <v>0</v>
      </c>
      <c r="J140" s="1">
        <f>MIN($C140)</f>
        <v>0</v>
      </c>
      <c r="K140" s="1">
        <f>MIN($D140)</f>
        <v>0</v>
      </c>
      <c r="L140" s="1">
        <f>MIN($E140)</f>
        <v>0</v>
      </c>
      <c r="M140" s="1">
        <f>MIN($G140)</f>
        <v>0</v>
      </c>
      <c r="N140" s="1">
        <f>MIN($H140)</f>
        <v>0</v>
      </c>
      <c r="O140" s="1">
        <f>MEDIAN($B140)</f>
        <v>0</v>
      </c>
      <c r="P140" s="1">
        <f>MEDIAN($C140)</f>
        <v>0</v>
      </c>
      <c r="Q140" s="1">
        <f>MEDIAN($D140)</f>
        <v>0</v>
      </c>
      <c r="R140" s="1">
        <f>MEDIAN($E140)</f>
        <v>0</v>
      </c>
      <c r="S140" s="1">
        <f>MEDIAN($G140)</f>
        <v>0</v>
      </c>
      <c r="T140" s="1">
        <f>MEDIAN($H140)</f>
        <v>0</v>
      </c>
      <c r="U140" s="1">
        <f>MAX($B140)</f>
        <v>0</v>
      </c>
      <c r="V140" s="1">
        <f>MAX($C140)</f>
        <v>0</v>
      </c>
      <c r="W140" s="1">
        <f>MAX($D140)</f>
        <v>0</v>
      </c>
      <c r="X140" s="1">
        <f>MAX($E140)</f>
        <v>0</v>
      </c>
      <c r="Y140" s="1">
        <f>MAX($G140)</f>
        <v>0</v>
      </c>
      <c r="Z140" s="1">
        <f>MAX($H140)</f>
        <v>0</v>
      </c>
    </row>
    <row r="141" spans="1:26">
      <c r="A141" s="1" t="s">
        <v>138</v>
      </c>
      <c r="B141" s="1">
        <v>1</v>
      </c>
      <c r="C141" s="1">
        <v>0</v>
      </c>
      <c r="D141" s="1">
        <v>0</v>
      </c>
      <c r="E141" s="1">
        <v>10000</v>
      </c>
      <c r="F141" s="1" t="s">
        <v>197</v>
      </c>
      <c r="G141" s="1">
        <v>5000</v>
      </c>
      <c r="H141" s="1">
        <v>1</v>
      </c>
      <c r="I141" s="1">
        <f>MIN($B141)</f>
        <v>0</v>
      </c>
      <c r="J141" s="1">
        <f>MIN($C141)</f>
        <v>0</v>
      </c>
      <c r="K141" s="1">
        <f>MIN($D141)</f>
        <v>0</v>
      </c>
      <c r="L141" s="1">
        <f>MIN($E141)</f>
        <v>0</v>
      </c>
      <c r="M141" s="1">
        <f>MIN($G141)</f>
        <v>0</v>
      </c>
      <c r="N141" s="1">
        <f>MIN($H141)</f>
        <v>0</v>
      </c>
      <c r="O141" s="1">
        <f>MEDIAN($B141)</f>
        <v>0</v>
      </c>
      <c r="P141" s="1">
        <f>MEDIAN($C141)</f>
        <v>0</v>
      </c>
      <c r="Q141" s="1">
        <f>MEDIAN($D141)</f>
        <v>0</v>
      </c>
      <c r="R141" s="1">
        <f>MEDIAN($E141)</f>
        <v>0</v>
      </c>
      <c r="S141" s="1">
        <f>MEDIAN($G141)</f>
        <v>0</v>
      </c>
      <c r="T141" s="1">
        <f>MEDIAN($H141)</f>
        <v>0</v>
      </c>
      <c r="U141" s="1">
        <f>MAX($B141)</f>
        <v>0</v>
      </c>
      <c r="V141" s="1">
        <f>MAX($C141)</f>
        <v>0</v>
      </c>
      <c r="W141" s="1">
        <f>MAX($D141)</f>
        <v>0</v>
      </c>
      <c r="X141" s="1">
        <f>MAX($E141)</f>
        <v>0</v>
      </c>
      <c r="Y141" s="1">
        <f>MAX($G141)</f>
        <v>0</v>
      </c>
      <c r="Z141" s="1">
        <f>MAX($H141)</f>
        <v>0</v>
      </c>
    </row>
    <row r="142" spans="1:26">
      <c r="A142" s="1" t="s">
        <v>139</v>
      </c>
      <c r="B142" s="1">
        <v>1</v>
      </c>
      <c r="C142" s="1">
        <v>0</v>
      </c>
      <c r="D142" s="1">
        <v>0</v>
      </c>
      <c r="E142" s="1">
        <v>10000</v>
      </c>
      <c r="F142" s="1" t="s">
        <v>197</v>
      </c>
      <c r="G142" s="1">
        <v>5000</v>
      </c>
      <c r="H142" s="1">
        <v>1</v>
      </c>
      <c r="I142" s="1">
        <f>MIN($B142)</f>
        <v>0</v>
      </c>
      <c r="J142" s="1">
        <f>MIN($C142)</f>
        <v>0</v>
      </c>
      <c r="K142" s="1">
        <f>MIN($D142)</f>
        <v>0</v>
      </c>
      <c r="L142" s="1">
        <f>MIN($E142)</f>
        <v>0</v>
      </c>
      <c r="M142" s="1">
        <f>MIN($G142)</f>
        <v>0</v>
      </c>
      <c r="N142" s="1">
        <f>MIN($H142)</f>
        <v>0</v>
      </c>
      <c r="O142" s="1">
        <f>MEDIAN($B142)</f>
        <v>0</v>
      </c>
      <c r="P142" s="1">
        <f>MEDIAN($C142)</f>
        <v>0</v>
      </c>
      <c r="Q142" s="1">
        <f>MEDIAN($D142)</f>
        <v>0</v>
      </c>
      <c r="R142" s="1">
        <f>MEDIAN($E142)</f>
        <v>0</v>
      </c>
      <c r="S142" s="1">
        <f>MEDIAN($G142)</f>
        <v>0</v>
      </c>
      <c r="T142" s="1">
        <f>MEDIAN($H142)</f>
        <v>0</v>
      </c>
      <c r="U142" s="1">
        <f>MAX($B142)</f>
        <v>0</v>
      </c>
      <c r="V142" s="1">
        <f>MAX($C142)</f>
        <v>0</v>
      </c>
      <c r="W142" s="1">
        <f>MAX($D142)</f>
        <v>0</v>
      </c>
      <c r="X142" s="1">
        <f>MAX($E142)</f>
        <v>0</v>
      </c>
      <c r="Y142" s="1">
        <f>MAX($G142)</f>
        <v>0</v>
      </c>
      <c r="Z142" s="1">
        <f>MAX($H142)</f>
        <v>0</v>
      </c>
    </row>
    <row r="143" spans="1:26">
      <c r="A143" s="1" t="s">
        <v>140</v>
      </c>
      <c r="B143" s="1">
        <v>1</v>
      </c>
      <c r="C143" s="1">
        <v>0</v>
      </c>
      <c r="D143" s="1">
        <v>0</v>
      </c>
      <c r="E143" s="1">
        <v>10000</v>
      </c>
      <c r="F143" s="1" t="s">
        <v>197</v>
      </c>
      <c r="G143" s="1">
        <v>5000</v>
      </c>
      <c r="H143" s="1">
        <v>1</v>
      </c>
      <c r="I143" s="1">
        <f>MIN($B143)</f>
        <v>0</v>
      </c>
      <c r="J143" s="1">
        <f>MIN($C143)</f>
        <v>0</v>
      </c>
      <c r="K143" s="1">
        <f>MIN($D143)</f>
        <v>0</v>
      </c>
      <c r="L143" s="1">
        <f>MIN($E143)</f>
        <v>0</v>
      </c>
      <c r="M143" s="1">
        <f>MIN($G143)</f>
        <v>0</v>
      </c>
      <c r="N143" s="1">
        <f>MIN($H143)</f>
        <v>0</v>
      </c>
      <c r="O143" s="1">
        <f>MEDIAN($B143)</f>
        <v>0</v>
      </c>
      <c r="P143" s="1">
        <f>MEDIAN($C143)</f>
        <v>0</v>
      </c>
      <c r="Q143" s="1">
        <f>MEDIAN($D143)</f>
        <v>0</v>
      </c>
      <c r="R143" s="1">
        <f>MEDIAN($E143)</f>
        <v>0</v>
      </c>
      <c r="S143" s="1">
        <f>MEDIAN($G143)</f>
        <v>0</v>
      </c>
      <c r="T143" s="1">
        <f>MEDIAN($H143)</f>
        <v>0</v>
      </c>
      <c r="U143" s="1">
        <f>MAX($B143)</f>
        <v>0</v>
      </c>
      <c r="V143" s="1">
        <f>MAX($C143)</f>
        <v>0</v>
      </c>
      <c r="W143" s="1">
        <f>MAX($D143)</f>
        <v>0</v>
      </c>
      <c r="X143" s="1">
        <f>MAX($E143)</f>
        <v>0</v>
      </c>
      <c r="Y143" s="1">
        <f>MAX($G143)</f>
        <v>0</v>
      </c>
      <c r="Z143" s="1">
        <f>MAX($H143)</f>
        <v>0</v>
      </c>
    </row>
    <row r="144" spans="1:26">
      <c r="A144" s="1" t="s">
        <v>141</v>
      </c>
      <c r="B144" s="1">
        <v>1</v>
      </c>
      <c r="C144" s="1">
        <v>0</v>
      </c>
      <c r="D144" s="1">
        <v>0</v>
      </c>
      <c r="E144" s="1">
        <v>10000</v>
      </c>
      <c r="F144" s="1" t="s">
        <v>197</v>
      </c>
      <c r="G144" s="1">
        <v>5000</v>
      </c>
      <c r="H144" s="1">
        <v>1</v>
      </c>
      <c r="I144" s="1">
        <f>MIN($B144)</f>
        <v>0</v>
      </c>
      <c r="J144" s="1">
        <f>MIN($C144)</f>
        <v>0</v>
      </c>
      <c r="K144" s="1">
        <f>MIN($D144)</f>
        <v>0</v>
      </c>
      <c r="L144" s="1">
        <f>MIN($E144)</f>
        <v>0</v>
      </c>
      <c r="M144" s="1">
        <f>MIN($G144)</f>
        <v>0</v>
      </c>
      <c r="N144" s="1">
        <f>MIN($H144)</f>
        <v>0</v>
      </c>
      <c r="O144" s="1">
        <f>MEDIAN($B144)</f>
        <v>0</v>
      </c>
      <c r="P144" s="1">
        <f>MEDIAN($C144)</f>
        <v>0</v>
      </c>
      <c r="Q144" s="1">
        <f>MEDIAN($D144)</f>
        <v>0</v>
      </c>
      <c r="R144" s="1">
        <f>MEDIAN($E144)</f>
        <v>0</v>
      </c>
      <c r="S144" s="1">
        <f>MEDIAN($G144)</f>
        <v>0</v>
      </c>
      <c r="T144" s="1">
        <f>MEDIAN($H144)</f>
        <v>0</v>
      </c>
      <c r="U144" s="1">
        <f>MAX($B144)</f>
        <v>0</v>
      </c>
      <c r="V144" s="1">
        <f>MAX($C144)</f>
        <v>0</v>
      </c>
      <c r="W144" s="1">
        <f>MAX($D144)</f>
        <v>0</v>
      </c>
      <c r="X144" s="1">
        <f>MAX($E144)</f>
        <v>0</v>
      </c>
      <c r="Y144" s="1">
        <f>MAX($G144)</f>
        <v>0</v>
      </c>
      <c r="Z144" s="1">
        <f>MAX($H144)</f>
        <v>0</v>
      </c>
    </row>
    <row r="145" spans="1:26">
      <c r="A145" s="1" t="s">
        <v>142</v>
      </c>
      <c r="B145" s="1">
        <v>1</v>
      </c>
      <c r="C145" s="1">
        <v>0</v>
      </c>
      <c r="D145" s="1">
        <v>0</v>
      </c>
      <c r="E145" s="1">
        <v>10000</v>
      </c>
      <c r="F145" s="1" t="s">
        <v>197</v>
      </c>
      <c r="G145" s="1">
        <v>5000</v>
      </c>
      <c r="H145" s="1">
        <v>1</v>
      </c>
      <c r="I145" s="1">
        <f>MIN($B145)</f>
        <v>0</v>
      </c>
      <c r="J145" s="1">
        <f>MIN($C145)</f>
        <v>0</v>
      </c>
      <c r="K145" s="1">
        <f>MIN($D145)</f>
        <v>0</v>
      </c>
      <c r="L145" s="1">
        <f>MIN($E145)</f>
        <v>0</v>
      </c>
      <c r="M145" s="1">
        <f>MIN($G145)</f>
        <v>0</v>
      </c>
      <c r="N145" s="1">
        <f>MIN($H145)</f>
        <v>0</v>
      </c>
      <c r="O145" s="1">
        <f>MEDIAN($B145)</f>
        <v>0</v>
      </c>
      <c r="P145" s="1">
        <f>MEDIAN($C145)</f>
        <v>0</v>
      </c>
      <c r="Q145" s="1">
        <f>MEDIAN($D145)</f>
        <v>0</v>
      </c>
      <c r="R145" s="1">
        <f>MEDIAN($E145)</f>
        <v>0</v>
      </c>
      <c r="S145" s="1">
        <f>MEDIAN($G145)</f>
        <v>0</v>
      </c>
      <c r="T145" s="1">
        <f>MEDIAN($H145)</f>
        <v>0</v>
      </c>
      <c r="U145" s="1">
        <f>MAX($B145)</f>
        <v>0</v>
      </c>
      <c r="V145" s="1">
        <f>MAX($C145)</f>
        <v>0</v>
      </c>
      <c r="W145" s="1">
        <f>MAX($D145)</f>
        <v>0</v>
      </c>
      <c r="X145" s="1">
        <f>MAX($E145)</f>
        <v>0</v>
      </c>
      <c r="Y145" s="1">
        <f>MAX($G145)</f>
        <v>0</v>
      </c>
      <c r="Z145" s="1">
        <f>MAX($H145)</f>
        <v>0</v>
      </c>
    </row>
    <row r="146" spans="1:26">
      <c r="A146" s="1" t="s">
        <v>143</v>
      </c>
      <c r="B146" s="1">
        <v>1</v>
      </c>
      <c r="C146" s="1">
        <v>0</v>
      </c>
      <c r="D146" s="1">
        <v>0</v>
      </c>
      <c r="E146" s="1">
        <v>10000</v>
      </c>
      <c r="F146" s="1" t="s">
        <v>197</v>
      </c>
      <c r="G146" s="1">
        <v>5000</v>
      </c>
      <c r="H146" s="1">
        <v>1</v>
      </c>
      <c r="I146" s="1">
        <f>MIN($B146)</f>
        <v>0</v>
      </c>
      <c r="J146" s="1">
        <f>MIN($C146)</f>
        <v>0</v>
      </c>
      <c r="K146" s="1">
        <f>MIN($D146)</f>
        <v>0</v>
      </c>
      <c r="L146" s="1">
        <f>MIN($E146)</f>
        <v>0</v>
      </c>
      <c r="M146" s="1">
        <f>MIN($G146)</f>
        <v>0</v>
      </c>
      <c r="N146" s="1">
        <f>MIN($H146)</f>
        <v>0</v>
      </c>
      <c r="O146" s="1">
        <f>MEDIAN($B146)</f>
        <v>0</v>
      </c>
      <c r="P146" s="1">
        <f>MEDIAN($C146)</f>
        <v>0</v>
      </c>
      <c r="Q146" s="1">
        <f>MEDIAN($D146)</f>
        <v>0</v>
      </c>
      <c r="R146" s="1">
        <f>MEDIAN($E146)</f>
        <v>0</v>
      </c>
      <c r="S146" s="1">
        <f>MEDIAN($G146)</f>
        <v>0</v>
      </c>
      <c r="T146" s="1">
        <f>MEDIAN($H146)</f>
        <v>0</v>
      </c>
      <c r="U146" s="1">
        <f>MAX($B146)</f>
        <v>0</v>
      </c>
      <c r="V146" s="1">
        <f>MAX($C146)</f>
        <v>0</v>
      </c>
      <c r="W146" s="1">
        <f>MAX($D146)</f>
        <v>0</v>
      </c>
      <c r="X146" s="1">
        <f>MAX($E146)</f>
        <v>0</v>
      </c>
      <c r="Y146" s="1">
        <f>MAX($G146)</f>
        <v>0</v>
      </c>
      <c r="Z146" s="1">
        <f>MAX($H146)</f>
        <v>0</v>
      </c>
    </row>
    <row r="147" spans="1:26">
      <c r="A147" s="1" t="s">
        <v>144</v>
      </c>
      <c r="B147" s="1">
        <v>1</v>
      </c>
      <c r="C147" s="1">
        <v>0</v>
      </c>
      <c r="D147" s="1">
        <v>0</v>
      </c>
      <c r="E147" s="1">
        <v>10000</v>
      </c>
      <c r="F147" s="1" t="s">
        <v>197</v>
      </c>
      <c r="G147" s="1">
        <v>5000</v>
      </c>
      <c r="H147" s="1">
        <v>1</v>
      </c>
      <c r="I147" s="1">
        <f>MIN($B147)</f>
        <v>0</v>
      </c>
      <c r="J147" s="1">
        <f>MIN($C147)</f>
        <v>0</v>
      </c>
      <c r="K147" s="1">
        <f>MIN($D147)</f>
        <v>0</v>
      </c>
      <c r="L147" s="1">
        <f>MIN($E147)</f>
        <v>0</v>
      </c>
      <c r="M147" s="1">
        <f>MIN($G147)</f>
        <v>0</v>
      </c>
      <c r="N147" s="1">
        <f>MIN($H147)</f>
        <v>0</v>
      </c>
      <c r="O147" s="1">
        <f>MEDIAN($B147)</f>
        <v>0</v>
      </c>
      <c r="P147" s="1">
        <f>MEDIAN($C147)</f>
        <v>0</v>
      </c>
      <c r="Q147" s="1">
        <f>MEDIAN($D147)</f>
        <v>0</v>
      </c>
      <c r="R147" s="1">
        <f>MEDIAN($E147)</f>
        <v>0</v>
      </c>
      <c r="S147" s="1">
        <f>MEDIAN($G147)</f>
        <v>0</v>
      </c>
      <c r="T147" s="1">
        <f>MEDIAN($H147)</f>
        <v>0</v>
      </c>
      <c r="U147" s="1">
        <f>MAX($B147)</f>
        <v>0</v>
      </c>
      <c r="V147" s="1">
        <f>MAX($C147)</f>
        <v>0</v>
      </c>
      <c r="W147" s="1">
        <f>MAX($D147)</f>
        <v>0</v>
      </c>
      <c r="X147" s="1">
        <f>MAX($E147)</f>
        <v>0</v>
      </c>
      <c r="Y147" s="1">
        <f>MAX($G147)</f>
        <v>0</v>
      </c>
      <c r="Z147" s="1">
        <f>MAX($H147)</f>
        <v>0</v>
      </c>
    </row>
    <row r="148" spans="1:26">
      <c r="A148" s="1" t="s">
        <v>145</v>
      </c>
      <c r="B148" s="1">
        <v>1</v>
      </c>
      <c r="C148" s="1">
        <v>0</v>
      </c>
      <c r="D148" s="1">
        <v>0</v>
      </c>
      <c r="E148" s="1">
        <v>10000</v>
      </c>
      <c r="F148" s="1" t="s">
        <v>197</v>
      </c>
      <c r="G148" s="1">
        <v>5000</v>
      </c>
      <c r="H148" s="1">
        <v>1</v>
      </c>
      <c r="I148" s="1">
        <f>MIN($B148)</f>
        <v>0</v>
      </c>
      <c r="J148" s="1">
        <f>MIN($C148)</f>
        <v>0</v>
      </c>
      <c r="K148" s="1">
        <f>MIN($D148)</f>
        <v>0</v>
      </c>
      <c r="L148" s="1">
        <f>MIN($E148)</f>
        <v>0</v>
      </c>
      <c r="M148" s="1">
        <f>MIN($G148)</f>
        <v>0</v>
      </c>
      <c r="N148" s="1">
        <f>MIN($H148)</f>
        <v>0</v>
      </c>
      <c r="O148" s="1">
        <f>MEDIAN($B148)</f>
        <v>0</v>
      </c>
      <c r="P148" s="1">
        <f>MEDIAN($C148)</f>
        <v>0</v>
      </c>
      <c r="Q148" s="1">
        <f>MEDIAN($D148)</f>
        <v>0</v>
      </c>
      <c r="R148" s="1">
        <f>MEDIAN($E148)</f>
        <v>0</v>
      </c>
      <c r="S148" s="1">
        <f>MEDIAN($G148)</f>
        <v>0</v>
      </c>
      <c r="T148" s="1">
        <f>MEDIAN($H148)</f>
        <v>0</v>
      </c>
      <c r="U148" s="1">
        <f>MAX($B148)</f>
        <v>0</v>
      </c>
      <c r="V148" s="1">
        <f>MAX($C148)</f>
        <v>0</v>
      </c>
      <c r="W148" s="1">
        <f>MAX($D148)</f>
        <v>0</v>
      </c>
      <c r="X148" s="1">
        <f>MAX($E148)</f>
        <v>0</v>
      </c>
      <c r="Y148" s="1">
        <f>MAX($G148)</f>
        <v>0</v>
      </c>
      <c r="Z148" s="1">
        <f>MAX($H148)</f>
        <v>0</v>
      </c>
    </row>
    <row r="149" spans="1:26">
      <c r="A149" s="1" t="s">
        <v>146</v>
      </c>
      <c r="B149" s="1">
        <v>1</v>
      </c>
      <c r="C149" s="1">
        <v>0</v>
      </c>
      <c r="D149" s="1">
        <v>0</v>
      </c>
      <c r="E149" s="1">
        <v>10000</v>
      </c>
      <c r="F149" s="1" t="s">
        <v>197</v>
      </c>
      <c r="G149" s="1">
        <v>5000</v>
      </c>
      <c r="H149" s="1">
        <v>1</v>
      </c>
      <c r="I149" s="1">
        <f>MIN($B149)</f>
        <v>0</v>
      </c>
      <c r="J149" s="1">
        <f>MIN($C149)</f>
        <v>0</v>
      </c>
      <c r="K149" s="1">
        <f>MIN($D149)</f>
        <v>0</v>
      </c>
      <c r="L149" s="1">
        <f>MIN($E149)</f>
        <v>0</v>
      </c>
      <c r="M149" s="1">
        <f>MIN($G149)</f>
        <v>0</v>
      </c>
      <c r="N149" s="1">
        <f>MIN($H149)</f>
        <v>0</v>
      </c>
      <c r="O149" s="1">
        <f>MEDIAN($B149)</f>
        <v>0</v>
      </c>
      <c r="P149" s="1">
        <f>MEDIAN($C149)</f>
        <v>0</v>
      </c>
      <c r="Q149" s="1">
        <f>MEDIAN($D149)</f>
        <v>0</v>
      </c>
      <c r="R149" s="1">
        <f>MEDIAN($E149)</f>
        <v>0</v>
      </c>
      <c r="S149" s="1">
        <f>MEDIAN($G149)</f>
        <v>0</v>
      </c>
      <c r="T149" s="1">
        <f>MEDIAN($H149)</f>
        <v>0</v>
      </c>
      <c r="U149" s="1">
        <f>MAX($B149)</f>
        <v>0</v>
      </c>
      <c r="V149" s="1">
        <f>MAX($C149)</f>
        <v>0</v>
      </c>
      <c r="W149" s="1">
        <f>MAX($D149)</f>
        <v>0</v>
      </c>
      <c r="X149" s="1">
        <f>MAX($E149)</f>
        <v>0</v>
      </c>
      <c r="Y149" s="1">
        <f>MAX($G149)</f>
        <v>0</v>
      </c>
      <c r="Z149" s="1">
        <f>MAX($H149)</f>
        <v>0</v>
      </c>
    </row>
    <row r="150" spans="1:26">
      <c r="A150" s="1" t="s">
        <v>147</v>
      </c>
      <c r="B150" s="1">
        <v>1</v>
      </c>
      <c r="C150" s="1">
        <v>0</v>
      </c>
      <c r="D150" s="1">
        <v>0</v>
      </c>
      <c r="E150" s="1">
        <v>10000</v>
      </c>
      <c r="F150" s="1" t="s">
        <v>197</v>
      </c>
      <c r="G150" s="1">
        <v>5000</v>
      </c>
      <c r="H150" s="1">
        <v>1</v>
      </c>
      <c r="I150" s="1">
        <f>MIN($B150)</f>
        <v>0</v>
      </c>
      <c r="J150" s="1">
        <f>MIN($C150)</f>
        <v>0</v>
      </c>
      <c r="K150" s="1">
        <f>MIN($D150)</f>
        <v>0</v>
      </c>
      <c r="L150" s="1">
        <f>MIN($E150)</f>
        <v>0</v>
      </c>
      <c r="M150" s="1">
        <f>MIN($G150)</f>
        <v>0</v>
      </c>
      <c r="N150" s="1">
        <f>MIN($H150)</f>
        <v>0</v>
      </c>
      <c r="O150" s="1">
        <f>MEDIAN($B150)</f>
        <v>0</v>
      </c>
      <c r="P150" s="1">
        <f>MEDIAN($C150)</f>
        <v>0</v>
      </c>
      <c r="Q150" s="1">
        <f>MEDIAN($D150)</f>
        <v>0</v>
      </c>
      <c r="R150" s="1">
        <f>MEDIAN($E150)</f>
        <v>0</v>
      </c>
      <c r="S150" s="1">
        <f>MEDIAN($G150)</f>
        <v>0</v>
      </c>
      <c r="T150" s="1">
        <f>MEDIAN($H150)</f>
        <v>0</v>
      </c>
      <c r="U150" s="1">
        <f>MAX($B150)</f>
        <v>0</v>
      </c>
      <c r="V150" s="1">
        <f>MAX($C150)</f>
        <v>0</v>
      </c>
      <c r="W150" s="1">
        <f>MAX($D150)</f>
        <v>0</v>
      </c>
      <c r="X150" s="1">
        <f>MAX($E150)</f>
        <v>0</v>
      </c>
      <c r="Y150" s="1">
        <f>MAX($G150)</f>
        <v>0</v>
      </c>
      <c r="Z150" s="1">
        <f>MAX($H150)</f>
        <v>0</v>
      </c>
    </row>
    <row r="151" spans="1:26">
      <c r="A151" s="1" t="s">
        <v>148</v>
      </c>
      <c r="B151" s="1">
        <v>1</v>
      </c>
      <c r="C151" s="1">
        <v>0</v>
      </c>
      <c r="D151" s="1">
        <v>0</v>
      </c>
      <c r="E151" s="1">
        <v>10000</v>
      </c>
      <c r="F151" s="1" t="s">
        <v>197</v>
      </c>
      <c r="G151" s="1">
        <v>5000</v>
      </c>
      <c r="H151" s="1">
        <v>1</v>
      </c>
      <c r="I151" s="1">
        <f>MIN($B151)</f>
        <v>0</v>
      </c>
      <c r="J151" s="1">
        <f>MIN($C151)</f>
        <v>0</v>
      </c>
      <c r="K151" s="1">
        <f>MIN($D151)</f>
        <v>0</v>
      </c>
      <c r="L151" s="1">
        <f>MIN($E151)</f>
        <v>0</v>
      </c>
      <c r="M151" s="1">
        <f>MIN($G151)</f>
        <v>0</v>
      </c>
      <c r="N151" s="1">
        <f>MIN($H151)</f>
        <v>0</v>
      </c>
      <c r="O151" s="1">
        <f>MEDIAN($B151)</f>
        <v>0</v>
      </c>
      <c r="P151" s="1">
        <f>MEDIAN($C151)</f>
        <v>0</v>
      </c>
      <c r="Q151" s="1">
        <f>MEDIAN($D151)</f>
        <v>0</v>
      </c>
      <c r="R151" s="1">
        <f>MEDIAN($E151)</f>
        <v>0</v>
      </c>
      <c r="S151" s="1">
        <f>MEDIAN($G151)</f>
        <v>0</v>
      </c>
      <c r="T151" s="1">
        <f>MEDIAN($H151)</f>
        <v>0</v>
      </c>
      <c r="U151" s="1">
        <f>MAX($B151)</f>
        <v>0</v>
      </c>
      <c r="V151" s="1">
        <f>MAX($C151)</f>
        <v>0</v>
      </c>
      <c r="W151" s="1">
        <f>MAX($D151)</f>
        <v>0</v>
      </c>
      <c r="X151" s="1">
        <f>MAX($E151)</f>
        <v>0</v>
      </c>
      <c r="Y151" s="1">
        <f>MAX($G151)</f>
        <v>0</v>
      </c>
      <c r="Z151" s="1">
        <f>MAX($H151)</f>
        <v>0</v>
      </c>
    </row>
    <row r="152" spans="1:26">
      <c r="A152" s="1" t="s">
        <v>149</v>
      </c>
      <c r="B152" s="1">
        <v>1</v>
      </c>
      <c r="C152" s="1">
        <v>0</v>
      </c>
      <c r="D152" s="1">
        <v>0</v>
      </c>
      <c r="E152" s="1">
        <v>10000</v>
      </c>
      <c r="F152" s="1" t="s">
        <v>197</v>
      </c>
      <c r="G152" s="1">
        <v>5000</v>
      </c>
      <c r="H152" s="1">
        <v>1</v>
      </c>
      <c r="I152" s="1">
        <f>MIN($B152)</f>
        <v>0</v>
      </c>
      <c r="J152" s="1">
        <f>MIN($C152)</f>
        <v>0</v>
      </c>
      <c r="K152" s="1">
        <f>MIN($D152)</f>
        <v>0</v>
      </c>
      <c r="L152" s="1">
        <f>MIN($E152)</f>
        <v>0</v>
      </c>
      <c r="M152" s="1">
        <f>MIN($G152)</f>
        <v>0</v>
      </c>
      <c r="N152" s="1">
        <f>MIN($H152)</f>
        <v>0</v>
      </c>
      <c r="O152" s="1">
        <f>MEDIAN($B152)</f>
        <v>0</v>
      </c>
      <c r="P152" s="1">
        <f>MEDIAN($C152)</f>
        <v>0</v>
      </c>
      <c r="Q152" s="1">
        <f>MEDIAN($D152)</f>
        <v>0</v>
      </c>
      <c r="R152" s="1">
        <f>MEDIAN($E152)</f>
        <v>0</v>
      </c>
      <c r="S152" s="1">
        <f>MEDIAN($G152)</f>
        <v>0</v>
      </c>
      <c r="T152" s="1">
        <f>MEDIAN($H152)</f>
        <v>0</v>
      </c>
      <c r="U152" s="1">
        <f>MAX($B152)</f>
        <v>0</v>
      </c>
      <c r="V152" s="1">
        <f>MAX($C152)</f>
        <v>0</v>
      </c>
      <c r="W152" s="1">
        <f>MAX($D152)</f>
        <v>0</v>
      </c>
      <c r="X152" s="1">
        <f>MAX($E152)</f>
        <v>0</v>
      </c>
      <c r="Y152" s="1">
        <f>MAX($G152)</f>
        <v>0</v>
      </c>
      <c r="Z152" s="1">
        <f>MAX($H152)</f>
        <v>0</v>
      </c>
    </row>
    <row r="153" spans="1:26">
      <c r="A153" s="1" t="s">
        <v>150</v>
      </c>
      <c r="B153" s="1">
        <v>1</v>
      </c>
      <c r="C153" s="1">
        <v>0</v>
      </c>
      <c r="D153" s="1">
        <v>0</v>
      </c>
      <c r="E153" s="1">
        <v>10000</v>
      </c>
      <c r="F153" s="1" t="s">
        <v>197</v>
      </c>
      <c r="G153" s="1">
        <v>5000</v>
      </c>
      <c r="H153" s="1">
        <v>1</v>
      </c>
      <c r="I153" s="1">
        <f>MIN($B153)</f>
        <v>0</v>
      </c>
      <c r="J153" s="1">
        <f>MIN($C153)</f>
        <v>0</v>
      </c>
      <c r="K153" s="1">
        <f>MIN($D153)</f>
        <v>0</v>
      </c>
      <c r="L153" s="1">
        <f>MIN($E153)</f>
        <v>0</v>
      </c>
      <c r="M153" s="1">
        <f>MIN($G153)</f>
        <v>0</v>
      </c>
      <c r="N153" s="1">
        <f>MIN($H153)</f>
        <v>0</v>
      </c>
      <c r="O153" s="1">
        <f>MEDIAN($B153)</f>
        <v>0</v>
      </c>
      <c r="P153" s="1">
        <f>MEDIAN($C153)</f>
        <v>0</v>
      </c>
      <c r="Q153" s="1">
        <f>MEDIAN($D153)</f>
        <v>0</v>
      </c>
      <c r="R153" s="1">
        <f>MEDIAN($E153)</f>
        <v>0</v>
      </c>
      <c r="S153" s="1">
        <f>MEDIAN($G153)</f>
        <v>0</v>
      </c>
      <c r="T153" s="1">
        <f>MEDIAN($H153)</f>
        <v>0</v>
      </c>
      <c r="U153" s="1">
        <f>MAX($B153)</f>
        <v>0</v>
      </c>
      <c r="V153" s="1">
        <f>MAX($C153)</f>
        <v>0</v>
      </c>
      <c r="W153" s="1">
        <f>MAX($D153)</f>
        <v>0</v>
      </c>
      <c r="X153" s="1">
        <f>MAX($E153)</f>
        <v>0</v>
      </c>
      <c r="Y153" s="1">
        <f>MAX($G153)</f>
        <v>0</v>
      </c>
      <c r="Z153" s="1">
        <f>MAX($H153)</f>
        <v>0</v>
      </c>
    </row>
    <row r="154" spans="1:26">
      <c r="A154" s="1" t="s">
        <v>151</v>
      </c>
      <c r="B154" s="1">
        <v>1</v>
      </c>
      <c r="C154" s="1">
        <v>0</v>
      </c>
      <c r="D154" s="1">
        <v>0</v>
      </c>
      <c r="E154" s="1">
        <v>10000</v>
      </c>
      <c r="F154" s="1" t="s">
        <v>197</v>
      </c>
      <c r="G154" s="1">
        <v>5000</v>
      </c>
      <c r="H154" s="1">
        <v>1</v>
      </c>
      <c r="I154" s="1">
        <f>MIN($B154)</f>
        <v>0</v>
      </c>
      <c r="J154" s="1">
        <f>MIN($C154)</f>
        <v>0</v>
      </c>
      <c r="K154" s="1">
        <f>MIN($D154)</f>
        <v>0</v>
      </c>
      <c r="L154" s="1">
        <f>MIN($E154)</f>
        <v>0</v>
      </c>
      <c r="M154" s="1">
        <f>MIN($G154)</f>
        <v>0</v>
      </c>
      <c r="N154" s="1">
        <f>MIN($H154)</f>
        <v>0</v>
      </c>
      <c r="O154" s="1">
        <f>MEDIAN($B154)</f>
        <v>0</v>
      </c>
      <c r="P154" s="1">
        <f>MEDIAN($C154)</f>
        <v>0</v>
      </c>
      <c r="Q154" s="1">
        <f>MEDIAN($D154)</f>
        <v>0</v>
      </c>
      <c r="R154" s="1">
        <f>MEDIAN($E154)</f>
        <v>0</v>
      </c>
      <c r="S154" s="1">
        <f>MEDIAN($G154)</f>
        <v>0</v>
      </c>
      <c r="T154" s="1">
        <f>MEDIAN($H154)</f>
        <v>0</v>
      </c>
      <c r="U154" s="1">
        <f>MAX($B154)</f>
        <v>0</v>
      </c>
      <c r="V154" s="1">
        <f>MAX($C154)</f>
        <v>0</v>
      </c>
      <c r="W154" s="1">
        <f>MAX($D154)</f>
        <v>0</v>
      </c>
      <c r="X154" s="1">
        <f>MAX($E154)</f>
        <v>0</v>
      </c>
      <c r="Y154" s="1">
        <f>MAX($G154)</f>
        <v>0</v>
      </c>
      <c r="Z154" s="1">
        <f>MAX($H154)</f>
        <v>0</v>
      </c>
    </row>
    <row r="155" spans="1:26">
      <c r="A155" s="1" t="s">
        <v>152</v>
      </c>
      <c r="B155" s="1">
        <v>1</v>
      </c>
      <c r="C155" s="1">
        <v>0</v>
      </c>
      <c r="D155" s="1">
        <v>0</v>
      </c>
      <c r="E155" s="1">
        <v>10000</v>
      </c>
      <c r="F155" s="1" t="s">
        <v>197</v>
      </c>
      <c r="G155" s="1">
        <v>5000</v>
      </c>
      <c r="H155" s="1">
        <v>1</v>
      </c>
      <c r="I155" s="1">
        <f>MIN($B155)</f>
        <v>0</v>
      </c>
      <c r="J155" s="1">
        <f>MIN($C155)</f>
        <v>0</v>
      </c>
      <c r="K155" s="1">
        <f>MIN($D155)</f>
        <v>0</v>
      </c>
      <c r="L155" s="1">
        <f>MIN($E155)</f>
        <v>0</v>
      </c>
      <c r="M155" s="1">
        <f>MIN($G155)</f>
        <v>0</v>
      </c>
      <c r="N155" s="1">
        <f>MIN($H155)</f>
        <v>0</v>
      </c>
      <c r="O155" s="1">
        <f>MEDIAN($B155)</f>
        <v>0</v>
      </c>
      <c r="P155" s="1">
        <f>MEDIAN($C155)</f>
        <v>0</v>
      </c>
      <c r="Q155" s="1">
        <f>MEDIAN($D155)</f>
        <v>0</v>
      </c>
      <c r="R155" s="1">
        <f>MEDIAN($E155)</f>
        <v>0</v>
      </c>
      <c r="S155" s="1">
        <f>MEDIAN($G155)</f>
        <v>0</v>
      </c>
      <c r="T155" s="1">
        <f>MEDIAN($H155)</f>
        <v>0</v>
      </c>
      <c r="U155" s="1">
        <f>MAX($B155)</f>
        <v>0</v>
      </c>
      <c r="V155" s="1">
        <f>MAX($C155)</f>
        <v>0</v>
      </c>
      <c r="W155" s="1">
        <f>MAX($D155)</f>
        <v>0</v>
      </c>
      <c r="X155" s="1">
        <f>MAX($E155)</f>
        <v>0</v>
      </c>
      <c r="Y155" s="1">
        <f>MAX($G155)</f>
        <v>0</v>
      </c>
      <c r="Z155" s="1">
        <f>MAX($H155)</f>
        <v>0</v>
      </c>
    </row>
    <row r="156" spans="1:26">
      <c r="A156" s="1" t="s">
        <v>153</v>
      </c>
      <c r="B156" s="1">
        <v>1</v>
      </c>
      <c r="C156" s="1">
        <v>0</v>
      </c>
      <c r="D156" s="1">
        <v>0</v>
      </c>
      <c r="E156" s="1">
        <v>10000</v>
      </c>
      <c r="F156" s="1" t="s">
        <v>197</v>
      </c>
      <c r="G156" s="1">
        <v>5000</v>
      </c>
      <c r="H156" s="1">
        <v>1</v>
      </c>
      <c r="I156" s="1">
        <f>MIN($B156)</f>
        <v>0</v>
      </c>
      <c r="J156" s="1">
        <f>MIN($C156)</f>
        <v>0</v>
      </c>
      <c r="K156" s="1">
        <f>MIN($D156)</f>
        <v>0</v>
      </c>
      <c r="L156" s="1">
        <f>MIN($E156)</f>
        <v>0</v>
      </c>
      <c r="M156" s="1">
        <f>MIN($G156)</f>
        <v>0</v>
      </c>
      <c r="N156" s="1">
        <f>MIN($H156)</f>
        <v>0</v>
      </c>
      <c r="O156" s="1">
        <f>MEDIAN($B156)</f>
        <v>0</v>
      </c>
      <c r="P156" s="1">
        <f>MEDIAN($C156)</f>
        <v>0</v>
      </c>
      <c r="Q156" s="1">
        <f>MEDIAN($D156)</f>
        <v>0</v>
      </c>
      <c r="R156" s="1">
        <f>MEDIAN($E156)</f>
        <v>0</v>
      </c>
      <c r="S156" s="1">
        <f>MEDIAN($G156)</f>
        <v>0</v>
      </c>
      <c r="T156" s="1">
        <f>MEDIAN($H156)</f>
        <v>0</v>
      </c>
      <c r="U156" s="1">
        <f>MAX($B156)</f>
        <v>0</v>
      </c>
      <c r="V156" s="1">
        <f>MAX($C156)</f>
        <v>0</v>
      </c>
      <c r="W156" s="1">
        <f>MAX($D156)</f>
        <v>0</v>
      </c>
      <c r="X156" s="1">
        <f>MAX($E156)</f>
        <v>0</v>
      </c>
      <c r="Y156" s="1">
        <f>MAX($G156)</f>
        <v>0</v>
      </c>
      <c r="Z156" s="1">
        <f>MAX($H156)</f>
        <v>0</v>
      </c>
    </row>
    <row r="157" spans="1:26">
      <c r="A157" s="1" t="s">
        <v>154</v>
      </c>
      <c r="B157" s="1">
        <v>1</v>
      </c>
      <c r="C157" s="1">
        <v>0</v>
      </c>
      <c r="D157" s="1">
        <v>0</v>
      </c>
      <c r="E157" s="1">
        <v>10000</v>
      </c>
      <c r="F157" s="1" t="s">
        <v>197</v>
      </c>
      <c r="G157" s="1">
        <v>5000</v>
      </c>
      <c r="H157" s="1">
        <v>1</v>
      </c>
      <c r="I157" s="1">
        <f>MIN($B157)</f>
        <v>0</v>
      </c>
      <c r="J157" s="1">
        <f>MIN($C157)</f>
        <v>0</v>
      </c>
      <c r="K157" s="1">
        <f>MIN($D157)</f>
        <v>0</v>
      </c>
      <c r="L157" s="1">
        <f>MIN($E157)</f>
        <v>0</v>
      </c>
      <c r="M157" s="1">
        <f>MIN($G157)</f>
        <v>0</v>
      </c>
      <c r="N157" s="1">
        <f>MIN($H157)</f>
        <v>0</v>
      </c>
      <c r="O157" s="1">
        <f>MEDIAN($B157)</f>
        <v>0</v>
      </c>
      <c r="P157" s="1">
        <f>MEDIAN($C157)</f>
        <v>0</v>
      </c>
      <c r="Q157" s="1">
        <f>MEDIAN($D157)</f>
        <v>0</v>
      </c>
      <c r="R157" s="1">
        <f>MEDIAN($E157)</f>
        <v>0</v>
      </c>
      <c r="S157" s="1">
        <f>MEDIAN($G157)</f>
        <v>0</v>
      </c>
      <c r="T157" s="1">
        <f>MEDIAN($H157)</f>
        <v>0</v>
      </c>
      <c r="U157" s="1">
        <f>MAX($B157)</f>
        <v>0</v>
      </c>
      <c r="V157" s="1">
        <f>MAX($C157)</f>
        <v>0</v>
      </c>
      <c r="W157" s="1">
        <f>MAX($D157)</f>
        <v>0</v>
      </c>
      <c r="X157" s="1">
        <f>MAX($E157)</f>
        <v>0</v>
      </c>
      <c r="Y157" s="1">
        <f>MAX($G157)</f>
        <v>0</v>
      </c>
      <c r="Z157" s="1">
        <f>MAX($H157)</f>
        <v>0</v>
      </c>
    </row>
    <row r="158" spans="1:26">
      <c r="A158" s="1" t="s">
        <v>155</v>
      </c>
      <c r="B158" s="1">
        <v>1</v>
      </c>
      <c r="C158" s="1">
        <v>0</v>
      </c>
      <c r="D158" s="1">
        <v>0</v>
      </c>
      <c r="E158" s="1">
        <v>10000</v>
      </c>
      <c r="F158" s="1" t="s">
        <v>197</v>
      </c>
      <c r="G158" s="1">
        <v>5000</v>
      </c>
      <c r="H158" s="1">
        <v>1</v>
      </c>
      <c r="I158" s="1">
        <f>MIN($B158)</f>
        <v>0</v>
      </c>
      <c r="J158" s="1">
        <f>MIN($C158)</f>
        <v>0</v>
      </c>
      <c r="K158" s="1">
        <f>MIN($D158)</f>
        <v>0</v>
      </c>
      <c r="L158" s="1">
        <f>MIN($E158)</f>
        <v>0</v>
      </c>
      <c r="M158" s="1">
        <f>MIN($G158)</f>
        <v>0</v>
      </c>
      <c r="N158" s="1">
        <f>MIN($H158)</f>
        <v>0</v>
      </c>
      <c r="O158" s="1">
        <f>MEDIAN($B158)</f>
        <v>0</v>
      </c>
      <c r="P158" s="1">
        <f>MEDIAN($C158)</f>
        <v>0</v>
      </c>
      <c r="Q158" s="1">
        <f>MEDIAN($D158)</f>
        <v>0</v>
      </c>
      <c r="R158" s="1">
        <f>MEDIAN($E158)</f>
        <v>0</v>
      </c>
      <c r="S158" s="1">
        <f>MEDIAN($G158)</f>
        <v>0</v>
      </c>
      <c r="T158" s="1">
        <f>MEDIAN($H158)</f>
        <v>0</v>
      </c>
      <c r="U158" s="1">
        <f>MAX($B158)</f>
        <v>0</v>
      </c>
      <c r="V158" s="1">
        <f>MAX($C158)</f>
        <v>0</v>
      </c>
      <c r="W158" s="1">
        <f>MAX($D158)</f>
        <v>0</v>
      </c>
      <c r="X158" s="1">
        <f>MAX($E158)</f>
        <v>0</v>
      </c>
      <c r="Y158" s="1">
        <f>MAX($G158)</f>
        <v>0</v>
      </c>
      <c r="Z158" s="1">
        <f>MAX($H158)</f>
        <v>0</v>
      </c>
    </row>
    <row r="159" spans="1:26">
      <c r="A159" s="1" t="s">
        <v>156</v>
      </c>
      <c r="B159" s="1">
        <v>1</v>
      </c>
      <c r="C159" s="1">
        <v>0</v>
      </c>
      <c r="D159" s="1">
        <v>0</v>
      </c>
      <c r="E159" s="1">
        <v>10000</v>
      </c>
      <c r="F159" s="1" t="s">
        <v>197</v>
      </c>
      <c r="G159" s="1">
        <v>5000</v>
      </c>
      <c r="H159" s="1">
        <v>1</v>
      </c>
      <c r="I159" s="1">
        <f>MIN($B159)</f>
        <v>0</v>
      </c>
      <c r="J159" s="1">
        <f>MIN($C159)</f>
        <v>0</v>
      </c>
      <c r="K159" s="1">
        <f>MIN($D159)</f>
        <v>0</v>
      </c>
      <c r="L159" s="1">
        <f>MIN($E159)</f>
        <v>0</v>
      </c>
      <c r="M159" s="1">
        <f>MIN($G159)</f>
        <v>0</v>
      </c>
      <c r="N159" s="1">
        <f>MIN($H159)</f>
        <v>0</v>
      </c>
      <c r="O159" s="1">
        <f>MEDIAN($B159)</f>
        <v>0</v>
      </c>
      <c r="P159" s="1">
        <f>MEDIAN($C159)</f>
        <v>0</v>
      </c>
      <c r="Q159" s="1">
        <f>MEDIAN($D159)</f>
        <v>0</v>
      </c>
      <c r="R159" s="1">
        <f>MEDIAN($E159)</f>
        <v>0</v>
      </c>
      <c r="S159" s="1">
        <f>MEDIAN($G159)</f>
        <v>0</v>
      </c>
      <c r="T159" s="1">
        <f>MEDIAN($H159)</f>
        <v>0</v>
      </c>
      <c r="U159" s="1">
        <f>MAX($B159)</f>
        <v>0</v>
      </c>
      <c r="V159" s="1">
        <f>MAX($C159)</f>
        <v>0</v>
      </c>
      <c r="W159" s="1">
        <f>MAX($D159)</f>
        <v>0</v>
      </c>
      <c r="X159" s="1">
        <f>MAX($E159)</f>
        <v>0</v>
      </c>
      <c r="Y159" s="1">
        <f>MAX($G159)</f>
        <v>0</v>
      </c>
      <c r="Z159" s="1">
        <f>MAX($H159)</f>
        <v>0</v>
      </c>
    </row>
    <row r="160" spans="1:26">
      <c r="A160" s="1" t="s">
        <v>157</v>
      </c>
      <c r="B160" s="1">
        <v>1</v>
      </c>
      <c r="C160" s="1">
        <v>0</v>
      </c>
      <c r="D160" s="1">
        <v>0</v>
      </c>
      <c r="E160" s="1">
        <v>10000</v>
      </c>
      <c r="F160" s="1" t="s">
        <v>197</v>
      </c>
      <c r="G160" s="1">
        <v>5000</v>
      </c>
      <c r="H160" s="1">
        <v>1</v>
      </c>
      <c r="I160" s="1">
        <f>MIN($B160)</f>
        <v>0</v>
      </c>
      <c r="J160" s="1">
        <f>MIN($C160)</f>
        <v>0</v>
      </c>
      <c r="K160" s="1">
        <f>MIN($D160)</f>
        <v>0</v>
      </c>
      <c r="L160" s="1">
        <f>MIN($E160)</f>
        <v>0</v>
      </c>
      <c r="M160" s="1">
        <f>MIN($G160)</f>
        <v>0</v>
      </c>
      <c r="N160" s="1">
        <f>MIN($H160)</f>
        <v>0</v>
      </c>
      <c r="O160" s="1">
        <f>MEDIAN($B160)</f>
        <v>0</v>
      </c>
      <c r="P160" s="1">
        <f>MEDIAN($C160)</f>
        <v>0</v>
      </c>
      <c r="Q160" s="1">
        <f>MEDIAN($D160)</f>
        <v>0</v>
      </c>
      <c r="R160" s="1">
        <f>MEDIAN($E160)</f>
        <v>0</v>
      </c>
      <c r="S160" s="1">
        <f>MEDIAN($G160)</f>
        <v>0</v>
      </c>
      <c r="T160" s="1">
        <f>MEDIAN($H160)</f>
        <v>0</v>
      </c>
      <c r="U160" s="1">
        <f>MAX($B160)</f>
        <v>0</v>
      </c>
      <c r="V160" s="1">
        <f>MAX($C160)</f>
        <v>0</v>
      </c>
      <c r="W160" s="1">
        <f>MAX($D160)</f>
        <v>0</v>
      </c>
      <c r="X160" s="1">
        <f>MAX($E160)</f>
        <v>0</v>
      </c>
      <c r="Y160" s="1">
        <f>MAX($G160)</f>
        <v>0</v>
      </c>
      <c r="Z160" s="1">
        <f>MAX($H160)</f>
        <v>0</v>
      </c>
    </row>
    <row r="161" spans="1:26">
      <c r="A161" s="1" t="s">
        <v>158</v>
      </c>
      <c r="B161" s="1">
        <v>1</v>
      </c>
      <c r="C161" s="1">
        <v>0</v>
      </c>
      <c r="D161" s="1">
        <v>0</v>
      </c>
      <c r="E161" s="1">
        <v>10000</v>
      </c>
      <c r="F161" s="1" t="s">
        <v>197</v>
      </c>
      <c r="G161" s="1">
        <v>5000</v>
      </c>
      <c r="H161" s="1">
        <v>1</v>
      </c>
      <c r="I161" s="1">
        <f>MIN($B161)</f>
        <v>0</v>
      </c>
      <c r="J161" s="1">
        <f>MIN($C161)</f>
        <v>0</v>
      </c>
      <c r="K161" s="1">
        <f>MIN($D161)</f>
        <v>0</v>
      </c>
      <c r="L161" s="1">
        <f>MIN($E161)</f>
        <v>0</v>
      </c>
      <c r="M161" s="1">
        <f>MIN($G161)</f>
        <v>0</v>
      </c>
      <c r="N161" s="1">
        <f>MIN($H161)</f>
        <v>0</v>
      </c>
      <c r="O161" s="1">
        <f>MEDIAN($B161)</f>
        <v>0</v>
      </c>
      <c r="P161" s="1">
        <f>MEDIAN($C161)</f>
        <v>0</v>
      </c>
      <c r="Q161" s="1">
        <f>MEDIAN($D161)</f>
        <v>0</v>
      </c>
      <c r="R161" s="1">
        <f>MEDIAN($E161)</f>
        <v>0</v>
      </c>
      <c r="S161" s="1">
        <f>MEDIAN($G161)</f>
        <v>0</v>
      </c>
      <c r="T161" s="1">
        <f>MEDIAN($H161)</f>
        <v>0</v>
      </c>
      <c r="U161" s="1">
        <f>MAX($B161)</f>
        <v>0</v>
      </c>
      <c r="V161" s="1">
        <f>MAX($C161)</f>
        <v>0</v>
      </c>
      <c r="W161" s="1">
        <f>MAX($D161)</f>
        <v>0</v>
      </c>
      <c r="X161" s="1">
        <f>MAX($E161)</f>
        <v>0</v>
      </c>
      <c r="Y161" s="1">
        <f>MAX($G161)</f>
        <v>0</v>
      </c>
      <c r="Z161" s="1">
        <f>MAX($H161)</f>
        <v>0</v>
      </c>
    </row>
    <row r="162" spans="1:26">
      <c r="A162" s="1" t="s">
        <v>159</v>
      </c>
      <c r="B162" s="1">
        <v>1</v>
      </c>
      <c r="C162" s="1">
        <v>0</v>
      </c>
      <c r="D162" s="1">
        <v>0</v>
      </c>
      <c r="E162" s="1">
        <v>10000</v>
      </c>
      <c r="F162" s="1" t="s">
        <v>197</v>
      </c>
      <c r="G162" s="1">
        <v>5000</v>
      </c>
      <c r="H162" s="1">
        <v>1</v>
      </c>
      <c r="I162" s="1">
        <f>MIN($B162)</f>
        <v>0</v>
      </c>
      <c r="J162" s="1">
        <f>MIN($C162)</f>
        <v>0</v>
      </c>
      <c r="K162" s="1">
        <f>MIN($D162)</f>
        <v>0</v>
      </c>
      <c r="L162" s="1">
        <f>MIN($E162)</f>
        <v>0</v>
      </c>
      <c r="M162" s="1">
        <f>MIN($G162)</f>
        <v>0</v>
      </c>
      <c r="N162" s="1">
        <f>MIN($H162)</f>
        <v>0</v>
      </c>
      <c r="O162" s="1">
        <f>MEDIAN($B162)</f>
        <v>0</v>
      </c>
      <c r="P162" s="1">
        <f>MEDIAN($C162)</f>
        <v>0</v>
      </c>
      <c r="Q162" s="1">
        <f>MEDIAN($D162)</f>
        <v>0</v>
      </c>
      <c r="R162" s="1">
        <f>MEDIAN($E162)</f>
        <v>0</v>
      </c>
      <c r="S162" s="1">
        <f>MEDIAN($G162)</f>
        <v>0</v>
      </c>
      <c r="T162" s="1">
        <f>MEDIAN($H162)</f>
        <v>0</v>
      </c>
      <c r="U162" s="1">
        <f>MAX($B162)</f>
        <v>0</v>
      </c>
      <c r="V162" s="1">
        <f>MAX($C162)</f>
        <v>0</v>
      </c>
      <c r="W162" s="1">
        <f>MAX($D162)</f>
        <v>0</v>
      </c>
      <c r="X162" s="1">
        <f>MAX($E162)</f>
        <v>0</v>
      </c>
      <c r="Y162" s="1">
        <f>MAX($G162)</f>
        <v>0</v>
      </c>
      <c r="Z162" s="1">
        <f>MAX($H162)</f>
        <v>0</v>
      </c>
    </row>
    <row r="163" spans="1:26">
      <c r="A163" s="1" t="s">
        <v>160</v>
      </c>
      <c r="B163" s="1">
        <v>1</v>
      </c>
      <c r="C163" s="1">
        <v>0</v>
      </c>
      <c r="D163" s="1">
        <v>0</v>
      </c>
      <c r="E163" s="1">
        <v>10000</v>
      </c>
      <c r="F163" s="1" t="s">
        <v>197</v>
      </c>
      <c r="G163" s="1">
        <v>5000</v>
      </c>
      <c r="H163" s="1">
        <v>1</v>
      </c>
      <c r="I163" s="1">
        <f>MIN($B163)</f>
        <v>0</v>
      </c>
      <c r="J163" s="1">
        <f>MIN($C163)</f>
        <v>0</v>
      </c>
      <c r="K163" s="1">
        <f>MIN($D163)</f>
        <v>0</v>
      </c>
      <c r="L163" s="1">
        <f>MIN($E163)</f>
        <v>0</v>
      </c>
      <c r="M163" s="1">
        <f>MIN($G163)</f>
        <v>0</v>
      </c>
      <c r="N163" s="1">
        <f>MIN($H163)</f>
        <v>0</v>
      </c>
      <c r="O163" s="1">
        <f>MEDIAN($B163)</f>
        <v>0</v>
      </c>
      <c r="P163" s="1">
        <f>MEDIAN($C163)</f>
        <v>0</v>
      </c>
      <c r="Q163" s="1">
        <f>MEDIAN($D163)</f>
        <v>0</v>
      </c>
      <c r="R163" s="1">
        <f>MEDIAN($E163)</f>
        <v>0</v>
      </c>
      <c r="S163" s="1">
        <f>MEDIAN($G163)</f>
        <v>0</v>
      </c>
      <c r="T163" s="1">
        <f>MEDIAN($H163)</f>
        <v>0</v>
      </c>
      <c r="U163" s="1">
        <f>MAX($B163)</f>
        <v>0</v>
      </c>
      <c r="V163" s="1">
        <f>MAX($C163)</f>
        <v>0</v>
      </c>
      <c r="W163" s="1">
        <f>MAX($D163)</f>
        <v>0</v>
      </c>
      <c r="X163" s="1">
        <f>MAX($E163)</f>
        <v>0</v>
      </c>
      <c r="Y163" s="1">
        <f>MAX($G163)</f>
        <v>0</v>
      </c>
      <c r="Z163" s="1">
        <f>MAX($H163)</f>
        <v>0</v>
      </c>
    </row>
    <row r="164" spans="1:26">
      <c r="A164" s="1" t="s">
        <v>161</v>
      </c>
      <c r="B164" s="1">
        <v>1</v>
      </c>
      <c r="C164" s="1">
        <v>0</v>
      </c>
      <c r="D164" s="1">
        <v>0</v>
      </c>
      <c r="E164" s="1">
        <v>10000</v>
      </c>
      <c r="F164" s="1" t="s">
        <v>197</v>
      </c>
      <c r="G164" s="1">
        <v>5000</v>
      </c>
      <c r="H164" s="1">
        <v>1</v>
      </c>
      <c r="I164" s="1">
        <f>MIN($B164)</f>
        <v>0</v>
      </c>
      <c r="J164" s="1">
        <f>MIN($C164)</f>
        <v>0</v>
      </c>
      <c r="K164" s="1">
        <f>MIN($D164)</f>
        <v>0</v>
      </c>
      <c r="L164" s="1">
        <f>MIN($E164)</f>
        <v>0</v>
      </c>
      <c r="M164" s="1">
        <f>MIN($G164)</f>
        <v>0</v>
      </c>
      <c r="N164" s="1">
        <f>MIN($H164)</f>
        <v>0</v>
      </c>
      <c r="O164" s="1">
        <f>MEDIAN($B164)</f>
        <v>0</v>
      </c>
      <c r="P164" s="1">
        <f>MEDIAN($C164)</f>
        <v>0</v>
      </c>
      <c r="Q164" s="1">
        <f>MEDIAN($D164)</f>
        <v>0</v>
      </c>
      <c r="R164" s="1">
        <f>MEDIAN($E164)</f>
        <v>0</v>
      </c>
      <c r="S164" s="1">
        <f>MEDIAN($G164)</f>
        <v>0</v>
      </c>
      <c r="T164" s="1">
        <f>MEDIAN($H164)</f>
        <v>0</v>
      </c>
      <c r="U164" s="1">
        <f>MAX($B164)</f>
        <v>0</v>
      </c>
      <c r="V164" s="1">
        <f>MAX($C164)</f>
        <v>0</v>
      </c>
      <c r="W164" s="1">
        <f>MAX($D164)</f>
        <v>0</v>
      </c>
      <c r="X164" s="1">
        <f>MAX($E164)</f>
        <v>0</v>
      </c>
      <c r="Y164" s="1">
        <f>MAX($G164)</f>
        <v>0</v>
      </c>
      <c r="Z164" s="1">
        <f>MAX($H164)</f>
        <v>0</v>
      </c>
    </row>
    <row r="165" spans="1:26">
      <c r="A165" s="1" t="s">
        <v>162</v>
      </c>
      <c r="B165" s="1">
        <v>1</v>
      </c>
      <c r="C165" s="1">
        <v>0</v>
      </c>
      <c r="D165" s="1">
        <v>0</v>
      </c>
      <c r="E165" s="1">
        <v>10000</v>
      </c>
      <c r="F165" s="1" t="s">
        <v>197</v>
      </c>
      <c r="G165" s="1">
        <v>5000</v>
      </c>
      <c r="H165" s="1">
        <v>1</v>
      </c>
      <c r="I165" s="1">
        <f>MIN($B165)</f>
        <v>0</v>
      </c>
      <c r="J165" s="1">
        <f>MIN($C165)</f>
        <v>0</v>
      </c>
      <c r="K165" s="1">
        <f>MIN($D165)</f>
        <v>0</v>
      </c>
      <c r="L165" s="1">
        <f>MIN($E165)</f>
        <v>0</v>
      </c>
      <c r="M165" s="1">
        <f>MIN($G165)</f>
        <v>0</v>
      </c>
      <c r="N165" s="1">
        <f>MIN($H165)</f>
        <v>0</v>
      </c>
      <c r="O165" s="1">
        <f>MEDIAN($B165)</f>
        <v>0</v>
      </c>
      <c r="P165" s="1">
        <f>MEDIAN($C165)</f>
        <v>0</v>
      </c>
      <c r="Q165" s="1">
        <f>MEDIAN($D165)</f>
        <v>0</v>
      </c>
      <c r="R165" s="1">
        <f>MEDIAN($E165)</f>
        <v>0</v>
      </c>
      <c r="S165" s="1">
        <f>MEDIAN($G165)</f>
        <v>0</v>
      </c>
      <c r="T165" s="1">
        <f>MEDIAN($H165)</f>
        <v>0</v>
      </c>
      <c r="U165" s="1">
        <f>MAX($B165)</f>
        <v>0</v>
      </c>
      <c r="V165" s="1">
        <f>MAX($C165)</f>
        <v>0</v>
      </c>
      <c r="W165" s="1">
        <f>MAX($D165)</f>
        <v>0</v>
      </c>
      <c r="X165" s="1">
        <f>MAX($E165)</f>
        <v>0</v>
      </c>
      <c r="Y165" s="1">
        <f>MAX($G165)</f>
        <v>0</v>
      </c>
      <c r="Z165" s="1">
        <f>MAX($H165)</f>
        <v>0</v>
      </c>
    </row>
    <row r="166" spans="1:26">
      <c r="A166" s="1" t="s">
        <v>163</v>
      </c>
      <c r="B166" s="1">
        <v>1</v>
      </c>
      <c r="C166" s="1">
        <v>0</v>
      </c>
      <c r="D166" s="1">
        <v>0</v>
      </c>
      <c r="E166" s="1">
        <v>10000</v>
      </c>
      <c r="F166" s="1" t="s">
        <v>197</v>
      </c>
      <c r="G166" s="1">
        <v>5000</v>
      </c>
      <c r="H166" s="1">
        <v>1</v>
      </c>
      <c r="I166" s="1">
        <f>MIN($B166)</f>
        <v>0</v>
      </c>
      <c r="J166" s="1">
        <f>MIN($C166)</f>
        <v>0</v>
      </c>
      <c r="K166" s="1">
        <f>MIN($D166)</f>
        <v>0</v>
      </c>
      <c r="L166" s="1">
        <f>MIN($E166)</f>
        <v>0</v>
      </c>
      <c r="M166" s="1">
        <f>MIN($G166)</f>
        <v>0</v>
      </c>
      <c r="N166" s="1">
        <f>MIN($H166)</f>
        <v>0</v>
      </c>
      <c r="O166" s="1">
        <f>MEDIAN($B166)</f>
        <v>0</v>
      </c>
      <c r="P166" s="1">
        <f>MEDIAN($C166)</f>
        <v>0</v>
      </c>
      <c r="Q166" s="1">
        <f>MEDIAN($D166)</f>
        <v>0</v>
      </c>
      <c r="R166" s="1">
        <f>MEDIAN($E166)</f>
        <v>0</v>
      </c>
      <c r="S166" s="1">
        <f>MEDIAN($G166)</f>
        <v>0</v>
      </c>
      <c r="T166" s="1">
        <f>MEDIAN($H166)</f>
        <v>0</v>
      </c>
      <c r="U166" s="1">
        <f>MAX($B166)</f>
        <v>0</v>
      </c>
      <c r="V166" s="1">
        <f>MAX($C166)</f>
        <v>0</v>
      </c>
      <c r="W166" s="1">
        <f>MAX($D166)</f>
        <v>0</v>
      </c>
      <c r="X166" s="1">
        <f>MAX($E166)</f>
        <v>0</v>
      </c>
      <c r="Y166" s="1">
        <f>MAX($G166)</f>
        <v>0</v>
      </c>
      <c r="Z166" s="1">
        <f>MAX($H166)</f>
        <v>0</v>
      </c>
    </row>
    <row r="167" spans="1:26">
      <c r="A167" s="1" t="s">
        <v>164</v>
      </c>
      <c r="B167" s="1">
        <v>1</v>
      </c>
      <c r="C167" s="1">
        <v>0</v>
      </c>
      <c r="D167" s="1">
        <v>0</v>
      </c>
      <c r="E167" s="1">
        <v>10000</v>
      </c>
      <c r="F167" s="1" t="s">
        <v>197</v>
      </c>
      <c r="G167" s="1">
        <v>5000</v>
      </c>
      <c r="H167" s="1">
        <v>1</v>
      </c>
      <c r="I167" s="1">
        <f>MIN($B167)</f>
        <v>0</v>
      </c>
      <c r="J167" s="1">
        <f>MIN($C167)</f>
        <v>0</v>
      </c>
      <c r="K167" s="1">
        <f>MIN($D167)</f>
        <v>0</v>
      </c>
      <c r="L167" s="1">
        <f>MIN($E167)</f>
        <v>0</v>
      </c>
      <c r="M167" s="1">
        <f>MIN($G167)</f>
        <v>0</v>
      </c>
      <c r="N167" s="1">
        <f>MIN($H167)</f>
        <v>0</v>
      </c>
      <c r="O167" s="1">
        <f>MEDIAN($B167)</f>
        <v>0</v>
      </c>
      <c r="P167" s="1">
        <f>MEDIAN($C167)</f>
        <v>0</v>
      </c>
      <c r="Q167" s="1">
        <f>MEDIAN($D167)</f>
        <v>0</v>
      </c>
      <c r="R167" s="1">
        <f>MEDIAN($E167)</f>
        <v>0</v>
      </c>
      <c r="S167" s="1">
        <f>MEDIAN($G167)</f>
        <v>0</v>
      </c>
      <c r="T167" s="1">
        <f>MEDIAN($H167)</f>
        <v>0</v>
      </c>
      <c r="U167" s="1">
        <f>MAX($B167)</f>
        <v>0</v>
      </c>
      <c r="V167" s="1">
        <f>MAX($C167)</f>
        <v>0</v>
      </c>
      <c r="W167" s="1">
        <f>MAX($D167)</f>
        <v>0</v>
      </c>
      <c r="X167" s="1">
        <f>MAX($E167)</f>
        <v>0</v>
      </c>
      <c r="Y167" s="1">
        <f>MAX($G167)</f>
        <v>0</v>
      </c>
      <c r="Z167" s="1">
        <f>MAX($H167)</f>
        <v>0</v>
      </c>
    </row>
    <row r="168" spans="1:26">
      <c r="A168" s="1" t="s">
        <v>165</v>
      </c>
      <c r="B168" s="1">
        <v>1</v>
      </c>
      <c r="C168" s="1">
        <v>0</v>
      </c>
      <c r="D168" s="1">
        <v>0</v>
      </c>
      <c r="E168" s="1">
        <v>10000</v>
      </c>
      <c r="F168" s="1" t="s">
        <v>197</v>
      </c>
      <c r="G168" s="1">
        <v>5000</v>
      </c>
      <c r="H168" s="1">
        <v>1</v>
      </c>
      <c r="I168" s="1">
        <f>MIN($B168)</f>
        <v>0</v>
      </c>
      <c r="J168" s="1">
        <f>MIN($C168)</f>
        <v>0</v>
      </c>
      <c r="K168" s="1">
        <f>MIN($D168)</f>
        <v>0</v>
      </c>
      <c r="L168" s="1">
        <f>MIN($E168)</f>
        <v>0</v>
      </c>
      <c r="M168" s="1">
        <f>MIN($G168)</f>
        <v>0</v>
      </c>
      <c r="N168" s="1">
        <f>MIN($H168)</f>
        <v>0</v>
      </c>
      <c r="O168" s="1">
        <f>MEDIAN($B168)</f>
        <v>0</v>
      </c>
      <c r="P168" s="1">
        <f>MEDIAN($C168)</f>
        <v>0</v>
      </c>
      <c r="Q168" s="1">
        <f>MEDIAN($D168)</f>
        <v>0</v>
      </c>
      <c r="R168" s="1">
        <f>MEDIAN($E168)</f>
        <v>0</v>
      </c>
      <c r="S168" s="1">
        <f>MEDIAN($G168)</f>
        <v>0</v>
      </c>
      <c r="T168" s="1">
        <f>MEDIAN($H168)</f>
        <v>0</v>
      </c>
      <c r="U168" s="1">
        <f>MAX($B168)</f>
        <v>0</v>
      </c>
      <c r="V168" s="1">
        <f>MAX($C168)</f>
        <v>0</v>
      </c>
      <c r="W168" s="1">
        <f>MAX($D168)</f>
        <v>0</v>
      </c>
      <c r="X168" s="1">
        <f>MAX($E168)</f>
        <v>0</v>
      </c>
      <c r="Y168" s="1">
        <f>MAX($G168)</f>
        <v>0</v>
      </c>
      <c r="Z168" s="1">
        <f>MAX($H168)</f>
        <v>0</v>
      </c>
    </row>
    <row r="169" spans="1:26">
      <c r="A169" s="1" t="s">
        <v>166</v>
      </c>
      <c r="B169" s="1">
        <v>1</v>
      </c>
      <c r="C169" s="1">
        <v>0</v>
      </c>
      <c r="D169" s="1">
        <v>0</v>
      </c>
      <c r="E169" s="1">
        <v>10000</v>
      </c>
      <c r="F169" s="1" t="s">
        <v>197</v>
      </c>
      <c r="G169" s="1">
        <v>5000</v>
      </c>
      <c r="H169" s="1">
        <v>1</v>
      </c>
      <c r="I169" s="1">
        <f>MIN($B169)</f>
        <v>0</v>
      </c>
      <c r="J169" s="1">
        <f>MIN($C169)</f>
        <v>0</v>
      </c>
      <c r="K169" s="1">
        <f>MIN($D169)</f>
        <v>0</v>
      </c>
      <c r="L169" s="1">
        <f>MIN($E169)</f>
        <v>0</v>
      </c>
      <c r="M169" s="1">
        <f>MIN($G169)</f>
        <v>0</v>
      </c>
      <c r="N169" s="1">
        <f>MIN($H169)</f>
        <v>0</v>
      </c>
      <c r="O169" s="1">
        <f>MEDIAN($B169)</f>
        <v>0</v>
      </c>
      <c r="P169" s="1">
        <f>MEDIAN($C169)</f>
        <v>0</v>
      </c>
      <c r="Q169" s="1">
        <f>MEDIAN($D169)</f>
        <v>0</v>
      </c>
      <c r="R169" s="1">
        <f>MEDIAN($E169)</f>
        <v>0</v>
      </c>
      <c r="S169" s="1">
        <f>MEDIAN($G169)</f>
        <v>0</v>
      </c>
      <c r="T169" s="1">
        <f>MEDIAN($H169)</f>
        <v>0</v>
      </c>
      <c r="U169" s="1">
        <f>MAX($B169)</f>
        <v>0</v>
      </c>
      <c r="V169" s="1">
        <f>MAX($C169)</f>
        <v>0</v>
      </c>
      <c r="W169" s="1">
        <f>MAX($D169)</f>
        <v>0</v>
      </c>
      <c r="X169" s="1">
        <f>MAX($E169)</f>
        <v>0</v>
      </c>
      <c r="Y169" s="1">
        <f>MAX($G169)</f>
        <v>0</v>
      </c>
      <c r="Z169" s="1">
        <f>MAX($H169)</f>
        <v>0</v>
      </c>
    </row>
    <row r="170" spans="1:26">
      <c r="A170" s="1" t="s">
        <v>167</v>
      </c>
      <c r="B170" s="1">
        <v>1</v>
      </c>
      <c r="C170" s="1">
        <v>0</v>
      </c>
      <c r="D170" s="1">
        <v>0</v>
      </c>
      <c r="E170" s="1">
        <v>10000</v>
      </c>
      <c r="F170" s="1" t="s">
        <v>197</v>
      </c>
      <c r="G170" s="1">
        <v>5000</v>
      </c>
      <c r="H170" s="1">
        <v>1</v>
      </c>
      <c r="I170" s="1">
        <f>MIN($B170)</f>
        <v>0</v>
      </c>
      <c r="J170" s="1">
        <f>MIN($C170)</f>
        <v>0</v>
      </c>
      <c r="K170" s="1">
        <f>MIN($D170)</f>
        <v>0</v>
      </c>
      <c r="L170" s="1">
        <f>MIN($E170)</f>
        <v>0</v>
      </c>
      <c r="M170" s="1">
        <f>MIN($G170)</f>
        <v>0</v>
      </c>
      <c r="N170" s="1">
        <f>MIN($H170)</f>
        <v>0</v>
      </c>
      <c r="O170" s="1">
        <f>MEDIAN($B170)</f>
        <v>0</v>
      </c>
      <c r="P170" s="1">
        <f>MEDIAN($C170)</f>
        <v>0</v>
      </c>
      <c r="Q170" s="1">
        <f>MEDIAN($D170)</f>
        <v>0</v>
      </c>
      <c r="R170" s="1">
        <f>MEDIAN($E170)</f>
        <v>0</v>
      </c>
      <c r="S170" s="1">
        <f>MEDIAN($G170)</f>
        <v>0</v>
      </c>
      <c r="T170" s="1">
        <f>MEDIAN($H170)</f>
        <v>0</v>
      </c>
      <c r="U170" s="1">
        <f>MAX($B170)</f>
        <v>0</v>
      </c>
      <c r="V170" s="1">
        <f>MAX($C170)</f>
        <v>0</v>
      </c>
      <c r="W170" s="1">
        <f>MAX($D170)</f>
        <v>0</v>
      </c>
      <c r="X170" s="1">
        <f>MAX($E170)</f>
        <v>0</v>
      </c>
      <c r="Y170" s="1">
        <f>MAX($G170)</f>
        <v>0</v>
      </c>
      <c r="Z170" s="1">
        <f>MAX($H170)</f>
        <v>0</v>
      </c>
    </row>
    <row r="171" spans="1:26">
      <c r="A171" s="1" t="s">
        <v>168</v>
      </c>
      <c r="B171" s="1">
        <v>1</v>
      </c>
      <c r="C171" s="1">
        <v>0</v>
      </c>
      <c r="D171" s="1">
        <v>0</v>
      </c>
      <c r="E171" s="1">
        <v>10000</v>
      </c>
      <c r="F171" s="1" t="s">
        <v>197</v>
      </c>
      <c r="G171" s="1">
        <v>5000</v>
      </c>
      <c r="H171" s="1">
        <v>1</v>
      </c>
      <c r="I171" s="1">
        <f>MIN($B171)</f>
        <v>0</v>
      </c>
      <c r="J171" s="1">
        <f>MIN($C171)</f>
        <v>0</v>
      </c>
      <c r="K171" s="1">
        <f>MIN($D171)</f>
        <v>0</v>
      </c>
      <c r="L171" s="1">
        <f>MIN($E171)</f>
        <v>0</v>
      </c>
      <c r="M171" s="1">
        <f>MIN($G171)</f>
        <v>0</v>
      </c>
      <c r="N171" s="1">
        <f>MIN($H171)</f>
        <v>0</v>
      </c>
      <c r="O171" s="1">
        <f>MEDIAN($B171)</f>
        <v>0</v>
      </c>
      <c r="P171" s="1">
        <f>MEDIAN($C171)</f>
        <v>0</v>
      </c>
      <c r="Q171" s="1">
        <f>MEDIAN($D171)</f>
        <v>0</v>
      </c>
      <c r="R171" s="1">
        <f>MEDIAN($E171)</f>
        <v>0</v>
      </c>
      <c r="S171" s="1">
        <f>MEDIAN($G171)</f>
        <v>0</v>
      </c>
      <c r="T171" s="1">
        <f>MEDIAN($H171)</f>
        <v>0</v>
      </c>
      <c r="U171" s="1">
        <f>MAX($B171)</f>
        <v>0</v>
      </c>
      <c r="V171" s="1">
        <f>MAX($C171)</f>
        <v>0</v>
      </c>
      <c r="W171" s="1">
        <f>MAX($D171)</f>
        <v>0</v>
      </c>
      <c r="X171" s="1">
        <f>MAX($E171)</f>
        <v>0</v>
      </c>
      <c r="Y171" s="1">
        <f>MAX($G171)</f>
        <v>0</v>
      </c>
      <c r="Z171" s="1">
        <f>MAX($H171)</f>
        <v>0</v>
      </c>
    </row>
    <row r="172" spans="1:26">
      <c r="A172" s="1" t="s">
        <v>169</v>
      </c>
      <c r="B172" s="1">
        <v>1</v>
      </c>
      <c r="C172" s="1">
        <v>0</v>
      </c>
      <c r="D172" s="1">
        <v>0</v>
      </c>
      <c r="E172" s="1">
        <v>10000</v>
      </c>
      <c r="F172" s="1" t="s">
        <v>197</v>
      </c>
      <c r="G172" s="1">
        <v>5000</v>
      </c>
      <c r="H172" s="1">
        <v>1</v>
      </c>
      <c r="I172" s="1">
        <f>MIN($B172)</f>
        <v>0</v>
      </c>
      <c r="J172" s="1">
        <f>MIN($C172)</f>
        <v>0</v>
      </c>
      <c r="K172" s="1">
        <f>MIN($D172)</f>
        <v>0</v>
      </c>
      <c r="L172" s="1">
        <f>MIN($E172)</f>
        <v>0</v>
      </c>
      <c r="M172" s="1">
        <f>MIN($G172)</f>
        <v>0</v>
      </c>
      <c r="N172" s="1">
        <f>MIN($H172)</f>
        <v>0</v>
      </c>
      <c r="O172" s="1">
        <f>MEDIAN($B172)</f>
        <v>0</v>
      </c>
      <c r="P172" s="1">
        <f>MEDIAN($C172)</f>
        <v>0</v>
      </c>
      <c r="Q172" s="1">
        <f>MEDIAN($D172)</f>
        <v>0</v>
      </c>
      <c r="R172" s="1">
        <f>MEDIAN($E172)</f>
        <v>0</v>
      </c>
      <c r="S172" s="1">
        <f>MEDIAN($G172)</f>
        <v>0</v>
      </c>
      <c r="T172" s="1">
        <f>MEDIAN($H172)</f>
        <v>0</v>
      </c>
      <c r="U172" s="1">
        <f>MAX($B172)</f>
        <v>0</v>
      </c>
      <c r="V172" s="1">
        <f>MAX($C172)</f>
        <v>0</v>
      </c>
      <c r="W172" s="1">
        <f>MAX($D172)</f>
        <v>0</v>
      </c>
      <c r="X172" s="1">
        <f>MAX($E172)</f>
        <v>0</v>
      </c>
      <c r="Y172" s="1">
        <f>MAX($G172)</f>
        <v>0</v>
      </c>
      <c r="Z172" s="1">
        <f>MAX($H172)</f>
        <v>0</v>
      </c>
    </row>
    <row r="173" spans="1:26">
      <c r="A173" s="1" t="s">
        <v>170</v>
      </c>
      <c r="B173" s="1">
        <v>1</v>
      </c>
      <c r="C173" s="1">
        <v>0</v>
      </c>
      <c r="D173" s="1">
        <v>0</v>
      </c>
      <c r="E173" s="1">
        <v>10000</v>
      </c>
      <c r="F173" s="1" t="s">
        <v>197</v>
      </c>
      <c r="G173" s="1">
        <v>5000</v>
      </c>
      <c r="H173" s="1">
        <v>1</v>
      </c>
      <c r="I173" s="1">
        <f>MIN($B173)</f>
        <v>0</v>
      </c>
      <c r="J173" s="1">
        <f>MIN($C173)</f>
        <v>0</v>
      </c>
      <c r="K173" s="1">
        <f>MIN($D173)</f>
        <v>0</v>
      </c>
      <c r="L173" s="1">
        <f>MIN($E173)</f>
        <v>0</v>
      </c>
      <c r="M173" s="1">
        <f>MIN($G173)</f>
        <v>0</v>
      </c>
      <c r="N173" s="1">
        <f>MIN($H173)</f>
        <v>0</v>
      </c>
      <c r="O173" s="1">
        <f>MEDIAN($B173)</f>
        <v>0</v>
      </c>
      <c r="P173" s="1">
        <f>MEDIAN($C173)</f>
        <v>0</v>
      </c>
      <c r="Q173" s="1">
        <f>MEDIAN($D173)</f>
        <v>0</v>
      </c>
      <c r="R173" s="1">
        <f>MEDIAN($E173)</f>
        <v>0</v>
      </c>
      <c r="S173" s="1">
        <f>MEDIAN($G173)</f>
        <v>0</v>
      </c>
      <c r="T173" s="1">
        <f>MEDIAN($H173)</f>
        <v>0</v>
      </c>
      <c r="U173" s="1">
        <f>MAX($B173)</f>
        <v>0</v>
      </c>
      <c r="V173" s="1">
        <f>MAX($C173)</f>
        <v>0</v>
      </c>
      <c r="W173" s="1">
        <f>MAX($D173)</f>
        <v>0</v>
      </c>
      <c r="X173" s="1">
        <f>MAX($E173)</f>
        <v>0</v>
      </c>
      <c r="Y173" s="1">
        <f>MAX($G173)</f>
        <v>0</v>
      </c>
      <c r="Z173" s="1">
        <f>MAX($H173)</f>
        <v>0</v>
      </c>
    </row>
    <row r="174" spans="1:26">
      <c r="A174" s="1" t="s">
        <v>171</v>
      </c>
      <c r="B174" s="1">
        <v>1</v>
      </c>
      <c r="C174" s="1">
        <v>0</v>
      </c>
      <c r="D174" s="1">
        <v>0</v>
      </c>
      <c r="E174" s="1">
        <v>10000</v>
      </c>
      <c r="F174" s="1" t="s">
        <v>197</v>
      </c>
      <c r="G174" s="1">
        <v>5000</v>
      </c>
      <c r="H174" s="1">
        <v>1</v>
      </c>
      <c r="I174" s="1">
        <f>MIN($B174)</f>
        <v>0</v>
      </c>
      <c r="J174" s="1">
        <f>MIN($C174)</f>
        <v>0</v>
      </c>
      <c r="K174" s="1">
        <f>MIN($D174)</f>
        <v>0</v>
      </c>
      <c r="L174" s="1">
        <f>MIN($E174)</f>
        <v>0</v>
      </c>
      <c r="M174" s="1">
        <f>MIN($G174)</f>
        <v>0</v>
      </c>
      <c r="N174" s="1">
        <f>MIN($H174)</f>
        <v>0</v>
      </c>
      <c r="O174" s="1">
        <f>MEDIAN($B174)</f>
        <v>0</v>
      </c>
      <c r="P174" s="1">
        <f>MEDIAN($C174)</f>
        <v>0</v>
      </c>
      <c r="Q174" s="1">
        <f>MEDIAN($D174)</f>
        <v>0</v>
      </c>
      <c r="R174" s="1">
        <f>MEDIAN($E174)</f>
        <v>0</v>
      </c>
      <c r="S174" s="1">
        <f>MEDIAN($G174)</f>
        <v>0</v>
      </c>
      <c r="T174" s="1">
        <f>MEDIAN($H174)</f>
        <v>0</v>
      </c>
      <c r="U174" s="1">
        <f>MAX($B174)</f>
        <v>0</v>
      </c>
      <c r="V174" s="1">
        <f>MAX($C174)</f>
        <v>0</v>
      </c>
      <c r="W174" s="1">
        <f>MAX($D174)</f>
        <v>0</v>
      </c>
      <c r="X174" s="1">
        <f>MAX($E174)</f>
        <v>0</v>
      </c>
      <c r="Y174" s="1">
        <f>MAX($G174)</f>
        <v>0</v>
      </c>
      <c r="Z174" s="1">
        <f>MAX($H174)</f>
        <v>0</v>
      </c>
    </row>
    <row r="175" spans="1:26">
      <c r="A175" s="1" t="s">
        <v>172</v>
      </c>
      <c r="B175" s="1">
        <v>1</v>
      </c>
      <c r="C175" s="1">
        <v>0</v>
      </c>
      <c r="D175" s="1">
        <v>0</v>
      </c>
      <c r="E175" s="1">
        <v>10000</v>
      </c>
      <c r="F175" s="1" t="s">
        <v>197</v>
      </c>
      <c r="G175" s="1">
        <v>5000</v>
      </c>
      <c r="H175" s="1">
        <v>1</v>
      </c>
      <c r="I175" s="1">
        <f>MIN($B175)</f>
        <v>0</v>
      </c>
      <c r="J175" s="1">
        <f>MIN($C175)</f>
        <v>0</v>
      </c>
      <c r="K175" s="1">
        <f>MIN($D175)</f>
        <v>0</v>
      </c>
      <c r="L175" s="1">
        <f>MIN($E175)</f>
        <v>0</v>
      </c>
      <c r="M175" s="1">
        <f>MIN($G175)</f>
        <v>0</v>
      </c>
      <c r="N175" s="1">
        <f>MIN($H175)</f>
        <v>0</v>
      </c>
      <c r="O175" s="1">
        <f>MEDIAN($B175)</f>
        <v>0</v>
      </c>
      <c r="P175" s="1">
        <f>MEDIAN($C175)</f>
        <v>0</v>
      </c>
      <c r="Q175" s="1">
        <f>MEDIAN($D175)</f>
        <v>0</v>
      </c>
      <c r="R175" s="1">
        <f>MEDIAN($E175)</f>
        <v>0</v>
      </c>
      <c r="S175" s="1">
        <f>MEDIAN($G175)</f>
        <v>0</v>
      </c>
      <c r="T175" s="1">
        <f>MEDIAN($H175)</f>
        <v>0</v>
      </c>
      <c r="U175" s="1">
        <f>MAX($B175)</f>
        <v>0</v>
      </c>
      <c r="V175" s="1">
        <f>MAX($C175)</f>
        <v>0</v>
      </c>
      <c r="W175" s="1">
        <f>MAX($D175)</f>
        <v>0</v>
      </c>
      <c r="X175" s="1">
        <f>MAX($E175)</f>
        <v>0</v>
      </c>
      <c r="Y175" s="1">
        <f>MAX($G175)</f>
        <v>0</v>
      </c>
      <c r="Z175" s="1">
        <f>MAX($H175)</f>
        <v>0</v>
      </c>
    </row>
    <row r="176" spans="1:26">
      <c r="A176" s="1" t="s">
        <v>173</v>
      </c>
      <c r="B176" s="1">
        <v>1</v>
      </c>
      <c r="C176" s="1">
        <v>0</v>
      </c>
      <c r="D176" s="1">
        <v>0</v>
      </c>
      <c r="E176" s="1">
        <v>10000</v>
      </c>
      <c r="F176" s="1" t="s">
        <v>197</v>
      </c>
      <c r="G176" s="1">
        <v>5000</v>
      </c>
      <c r="H176" s="1">
        <v>1</v>
      </c>
      <c r="I176" s="1">
        <f>MIN($B176)</f>
        <v>0</v>
      </c>
      <c r="J176" s="1">
        <f>MIN($C176)</f>
        <v>0</v>
      </c>
      <c r="K176" s="1">
        <f>MIN($D176)</f>
        <v>0</v>
      </c>
      <c r="L176" s="1">
        <f>MIN($E176)</f>
        <v>0</v>
      </c>
      <c r="M176" s="1">
        <f>MIN($G176)</f>
        <v>0</v>
      </c>
      <c r="N176" s="1">
        <f>MIN($H176)</f>
        <v>0</v>
      </c>
      <c r="O176" s="1">
        <f>MEDIAN($B176)</f>
        <v>0</v>
      </c>
      <c r="P176" s="1">
        <f>MEDIAN($C176)</f>
        <v>0</v>
      </c>
      <c r="Q176" s="1">
        <f>MEDIAN($D176)</f>
        <v>0</v>
      </c>
      <c r="R176" s="1">
        <f>MEDIAN($E176)</f>
        <v>0</v>
      </c>
      <c r="S176" s="1">
        <f>MEDIAN($G176)</f>
        <v>0</v>
      </c>
      <c r="T176" s="1">
        <f>MEDIAN($H176)</f>
        <v>0</v>
      </c>
      <c r="U176" s="1">
        <f>MAX($B176)</f>
        <v>0</v>
      </c>
      <c r="V176" s="1">
        <f>MAX($C176)</f>
        <v>0</v>
      </c>
      <c r="W176" s="1">
        <f>MAX($D176)</f>
        <v>0</v>
      </c>
      <c r="X176" s="1">
        <f>MAX($E176)</f>
        <v>0</v>
      </c>
      <c r="Y176" s="1">
        <f>MAX($G176)</f>
        <v>0</v>
      </c>
      <c r="Z176" s="1">
        <f>MAX($H176)</f>
        <v>0</v>
      </c>
    </row>
    <row r="177" spans="1:26">
      <c r="A177" s="1" t="s">
        <v>174</v>
      </c>
      <c r="B177" s="1">
        <v>1</v>
      </c>
      <c r="C177" s="1">
        <v>0</v>
      </c>
      <c r="D177" s="1">
        <v>0</v>
      </c>
      <c r="E177" s="1">
        <v>10000</v>
      </c>
      <c r="F177" s="1" t="s">
        <v>197</v>
      </c>
      <c r="G177" s="1">
        <v>5000</v>
      </c>
      <c r="H177" s="1">
        <v>1</v>
      </c>
      <c r="I177" s="1">
        <f>MIN($B177)</f>
        <v>0</v>
      </c>
      <c r="J177" s="1">
        <f>MIN($C177)</f>
        <v>0</v>
      </c>
      <c r="K177" s="1">
        <f>MIN($D177)</f>
        <v>0</v>
      </c>
      <c r="L177" s="1">
        <f>MIN($E177)</f>
        <v>0</v>
      </c>
      <c r="M177" s="1">
        <f>MIN($G177)</f>
        <v>0</v>
      </c>
      <c r="N177" s="1">
        <f>MIN($H177)</f>
        <v>0</v>
      </c>
      <c r="O177" s="1">
        <f>MEDIAN($B177)</f>
        <v>0</v>
      </c>
      <c r="P177" s="1">
        <f>MEDIAN($C177)</f>
        <v>0</v>
      </c>
      <c r="Q177" s="1">
        <f>MEDIAN($D177)</f>
        <v>0</v>
      </c>
      <c r="R177" s="1">
        <f>MEDIAN($E177)</f>
        <v>0</v>
      </c>
      <c r="S177" s="1">
        <f>MEDIAN($G177)</f>
        <v>0</v>
      </c>
      <c r="T177" s="1">
        <f>MEDIAN($H177)</f>
        <v>0</v>
      </c>
      <c r="U177" s="1">
        <f>MAX($B177)</f>
        <v>0</v>
      </c>
      <c r="V177" s="1">
        <f>MAX($C177)</f>
        <v>0</v>
      </c>
      <c r="W177" s="1">
        <f>MAX($D177)</f>
        <v>0</v>
      </c>
      <c r="X177" s="1">
        <f>MAX($E177)</f>
        <v>0</v>
      </c>
      <c r="Y177" s="1">
        <f>MAX($G177)</f>
        <v>0</v>
      </c>
      <c r="Z177" s="1">
        <f>MAX($H177)</f>
        <v>0</v>
      </c>
    </row>
    <row r="178" spans="1:26">
      <c r="A178" s="1" t="s">
        <v>175</v>
      </c>
      <c r="B178" s="1">
        <v>1</v>
      </c>
      <c r="C178" s="1">
        <v>0</v>
      </c>
      <c r="D178" s="1">
        <v>0</v>
      </c>
      <c r="E178" s="1">
        <v>10000</v>
      </c>
      <c r="F178" s="1" t="s">
        <v>197</v>
      </c>
      <c r="G178" s="1">
        <v>5000</v>
      </c>
      <c r="H178" s="1">
        <v>1</v>
      </c>
      <c r="I178" s="1">
        <f>MIN($B178)</f>
        <v>0</v>
      </c>
      <c r="J178" s="1">
        <f>MIN($C178)</f>
        <v>0</v>
      </c>
      <c r="K178" s="1">
        <f>MIN($D178)</f>
        <v>0</v>
      </c>
      <c r="L178" s="1">
        <f>MIN($E178)</f>
        <v>0</v>
      </c>
      <c r="M178" s="1">
        <f>MIN($G178)</f>
        <v>0</v>
      </c>
      <c r="N178" s="1">
        <f>MIN($H178)</f>
        <v>0</v>
      </c>
      <c r="O178" s="1">
        <f>MEDIAN($B178)</f>
        <v>0</v>
      </c>
      <c r="P178" s="1">
        <f>MEDIAN($C178)</f>
        <v>0</v>
      </c>
      <c r="Q178" s="1">
        <f>MEDIAN($D178)</f>
        <v>0</v>
      </c>
      <c r="R178" s="1">
        <f>MEDIAN($E178)</f>
        <v>0</v>
      </c>
      <c r="S178" s="1">
        <f>MEDIAN($G178)</f>
        <v>0</v>
      </c>
      <c r="T178" s="1">
        <f>MEDIAN($H178)</f>
        <v>0</v>
      </c>
      <c r="U178" s="1">
        <f>MAX($B178)</f>
        <v>0</v>
      </c>
      <c r="V178" s="1">
        <f>MAX($C178)</f>
        <v>0</v>
      </c>
      <c r="W178" s="1">
        <f>MAX($D178)</f>
        <v>0</v>
      </c>
      <c r="X178" s="1">
        <f>MAX($E178)</f>
        <v>0</v>
      </c>
      <c r="Y178" s="1">
        <f>MAX($G178)</f>
        <v>0</v>
      </c>
      <c r="Z178" s="1">
        <f>MAX($H178)</f>
        <v>0</v>
      </c>
    </row>
    <row r="179" spans="1:26">
      <c r="A179" s="1" t="s">
        <v>176</v>
      </c>
      <c r="B179" s="1">
        <v>1</v>
      </c>
      <c r="C179" s="1">
        <v>0</v>
      </c>
      <c r="D179" s="1">
        <v>0</v>
      </c>
      <c r="E179" s="1">
        <v>10000</v>
      </c>
      <c r="F179" s="1" t="s">
        <v>197</v>
      </c>
      <c r="G179" s="1">
        <v>5000</v>
      </c>
      <c r="H179" s="1">
        <v>1</v>
      </c>
      <c r="I179" s="1">
        <f>MIN($B179)</f>
        <v>0</v>
      </c>
      <c r="J179" s="1">
        <f>MIN($C179)</f>
        <v>0</v>
      </c>
      <c r="K179" s="1">
        <f>MIN($D179)</f>
        <v>0</v>
      </c>
      <c r="L179" s="1">
        <f>MIN($E179)</f>
        <v>0</v>
      </c>
      <c r="M179" s="1">
        <f>MIN($G179)</f>
        <v>0</v>
      </c>
      <c r="N179" s="1">
        <f>MIN($H179)</f>
        <v>0</v>
      </c>
      <c r="O179" s="1">
        <f>MEDIAN($B179)</f>
        <v>0</v>
      </c>
      <c r="P179" s="1">
        <f>MEDIAN($C179)</f>
        <v>0</v>
      </c>
      <c r="Q179" s="1">
        <f>MEDIAN($D179)</f>
        <v>0</v>
      </c>
      <c r="R179" s="1">
        <f>MEDIAN($E179)</f>
        <v>0</v>
      </c>
      <c r="S179" s="1">
        <f>MEDIAN($G179)</f>
        <v>0</v>
      </c>
      <c r="T179" s="1">
        <f>MEDIAN($H179)</f>
        <v>0</v>
      </c>
      <c r="U179" s="1">
        <f>MAX($B179)</f>
        <v>0</v>
      </c>
      <c r="V179" s="1">
        <f>MAX($C179)</f>
        <v>0</v>
      </c>
      <c r="W179" s="1">
        <f>MAX($D179)</f>
        <v>0</v>
      </c>
      <c r="X179" s="1">
        <f>MAX($E179)</f>
        <v>0</v>
      </c>
      <c r="Y179" s="1">
        <f>MAX($G179)</f>
        <v>0</v>
      </c>
      <c r="Z179" s="1">
        <f>MAX($H179)</f>
        <v>0</v>
      </c>
    </row>
    <row r="180" spans="1:26">
      <c r="A180" s="1" t="s">
        <v>177</v>
      </c>
      <c r="B180" s="1">
        <v>1</v>
      </c>
      <c r="C180" s="1">
        <v>0</v>
      </c>
      <c r="D180" s="1">
        <v>0</v>
      </c>
      <c r="E180" s="1">
        <v>10000</v>
      </c>
      <c r="F180" s="1" t="s">
        <v>197</v>
      </c>
      <c r="G180" s="1">
        <v>5000</v>
      </c>
      <c r="H180" s="1">
        <v>1</v>
      </c>
      <c r="I180" s="1">
        <f>MIN($B180)</f>
        <v>0</v>
      </c>
      <c r="J180" s="1">
        <f>MIN($C180)</f>
        <v>0</v>
      </c>
      <c r="K180" s="1">
        <f>MIN($D180)</f>
        <v>0</v>
      </c>
      <c r="L180" s="1">
        <f>MIN($E180)</f>
        <v>0</v>
      </c>
      <c r="M180" s="1">
        <f>MIN($G180)</f>
        <v>0</v>
      </c>
      <c r="N180" s="1">
        <f>MIN($H180)</f>
        <v>0</v>
      </c>
      <c r="O180" s="1">
        <f>MEDIAN($B180)</f>
        <v>0</v>
      </c>
      <c r="P180" s="1">
        <f>MEDIAN($C180)</f>
        <v>0</v>
      </c>
      <c r="Q180" s="1">
        <f>MEDIAN($D180)</f>
        <v>0</v>
      </c>
      <c r="R180" s="1">
        <f>MEDIAN($E180)</f>
        <v>0</v>
      </c>
      <c r="S180" s="1">
        <f>MEDIAN($G180)</f>
        <v>0</v>
      </c>
      <c r="T180" s="1">
        <f>MEDIAN($H180)</f>
        <v>0</v>
      </c>
      <c r="U180" s="1">
        <f>MAX($B180)</f>
        <v>0</v>
      </c>
      <c r="V180" s="1">
        <f>MAX($C180)</f>
        <v>0</v>
      </c>
      <c r="W180" s="1">
        <f>MAX($D180)</f>
        <v>0</v>
      </c>
      <c r="X180" s="1">
        <f>MAX($E180)</f>
        <v>0</v>
      </c>
      <c r="Y180" s="1">
        <f>MAX($G180)</f>
        <v>0</v>
      </c>
      <c r="Z180" s="1">
        <f>MAX($H180)</f>
        <v>0</v>
      </c>
    </row>
    <row r="181" spans="1:26">
      <c r="A181" s="1" t="s">
        <v>178</v>
      </c>
      <c r="B181" s="1">
        <v>1</v>
      </c>
      <c r="C181" s="1">
        <v>0</v>
      </c>
      <c r="D181" s="1">
        <v>0</v>
      </c>
      <c r="E181" s="1">
        <v>10000</v>
      </c>
      <c r="F181" s="1" t="s">
        <v>197</v>
      </c>
      <c r="G181" s="1">
        <v>5000</v>
      </c>
      <c r="H181" s="1">
        <v>1</v>
      </c>
      <c r="I181" s="1">
        <f>MIN($B181)</f>
        <v>0</v>
      </c>
      <c r="J181" s="1">
        <f>MIN($C181)</f>
        <v>0</v>
      </c>
      <c r="K181" s="1">
        <f>MIN($D181)</f>
        <v>0</v>
      </c>
      <c r="L181" s="1">
        <f>MIN($E181)</f>
        <v>0</v>
      </c>
      <c r="M181" s="1">
        <f>MIN($G181)</f>
        <v>0</v>
      </c>
      <c r="N181" s="1">
        <f>MIN($H181)</f>
        <v>0</v>
      </c>
      <c r="O181" s="1">
        <f>MEDIAN($B181)</f>
        <v>0</v>
      </c>
      <c r="P181" s="1">
        <f>MEDIAN($C181)</f>
        <v>0</v>
      </c>
      <c r="Q181" s="1">
        <f>MEDIAN($D181)</f>
        <v>0</v>
      </c>
      <c r="R181" s="1">
        <f>MEDIAN($E181)</f>
        <v>0</v>
      </c>
      <c r="S181" s="1">
        <f>MEDIAN($G181)</f>
        <v>0</v>
      </c>
      <c r="T181" s="1">
        <f>MEDIAN($H181)</f>
        <v>0</v>
      </c>
      <c r="U181" s="1">
        <f>MAX($B181)</f>
        <v>0</v>
      </c>
      <c r="V181" s="1">
        <f>MAX($C181)</f>
        <v>0</v>
      </c>
      <c r="W181" s="1">
        <f>MAX($D181)</f>
        <v>0</v>
      </c>
      <c r="X181" s="1">
        <f>MAX($E181)</f>
        <v>0</v>
      </c>
      <c r="Y181" s="1">
        <f>MAX($G181)</f>
        <v>0</v>
      </c>
      <c r="Z181" s="1">
        <f>MAX($H181)</f>
        <v>0</v>
      </c>
    </row>
    <row r="182" spans="1:26">
      <c r="A182" s="1" t="s">
        <v>179</v>
      </c>
      <c r="B182" s="1">
        <v>1</v>
      </c>
      <c r="C182" s="1">
        <v>0</v>
      </c>
      <c r="D182" s="1">
        <v>0</v>
      </c>
      <c r="E182" s="1">
        <v>10000</v>
      </c>
      <c r="F182" s="1" t="s">
        <v>197</v>
      </c>
      <c r="G182" s="1">
        <v>5000</v>
      </c>
      <c r="H182" s="1">
        <v>1</v>
      </c>
      <c r="I182" s="1">
        <f>MIN($B182)</f>
        <v>0</v>
      </c>
      <c r="J182" s="1">
        <f>MIN($C182)</f>
        <v>0</v>
      </c>
      <c r="K182" s="1">
        <f>MIN($D182)</f>
        <v>0</v>
      </c>
      <c r="L182" s="1">
        <f>MIN($E182)</f>
        <v>0</v>
      </c>
      <c r="M182" s="1">
        <f>MIN($G182)</f>
        <v>0</v>
      </c>
      <c r="N182" s="1">
        <f>MIN($H182)</f>
        <v>0</v>
      </c>
      <c r="O182" s="1">
        <f>MEDIAN($B182)</f>
        <v>0</v>
      </c>
      <c r="P182" s="1">
        <f>MEDIAN($C182)</f>
        <v>0</v>
      </c>
      <c r="Q182" s="1">
        <f>MEDIAN($D182)</f>
        <v>0</v>
      </c>
      <c r="R182" s="1">
        <f>MEDIAN($E182)</f>
        <v>0</v>
      </c>
      <c r="S182" s="1">
        <f>MEDIAN($G182)</f>
        <v>0</v>
      </c>
      <c r="T182" s="1">
        <f>MEDIAN($H182)</f>
        <v>0</v>
      </c>
      <c r="U182" s="1">
        <f>MAX($B182)</f>
        <v>0</v>
      </c>
      <c r="V182" s="1">
        <f>MAX($C182)</f>
        <v>0</v>
      </c>
      <c r="W182" s="1">
        <f>MAX($D182)</f>
        <v>0</v>
      </c>
      <c r="X182" s="1">
        <f>MAX($E182)</f>
        <v>0</v>
      </c>
      <c r="Y182" s="1">
        <f>MAX($G182)</f>
        <v>0</v>
      </c>
      <c r="Z182" s="1">
        <f>MAX($H182)</f>
        <v>0</v>
      </c>
    </row>
    <row r="183" spans="1:26">
      <c r="A183" s="1" t="s">
        <v>180</v>
      </c>
      <c r="B183" s="1">
        <v>1</v>
      </c>
      <c r="C183" s="1">
        <v>0</v>
      </c>
      <c r="D183" s="1">
        <v>0</v>
      </c>
      <c r="E183" s="1">
        <v>10000</v>
      </c>
      <c r="F183" s="1" t="s">
        <v>197</v>
      </c>
      <c r="G183" s="1">
        <v>5000</v>
      </c>
      <c r="H183" s="1">
        <v>1</v>
      </c>
      <c r="I183" s="1">
        <f>MIN($B183)</f>
        <v>0</v>
      </c>
      <c r="J183" s="1">
        <f>MIN($C183)</f>
        <v>0</v>
      </c>
      <c r="K183" s="1">
        <f>MIN($D183)</f>
        <v>0</v>
      </c>
      <c r="L183" s="1">
        <f>MIN($E183)</f>
        <v>0</v>
      </c>
      <c r="M183" s="1">
        <f>MIN($G183)</f>
        <v>0</v>
      </c>
      <c r="N183" s="1">
        <f>MIN($H183)</f>
        <v>0</v>
      </c>
      <c r="O183" s="1">
        <f>MEDIAN($B183)</f>
        <v>0</v>
      </c>
      <c r="P183" s="1">
        <f>MEDIAN($C183)</f>
        <v>0</v>
      </c>
      <c r="Q183" s="1">
        <f>MEDIAN($D183)</f>
        <v>0</v>
      </c>
      <c r="R183" s="1">
        <f>MEDIAN($E183)</f>
        <v>0</v>
      </c>
      <c r="S183" s="1">
        <f>MEDIAN($G183)</f>
        <v>0</v>
      </c>
      <c r="T183" s="1">
        <f>MEDIAN($H183)</f>
        <v>0</v>
      </c>
      <c r="U183" s="1">
        <f>MAX($B183)</f>
        <v>0</v>
      </c>
      <c r="V183" s="1">
        <f>MAX($C183)</f>
        <v>0</v>
      </c>
      <c r="W183" s="1">
        <f>MAX($D183)</f>
        <v>0</v>
      </c>
      <c r="X183" s="1">
        <f>MAX($E183)</f>
        <v>0</v>
      </c>
      <c r="Y183" s="1">
        <f>MAX($G183)</f>
        <v>0</v>
      </c>
      <c r="Z183" s="1">
        <f>MAX($H183)</f>
        <v>0</v>
      </c>
    </row>
    <row r="184" spans="1:26">
      <c r="A184" s="1" t="s">
        <v>181</v>
      </c>
      <c r="B184" s="1">
        <v>1</v>
      </c>
      <c r="C184" s="1">
        <v>0</v>
      </c>
      <c r="D184" s="1">
        <v>0</v>
      </c>
      <c r="E184" s="1">
        <v>10000</v>
      </c>
      <c r="F184" s="1" t="s">
        <v>197</v>
      </c>
      <c r="G184" s="1">
        <v>5000</v>
      </c>
      <c r="H184" s="1">
        <v>1</v>
      </c>
      <c r="I184" s="1">
        <f>MIN($B184)</f>
        <v>0</v>
      </c>
      <c r="J184" s="1">
        <f>MIN($C184)</f>
        <v>0</v>
      </c>
      <c r="K184" s="1">
        <f>MIN($D184)</f>
        <v>0</v>
      </c>
      <c r="L184" s="1">
        <f>MIN($E184)</f>
        <v>0</v>
      </c>
      <c r="M184" s="1">
        <f>MIN($G184)</f>
        <v>0</v>
      </c>
      <c r="N184" s="1">
        <f>MIN($H184)</f>
        <v>0</v>
      </c>
      <c r="O184" s="1">
        <f>MEDIAN($B184)</f>
        <v>0</v>
      </c>
      <c r="P184" s="1">
        <f>MEDIAN($C184)</f>
        <v>0</v>
      </c>
      <c r="Q184" s="1">
        <f>MEDIAN($D184)</f>
        <v>0</v>
      </c>
      <c r="R184" s="1">
        <f>MEDIAN($E184)</f>
        <v>0</v>
      </c>
      <c r="S184" s="1">
        <f>MEDIAN($G184)</f>
        <v>0</v>
      </c>
      <c r="T184" s="1">
        <f>MEDIAN($H184)</f>
        <v>0</v>
      </c>
      <c r="U184" s="1">
        <f>MAX($B184)</f>
        <v>0</v>
      </c>
      <c r="V184" s="1">
        <f>MAX($C184)</f>
        <v>0</v>
      </c>
      <c r="W184" s="1">
        <f>MAX($D184)</f>
        <v>0</v>
      </c>
      <c r="X184" s="1">
        <f>MAX($E184)</f>
        <v>0</v>
      </c>
      <c r="Y184" s="1">
        <f>MAX($G184)</f>
        <v>0</v>
      </c>
      <c r="Z184" s="1">
        <f>MAX($H184)</f>
        <v>0</v>
      </c>
    </row>
    <row r="185" spans="1:26">
      <c r="A185" s="1" t="s">
        <v>182</v>
      </c>
      <c r="B185" s="1">
        <v>1</v>
      </c>
      <c r="C185" s="1">
        <v>0</v>
      </c>
      <c r="D185" s="1">
        <v>0</v>
      </c>
      <c r="E185" s="1">
        <v>10000</v>
      </c>
      <c r="F185" s="1" t="s">
        <v>197</v>
      </c>
      <c r="G185" s="1">
        <v>5000</v>
      </c>
      <c r="H185" s="1">
        <v>1</v>
      </c>
      <c r="I185" s="1">
        <f>MIN($B185)</f>
        <v>0</v>
      </c>
      <c r="J185" s="1">
        <f>MIN($C185)</f>
        <v>0</v>
      </c>
      <c r="K185" s="1">
        <f>MIN($D185)</f>
        <v>0</v>
      </c>
      <c r="L185" s="1">
        <f>MIN($E185)</f>
        <v>0</v>
      </c>
      <c r="M185" s="1">
        <f>MIN($G185)</f>
        <v>0</v>
      </c>
      <c r="N185" s="1">
        <f>MIN($H185)</f>
        <v>0</v>
      </c>
      <c r="O185" s="1">
        <f>MEDIAN($B185)</f>
        <v>0</v>
      </c>
      <c r="P185" s="1">
        <f>MEDIAN($C185)</f>
        <v>0</v>
      </c>
      <c r="Q185" s="1">
        <f>MEDIAN($D185)</f>
        <v>0</v>
      </c>
      <c r="R185" s="1">
        <f>MEDIAN($E185)</f>
        <v>0</v>
      </c>
      <c r="S185" s="1">
        <f>MEDIAN($G185)</f>
        <v>0</v>
      </c>
      <c r="T185" s="1">
        <f>MEDIAN($H185)</f>
        <v>0</v>
      </c>
      <c r="U185" s="1">
        <f>MAX($B185)</f>
        <v>0</v>
      </c>
      <c r="V185" s="1">
        <f>MAX($C185)</f>
        <v>0</v>
      </c>
      <c r="W185" s="1">
        <f>MAX($D185)</f>
        <v>0</v>
      </c>
      <c r="X185" s="1">
        <f>MAX($E185)</f>
        <v>0</v>
      </c>
      <c r="Y185" s="1">
        <f>MAX($G185)</f>
        <v>0</v>
      </c>
      <c r="Z185" s="1">
        <f>MAX($H185)</f>
        <v>0</v>
      </c>
    </row>
    <row r="186" spans="1:26">
      <c r="A186" s="1" t="s">
        <v>91</v>
      </c>
      <c r="B186" s="1">
        <v>1</v>
      </c>
      <c r="C186" s="1">
        <v>0</v>
      </c>
      <c r="D186" s="1">
        <v>0</v>
      </c>
      <c r="E186" s="1">
        <v>10000</v>
      </c>
      <c r="F186" s="1" t="s">
        <v>197</v>
      </c>
      <c r="G186" s="1">
        <v>5000</v>
      </c>
      <c r="H186" s="1">
        <v>1</v>
      </c>
      <c r="I186" s="1">
        <f>MIN($B186)</f>
        <v>0</v>
      </c>
      <c r="J186" s="1">
        <f>MIN($C186)</f>
        <v>0</v>
      </c>
      <c r="K186" s="1">
        <f>MIN($D186)</f>
        <v>0</v>
      </c>
      <c r="L186" s="1">
        <f>MIN($E186)</f>
        <v>0</v>
      </c>
      <c r="M186" s="1">
        <f>MIN($G186)</f>
        <v>0</v>
      </c>
      <c r="N186" s="1">
        <f>MIN($H186)</f>
        <v>0</v>
      </c>
      <c r="O186" s="1">
        <f>MEDIAN($B186)</f>
        <v>0</v>
      </c>
      <c r="P186" s="1">
        <f>MEDIAN($C186)</f>
        <v>0</v>
      </c>
      <c r="Q186" s="1">
        <f>MEDIAN($D186)</f>
        <v>0</v>
      </c>
      <c r="R186" s="1">
        <f>MEDIAN($E186)</f>
        <v>0</v>
      </c>
      <c r="S186" s="1">
        <f>MEDIAN($G186)</f>
        <v>0</v>
      </c>
      <c r="T186" s="1">
        <f>MEDIAN($H186)</f>
        <v>0</v>
      </c>
      <c r="U186" s="1">
        <f>MAX($B186)</f>
        <v>0</v>
      </c>
      <c r="V186" s="1">
        <f>MAX($C186)</f>
        <v>0</v>
      </c>
      <c r="W186" s="1">
        <f>MAX($D186)</f>
        <v>0</v>
      </c>
      <c r="X186" s="1">
        <f>MAX($E186)</f>
        <v>0</v>
      </c>
      <c r="Y186" s="1">
        <f>MAX($G186)</f>
        <v>0</v>
      </c>
      <c r="Z186" s="1">
        <f>MAX($H186)</f>
        <v>0</v>
      </c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 t="s">
        <v>183</v>
      </c>
      <c r="B188" s="1">
        <f>SUM(B$3:B$186)</f>
        <v>0</v>
      </c>
      <c r="C188" s="1">
        <f>SUM(C$3:C$186)</f>
        <v>0</v>
      </c>
      <c r="D188" s="1">
        <f>SUM(D$3:D$186)</f>
        <v>0</v>
      </c>
      <c r="E188" s="1">
        <f>SUM(E$3:E$186)</f>
        <v>0</v>
      </c>
      <c r="F188" s="1"/>
      <c r="G188" s="1">
        <f>SUM(G$3:G$186)</f>
        <v>0</v>
      </c>
      <c r="H188" s="1">
        <f>SUM(H$3:H$186)</f>
        <v>0</v>
      </c>
      <c r="I188" s="1">
        <f>SUM(I$3:I$186)</f>
        <v>0</v>
      </c>
      <c r="J188" s="1">
        <f>SUM(J$3:J$186)</f>
        <v>0</v>
      </c>
      <c r="K188" s="1">
        <f>SUM(K$3:K$186)</f>
        <v>0</v>
      </c>
      <c r="L188" s="1">
        <f>SUM(L$3:L$186)</f>
        <v>0</v>
      </c>
      <c r="M188" s="1">
        <f>SUM(M$3:M$186)</f>
        <v>0</v>
      </c>
      <c r="N188" s="1">
        <f>SUM(N$3:N$186)</f>
        <v>0</v>
      </c>
      <c r="O188" s="1">
        <f>SUM(O$3:O$186)</f>
        <v>0</v>
      </c>
      <c r="P188" s="1">
        <f>SUM(P$3:P$186)</f>
        <v>0</v>
      </c>
      <c r="Q188" s="1">
        <f>SUM(Q$3:Q$186)</f>
        <v>0</v>
      </c>
      <c r="R188" s="1">
        <f>SUM(R$3:R$186)</f>
        <v>0</v>
      </c>
      <c r="S188" s="1">
        <f>SUM(S$3:S$186)</f>
        <v>0</v>
      </c>
      <c r="T188" s="1">
        <f>SUM(T$3:T$186)</f>
        <v>0</v>
      </c>
      <c r="U188" s="1">
        <f>SUM(U$3:U$186)</f>
        <v>0</v>
      </c>
      <c r="V188" s="1">
        <f>SUM(V$3:V$186)</f>
        <v>0</v>
      </c>
      <c r="W188" s="1">
        <f>SUM(W$3:W$186)</f>
        <v>0</v>
      </c>
      <c r="X188" s="1">
        <f>SUM(X$3:X$186)</f>
        <v>0</v>
      </c>
      <c r="Y188" s="1">
        <f>SUM(Y$3:Y$186)</f>
        <v>0</v>
      </c>
      <c r="Z188" s="1">
        <f>SUM(Z$3:Z$186)</f>
        <v>0</v>
      </c>
    </row>
    <row r="189" spans="1:26">
      <c r="A189" s="1" t="s">
        <v>184</v>
      </c>
      <c r="B189" s="1">
        <f>AVERAGE(B$3:B$186)</f>
        <v>0</v>
      </c>
      <c r="C189" s="1">
        <f>AVERAGE(C$3:C$186)</f>
        <v>0</v>
      </c>
      <c r="D189" s="1">
        <f>AVERAGE(D$3:D$186)</f>
        <v>0</v>
      </c>
      <c r="E189" s="1">
        <f>AVERAGE(E$3:E$186)</f>
        <v>0</v>
      </c>
      <c r="F189" s="1"/>
      <c r="G189" s="1">
        <f>AVERAGE(G$3:G$186)</f>
        <v>0</v>
      </c>
      <c r="H189" s="1">
        <f>AVERAGE(H$3:H$186)</f>
        <v>0</v>
      </c>
      <c r="I189" s="1">
        <f>AVERAGE(I$3:I$186)</f>
        <v>0</v>
      </c>
      <c r="J189" s="1">
        <f>AVERAGE(J$3:J$186)</f>
        <v>0</v>
      </c>
      <c r="K189" s="1">
        <f>AVERAGE(K$3:K$186)</f>
        <v>0</v>
      </c>
      <c r="L189" s="1">
        <f>AVERAGE(L$3:L$186)</f>
        <v>0</v>
      </c>
      <c r="M189" s="1">
        <f>AVERAGE(M$3:M$186)</f>
        <v>0</v>
      </c>
      <c r="N189" s="1">
        <f>AVERAGE(N$3:N$186)</f>
        <v>0</v>
      </c>
      <c r="O189" s="1">
        <f>AVERAGE(O$3:O$186)</f>
        <v>0</v>
      </c>
      <c r="P189" s="1">
        <f>AVERAGE(P$3:P$186)</f>
        <v>0</v>
      </c>
      <c r="Q189" s="1">
        <f>AVERAGE(Q$3:Q$186)</f>
        <v>0</v>
      </c>
      <c r="R189" s="1">
        <f>AVERAGE(R$3:R$186)</f>
        <v>0</v>
      </c>
      <c r="S189" s="1">
        <f>AVERAGE(S$3:S$186)</f>
        <v>0</v>
      </c>
      <c r="T189" s="1">
        <f>AVERAGE(T$3:T$186)</f>
        <v>0</v>
      </c>
      <c r="U189" s="1">
        <f>AVERAGE(U$3:U$186)</f>
        <v>0</v>
      </c>
      <c r="V189" s="1">
        <f>AVERAGE(V$3:V$186)</f>
        <v>0</v>
      </c>
      <c r="W189" s="1">
        <f>AVERAGE(W$3:W$186)</f>
        <v>0</v>
      </c>
      <c r="X189" s="1">
        <f>AVERAGE(X$3:X$186)</f>
        <v>0</v>
      </c>
      <c r="Y189" s="1">
        <f>AVERAGE(Y$3:Y$186)</f>
        <v>0</v>
      </c>
      <c r="Z189" s="1">
        <f>AVERAGE(Z$3:Z$186)</f>
        <v>0</v>
      </c>
    </row>
    <row r="190" spans="1:26">
      <c r="A190" s="1" t="s">
        <v>185</v>
      </c>
      <c r="B190" s="1">
        <f>STDEV(B$3:B$186)</f>
        <v>0</v>
      </c>
      <c r="C190" s="1">
        <f>STDEV(C$3:C$186)</f>
        <v>0</v>
      </c>
      <c r="D190" s="1">
        <f>STDEV(D$3:D$186)</f>
        <v>0</v>
      </c>
      <c r="E190" s="1">
        <f>STDEV(E$3:E$186)</f>
        <v>0</v>
      </c>
      <c r="F190" s="1"/>
      <c r="G190" s="1">
        <f>STDEV(G$3:G$186)</f>
        <v>0</v>
      </c>
      <c r="H190" s="1">
        <f>STDEV(H$3:H$186)</f>
        <v>0</v>
      </c>
      <c r="I190" s="1">
        <f>STDEV(I$3:I$186)</f>
        <v>0</v>
      </c>
      <c r="J190" s="1">
        <f>STDEV(J$3:J$186)</f>
        <v>0</v>
      </c>
      <c r="K190" s="1">
        <f>STDEV(K$3:K$186)</f>
        <v>0</v>
      </c>
      <c r="L190" s="1">
        <f>STDEV(L$3:L$186)</f>
        <v>0</v>
      </c>
      <c r="M190" s="1">
        <f>STDEV(M$3:M$186)</f>
        <v>0</v>
      </c>
      <c r="N190" s="1">
        <f>STDEV(N$3:N$186)</f>
        <v>0</v>
      </c>
      <c r="O190" s="1">
        <f>STDEV(O$3:O$186)</f>
        <v>0</v>
      </c>
      <c r="P190" s="1">
        <f>STDEV(P$3:P$186)</f>
        <v>0</v>
      </c>
      <c r="Q190" s="1">
        <f>STDEV(Q$3:Q$186)</f>
        <v>0</v>
      </c>
      <c r="R190" s="1">
        <f>STDEV(R$3:R$186)</f>
        <v>0</v>
      </c>
      <c r="S190" s="1">
        <f>STDEV(S$3:S$186)</f>
        <v>0</v>
      </c>
      <c r="T190" s="1">
        <f>STDEV(T$3:T$186)</f>
        <v>0</v>
      </c>
      <c r="U190" s="1">
        <f>STDEV(U$3:U$186)</f>
        <v>0</v>
      </c>
      <c r="V190" s="1">
        <f>STDEV(V$3:V$186)</f>
        <v>0</v>
      </c>
      <c r="W190" s="1">
        <f>STDEV(W$3:W$186)</f>
        <v>0</v>
      </c>
      <c r="X190" s="1">
        <f>STDEV(X$3:X$186)</f>
        <v>0</v>
      </c>
      <c r="Y190" s="1">
        <f>STDEV(Y$3:Y$186)</f>
        <v>0</v>
      </c>
      <c r="Z190" s="1">
        <f>STDEV(Z$3:Z$186)</f>
        <v>0</v>
      </c>
    </row>
    <row r="191" spans="1:26">
      <c r="A191" s="1" t="s">
        <v>186</v>
      </c>
      <c r="B191" s="1">
        <f>SUMPRODUCT(--(B$3:B$186-$I$3:$I$186)^2)^0.5</f>
        <v>0</v>
      </c>
      <c r="C191" s="1">
        <f>SUMPRODUCT(--(C$3:C$186-$J$3:$J$186)^2)^0.5</f>
        <v>0</v>
      </c>
      <c r="D191" s="1">
        <f>SUMPRODUCT(--(D$3:D$186-$K$3:$K$186)^2)^0.5</f>
        <v>0</v>
      </c>
      <c r="E191" s="1">
        <f>SUMPRODUCT(--(E$3:E$186-$L$3:$L$186)^2)^0.5</f>
        <v>0</v>
      </c>
      <c r="F191" s="1"/>
      <c r="G191" s="1">
        <f>SUMPRODUCT(--(G$3:G$186-$M$3:$M$186)^2)^0.5</f>
        <v>0</v>
      </c>
      <c r="H191" s="1">
        <f>SUMPRODUCT(--(H$3:H$186-$N$3:$N$186)^2)^0.5</f>
        <v>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 t="s">
        <v>187</v>
      </c>
      <c r="B192" s="1">
        <f>SUMPRODUCT(NOT(ISBLANK(B$3:B$186))*(B$3:B$186=$I$3:$I$186))</f>
        <v>0</v>
      </c>
      <c r="C192" s="1">
        <f>SUMPRODUCT(NOT(ISBLANK(C$3:C$186))*(C$3:C$186=$J$3:$J$186))</f>
        <v>0</v>
      </c>
      <c r="D192" s="1">
        <f>SUMPRODUCT(NOT(ISBLANK(D$3:D$186))*(D$3:D$186=$K$3:$K$186))</f>
        <v>0</v>
      </c>
      <c r="E192" s="1">
        <f>SUMPRODUCT(NOT(ISBLANK(E$3:E$186))*(E$3:E$186=$L$3:$L$186))</f>
        <v>0</v>
      </c>
      <c r="F192" s="1"/>
      <c r="G192" s="1">
        <f>SUMPRODUCT(NOT(ISBLANK(G$3:G$186))*(G$3:G$186=$M$3:$M$186))</f>
        <v>0</v>
      </c>
      <c r="H192" s="1">
        <f>SUMPRODUCT(NOT(ISBLANK(H$3:H$186))*(H$3:H$186=$N$3:$N$186))</f>
        <v>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 t="s">
        <v>188</v>
      </c>
      <c r="B193" s="1">
        <f>SUMPRODUCT(NOT(ISBLANK(B$3:B$186))*(B$3:B$186&lt;$O$3:$O$186))</f>
        <v>0</v>
      </c>
      <c r="C193" s="1">
        <f>SUMPRODUCT(NOT(ISBLANK(C$3:C$186))*(C$3:C$186&lt;$P$3:$P$186))</f>
        <v>0</v>
      </c>
      <c r="D193" s="1">
        <f>SUMPRODUCT(NOT(ISBLANK(D$3:D$186))*(D$3:D$186&lt;$Q$3:$Q$186))</f>
        <v>0</v>
      </c>
      <c r="E193" s="1">
        <f>SUMPRODUCT(NOT(ISBLANK(E$3:E$186))*(E$3:E$186&lt;$R$3:$R$186))</f>
        <v>0</v>
      </c>
      <c r="F193" s="1"/>
      <c r="G193" s="1">
        <f>SUMPRODUCT(NOT(ISBLANK(G$3:G$186))*(G$3:G$186&lt;$S$3:$S$186))</f>
        <v>0</v>
      </c>
      <c r="H193" s="1">
        <f>SUMPRODUCT(NOT(ISBLANK(H$3:H$186))*(H$3:H$186&lt;$T$3:$T$186))</f>
        <v>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 t="s">
        <v>189</v>
      </c>
      <c r="B194" s="1">
        <f>SUMPRODUCT((NOT(ISBLANK(B$3:B$186))*(B$3:B$186&gt;$O$3:$O$186))+ISBLANK(B$3:B$186))</f>
        <v>0</v>
      </c>
      <c r="C194" s="1">
        <f>SUMPRODUCT((NOT(ISBLANK(C$3:C$186))*(C$3:C$186&gt;$P$3:$P$186))+ISBLANK(C$3:C$186))</f>
        <v>0</v>
      </c>
      <c r="D194" s="1">
        <f>SUMPRODUCT((NOT(ISBLANK(D$3:D$186))*(D$3:D$186&gt;$Q$3:$Q$186))+ISBLANK(D$3:D$186))</f>
        <v>0</v>
      </c>
      <c r="E194" s="1">
        <f>SUMPRODUCT((NOT(ISBLANK(E$3:E$186))*(E$3:E$186&gt;$R$3:$R$186))+ISBLANK(E$3:E$186))</f>
        <v>0</v>
      </c>
      <c r="F194" s="1"/>
      <c r="G194" s="1">
        <f>SUMPRODUCT((NOT(ISBLANK(G$3:G$186))*(G$3:G$186&gt;$S$3:$S$186))+ISBLANK(G$3:G$186))</f>
        <v>0</v>
      </c>
      <c r="H194" s="1">
        <f>SUMPRODUCT((NOT(ISBLANK(H$3:H$186))*(H$3:H$186&gt;$T$3:$T$186))+ISBLANK(H$3:H$186))</f>
        <v>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 t="s">
        <v>190</v>
      </c>
      <c r="B195" s="1">
        <f>SUMPRODUCT((NOT(ISBLANK(B$3:B$186))*(B$3:B$186=$U$3:$U$186))+ISBLANK(B$3:B$186))</f>
        <v>0</v>
      </c>
      <c r="C195" s="1">
        <f>SUMPRODUCT((NOT(ISBLANK(C$3:C$186))*(C$3:C$186=$V$3:$V$186))+ISBLANK(C$3:C$186))</f>
        <v>0</v>
      </c>
      <c r="D195" s="1">
        <f>SUMPRODUCT((NOT(ISBLANK(D$3:D$186))*(D$3:D$186=$W$3:$W$186))+ISBLANK(D$3:D$186))</f>
        <v>0</v>
      </c>
      <c r="E195" s="1">
        <f>SUMPRODUCT((NOT(ISBLANK(E$3:E$186))*(E$3:E$186=$X$3:$X$186))+ISBLANK(E$3:E$186))</f>
        <v>0</v>
      </c>
      <c r="F195" s="1"/>
      <c r="G195" s="1">
        <f>SUMPRODUCT((NOT(ISBLANK(G$3:G$186))*(G$3:G$186=$Y$3:$Y$186))+ISBLANK(G$3:G$186))</f>
        <v>0</v>
      </c>
      <c r="H195" s="1">
        <f>SUMPRODUCT((NOT(ISBLANK(H$3:H$186))*(H$3:H$186=$Z$3:$Z$186))+ISBLANK(H$3:H$186))</f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9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0.140625" customWidth="1"/>
    <col min="2" max="26" width="11.42578125" customWidth="1"/>
  </cols>
  <sheetData>
    <row r="1" spans="1:26">
      <c r="A1" s="1" t="s">
        <v>203</v>
      </c>
      <c r="B1" s="1" t="s">
        <v>191</v>
      </c>
      <c r="C1" s="1"/>
      <c r="D1" s="1"/>
      <c r="E1" s="1"/>
      <c r="F1" s="1"/>
      <c r="G1" s="1"/>
      <c r="H1" s="1"/>
      <c r="I1" s="1" t="s">
        <v>200</v>
      </c>
      <c r="J1" s="1"/>
      <c r="K1" s="1"/>
      <c r="L1" s="1"/>
      <c r="M1" s="1"/>
      <c r="N1" s="1"/>
      <c r="O1" s="1" t="s">
        <v>201</v>
      </c>
      <c r="P1" s="1"/>
      <c r="Q1" s="1"/>
      <c r="R1" s="1"/>
      <c r="S1" s="1"/>
      <c r="T1" s="1"/>
      <c r="U1" s="1" t="s">
        <v>202</v>
      </c>
      <c r="V1" s="1"/>
      <c r="W1" s="1"/>
      <c r="X1" s="1"/>
      <c r="Y1" s="1"/>
      <c r="Z1" s="1"/>
    </row>
    <row r="2" spans="1:26">
      <c r="A2" s="2" t="s">
        <v>201</v>
      </c>
      <c r="B2" s="1" t="s">
        <v>192</v>
      </c>
      <c r="C2" s="1" t="s">
        <v>193</v>
      </c>
      <c r="D2" s="1" t="s">
        <v>194</v>
      </c>
      <c r="E2" s="1" t="s">
        <v>195</v>
      </c>
      <c r="F2" s="1" t="s">
        <v>196</v>
      </c>
      <c r="G2" s="1" t="s">
        <v>198</v>
      </c>
      <c r="H2" s="1" t="s">
        <v>199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198</v>
      </c>
      <c r="N2" s="1" t="s">
        <v>199</v>
      </c>
      <c r="O2" s="1" t="s">
        <v>192</v>
      </c>
      <c r="P2" s="1" t="s">
        <v>193</v>
      </c>
      <c r="Q2" s="1" t="s">
        <v>194</v>
      </c>
      <c r="R2" s="1" t="s">
        <v>195</v>
      </c>
      <c r="S2" s="1" t="s">
        <v>198</v>
      </c>
      <c r="T2" s="1" t="s">
        <v>199</v>
      </c>
      <c r="U2" s="1" t="s">
        <v>192</v>
      </c>
      <c r="V2" s="1" t="s">
        <v>193</v>
      </c>
      <c r="W2" s="1" t="s">
        <v>194</v>
      </c>
      <c r="X2" s="1" t="s">
        <v>195</v>
      </c>
      <c r="Y2" s="1" t="s">
        <v>198</v>
      </c>
      <c r="Z2" s="1" t="s">
        <v>199</v>
      </c>
    </row>
    <row r="3" spans="1:26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/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/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/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>
        <f>MIN($B5)</f>
        <v>0</v>
      </c>
      <c r="J5" s="1">
        <f>MIN($C5)</f>
        <v>0</v>
      </c>
      <c r="K5" s="1">
        <f>MIN($D5)</f>
        <v>0</v>
      </c>
      <c r="L5" s="1">
        <f>MIN($E5)</f>
        <v>0</v>
      </c>
      <c r="M5" s="1">
        <f>MIN($G5)</f>
        <v>0</v>
      </c>
      <c r="N5" s="1">
        <f>MIN($H5)</f>
        <v>0</v>
      </c>
      <c r="O5" s="1">
        <f>MEDIAN($B5)</f>
        <v>0</v>
      </c>
      <c r="P5" s="1">
        <f>MEDIAN($C5)</f>
        <v>0</v>
      </c>
      <c r="Q5" s="1">
        <f>MEDIAN($D5)</f>
        <v>0</v>
      </c>
      <c r="R5" s="1">
        <f>MEDIAN($E5)</f>
        <v>0</v>
      </c>
      <c r="S5" s="1">
        <f>MEDIAN($G5)</f>
        <v>0</v>
      </c>
      <c r="T5" s="1">
        <f>MEDIAN($H5)</f>
        <v>0</v>
      </c>
      <c r="U5" s="1">
        <f>MAX($B5)</f>
        <v>0</v>
      </c>
      <c r="V5" s="1">
        <f>MAX($C5)</f>
        <v>0</v>
      </c>
      <c r="W5" s="1">
        <f>MAX($D5)</f>
        <v>0</v>
      </c>
      <c r="X5" s="1">
        <f>MAX($E5)</f>
        <v>0</v>
      </c>
      <c r="Y5" s="1">
        <f>MAX($G5)</f>
        <v>0</v>
      </c>
      <c r="Z5" s="1">
        <f>MAX($H5)</f>
        <v>0</v>
      </c>
    </row>
    <row r="6" spans="1:26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/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>
        <f>MIN($B6)</f>
        <v>0</v>
      </c>
      <c r="J6" s="1">
        <f>MIN($C6)</f>
        <v>0</v>
      </c>
      <c r="K6" s="1">
        <f>MIN($D6)</f>
        <v>0</v>
      </c>
      <c r="L6" s="1">
        <f>MIN($E6)</f>
        <v>0</v>
      </c>
      <c r="M6" s="1">
        <f>MIN($G6)</f>
        <v>0</v>
      </c>
      <c r="N6" s="1">
        <f>MIN($H6)</f>
        <v>0</v>
      </c>
      <c r="O6" s="1">
        <f>MEDIAN($B6)</f>
        <v>0</v>
      </c>
      <c r="P6" s="1">
        <f>MEDIAN($C6)</f>
        <v>0</v>
      </c>
      <c r="Q6" s="1">
        <f>MEDIAN($D6)</f>
        <v>0</v>
      </c>
      <c r="R6" s="1">
        <f>MEDIAN($E6)</f>
        <v>0</v>
      </c>
      <c r="S6" s="1">
        <f>MEDIAN($G6)</f>
        <v>0</v>
      </c>
      <c r="T6" s="1">
        <f>MEDIAN($H6)</f>
        <v>0</v>
      </c>
      <c r="U6" s="1">
        <f>MAX($B6)</f>
        <v>0</v>
      </c>
      <c r="V6" s="1">
        <f>MAX($C6)</f>
        <v>0</v>
      </c>
      <c r="W6" s="1">
        <f>MAX($D6)</f>
        <v>0</v>
      </c>
      <c r="X6" s="1">
        <f>MAX($E6)</f>
        <v>0</v>
      </c>
      <c r="Y6" s="1">
        <f>MAX($G6)</f>
        <v>0</v>
      </c>
      <c r="Z6" s="1">
        <f>MAX($H6)</f>
        <v>0</v>
      </c>
    </row>
    <row r="7" spans="1:26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/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>
        <f>MIN($B7)</f>
        <v>0</v>
      </c>
      <c r="J7" s="1">
        <f>MIN($C7)</f>
        <v>0</v>
      </c>
      <c r="K7" s="1">
        <f>MIN($D7)</f>
        <v>0</v>
      </c>
      <c r="L7" s="1">
        <f>MIN($E7)</f>
        <v>0</v>
      </c>
      <c r="M7" s="1">
        <f>MIN($G7)</f>
        <v>0</v>
      </c>
      <c r="N7" s="1">
        <f>MIN($H7)</f>
        <v>0</v>
      </c>
      <c r="O7" s="1">
        <f>MEDIAN($B7)</f>
        <v>0</v>
      </c>
      <c r="P7" s="1">
        <f>MEDIAN($C7)</f>
        <v>0</v>
      </c>
      <c r="Q7" s="1">
        <f>MEDIAN($D7)</f>
        <v>0</v>
      </c>
      <c r="R7" s="1">
        <f>MEDIAN($E7)</f>
        <v>0</v>
      </c>
      <c r="S7" s="1">
        <f>MEDIAN($G7)</f>
        <v>0</v>
      </c>
      <c r="T7" s="1">
        <f>MEDIAN($H7)</f>
        <v>0</v>
      </c>
      <c r="U7" s="1">
        <f>MAX($B7)</f>
        <v>0</v>
      </c>
      <c r="V7" s="1">
        <f>MAX($C7)</f>
        <v>0</v>
      </c>
      <c r="W7" s="1">
        <f>MAX($D7)</f>
        <v>0</v>
      </c>
      <c r="X7" s="1">
        <f>MAX($E7)</f>
        <v>0</v>
      </c>
      <c r="Y7" s="1">
        <f>MAX($G7)</f>
        <v>0</v>
      </c>
      <c r="Z7" s="1">
        <f>MAX($H7)</f>
        <v>0</v>
      </c>
    </row>
    <row r="8" spans="1:26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/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>
        <f>MIN($B8)</f>
        <v>0</v>
      </c>
      <c r="J8" s="1">
        <f>MIN($C8)</f>
        <v>0</v>
      </c>
      <c r="K8" s="1">
        <f>MIN($D8)</f>
        <v>0</v>
      </c>
      <c r="L8" s="1">
        <f>MIN($E8)</f>
        <v>0</v>
      </c>
      <c r="M8" s="1">
        <f>MIN($G8)</f>
        <v>0</v>
      </c>
      <c r="N8" s="1">
        <f>MIN($H8)</f>
        <v>0</v>
      </c>
      <c r="O8" s="1">
        <f>MEDIAN($B8)</f>
        <v>0</v>
      </c>
      <c r="P8" s="1">
        <f>MEDIAN($C8)</f>
        <v>0</v>
      </c>
      <c r="Q8" s="1">
        <f>MEDIAN($D8)</f>
        <v>0</v>
      </c>
      <c r="R8" s="1">
        <f>MEDIAN($E8)</f>
        <v>0</v>
      </c>
      <c r="S8" s="1">
        <f>MEDIAN($G8)</f>
        <v>0</v>
      </c>
      <c r="T8" s="1">
        <f>MEDIAN($H8)</f>
        <v>0</v>
      </c>
      <c r="U8" s="1">
        <f>MAX($B8)</f>
        <v>0</v>
      </c>
      <c r="V8" s="1">
        <f>MAX($C8)</f>
        <v>0</v>
      </c>
      <c r="W8" s="1">
        <f>MAX($D8)</f>
        <v>0</v>
      </c>
      <c r="X8" s="1">
        <f>MAX($E8)</f>
        <v>0</v>
      </c>
      <c r="Y8" s="1">
        <f>MAX($G8)</f>
        <v>0</v>
      </c>
      <c r="Z8" s="1">
        <f>MAX($H8)</f>
        <v>0</v>
      </c>
    </row>
    <row r="9" spans="1:26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/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>
        <f>MIN($B9)</f>
        <v>0</v>
      </c>
      <c r="J9" s="1">
        <f>MIN($C9)</f>
        <v>0</v>
      </c>
      <c r="K9" s="1">
        <f>MIN($D9)</f>
        <v>0</v>
      </c>
      <c r="L9" s="1">
        <f>MIN($E9)</f>
        <v>0</v>
      </c>
      <c r="M9" s="1">
        <f>MIN($G9)</f>
        <v>0</v>
      </c>
      <c r="N9" s="1">
        <f>MIN($H9)</f>
        <v>0</v>
      </c>
      <c r="O9" s="1">
        <f>MEDIAN($B9)</f>
        <v>0</v>
      </c>
      <c r="P9" s="1">
        <f>MEDIAN($C9)</f>
        <v>0</v>
      </c>
      <c r="Q9" s="1">
        <f>MEDIAN($D9)</f>
        <v>0</v>
      </c>
      <c r="R9" s="1">
        <f>MEDIAN($E9)</f>
        <v>0</v>
      </c>
      <c r="S9" s="1">
        <f>MEDIAN($G9)</f>
        <v>0</v>
      </c>
      <c r="T9" s="1">
        <f>MEDIAN($H9)</f>
        <v>0</v>
      </c>
      <c r="U9" s="1">
        <f>MAX($B9)</f>
        <v>0</v>
      </c>
      <c r="V9" s="1">
        <f>MAX($C9)</f>
        <v>0</v>
      </c>
      <c r="W9" s="1">
        <f>MAX($D9)</f>
        <v>0</v>
      </c>
      <c r="X9" s="1">
        <f>MAX($E9)</f>
        <v>0</v>
      </c>
      <c r="Y9" s="1">
        <f>MAX($G9)</f>
        <v>0</v>
      </c>
      <c r="Z9" s="1">
        <f>MAX($H9)</f>
        <v>0</v>
      </c>
    </row>
    <row r="10" spans="1:26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/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>
        <f>MIN($B10)</f>
        <v>0</v>
      </c>
      <c r="J10" s="1">
        <f>MIN($C10)</f>
        <v>0</v>
      </c>
      <c r="K10" s="1">
        <f>MIN($D10)</f>
        <v>0</v>
      </c>
      <c r="L10" s="1">
        <f>MIN($E10)</f>
        <v>0</v>
      </c>
      <c r="M10" s="1">
        <f>MIN($G10)</f>
        <v>0</v>
      </c>
      <c r="N10" s="1">
        <f>MIN($H10)</f>
        <v>0</v>
      </c>
      <c r="O10" s="1">
        <f>MEDIAN($B10)</f>
        <v>0</v>
      </c>
      <c r="P10" s="1">
        <f>MEDIAN($C10)</f>
        <v>0</v>
      </c>
      <c r="Q10" s="1">
        <f>MEDIAN($D10)</f>
        <v>0</v>
      </c>
      <c r="R10" s="1">
        <f>MEDIAN($E10)</f>
        <v>0</v>
      </c>
      <c r="S10" s="1">
        <f>MEDIAN($G10)</f>
        <v>0</v>
      </c>
      <c r="T10" s="1">
        <f>MEDIAN($H10)</f>
        <v>0</v>
      </c>
      <c r="U10" s="1">
        <f>MAX($B10)</f>
        <v>0</v>
      </c>
      <c r="V10" s="1">
        <f>MAX($C10)</f>
        <v>0</v>
      </c>
      <c r="W10" s="1">
        <f>MAX($D10)</f>
        <v>0</v>
      </c>
      <c r="X10" s="1">
        <f>MAX($E10)</f>
        <v>0</v>
      </c>
      <c r="Y10" s="1">
        <f>MAX($G10)</f>
        <v>0</v>
      </c>
      <c r="Z10" s="1">
        <f>MAX($H10)</f>
        <v>0</v>
      </c>
    </row>
    <row r="11" spans="1:26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/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>
        <f>MIN($B11)</f>
        <v>0</v>
      </c>
      <c r="J11" s="1">
        <f>MIN($C11)</f>
        <v>0</v>
      </c>
      <c r="K11" s="1">
        <f>MIN($D11)</f>
        <v>0</v>
      </c>
      <c r="L11" s="1">
        <f>MIN($E11)</f>
        <v>0</v>
      </c>
      <c r="M11" s="1">
        <f>MIN($G11)</f>
        <v>0</v>
      </c>
      <c r="N11" s="1">
        <f>MIN($H11)</f>
        <v>0</v>
      </c>
      <c r="O11" s="1">
        <f>MEDIAN($B11)</f>
        <v>0</v>
      </c>
      <c r="P11" s="1">
        <f>MEDIAN($C11)</f>
        <v>0</v>
      </c>
      <c r="Q11" s="1">
        <f>MEDIAN($D11)</f>
        <v>0</v>
      </c>
      <c r="R11" s="1">
        <f>MEDIAN($E11)</f>
        <v>0</v>
      </c>
      <c r="S11" s="1">
        <f>MEDIAN($G11)</f>
        <v>0</v>
      </c>
      <c r="T11" s="1">
        <f>MEDIAN($H11)</f>
        <v>0</v>
      </c>
      <c r="U11" s="1">
        <f>MAX($B11)</f>
        <v>0</v>
      </c>
      <c r="V11" s="1">
        <f>MAX($C11)</f>
        <v>0</v>
      </c>
      <c r="W11" s="1">
        <f>MAX($D11)</f>
        <v>0</v>
      </c>
      <c r="X11" s="1">
        <f>MAX($E11)</f>
        <v>0</v>
      </c>
      <c r="Y11" s="1">
        <f>MAX($G11)</f>
        <v>0</v>
      </c>
      <c r="Z11" s="1">
        <f>MAX($H11)</f>
        <v>0</v>
      </c>
    </row>
    <row r="12" spans="1:26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/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>
        <f>MIN($B12)</f>
        <v>0</v>
      </c>
      <c r="J12" s="1">
        <f>MIN($C12)</f>
        <v>0</v>
      </c>
      <c r="K12" s="1">
        <f>MIN($D12)</f>
        <v>0</v>
      </c>
      <c r="L12" s="1">
        <f>MIN($E12)</f>
        <v>0</v>
      </c>
      <c r="M12" s="1">
        <f>MIN($G12)</f>
        <v>0</v>
      </c>
      <c r="N12" s="1">
        <f>MIN($H12)</f>
        <v>0</v>
      </c>
      <c r="O12" s="1">
        <f>MEDIAN($B12)</f>
        <v>0</v>
      </c>
      <c r="P12" s="1">
        <f>MEDIAN($C12)</f>
        <v>0</v>
      </c>
      <c r="Q12" s="1">
        <f>MEDIAN($D12)</f>
        <v>0</v>
      </c>
      <c r="R12" s="1">
        <f>MEDIAN($E12)</f>
        <v>0</v>
      </c>
      <c r="S12" s="1">
        <f>MEDIAN($G12)</f>
        <v>0</v>
      </c>
      <c r="T12" s="1">
        <f>MEDIAN($H12)</f>
        <v>0</v>
      </c>
      <c r="U12" s="1">
        <f>MAX($B12)</f>
        <v>0</v>
      </c>
      <c r="V12" s="1">
        <f>MAX($C12)</f>
        <v>0</v>
      </c>
      <c r="W12" s="1">
        <f>MAX($D12)</f>
        <v>0</v>
      </c>
      <c r="X12" s="1">
        <f>MAX($E12)</f>
        <v>0</v>
      </c>
      <c r="Y12" s="1">
        <f>MAX($G12)</f>
        <v>0</v>
      </c>
      <c r="Z12" s="1">
        <f>MAX($H12)</f>
        <v>0</v>
      </c>
    </row>
    <row r="13" spans="1:26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/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>
        <f>MIN($B13)</f>
        <v>0</v>
      </c>
      <c r="J13" s="1">
        <f>MIN($C13)</f>
        <v>0</v>
      </c>
      <c r="K13" s="1">
        <f>MIN($D13)</f>
        <v>0</v>
      </c>
      <c r="L13" s="1">
        <f>MIN($E13)</f>
        <v>0</v>
      </c>
      <c r="M13" s="1">
        <f>MIN($G13)</f>
        <v>0</v>
      </c>
      <c r="N13" s="1">
        <f>MIN($H13)</f>
        <v>0</v>
      </c>
      <c r="O13" s="1">
        <f>MEDIAN($B13)</f>
        <v>0</v>
      </c>
      <c r="P13" s="1">
        <f>MEDIAN($C13)</f>
        <v>0</v>
      </c>
      <c r="Q13" s="1">
        <f>MEDIAN($D13)</f>
        <v>0</v>
      </c>
      <c r="R13" s="1">
        <f>MEDIAN($E13)</f>
        <v>0</v>
      </c>
      <c r="S13" s="1">
        <f>MEDIAN($G13)</f>
        <v>0</v>
      </c>
      <c r="T13" s="1">
        <f>MEDIAN($H13)</f>
        <v>0</v>
      </c>
      <c r="U13" s="1">
        <f>MAX($B13)</f>
        <v>0</v>
      </c>
      <c r="V13" s="1">
        <f>MAX($C13)</f>
        <v>0</v>
      </c>
      <c r="W13" s="1">
        <f>MAX($D13)</f>
        <v>0</v>
      </c>
      <c r="X13" s="1">
        <f>MAX($E13)</f>
        <v>0</v>
      </c>
      <c r="Y13" s="1">
        <f>MAX($G13)</f>
        <v>0</v>
      </c>
      <c r="Z13" s="1">
        <f>MAX($H13)</f>
        <v>0</v>
      </c>
    </row>
    <row r="14" spans="1:26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/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>
        <f>MIN($B14)</f>
        <v>0</v>
      </c>
      <c r="J14" s="1">
        <f>MIN($C14)</f>
        <v>0</v>
      </c>
      <c r="K14" s="1">
        <f>MIN($D14)</f>
        <v>0</v>
      </c>
      <c r="L14" s="1">
        <f>MIN($E14)</f>
        <v>0</v>
      </c>
      <c r="M14" s="1">
        <f>MIN($G14)</f>
        <v>0</v>
      </c>
      <c r="N14" s="1">
        <f>MIN($H14)</f>
        <v>0</v>
      </c>
      <c r="O14" s="1">
        <f>MEDIAN($B14)</f>
        <v>0</v>
      </c>
      <c r="P14" s="1">
        <f>MEDIAN($C14)</f>
        <v>0</v>
      </c>
      <c r="Q14" s="1">
        <f>MEDIAN($D14)</f>
        <v>0</v>
      </c>
      <c r="R14" s="1">
        <f>MEDIAN($E14)</f>
        <v>0</v>
      </c>
      <c r="S14" s="1">
        <f>MEDIAN($G14)</f>
        <v>0</v>
      </c>
      <c r="T14" s="1">
        <f>MEDIAN($H14)</f>
        <v>0</v>
      </c>
      <c r="U14" s="1">
        <f>MAX($B14)</f>
        <v>0</v>
      </c>
      <c r="V14" s="1">
        <f>MAX($C14)</f>
        <v>0</v>
      </c>
      <c r="W14" s="1">
        <f>MAX($D14)</f>
        <v>0</v>
      </c>
      <c r="X14" s="1">
        <f>MAX($E14)</f>
        <v>0</v>
      </c>
      <c r="Y14" s="1">
        <f>MAX($G14)</f>
        <v>0</v>
      </c>
      <c r="Z14" s="1">
        <f>MAX($H14)</f>
        <v>0</v>
      </c>
    </row>
    <row r="15" spans="1:26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/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>
        <f>MIN($B15)</f>
        <v>0</v>
      </c>
      <c r="J15" s="1">
        <f>MIN($C15)</f>
        <v>0</v>
      </c>
      <c r="K15" s="1">
        <f>MIN($D15)</f>
        <v>0</v>
      </c>
      <c r="L15" s="1">
        <f>MIN($E15)</f>
        <v>0</v>
      </c>
      <c r="M15" s="1">
        <f>MIN($G15)</f>
        <v>0</v>
      </c>
      <c r="N15" s="1">
        <f>MIN($H15)</f>
        <v>0</v>
      </c>
      <c r="O15" s="1">
        <f>MEDIAN($B15)</f>
        <v>0</v>
      </c>
      <c r="P15" s="1">
        <f>MEDIAN($C15)</f>
        <v>0</v>
      </c>
      <c r="Q15" s="1">
        <f>MEDIAN($D15)</f>
        <v>0</v>
      </c>
      <c r="R15" s="1">
        <f>MEDIAN($E15)</f>
        <v>0</v>
      </c>
      <c r="S15" s="1">
        <f>MEDIAN($G15)</f>
        <v>0</v>
      </c>
      <c r="T15" s="1">
        <f>MEDIAN($H15)</f>
        <v>0</v>
      </c>
      <c r="U15" s="1">
        <f>MAX($B15)</f>
        <v>0</v>
      </c>
      <c r="V15" s="1">
        <f>MAX($C15)</f>
        <v>0</v>
      </c>
      <c r="W15" s="1">
        <f>MAX($D15)</f>
        <v>0</v>
      </c>
      <c r="X15" s="1">
        <f>MAX($E15)</f>
        <v>0</v>
      </c>
      <c r="Y15" s="1">
        <f>MAX($G15)</f>
        <v>0</v>
      </c>
      <c r="Z15" s="1">
        <f>MAX($H15)</f>
        <v>0</v>
      </c>
    </row>
    <row r="16" spans="1:26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/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>
        <f>MIN($B16)</f>
        <v>0</v>
      </c>
      <c r="J16" s="1">
        <f>MIN($C16)</f>
        <v>0</v>
      </c>
      <c r="K16" s="1">
        <f>MIN($D16)</f>
        <v>0</v>
      </c>
      <c r="L16" s="1">
        <f>MIN($E16)</f>
        <v>0</v>
      </c>
      <c r="M16" s="1">
        <f>MIN($G16)</f>
        <v>0</v>
      </c>
      <c r="N16" s="1">
        <f>MIN($H16)</f>
        <v>0</v>
      </c>
      <c r="O16" s="1">
        <f>MEDIAN($B16)</f>
        <v>0</v>
      </c>
      <c r="P16" s="1">
        <f>MEDIAN($C16)</f>
        <v>0</v>
      </c>
      <c r="Q16" s="1">
        <f>MEDIAN($D16)</f>
        <v>0</v>
      </c>
      <c r="R16" s="1">
        <f>MEDIAN($E16)</f>
        <v>0</v>
      </c>
      <c r="S16" s="1">
        <f>MEDIAN($G16)</f>
        <v>0</v>
      </c>
      <c r="T16" s="1">
        <f>MEDIAN($H16)</f>
        <v>0</v>
      </c>
      <c r="U16" s="1">
        <f>MAX($B16)</f>
        <v>0</v>
      </c>
      <c r="V16" s="1">
        <f>MAX($C16)</f>
        <v>0</v>
      </c>
      <c r="W16" s="1">
        <f>MAX($D16)</f>
        <v>0</v>
      </c>
      <c r="X16" s="1">
        <f>MAX($E16)</f>
        <v>0</v>
      </c>
      <c r="Y16" s="1">
        <f>MAX($G16)</f>
        <v>0</v>
      </c>
      <c r="Z16" s="1">
        <f>MAX($H16)</f>
        <v>0</v>
      </c>
    </row>
    <row r="17" spans="1:26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/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>
        <f>MIN($B17)</f>
        <v>0</v>
      </c>
      <c r="J17" s="1">
        <f>MIN($C17)</f>
        <v>0</v>
      </c>
      <c r="K17" s="1">
        <f>MIN($D17)</f>
        <v>0</v>
      </c>
      <c r="L17" s="1">
        <f>MIN($E17)</f>
        <v>0</v>
      </c>
      <c r="M17" s="1">
        <f>MIN($G17)</f>
        <v>0</v>
      </c>
      <c r="N17" s="1">
        <f>MIN($H17)</f>
        <v>0</v>
      </c>
      <c r="O17" s="1">
        <f>MEDIAN($B17)</f>
        <v>0</v>
      </c>
      <c r="P17" s="1">
        <f>MEDIAN($C17)</f>
        <v>0</v>
      </c>
      <c r="Q17" s="1">
        <f>MEDIAN($D17)</f>
        <v>0</v>
      </c>
      <c r="R17" s="1">
        <f>MEDIAN($E17)</f>
        <v>0</v>
      </c>
      <c r="S17" s="1">
        <f>MEDIAN($G17)</f>
        <v>0</v>
      </c>
      <c r="T17" s="1">
        <f>MEDIAN($H17)</f>
        <v>0</v>
      </c>
      <c r="U17" s="1">
        <f>MAX($B17)</f>
        <v>0</v>
      </c>
      <c r="V17" s="1">
        <f>MAX($C17)</f>
        <v>0</v>
      </c>
      <c r="W17" s="1">
        <f>MAX($D17)</f>
        <v>0</v>
      </c>
      <c r="X17" s="1">
        <f>MAX($E17)</f>
        <v>0</v>
      </c>
      <c r="Y17" s="1">
        <f>MAX($G17)</f>
        <v>0</v>
      </c>
      <c r="Z17" s="1">
        <f>MAX($H17)</f>
        <v>0</v>
      </c>
    </row>
    <row r="18" spans="1:26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/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>
        <f>MIN($B18)</f>
        <v>0</v>
      </c>
      <c r="J18" s="1">
        <f>MIN($C18)</f>
        <v>0</v>
      </c>
      <c r="K18" s="1">
        <f>MIN($D18)</f>
        <v>0</v>
      </c>
      <c r="L18" s="1">
        <f>MIN($E18)</f>
        <v>0</v>
      </c>
      <c r="M18" s="1">
        <f>MIN($G18)</f>
        <v>0</v>
      </c>
      <c r="N18" s="1">
        <f>MIN($H18)</f>
        <v>0</v>
      </c>
      <c r="O18" s="1">
        <f>MEDIAN($B18)</f>
        <v>0</v>
      </c>
      <c r="P18" s="1">
        <f>MEDIAN($C18)</f>
        <v>0</v>
      </c>
      <c r="Q18" s="1">
        <f>MEDIAN($D18)</f>
        <v>0</v>
      </c>
      <c r="R18" s="1">
        <f>MEDIAN($E18)</f>
        <v>0</v>
      </c>
      <c r="S18" s="1">
        <f>MEDIAN($G18)</f>
        <v>0</v>
      </c>
      <c r="T18" s="1">
        <f>MEDIAN($H18)</f>
        <v>0</v>
      </c>
      <c r="U18" s="1">
        <f>MAX($B18)</f>
        <v>0</v>
      </c>
      <c r="V18" s="1">
        <f>MAX($C18)</f>
        <v>0</v>
      </c>
      <c r="W18" s="1">
        <f>MAX($D18)</f>
        <v>0</v>
      </c>
      <c r="X18" s="1">
        <f>MAX($E18)</f>
        <v>0</v>
      </c>
      <c r="Y18" s="1">
        <f>MAX($G18)</f>
        <v>0</v>
      </c>
      <c r="Z18" s="1">
        <f>MAX($H18)</f>
        <v>0</v>
      </c>
    </row>
    <row r="19" spans="1:26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/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>
        <f>MIN($B19)</f>
        <v>0</v>
      </c>
      <c r="J19" s="1">
        <f>MIN($C19)</f>
        <v>0</v>
      </c>
      <c r="K19" s="1">
        <f>MIN($D19)</f>
        <v>0</v>
      </c>
      <c r="L19" s="1">
        <f>MIN($E19)</f>
        <v>0</v>
      </c>
      <c r="M19" s="1">
        <f>MIN($G19)</f>
        <v>0</v>
      </c>
      <c r="N19" s="1">
        <f>MIN($H19)</f>
        <v>0</v>
      </c>
      <c r="O19" s="1">
        <f>MEDIAN($B19)</f>
        <v>0</v>
      </c>
      <c r="P19" s="1">
        <f>MEDIAN($C19)</f>
        <v>0</v>
      </c>
      <c r="Q19" s="1">
        <f>MEDIAN($D19)</f>
        <v>0</v>
      </c>
      <c r="R19" s="1">
        <f>MEDIAN($E19)</f>
        <v>0</v>
      </c>
      <c r="S19" s="1">
        <f>MEDIAN($G19)</f>
        <v>0</v>
      </c>
      <c r="T19" s="1">
        <f>MEDIAN($H19)</f>
        <v>0</v>
      </c>
      <c r="U19" s="1">
        <f>MAX($B19)</f>
        <v>0</v>
      </c>
      <c r="V19" s="1">
        <f>MAX($C19)</f>
        <v>0</v>
      </c>
      <c r="W19" s="1">
        <f>MAX($D19)</f>
        <v>0</v>
      </c>
      <c r="X19" s="1">
        <f>MAX($E19)</f>
        <v>0</v>
      </c>
      <c r="Y19" s="1">
        <f>MAX($G19)</f>
        <v>0</v>
      </c>
      <c r="Z19" s="1">
        <f>MAX($H19)</f>
        <v>0</v>
      </c>
    </row>
    <row r="20" spans="1:26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/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>
        <f>MIN($B20)</f>
        <v>0</v>
      </c>
      <c r="J20" s="1">
        <f>MIN($C20)</f>
        <v>0</v>
      </c>
      <c r="K20" s="1">
        <f>MIN($D20)</f>
        <v>0</v>
      </c>
      <c r="L20" s="1">
        <f>MIN($E20)</f>
        <v>0</v>
      </c>
      <c r="M20" s="1">
        <f>MIN($G20)</f>
        <v>0</v>
      </c>
      <c r="N20" s="1">
        <f>MIN($H20)</f>
        <v>0</v>
      </c>
      <c r="O20" s="1">
        <f>MEDIAN($B20)</f>
        <v>0</v>
      </c>
      <c r="P20" s="1">
        <f>MEDIAN($C20)</f>
        <v>0</v>
      </c>
      <c r="Q20" s="1">
        <f>MEDIAN($D20)</f>
        <v>0</v>
      </c>
      <c r="R20" s="1">
        <f>MEDIAN($E20)</f>
        <v>0</v>
      </c>
      <c r="S20" s="1">
        <f>MEDIAN($G20)</f>
        <v>0</v>
      </c>
      <c r="T20" s="1">
        <f>MEDIAN($H20)</f>
        <v>0</v>
      </c>
      <c r="U20" s="1">
        <f>MAX($B20)</f>
        <v>0</v>
      </c>
      <c r="V20" s="1">
        <f>MAX($C20)</f>
        <v>0</v>
      </c>
      <c r="W20" s="1">
        <f>MAX($D20)</f>
        <v>0</v>
      </c>
      <c r="X20" s="1">
        <f>MAX($E20)</f>
        <v>0</v>
      </c>
      <c r="Y20" s="1">
        <f>MAX($G20)</f>
        <v>0</v>
      </c>
      <c r="Z20" s="1">
        <f>MAX($H20)</f>
        <v>0</v>
      </c>
    </row>
    <row r="21" spans="1:26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/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>
        <f>MIN($B21)</f>
        <v>0</v>
      </c>
      <c r="J21" s="1">
        <f>MIN($C21)</f>
        <v>0</v>
      </c>
      <c r="K21" s="1">
        <f>MIN($D21)</f>
        <v>0</v>
      </c>
      <c r="L21" s="1">
        <f>MIN($E21)</f>
        <v>0</v>
      </c>
      <c r="M21" s="1">
        <f>MIN($G21)</f>
        <v>0</v>
      </c>
      <c r="N21" s="1">
        <f>MIN($H21)</f>
        <v>0</v>
      </c>
      <c r="O21" s="1">
        <f>MEDIAN($B21)</f>
        <v>0</v>
      </c>
      <c r="P21" s="1">
        <f>MEDIAN($C21)</f>
        <v>0</v>
      </c>
      <c r="Q21" s="1">
        <f>MEDIAN($D21)</f>
        <v>0</v>
      </c>
      <c r="R21" s="1">
        <f>MEDIAN($E21)</f>
        <v>0</v>
      </c>
      <c r="S21" s="1">
        <f>MEDIAN($G21)</f>
        <v>0</v>
      </c>
      <c r="T21" s="1">
        <f>MEDIAN($H21)</f>
        <v>0</v>
      </c>
      <c r="U21" s="1">
        <f>MAX($B21)</f>
        <v>0</v>
      </c>
      <c r="V21" s="1">
        <f>MAX($C21)</f>
        <v>0</v>
      </c>
      <c r="W21" s="1">
        <f>MAX($D21)</f>
        <v>0</v>
      </c>
      <c r="X21" s="1">
        <f>MAX($E21)</f>
        <v>0</v>
      </c>
      <c r="Y21" s="1">
        <f>MAX($G21)</f>
        <v>0</v>
      </c>
      <c r="Z21" s="1">
        <f>MAX($H21)</f>
        <v>0</v>
      </c>
    </row>
    <row r="22" spans="1:26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/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>
        <f>MIN($B22)</f>
        <v>0</v>
      </c>
      <c r="J22" s="1">
        <f>MIN($C22)</f>
        <v>0</v>
      </c>
      <c r="K22" s="1">
        <f>MIN($D22)</f>
        <v>0</v>
      </c>
      <c r="L22" s="1">
        <f>MIN($E22)</f>
        <v>0</v>
      </c>
      <c r="M22" s="1">
        <f>MIN($G22)</f>
        <v>0</v>
      </c>
      <c r="N22" s="1">
        <f>MIN($H22)</f>
        <v>0</v>
      </c>
      <c r="O22" s="1">
        <f>MEDIAN($B22)</f>
        <v>0</v>
      </c>
      <c r="P22" s="1">
        <f>MEDIAN($C22)</f>
        <v>0</v>
      </c>
      <c r="Q22" s="1">
        <f>MEDIAN($D22)</f>
        <v>0</v>
      </c>
      <c r="R22" s="1">
        <f>MEDIAN($E22)</f>
        <v>0</v>
      </c>
      <c r="S22" s="1">
        <f>MEDIAN($G22)</f>
        <v>0</v>
      </c>
      <c r="T22" s="1">
        <f>MEDIAN($H22)</f>
        <v>0</v>
      </c>
      <c r="U22" s="1">
        <f>MAX($B22)</f>
        <v>0</v>
      </c>
      <c r="V22" s="1">
        <f>MAX($C22)</f>
        <v>0</v>
      </c>
      <c r="W22" s="1">
        <f>MAX($D22)</f>
        <v>0</v>
      </c>
      <c r="X22" s="1">
        <f>MAX($E22)</f>
        <v>0</v>
      </c>
      <c r="Y22" s="1">
        <f>MAX($G22)</f>
        <v>0</v>
      </c>
      <c r="Z22" s="1">
        <f>MAX($H22)</f>
        <v>0</v>
      </c>
    </row>
    <row r="23" spans="1:26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/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>
        <f>MIN($B23)</f>
        <v>0</v>
      </c>
      <c r="J23" s="1">
        <f>MIN($C23)</f>
        <v>0</v>
      </c>
      <c r="K23" s="1">
        <f>MIN($D23)</f>
        <v>0</v>
      </c>
      <c r="L23" s="1">
        <f>MIN($E23)</f>
        <v>0</v>
      </c>
      <c r="M23" s="1">
        <f>MIN($G23)</f>
        <v>0</v>
      </c>
      <c r="N23" s="1">
        <f>MIN($H23)</f>
        <v>0</v>
      </c>
      <c r="O23" s="1">
        <f>MEDIAN($B23)</f>
        <v>0</v>
      </c>
      <c r="P23" s="1">
        <f>MEDIAN($C23)</f>
        <v>0</v>
      </c>
      <c r="Q23" s="1">
        <f>MEDIAN($D23)</f>
        <v>0</v>
      </c>
      <c r="R23" s="1">
        <f>MEDIAN($E23)</f>
        <v>0</v>
      </c>
      <c r="S23" s="1">
        <f>MEDIAN($G23)</f>
        <v>0</v>
      </c>
      <c r="T23" s="1">
        <f>MEDIAN($H23)</f>
        <v>0</v>
      </c>
      <c r="U23" s="1">
        <f>MAX($B23)</f>
        <v>0</v>
      </c>
      <c r="V23" s="1">
        <f>MAX($C23)</f>
        <v>0</v>
      </c>
      <c r="W23" s="1">
        <f>MAX($D23)</f>
        <v>0</v>
      </c>
      <c r="X23" s="1">
        <f>MAX($E23)</f>
        <v>0</v>
      </c>
      <c r="Y23" s="1">
        <f>MAX($G23)</f>
        <v>0</v>
      </c>
      <c r="Z23" s="1">
        <f>MAX($H23)</f>
        <v>0</v>
      </c>
    </row>
    <row r="24" spans="1:26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/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>
        <f>MIN($B24)</f>
        <v>0</v>
      </c>
      <c r="J24" s="1">
        <f>MIN($C24)</f>
        <v>0</v>
      </c>
      <c r="K24" s="1">
        <f>MIN($D24)</f>
        <v>0</v>
      </c>
      <c r="L24" s="1">
        <f>MIN($E24)</f>
        <v>0</v>
      </c>
      <c r="M24" s="1">
        <f>MIN($G24)</f>
        <v>0</v>
      </c>
      <c r="N24" s="1">
        <f>MIN($H24)</f>
        <v>0</v>
      </c>
      <c r="O24" s="1">
        <f>MEDIAN($B24)</f>
        <v>0</v>
      </c>
      <c r="P24" s="1">
        <f>MEDIAN($C24)</f>
        <v>0</v>
      </c>
      <c r="Q24" s="1">
        <f>MEDIAN($D24)</f>
        <v>0</v>
      </c>
      <c r="R24" s="1">
        <f>MEDIAN($E24)</f>
        <v>0</v>
      </c>
      <c r="S24" s="1">
        <f>MEDIAN($G24)</f>
        <v>0</v>
      </c>
      <c r="T24" s="1">
        <f>MEDIAN($H24)</f>
        <v>0</v>
      </c>
      <c r="U24" s="1">
        <f>MAX($B24)</f>
        <v>0</v>
      </c>
      <c r="V24" s="1">
        <f>MAX($C24)</f>
        <v>0</v>
      </c>
      <c r="W24" s="1">
        <f>MAX($D24)</f>
        <v>0</v>
      </c>
      <c r="X24" s="1">
        <f>MAX($E24)</f>
        <v>0</v>
      </c>
      <c r="Y24" s="1">
        <f>MAX($G24)</f>
        <v>0</v>
      </c>
      <c r="Z24" s="1">
        <f>MAX($H24)</f>
        <v>0</v>
      </c>
    </row>
    <row r="25" spans="1:26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/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>
        <f>MIN($B25)</f>
        <v>0</v>
      </c>
      <c r="J25" s="1">
        <f>MIN($C25)</f>
        <v>0</v>
      </c>
      <c r="K25" s="1">
        <f>MIN($D25)</f>
        <v>0</v>
      </c>
      <c r="L25" s="1">
        <f>MIN($E25)</f>
        <v>0</v>
      </c>
      <c r="M25" s="1">
        <f>MIN($G25)</f>
        <v>0</v>
      </c>
      <c r="N25" s="1">
        <f>MIN($H25)</f>
        <v>0</v>
      </c>
      <c r="O25" s="1">
        <f>MEDIAN($B25)</f>
        <v>0</v>
      </c>
      <c r="P25" s="1">
        <f>MEDIAN($C25)</f>
        <v>0</v>
      </c>
      <c r="Q25" s="1">
        <f>MEDIAN($D25)</f>
        <v>0</v>
      </c>
      <c r="R25" s="1">
        <f>MEDIAN($E25)</f>
        <v>0</v>
      </c>
      <c r="S25" s="1">
        <f>MEDIAN($G25)</f>
        <v>0</v>
      </c>
      <c r="T25" s="1">
        <f>MEDIAN($H25)</f>
        <v>0</v>
      </c>
      <c r="U25" s="1">
        <f>MAX($B25)</f>
        <v>0</v>
      </c>
      <c r="V25" s="1">
        <f>MAX($C25)</f>
        <v>0</v>
      </c>
      <c r="W25" s="1">
        <f>MAX($D25)</f>
        <v>0</v>
      </c>
      <c r="X25" s="1">
        <f>MAX($E25)</f>
        <v>0</v>
      </c>
      <c r="Y25" s="1">
        <f>MAX($G25)</f>
        <v>0</v>
      </c>
      <c r="Z25" s="1">
        <f>MAX($H25)</f>
        <v>0</v>
      </c>
    </row>
    <row r="26" spans="1:26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/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>
        <f>MIN($B26)</f>
        <v>0</v>
      </c>
      <c r="J26" s="1">
        <f>MIN($C26)</f>
        <v>0</v>
      </c>
      <c r="K26" s="1">
        <f>MIN($D26)</f>
        <v>0</v>
      </c>
      <c r="L26" s="1">
        <f>MIN($E26)</f>
        <v>0</v>
      </c>
      <c r="M26" s="1">
        <f>MIN($G26)</f>
        <v>0</v>
      </c>
      <c r="N26" s="1">
        <f>MIN($H26)</f>
        <v>0</v>
      </c>
      <c r="O26" s="1">
        <f>MEDIAN($B26)</f>
        <v>0</v>
      </c>
      <c r="P26" s="1">
        <f>MEDIAN($C26)</f>
        <v>0</v>
      </c>
      <c r="Q26" s="1">
        <f>MEDIAN($D26)</f>
        <v>0</v>
      </c>
      <c r="R26" s="1">
        <f>MEDIAN($E26)</f>
        <v>0</v>
      </c>
      <c r="S26" s="1">
        <f>MEDIAN($G26)</f>
        <v>0</v>
      </c>
      <c r="T26" s="1">
        <f>MEDIAN($H26)</f>
        <v>0</v>
      </c>
      <c r="U26" s="1">
        <f>MAX($B26)</f>
        <v>0</v>
      </c>
      <c r="V26" s="1">
        <f>MAX($C26)</f>
        <v>0</v>
      </c>
      <c r="W26" s="1">
        <f>MAX($D26)</f>
        <v>0</v>
      </c>
      <c r="X26" s="1">
        <f>MAX($E26)</f>
        <v>0</v>
      </c>
      <c r="Y26" s="1">
        <f>MAX($G26)</f>
        <v>0</v>
      </c>
      <c r="Z26" s="1">
        <f>MAX($H26)</f>
        <v>0</v>
      </c>
    </row>
    <row r="27" spans="1:26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/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>
        <f>MIN($B27)</f>
        <v>0</v>
      </c>
      <c r="J27" s="1">
        <f>MIN($C27)</f>
        <v>0</v>
      </c>
      <c r="K27" s="1">
        <f>MIN($D27)</f>
        <v>0</v>
      </c>
      <c r="L27" s="1">
        <f>MIN($E27)</f>
        <v>0</v>
      </c>
      <c r="M27" s="1">
        <f>MIN($G27)</f>
        <v>0</v>
      </c>
      <c r="N27" s="1">
        <f>MIN($H27)</f>
        <v>0</v>
      </c>
      <c r="O27" s="1">
        <f>MEDIAN($B27)</f>
        <v>0</v>
      </c>
      <c r="P27" s="1">
        <f>MEDIAN($C27)</f>
        <v>0</v>
      </c>
      <c r="Q27" s="1">
        <f>MEDIAN($D27)</f>
        <v>0</v>
      </c>
      <c r="R27" s="1">
        <f>MEDIAN($E27)</f>
        <v>0</v>
      </c>
      <c r="S27" s="1">
        <f>MEDIAN($G27)</f>
        <v>0</v>
      </c>
      <c r="T27" s="1">
        <f>MEDIAN($H27)</f>
        <v>0</v>
      </c>
      <c r="U27" s="1">
        <f>MAX($B27)</f>
        <v>0</v>
      </c>
      <c r="V27" s="1">
        <f>MAX($C27)</f>
        <v>0</v>
      </c>
      <c r="W27" s="1">
        <f>MAX($D27)</f>
        <v>0</v>
      </c>
      <c r="X27" s="1">
        <f>MAX($E27)</f>
        <v>0</v>
      </c>
      <c r="Y27" s="1">
        <f>MAX($G27)</f>
        <v>0</v>
      </c>
      <c r="Z27" s="1">
        <f>MAX($H27)</f>
        <v>0</v>
      </c>
    </row>
    <row r="28" spans="1:26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/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>
        <f>MIN($B28)</f>
        <v>0</v>
      </c>
      <c r="J28" s="1">
        <f>MIN($C28)</f>
        <v>0</v>
      </c>
      <c r="K28" s="1">
        <f>MIN($D28)</f>
        <v>0</v>
      </c>
      <c r="L28" s="1">
        <f>MIN($E28)</f>
        <v>0</v>
      </c>
      <c r="M28" s="1">
        <f>MIN($G28)</f>
        <v>0</v>
      </c>
      <c r="N28" s="1">
        <f>MIN($H28)</f>
        <v>0</v>
      </c>
      <c r="O28" s="1">
        <f>MEDIAN($B28)</f>
        <v>0</v>
      </c>
      <c r="P28" s="1">
        <f>MEDIAN($C28)</f>
        <v>0</v>
      </c>
      <c r="Q28" s="1">
        <f>MEDIAN($D28)</f>
        <v>0</v>
      </c>
      <c r="R28" s="1">
        <f>MEDIAN($E28)</f>
        <v>0</v>
      </c>
      <c r="S28" s="1">
        <f>MEDIAN($G28)</f>
        <v>0</v>
      </c>
      <c r="T28" s="1">
        <f>MEDIAN($H28)</f>
        <v>0</v>
      </c>
      <c r="U28" s="1">
        <f>MAX($B28)</f>
        <v>0</v>
      </c>
      <c r="V28" s="1">
        <f>MAX($C28)</f>
        <v>0</v>
      </c>
      <c r="W28" s="1">
        <f>MAX($D28)</f>
        <v>0</v>
      </c>
      <c r="X28" s="1">
        <f>MAX($E28)</f>
        <v>0</v>
      </c>
      <c r="Y28" s="1">
        <f>MAX($G28)</f>
        <v>0</v>
      </c>
      <c r="Z28" s="1">
        <f>MAX($H28)</f>
        <v>0</v>
      </c>
    </row>
    <row r="29" spans="1:26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/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>
        <f>MIN($B29)</f>
        <v>0</v>
      </c>
      <c r="J29" s="1">
        <f>MIN($C29)</f>
        <v>0</v>
      </c>
      <c r="K29" s="1">
        <f>MIN($D29)</f>
        <v>0</v>
      </c>
      <c r="L29" s="1">
        <f>MIN($E29)</f>
        <v>0</v>
      </c>
      <c r="M29" s="1">
        <f>MIN($G29)</f>
        <v>0</v>
      </c>
      <c r="N29" s="1">
        <f>MIN($H29)</f>
        <v>0</v>
      </c>
      <c r="O29" s="1">
        <f>MEDIAN($B29)</f>
        <v>0</v>
      </c>
      <c r="P29" s="1">
        <f>MEDIAN($C29)</f>
        <v>0</v>
      </c>
      <c r="Q29" s="1">
        <f>MEDIAN($D29)</f>
        <v>0</v>
      </c>
      <c r="R29" s="1">
        <f>MEDIAN($E29)</f>
        <v>0</v>
      </c>
      <c r="S29" s="1">
        <f>MEDIAN($G29)</f>
        <v>0</v>
      </c>
      <c r="T29" s="1">
        <f>MEDIAN($H29)</f>
        <v>0</v>
      </c>
      <c r="U29" s="1">
        <f>MAX($B29)</f>
        <v>0</v>
      </c>
      <c r="V29" s="1">
        <f>MAX($C29)</f>
        <v>0</v>
      </c>
      <c r="W29" s="1">
        <f>MAX($D29)</f>
        <v>0</v>
      </c>
      <c r="X29" s="1">
        <f>MAX($E29)</f>
        <v>0</v>
      </c>
      <c r="Y29" s="1">
        <f>MAX($G29)</f>
        <v>0</v>
      </c>
      <c r="Z29" s="1">
        <f>MAX($H29)</f>
        <v>0</v>
      </c>
    </row>
    <row r="30" spans="1:26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/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>
        <f>MIN($B30)</f>
        <v>0</v>
      </c>
      <c r="J30" s="1">
        <f>MIN($C30)</f>
        <v>0</v>
      </c>
      <c r="K30" s="1">
        <f>MIN($D30)</f>
        <v>0</v>
      </c>
      <c r="L30" s="1">
        <f>MIN($E30)</f>
        <v>0</v>
      </c>
      <c r="M30" s="1">
        <f>MIN($G30)</f>
        <v>0</v>
      </c>
      <c r="N30" s="1">
        <f>MIN($H30)</f>
        <v>0</v>
      </c>
      <c r="O30" s="1">
        <f>MEDIAN($B30)</f>
        <v>0</v>
      </c>
      <c r="P30" s="1">
        <f>MEDIAN($C30)</f>
        <v>0</v>
      </c>
      <c r="Q30" s="1">
        <f>MEDIAN($D30)</f>
        <v>0</v>
      </c>
      <c r="R30" s="1">
        <f>MEDIAN($E30)</f>
        <v>0</v>
      </c>
      <c r="S30" s="1">
        <f>MEDIAN($G30)</f>
        <v>0</v>
      </c>
      <c r="T30" s="1">
        <f>MEDIAN($H30)</f>
        <v>0</v>
      </c>
      <c r="U30" s="1">
        <f>MAX($B30)</f>
        <v>0</v>
      </c>
      <c r="V30" s="1">
        <f>MAX($C30)</f>
        <v>0</v>
      </c>
      <c r="W30" s="1">
        <f>MAX($D30)</f>
        <v>0</v>
      </c>
      <c r="X30" s="1">
        <f>MAX($E30)</f>
        <v>0</v>
      </c>
      <c r="Y30" s="1">
        <f>MAX($G30)</f>
        <v>0</v>
      </c>
      <c r="Z30" s="1">
        <f>MAX($H30)</f>
        <v>0</v>
      </c>
    </row>
    <row r="31" spans="1:26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/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>
        <f>MIN($B31)</f>
        <v>0</v>
      </c>
      <c r="J31" s="1">
        <f>MIN($C31)</f>
        <v>0</v>
      </c>
      <c r="K31" s="1">
        <f>MIN($D31)</f>
        <v>0</v>
      </c>
      <c r="L31" s="1">
        <f>MIN($E31)</f>
        <v>0</v>
      </c>
      <c r="M31" s="1">
        <f>MIN($G31)</f>
        <v>0</v>
      </c>
      <c r="N31" s="1">
        <f>MIN($H31)</f>
        <v>0</v>
      </c>
      <c r="O31" s="1">
        <f>MEDIAN($B31)</f>
        <v>0</v>
      </c>
      <c r="P31" s="1">
        <f>MEDIAN($C31)</f>
        <v>0</v>
      </c>
      <c r="Q31" s="1">
        <f>MEDIAN($D31)</f>
        <v>0</v>
      </c>
      <c r="R31" s="1">
        <f>MEDIAN($E31)</f>
        <v>0</v>
      </c>
      <c r="S31" s="1">
        <f>MEDIAN($G31)</f>
        <v>0</v>
      </c>
      <c r="T31" s="1">
        <f>MEDIAN($H31)</f>
        <v>0</v>
      </c>
      <c r="U31" s="1">
        <f>MAX($B31)</f>
        <v>0</v>
      </c>
      <c r="V31" s="1">
        <f>MAX($C31)</f>
        <v>0</v>
      </c>
      <c r="W31" s="1">
        <f>MAX($D31)</f>
        <v>0</v>
      </c>
      <c r="X31" s="1">
        <f>MAX($E31)</f>
        <v>0</v>
      </c>
      <c r="Y31" s="1">
        <f>MAX($G31)</f>
        <v>0</v>
      </c>
      <c r="Z31" s="1">
        <f>MAX($H31)</f>
        <v>0</v>
      </c>
    </row>
    <row r="32" spans="1:26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/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>
        <f>MIN($B32)</f>
        <v>0</v>
      </c>
      <c r="J32" s="1">
        <f>MIN($C32)</f>
        <v>0</v>
      </c>
      <c r="K32" s="1">
        <f>MIN($D32)</f>
        <v>0</v>
      </c>
      <c r="L32" s="1">
        <f>MIN($E32)</f>
        <v>0</v>
      </c>
      <c r="M32" s="1">
        <f>MIN($G32)</f>
        <v>0</v>
      </c>
      <c r="N32" s="1">
        <f>MIN($H32)</f>
        <v>0</v>
      </c>
      <c r="O32" s="1">
        <f>MEDIAN($B32)</f>
        <v>0</v>
      </c>
      <c r="P32" s="1">
        <f>MEDIAN($C32)</f>
        <v>0</v>
      </c>
      <c r="Q32" s="1">
        <f>MEDIAN($D32)</f>
        <v>0</v>
      </c>
      <c r="R32" s="1">
        <f>MEDIAN($E32)</f>
        <v>0</v>
      </c>
      <c r="S32" s="1">
        <f>MEDIAN($G32)</f>
        <v>0</v>
      </c>
      <c r="T32" s="1">
        <f>MEDIAN($H32)</f>
        <v>0</v>
      </c>
      <c r="U32" s="1">
        <f>MAX($B32)</f>
        <v>0</v>
      </c>
      <c r="V32" s="1">
        <f>MAX($C32)</f>
        <v>0</v>
      </c>
      <c r="W32" s="1">
        <f>MAX($D32)</f>
        <v>0</v>
      </c>
      <c r="X32" s="1">
        <f>MAX($E32)</f>
        <v>0</v>
      </c>
      <c r="Y32" s="1">
        <f>MAX($G32)</f>
        <v>0</v>
      </c>
      <c r="Z32" s="1">
        <f>MAX($H32)</f>
        <v>0</v>
      </c>
    </row>
    <row r="33" spans="1:26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/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>
        <f>MIN($B33)</f>
        <v>0</v>
      </c>
      <c r="J33" s="1">
        <f>MIN($C33)</f>
        <v>0</v>
      </c>
      <c r="K33" s="1">
        <f>MIN($D33)</f>
        <v>0</v>
      </c>
      <c r="L33" s="1">
        <f>MIN($E33)</f>
        <v>0</v>
      </c>
      <c r="M33" s="1">
        <f>MIN($G33)</f>
        <v>0</v>
      </c>
      <c r="N33" s="1">
        <f>MIN($H33)</f>
        <v>0</v>
      </c>
      <c r="O33" s="1">
        <f>MEDIAN($B33)</f>
        <v>0</v>
      </c>
      <c r="P33" s="1">
        <f>MEDIAN($C33)</f>
        <v>0</v>
      </c>
      <c r="Q33" s="1">
        <f>MEDIAN($D33)</f>
        <v>0</v>
      </c>
      <c r="R33" s="1">
        <f>MEDIAN($E33)</f>
        <v>0</v>
      </c>
      <c r="S33" s="1">
        <f>MEDIAN($G33)</f>
        <v>0</v>
      </c>
      <c r="T33" s="1">
        <f>MEDIAN($H33)</f>
        <v>0</v>
      </c>
      <c r="U33" s="1">
        <f>MAX($B33)</f>
        <v>0</v>
      </c>
      <c r="V33" s="1">
        <f>MAX($C33)</f>
        <v>0</v>
      </c>
      <c r="W33" s="1">
        <f>MAX($D33)</f>
        <v>0</v>
      </c>
      <c r="X33" s="1">
        <f>MAX($E33)</f>
        <v>0</v>
      </c>
      <c r="Y33" s="1">
        <f>MAX($G33)</f>
        <v>0</v>
      </c>
      <c r="Z33" s="1">
        <f>MAX($H33)</f>
        <v>0</v>
      </c>
    </row>
    <row r="34" spans="1:26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/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>
        <f>MIN($B34)</f>
        <v>0</v>
      </c>
      <c r="J34" s="1">
        <f>MIN($C34)</f>
        <v>0</v>
      </c>
      <c r="K34" s="1">
        <f>MIN($D34)</f>
        <v>0</v>
      </c>
      <c r="L34" s="1">
        <f>MIN($E34)</f>
        <v>0</v>
      </c>
      <c r="M34" s="1">
        <f>MIN($G34)</f>
        <v>0</v>
      </c>
      <c r="N34" s="1">
        <f>MIN($H34)</f>
        <v>0</v>
      </c>
      <c r="O34" s="1">
        <f>MEDIAN($B34)</f>
        <v>0</v>
      </c>
      <c r="P34" s="1">
        <f>MEDIAN($C34)</f>
        <v>0</v>
      </c>
      <c r="Q34" s="1">
        <f>MEDIAN($D34)</f>
        <v>0</v>
      </c>
      <c r="R34" s="1">
        <f>MEDIAN($E34)</f>
        <v>0</v>
      </c>
      <c r="S34" s="1">
        <f>MEDIAN($G34)</f>
        <v>0</v>
      </c>
      <c r="T34" s="1">
        <f>MEDIAN($H34)</f>
        <v>0</v>
      </c>
      <c r="U34" s="1">
        <f>MAX($B34)</f>
        <v>0</v>
      </c>
      <c r="V34" s="1">
        <f>MAX($C34)</f>
        <v>0</v>
      </c>
      <c r="W34" s="1">
        <f>MAX($D34)</f>
        <v>0</v>
      </c>
      <c r="X34" s="1">
        <f>MAX($E34)</f>
        <v>0</v>
      </c>
      <c r="Y34" s="1">
        <f>MAX($G34)</f>
        <v>0</v>
      </c>
      <c r="Z34" s="1">
        <f>MAX($H34)</f>
        <v>0</v>
      </c>
    </row>
    <row r="35" spans="1:26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/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>
        <f>MIN($B35)</f>
        <v>0</v>
      </c>
      <c r="J35" s="1">
        <f>MIN($C35)</f>
        <v>0</v>
      </c>
      <c r="K35" s="1">
        <f>MIN($D35)</f>
        <v>0</v>
      </c>
      <c r="L35" s="1">
        <f>MIN($E35)</f>
        <v>0</v>
      </c>
      <c r="M35" s="1">
        <f>MIN($G35)</f>
        <v>0</v>
      </c>
      <c r="N35" s="1">
        <f>MIN($H35)</f>
        <v>0</v>
      </c>
      <c r="O35" s="1">
        <f>MEDIAN($B35)</f>
        <v>0</v>
      </c>
      <c r="P35" s="1">
        <f>MEDIAN($C35)</f>
        <v>0</v>
      </c>
      <c r="Q35" s="1">
        <f>MEDIAN($D35)</f>
        <v>0</v>
      </c>
      <c r="R35" s="1">
        <f>MEDIAN($E35)</f>
        <v>0</v>
      </c>
      <c r="S35" s="1">
        <f>MEDIAN($G35)</f>
        <v>0</v>
      </c>
      <c r="T35" s="1">
        <f>MEDIAN($H35)</f>
        <v>0</v>
      </c>
      <c r="U35" s="1">
        <f>MAX($B35)</f>
        <v>0</v>
      </c>
      <c r="V35" s="1">
        <f>MAX($C35)</f>
        <v>0</v>
      </c>
      <c r="W35" s="1">
        <f>MAX($D35)</f>
        <v>0</v>
      </c>
      <c r="X35" s="1">
        <f>MAX($E35)</f>
        <v>0</v>
      </c>
      <c r="Y35" s="1">
        <f>MAX($G35)</f>
        <v>0</v>
      </c>
      <c r="Z35" s="1">
        <f>MAX($H35)</f>
        <v>0</v>
      </c>
    </row>
    <row r="36" spans="1:26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/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>
        <f>MIN($B36)</f>
        <v>0</v>
      </c>
      <c r="J36" s="1">
        <f>MIN($C36)</f>
        <v>0</v>
      </c>
      <c r="K36" s="1">
        <f>MIN($D36)</f>
        <v>0</v>
      </c>
      <c r="L36" s="1">
        <f>MIN($E36)</f>
        <v>0</v>
      </c>
      <c r="M36" s="1">
        <f>MIN($G36)</f>
        <v>0</v>
      </c>
      <c r="N36" s="1">
        <f>MIN($H36)</f>
        <v>0</v>
      </c>
      <c r="O36" s="1">
        <f>MEDIAN($B36)</f>
        <v>0</v>
      </c>
      <c r="P36" s="1">
        <f>MEDIAN($C36)</f>
        <v>0</v>
      </c>
      <c r="Q36" s="1">
        <f>MEDIAN($D36)</f>
        <v>0</v>
      </c>
      <c r="R36" s="1">
        <f>MEDIAN($E36)</f>
        <v>0</v>
      </c>
      <c r="S36" s="1">
        <f>MEDIAN($G36)</f>
        <v>0</v>
      </c>
      <c r="T36" s="1">
        <f>MEDIAN($H36)</f>
        <v>0</v>
      </c>
      <c r="U36" s="1">
        <f>MAX($B36)</f>
        <v>0</v>
      </c>
      <c r="V36" s="1">
        <f>MAX($C36)</f>
        <v>0</v>
      </c>
      <c r="W36" s="1">
        <f>MAX($D36)</f>
        <v>0</v>
      </c>
      <c r="X36" s="1">
        <f>MAX($E36)</f>
        <v>0</v>
      </c>
      <c r="Y36" s="1">
        <f>MAX($G36)</f>
        <v>0</v>
      </c>
      <c r="Z36" s="1">
        <f>MAX($H36)</f>
        <v>0</v>
      </c>
    </row>
    <row r="37" spans="1:26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/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>
        <f>MIN($B37)</f>
        <v>0</v>
      </c>
      <c r="J37" s="1">
        <f>MIN($C37)</f>
        <v>0</v>
      </c>
      <c r="K37" s="1">
        <f>MIN($D37)</f>
        <v>0</v>
      </c>
      <c r="L37" s="1">
        <f>MIN($E37)</f>
        <v>0</v>
      </c>
      <c r="M37" s="1">
        <f>MIN($G37)</f>
        <v>0</v>
      </c>
      <c r="N37" s="1">
        <f>MIN($H37)</f>
        <v>0</v>
      </c>
      <c r="O37" s="1">
        <f>MEDIAN($B37)</f>
        <v>0</v>
      </c>
      <c r="P37" s="1">
        <f>MEDIAN($C37)</f>
        <v>0</v>
      </c>
      <c r="Q37" s="1">
        <f>MEDIAN($D37)</f>
        <v>0</v>
      </c>
      <c r="R37" s="1">
        <f>MEDIAN($E37)</f>
        <v>0</v>
      </c>
      <c r="S37" s="1">
        <f>MEDIAN($G37)</f>
        <v>0</v>
      </c>
      <c r="T37" s="1">
        <f>MEDIAN($H37)</f>
        <v>0</v>
      </c>
      <c r="U37" s="1">
        <f>MAX($B37)</f>
        <v>0</v>
      </c>
      <c r="V37" s="1">
        <f>MAX($C37)</f>
        <v>0</v>
      </c>
      <c r="W37" s="1">
        <f>MAX($D37)</f>
        <v>0</v>
      </c>
      <c r="X37" s="1">
        <f>MAX($E37)</f>
        <v>0</v>
      </c>
      <c r="Y37" s="1">
        <f>MAX($G37)</f>
        <v>0</v>
      </c>
      <c r="Z37" s="1">
        <f>MAX($H37)</f>
        <v>0</v>
      </c>
    </row>
    <row r="38" spans="1:26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/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>
        <f>MIN($B38)</f>
        <v>0</v>
      </c>
      <c r="J38" s="1">
        <f>MIN($C38)</f>
        <v>0</v>
      </c>
      <c r="K38" s="1">
        <f>MIN($D38)</f>
        <v>0</v>
      </c>
      <c r="L38" s="1">
        <f>MIN($E38)</f>
        <v>0</v>
      </c>
      <c r="M38" s="1">
        <f>MIN($G38)</f>
        <v>0</v>
      </c>
      <c r="N38" s="1">
        <f>MIN($H38)</f>
        <v>0</v>
      </c>
      <c r="O38" s="1">
        <f>MEDIAN($B38)</f>
        <v>0</v>
      </c>
      <c r="P38" s="1">
        <f>MEDIAN($C38)</f>
        <v>0</v>
      </c>
      <c r="Q38" s="1">
        <f>MEDIAN($D38)</f>
        <v>0</v>
      </c>
      <c r="R38" s="1">
        <f>MEDIAN($E38)</f>
        <v>0</v>
      </c>
      <c r="S38" s="1">
        <f>MEDIAN($G38)</f>
        <v>0</v>
      </c>
      <c r="T38" s="1">
        <f>MEDIAN($H38)</f>
        <v>0</v>
      </c>
      <c r="U38" s="1">
        <f>MAX($B38)</f>
        <v>0</v>
      </c>
      <c r="V38" s="1">
        <f>MAX($C38)</f>
        <v>0</v>
      </c>
      <c r="W38" s="1">
        <f>MAX($D38)</f>
        <v>0</v>
      </c>
      <c r="X38" s="1">
        <f>MAX($E38)</f>
        <v>0</v>
      </c>
      <c r="Y38" s="1">
        <f>MAX($G38)</f>
        <v>0</v>
      </c>
      <c r="Z38" s="1">
        <f>MAX($H38)</f>
        <v>0</v>
      </c>
    </row>
    <row r="39" spans="1:26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/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>
        <f>MIN($B39)</f>
        <v>0</v>
      </c>
      <c r="J39" s="1">
        <f>MIN($C39)</f>
        <v>0</v>
      </c>
      <c r="K39" s="1">
        <f>MIN($D39)</f>
        <v>0</v>
      </c>
      <c r="L39" s="1">
        <f>MIN($E39)</f>
        <v>0</v>
      </c>
      <c r="M39" s="1">
        <f>MIN($G39)</f>
        <v>0</v>
      </c>
      <c r="N39" s="1">
        <f>MIN($H39)</f>
        <v>0</v>
      </c>
      <c r="O39" s="1">
        <f>MEDIAN($B39)</f>
        <v>0</v>
      </c>
      <c r="P39" s="1">
        <f>MEDIAN($C39)</f>
        <v>0</v>
      </c>
      <c r="Q39" s="1">
        <f>MEDIAN($D39)</f>
        <v>0</v>
      </c>
      <c r="R39" s="1">
        <f>MEDIAN($E39)</f>
        <v>0</v>
      </c>
      <c r="S39" s="1">
        <f>MEDIAN($G39)</f>
        <v>0</v>
      </c>
      <c r="T39" s="1">
        <f>MEDIAN($H39)</f>
        <v>0</v>
      </c>
      <c r="U39" s="1">
        <f>MAX($B39)</f>
        <v>0</v>
      </c>
      <c r="V39" s="1">
        <f>MAX($C39)</f>
        <v>0</v>
      </c>
      <c r="W39" s="1">
        <f>MAX($D39)</f>
        <v>0</v>
      </c>
      <c r="X39" s="1">
        <f>MAX($E39)</f>
        <v>0</v>
      </c>
      <c r="Y39" s="1">
        <f>MAX($G39)</f>
        <v>0</v>
      </c>
      <c r="Z39" s="1">
        <f>MAX($H39)</f>
        <v>0</v>
      </c>
    </row>
    <row r="40" spans="1:26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/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>
        <f>MIN($B40)</f>
        <v>0</v>
      </c>
      <c r="J40" s="1">
        <f>MIN($C40)</f>
        <v>0</v>
      </c>
      <c r="K40" s="1">
        <f>MIN($D40)</f>
        <v>0</v>
      </c>
      <c r="L40" s="1">
        <f>MIN($E40)</f>
        <v>0</v>
      </c>
      <c r="M40" s="1">
        <f>MIN($G40)</f>
        <v>0</v>
      </c>
      <c r="N40" s="1">
        <f>MIN($H40)</f>
        <v>0</v>
      </c>
      <c r="O40" s="1">
        <f>MEDIAN($B40)</f>
        <v>0</v>
      </c>
      <c r="P40" s="1">
        <f>MEDIAN($C40)</f>
        <v>0</v>
      </c>
      <c r="Q40" s="1">
        <f>MEDIAN($D40)</f>
        <v>0</v>
      </c>
      <c r="R40" s="1">
        <f>MEDIAN($E40)</f>
        <v>0</v>
      </c>
      <c r="S40" s="1">
        <f>MEDIAN($G40)</f>
        <v>0</v>
      </c>
      <c r="T40" s="1">
        <f>MEDIAN($H40)</f>
        <v>0</v>
      </c>
      <c r="U40" s="1">
        <f>MAX($B40)</f>
        <v>0</v>
      </c>
      <c r="V40" s="1">
        <f>MAX($C40)</f>
        <v>0</v>
      </c>
      <c r="W40" s="1">
        <f>MAX($D40)</f>
        <v>0</v>
      </c>
      <c r="X40" s="1">
        <f>MAX($E40)</f>
        <v>0</v>
      </c>
      <c r="Y40" s="1">
        <f>MAX($G40)</f>
        <v>0</v>
      </c>
      <c r="Z40" s="1">
        <f>MAX($H40)</f>
        <v>0</v>
      </c>
    </row>
    <row r="41" spans="1:26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/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>
        <f>MIN($B41)</f>
        <v>0</v>
      </c>
      <c r="J41" s="1">
        <f>MIN($C41)</f>
        <v>0</v>
      </c>
      <c r="K41" s="1">
        <f>MIN($D41)</f>
        <v>0</v>
      </c>
      <c r="L41" s="1">
        <f>MIN($E41)</f>
        <v>0</v>
      </c>
      <c r="M41" s="1">
        <f>MIN($G41)</f>
        <v>0</v>
      </c>
      <c r="N41" s="1">
        <f>MIN($H41)</f>
        <v>0</v>
      </c>
      <c r="O41" s="1">
        <f>MEDIAN($B41)</f>
        <v>0</v>
      </c>
      <c r="P41" s="1">
        <f>MEDIAN($C41)</f>
        <v>0</v>
      </c>
      <c r="Q41" s="1">
        <f>MEDIAN($D41)</f>
        <v>0</v>
      </c>
      <c r="R41" s="1">
        <f>MEDIAN($E41)</f>
        <v>0</v>
      </c>
      <c r="S41" s="1">
        <f>MEDIAN($G41)</f>
        <v>0</v>
      </c>
      <c r="T41" s="1">
        <f>MEDIAN($H41)</f>
        <v>0</v>
      </c>
      <c r="U41" s="1">
        <f>MAX($B41)</f>
        <v>0</v>
      </c>
      <c r="V41" s="1">
        <f>MAX($C41)</f>
        <v>0</v>
      </c>
      <c r="W41" s="1">
        <f>MAX($D41)</f>
        <v>0</v>
      </c>
      <c r="X41" s="1">
        <f>MAX($E41)</f>
        <v>0</v>
      </c>
      <c r="Y41" s="1">
        <f>MAX($G41)</f>
        <v>0</v>
      </c>
      <c r="Z41" s="1">
        <f>MAX($H41)</f>
        <v>0</v>
      </c>
    </row>
    <row r="42" spans="1:26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/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>
        <f>MIN($B42)</f>
        <v>0</v>
      </c>
      <c r="J42" s="1">
        <f>MIN($C42)</f>
        <v>0</v>
      </c>
      <c r="K42" s="1">
        <f>MIN($D42)</f>
        <v>0</v>
      </c>
      <c r="L42" s="1">
        <f>MIN($E42)</f>
        <v>0</v>
      </c>
      <c r="M42" s="1">
        <f>MIN($G42)</f>
        <v>0</v>
      </c>
      <c r="N42" s="1">
        <f>MIN($H42)</f>
        <v>0</v>
      </c>
      <c r="O42" s="1">
        <f>MEDIAN($B42)</f>
        <v>0</v>
      </c>
      <c r="P42" s="1">
        <f>MEDIAN($C42)</f>
        <v>0</v>
      </c>
      <c r="Q42" s="1">
        <f>MEDIAN($D42)</f>
        <v>0</v>
      </c>
      <c r="R42" s="1">
        <f>MEDIAN($E42)</f>
        <v>0</v>
      </c>
      <c r="S42" s="1">
        <f>MEDIAN($G42)</f>
        <v>0</v>
      </c>
      <c r="T42" s="1">
        <f>MEDIAN($H42)</f>
        <v>0</v>
      </c>
      <c r="U42" s="1">
        <f>MAX($B42)</f>
        <v>0</v>
      </c>
      <c r="V42" s="1">
        <f>MAX($C42)</f>
        <v>0</v>
      </c>
      <c r="W42" s="1">
        <f>MAX($D42)</f>
        <v>0</v>
      </c>
      <c r="X42" s="1">
        <f>MAX($E42)</f>
        <v>0</v>
      </c>
      <c r="Y42" s="1">
        <f>MAX($G42)</f>
        <v>0</v>
      </c>
      <c r="Z42" s="1">
        <f>MAX($H42)</f>
        <v>0</v>
      </c>
    </row>
    <row r="43" spans="1:26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/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>
        <f>MIN($B43)</f>
        <v>0</v>
      </c>
      <c r="J43" s="1">
        <f>MIN($C43)</f>
        <v>0</v>
      </c>
      <c r="K43" s="1">
        <f>MIN($D43)</f>
        <v>0</v>
      </c>
      <c r="L43" s="1">
        <f>MIN($E43)</f>
        <v>0</v>
      </c>
      <c r="M43" s="1">
        <f>MIN($G43)</f>
        <v>0</v>
      </c>
      <c r="N43" s="1">
        <f>MIN($H43)</f>
        <v>0</v>
      </c>
      <c r="O43" s="1">
        <f>MEDIAN($B43)</f>
        <v>0</v>
      </c>
      <c r="P43" s="1">
        <f>MEDIAN($C43)</f>
        <v>0</v>
      </c>
      <c r="Q43" s="1">
        <f>MEDIAN($D43)</f>
        <v>0</v>
      </c>
      <c r="R43" s="1">
        <f>MEDIAN($E43)</f>
        <v>0</v>
      </c>
      <c r="S43" s="1">
        <f>MEDIAN($G43)</f>
        <v>0</v>
      </c>
      <c r="T43" s="1">
        <f>MEDIAN($H43)</f>
        <v>0</v>
      </c>
      <c r="U43" s="1">
        <f>MAX($B43)</f>
        <v>0</v>
      </c>
      <c r="V43" s="1">
        <f>MAX($C43)</f>
        <v>0</v>
      </c>
      <c r="W43" s="1">
        <f>MAX($D43)</f>
        <v>0</v>
      </c>
      <c r="X43" s="1">
        <f>MAX($E43)</f>
        <v>0</v>
      </c>
      <c r="Y43" s="1">
        <f>MAX($G43)</f>
        <v>0</v>
      </c>
      <c r="Z43" s="1">
        <f>MAX($H43)</f>
        <v>0</v>
      </c>
    </row>
    <row r="44" spans="1:26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/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>
        <f>MIN($B44)</f>
        <v>0</v>
      </c>
      <c r="J44" s="1">
        <f>MIN($C44)</f>
        <v>0</v>
      </c>
      <c r="K44" s="1">
        <f>MIN($D44)</f>
        <v>0</v>
      </c>
      <c r="L44" s="1">
        <f>MIN($E44)</f>
        <v>0</v>
      </c>
      <c r="M44" s="1">
        <f>MIN($G44)</f>
        <v>0</v>
      </c>
      <c r="N44" s="1">
        <f>MIN($H44)</f>
        <v>0</v>
      </c>
      <c r="O44" s="1">
        <f>MEDIAN($B44)</f>
        <v>0</v>
      </c>
      <c r="P44" s="1">
        <f>MEDIAN($C44)</f>
        <v>0</v>
      </c>
      <c r="Q44" s="1">
        <f>MEDIAN($D44)</f>
        <v>0</v>
      </c>
      <c r="R44" s="1">
        <f>MEDIAN($E44)</f>
        <v>0</v>
      </c>
      <c r="S44" s="1">
        <f>MEDIAN($G44)</f>
        <v>0</v>
      </c>
      <c r="T44" s="1">
        <f>MEDIAN($H44)</f>
        <v>0</v>
      </c>
      <c r="U44" s="1">
        <f>MAX($B44)</f>
        <v>0</v>
      </c>
      <c r="V44" s="1">
        <f>MAX($C44)</f>
        <v>0</v>
      </c>
      <c r="W44" s="1">
        <f>MAX($D44)</f>
        <v>0</v>
      </c>
      <c r="X44" s="1">
        <f>MAX($E44)</f>
        <v>0</v>
      </c>
      <c r="Y44" s="1">
        <f>MAX($G44)</f>
        <v>0</v>
      </c>
      <c r="Z44" s="1">
        <f>MAX($H44)</f>
        <v>0</v>
      </c>
    </row>
    <row r="45" spans="1:26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/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>
        <f>MIN($B45)</f>
        <v>0</v>
      </c>
      <c r="J45" s="1">
        <f>MIN($C45)</f>
        <v>0</v>
      </c>
      <c r="K45" s="1">
        <f>MIN($D45)</f>
        <v>0</v>
      </c>
      <c r="L45" s="1">
        <f>MIN($E45)</f>
        <v>0</v>
      </c>
      <c r="M45" s="1">
        <f>MIN($G45)</f>
        <v>0</v>
      </c>
      <c r="N45" s="1">
        <f>MIN($H45)</f>
        <v>0</v>
      </c>
      <c r="O45" s="1">
        <f>MEDIAN($B45)</f>
        <v>0</v>
      </c>
      <c r="P45" s="1">
        <f>MEDIAN($C45)</f>
        <v>0</v>
      </c>
      <c r="Q45" s="1">
        <f>MEDIAN($D45)</f>
        <v>0</v>
      </c>
      <c r="R45" s="1">
        <f>MEDIAN($E45)</f>
        <v>0</v>
      </c>
      <c r="S45" s="1">
        <f>MEDIAN($G45)</f>
        <v>0</v>
      </c>
      <c r="T45" s="1">
        <f>MEDIAN($H45)</f>
        <v>0</v>
      </c>
      <c r="U45" s="1">
        <f>MAX($B45)</f>
        <v>0</v>
      </c>
      <c r="V45" s="1">
        <f>MAX($C45)</f>
        <v>0</v>
      </c>
      <c r="W45" s="1">
        <f>MAX($D45)</f>
        <v>0</v>
      </c>
      <c r="X45" s="1">
        <f>MAX($E45)</f>
        <v>0</v>
      </c>
      <c r="Y45" s="1">
        <f>MAX($G45)</f>
        <v>0</v>
      </c>
      <c r="Z45" s="1">
        <f>MAX($H45)</f>
        <v>0</v>
      </c>
    </row>
    <row r="46" spans="1:26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/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>
        <f>MIN($B46)</f>
        <v>0</v>
      </c>
      <c r="J46" s="1">
        <f>MIN($C46)</f>
        <v>0</v>
      </c>
      <c r="K46" s="1">
        <f>MIN($D46)</f>
        <v>0</v>
      </c>
      <c r="L46" s="1">
        <f>MIN($E46)</f>
        <v>0</v>
      </c>
      <c r="M46" s="1">
        <f>MIN($G46)</f>
        <v>0</v>
      </c>
      <c r="N46" s="1">
        <f>MIN($H46)</f>
        <v>0</v>
      </c>
      <c r="O46" s="1">
        <f>MEDIAN($B46)</f>
        <v>0</v>
      </c>
      <c r="P46" s="1">
        <f>MEDIAN($C46)</f>
        <v>0</v>
      </c>
      <c r="Q46" s="1">
        <f>MEDIAN($D46)</f>
        <v>0</v>
      </c>
      <c r="R46" s="1">
        <f>MEDIAN($E46)</f>
        <v>0</v>
      </c>
      <c r="S46" s="1">
        <f>MEDIAN($G46)</f>
        <v>0</v>
      </c>
      <c r="T46" s="1">
        <f>MEDIAN($H46)</f>
        <v>0</v>
      </c>
      <c r="U46" s="1">
        <f>MAX($B46)</f>
        <v>0</v>
      </c>
      <c r="V46" s="1">
        <f>MAX($C46)</f>
        <v>0</v>
      </c>
      <c r="W46" s="1">
        <f>MAX($D46)</f>
        <v>0</v>
      </c>
      <c r="X46" s="1">
        <f>MAX($E46)</f>
        <v>0</v>
      </c>
      <c r="Y46" s="1">
        <f>MAX($G46)</f>
        <v>0</v>
      </c>
      <c r="Z46" s="1">
        <f>MAX($H46)</f>
        <v>0</v>
      </c>
    </row>
    <row r="47" spans="1:26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/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>
        <f>MIN($B47)</f>
        <v>0</v>
      </c>
      <c r="J47" s="1">
        <f>MIN($C47)</f>
        <v>0</v>
      </c>
      <c r="K47" s="1">
        <f>MIN($D47)</f>
        <v>0</v>
      </c>
      <c r="L47" s="1">
        <f>MIN($E47)</f>
        <v>0</v>
      </c>
      <c r="M47" s="1">
        <f>MIN($G47)</f>
        <v>0</v>
      </c>
      <c r="N47" s="1">
        <f>MIN($H47)</f>
        <v>0</v>
      </c>
      <c r="O47" s="1">
        <f>MEDIAN($B47)</f>
        <v>0</v>
      </c>
      <c r="P47" s="1">
        <f>MEDIAN($C47)</f>
        <v>0</v>
      </c>
      <c r="Q47" s="1">
        <f>MEDIAN($D47)</f>
        <v>0</v>
      </c>
      <c r="R47" s="1">
        <f>MEDIAN($E47)</f>
        <v>0</v>
      </c>
      <c r="S47" s="1">
        <f>MEDIAN($G47)</f>
        <v>0</v>
      </c>
      <c r="T47" s="1">
        <f>MEDIAN($H47)</f>
        <v>0</v>
      </c>
      <c r="U47" s="1">
        <f>MAX($B47)</f>
        <v>0</v>
      </c>
      <c r="V47" s="1">
        <f>MAX($C47)</f>
        <v>0</v>
      </c>
      <c r="W47" s="1">
        <f>MAX($D47)</f>
        <v>0</v>
      </c>
      <c r="X47" s="1">
        <f>MAX($E47)</f>
        <v>0</v>
      </c>
      <c r="Y47" s="1">
        <f>MAX($G47)</f>
        <v>0</v>
      </c>
      <c r="Z47" s="1">
        <f>MAX($H47)</f>
        <v>0</v>
      </c>
    </row>
    <row r="48" spans="1:26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/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>
        <f>MIN($B48)</f>
        <v>0</v>
      </c>
      <c r="J48" s="1">
        <f>MIN($C48)</f>
        <v>0</v>
      </c>
      <c r="K48" s="1">
        <f>MIN($D48)</f>
        <v>0</v>
      </c>
      <c r="L48" s="1">
        <f>MIN($E48)</f>
        <v>0</v>
      </c>
      <c r="M48" s="1">
        <f>MIN($G48)</f>
        <v>0</v>
      </c>
      <c r="N48" s="1">
        <f>MIN($H48)</f>
        <v>0</v>
      </c>
      <c r="O48" s="1">
        <f>MEDIAN($B48)</f>
        <v>0</v>
      </c>
      <c r="P48" s="1">
        <f>MEDIAN($C48)</f>
        <v>0</v>
      </c>
      <c r="Q48" s="1">
        <f>MEDIAN($D48)</f>
        <v>0</v>
      </c>
      <c r="R48" s="1">
        <f>MEDIAN($E48)</f>
        <v>0</v>
      </c>
      <c r="S48" s="1">
        <f>MEDIAN($G48)</f>
        <v>0</v>
      </c>
      <c r="T48" s="1">
        <f>MEDIAN($H48)</f>
        <v>0</v>
      </c>
      <c r="U48" s="1">
        <f>MAX($B48)</f>
        <v>0</v>
      </c>
      <c r="V48" s="1">
        <f>MAX($C48)</f>
        <v>0</v>
      </c>
      <c r="W48" s="1">
        <f>MAX($D48)</f>
        <v>0</v>
      </c>
      <c r="X48" s="1">
        <f>MAX($E48)</f>
        <v>0</v>
      </c>
      <c r="Y48" s="1">
        <f>MAX($G48)</f>
        <v>0</v>
      </c>
      <c r="Z48" s="1">
        <f>MAX($H48)</f>
        <v>0</v>
      </c>
    </row>
    <row r="49" spans="1:26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/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>
        <f>MIN($B49)</f>
        <v>0</v>
      </c>
      <c r="J49" s="1">
        <f>MIN($C49)</f>
        <v>0</v>
      </c>
      <c r="K49" s="1">
        <f>MIN($D49)</f>
        <v>0</v>
      </c>
      <c r="L49" s="1">
        <f>MIN($E49)</f>
        <v>0</v>
      </c>
      <c r="M49" s="1">
        <f>MIN($G49)</f>
        <v>0</v>
      </c>
      <c r="N49" s="1">
        <f>MIN($H49)</f>
        <v>0</v>
      </c>
      <c r="O49" s="1">
        <f>MEDIAN($B49)</f>
        <v>0</v>
      </c>
      <c r="P49" s="1">
        <f>MEDIAN($C49)</f>
        <v>0</v>
      </c>
      <c r="Q49" s="1">
        <f>MEDIAN($D49)</f>
        <v>0</v>
      </c>
      <c r="R49" s="1">
        <f>MEDIAN($E49)</f>
        <v>0</v>
      </c>
      <c r="S49" s="1">
        <f>MEDIAN($G49)</f>
        <v>0</v>
      </c>
      <c r="T49" s="1">
        <f>MEDIAN($H49)</f>
        <v>0</v>
      </c>
      <c r="U49" s="1">
        <f>MAX($B49)</f>
        <v>0</v>
      </c>
      <c r="V49" s="1">
        <f>MAX($C49)</f>
        <v>0</v>
      </c>
      <c r="W49" s="1">
        <f>MAX($D49)</f>
        <v>0</v>
      </c>
      <c r="X49" s="1">
        <f>MAX($E49)</f>
        <v>0</v>
      </c>
      <c r="Y49" s="1">
        <f>MAX($G49)</f>
        <v>0</v>
      </c>
      <c r="Z49" s="1">
        <f>MAX($H49)</f>
        <v>0</v>
      </c>
    </row>
    <row r="50" spans="1:26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/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>
        <f>MIN($B50)</f>
        <v>0</v>
      </c>
      <c r="J50" s="1">
        <f>MIN($C50)</f>
        <v>0</v>
      </c>
      <c r="K50" s="1">
        <f>MIN($D50)</f>
        <v>0</v>
      </c>
      <c r="L50" s="1">
        <f>MIN($E50)</f>
        <v>0</v>
      </c>
      <c r="M50" s="1">
        <f>MIN($G50)</f>
        <v>0</v>
      </c>
      <c r="N50" s="1">
        <f>MIN($H50)</f>
        <v>0</v>
      </c>
      <c r="O50" s="1">
        <f>MEDIAN($B50)</f>
        <v>0</v>
      </c>
      <c r="P50" s="1">
        <f>MEDIAN($C50)</f>
        <v>0</v>
      </c>
      <c r="Q50" s="1">
        <f>MEDIAN($D50)</f>
        <v>0</v>
      </c>
      <c r="R50" s="1">
        <f>MEDIAN($E50)</f>
        <v>0</v>
      </c>
      <c r="S50" s="1">
        <f>MEDIAN($G50)</f>
        <v>0</v>
      </c>
      <c r="T50" s="1">
        <f>MEDIAN($H50)</f>
        <v>0</v>
      </c>
      <c r="U50" s="1">
        <f>MAX($B50)</f>
        <v>0</v>
      </c>
      <c r="V50" s="1">
        <f>MAX($C50)</f>
        <v>0</v>
      </c>
      <c r="W50" s="1">
        <f>MAX($D50)</f>
        <v>0</v>
      </c>
      <c r="X50" s="1">
        <f>MAX($E50)</f>
        <v>0</v>
      </c>
      <c r="Y50" s="1">
        <f>MAX($G50)</f>
        <v>0</v>
      </c>
      <c r="Z50" s="1">
        <f>MAX($H50)</f>
        <v>0</v>
      </c>
    </row>
    <row r="51" spans="1:26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/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>
        <f>MIN($B51)</f>
        <v>0</v>
      </c>
      <c r="J51" s="1">
        <f>MIN($C51)</f>
        <v>0</v>
      </c>
      <c r="K51" s="1">
        <f>MIN($D51)</f>
        <v>0</v>
      </c>
      <c r="L51" s="1">
        <f>MIN($E51)</f>
        <v>0</v>
      </c>
      <c r="M51" s="1">
        <f>MIN($G51)</f>
        <v>0</v>
      </c>
      <c r="N51" s="1">
        <f>MIN($H51)</f>
        <v>0</v>
      </c>
      <c r="O51" s="1">
        <f>MEDIAN($B51)</f>
        <v>0</v>
      </c>
      <c r="P51" s="1">
        <f>MEDIAN($C51)</f>
        <v>0</v>
      </c>
      <c r="Q51" s="1">
        <f>MEDIAN($D51)</f>
        <v>0</v>
      </c>
      <c r="R51" s="1">
        <f>MEDIAN($E51)</f>
        <v>0</v>
      </c>
      <c r="S51" s="1">
        <f>MEDIAN($G51)</f>
        <v>0</v>
      </c>
      <c r="T51" s="1">
        <f>MEDIAN($H51)</f>
        <v>0</v>
      </c>
      <c r="U51" s="1">
        <f>MAX($B51)</f>
        <v>0</v>
      </c>
      <c r="V51" s="1">
        <f>MAX($C51)</f>
        <v>0</v>
      </c>
      <c r="W51" s="1">
        <f>MAX($D51)</f>
        <v>0</v>
      </c>
      <c r="X51" s="1">
        <f>MAX($E51)</f>
        <v>0</v>
      </c>
      <c r="Y51" s="1">
        <f>MAX($G51)</f>
        <v>0</v>
      </c>
      <c r="Z51" s="1">
        <f>MAX($H51)</f>
        <v>0</v>
      </c>
    </row>
    <row r="52" spans="1:26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/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>
        <f>MIN($B52)</f>
        <v>0</v>
      </c>
      <c r="J52" s="1">
        <f>MIN($C52)</f>
        <v>0</v>
      </c>
      <c r="K52" s="1">
        <f>MIN($D52)</f>
        <v>0</v>
      </c>
      <c r="L52" s="1">
        <f>MIN($E52)</f>
        <v>0</v>
      </c>
      <c r="M52" s="1">
        <f>MIN($G52)</f>
        <v>0</v>
      </c>
      <c r="N52" s="1">
        <f>MIN($H52)</f>
        <v>0</v>
      </c>
      <c r="O52" s="1">
        <f>MEDIAN($B52)</f>
        <v>0</v>
      </c>
      <c r="P52" s="1">
        <f>MEDIAN($C52)</f>
        <v>0</v>
      </c>
      <c r="Q52" s="1">
        <f>MEDIAN($D52)</f>
        <v>0</v>
      </c>
      <c r="R52" s="1">
        <f>MEDIAN($E52)</f>
        <v>0</v>
      </c>
      <c r="S52" s="1">
        <f>MEDIAN($G52)</f>
        <v>0</v>
      </c>
      <c r="T52" s="1">
        <f>MEDIAN($H52)</f>
        <v>0</v>
      </c>
      <c r="U52" s="1">
        <f>MAX($B52)</f>
        <v>0</v>
      </c>
      <c r="V52" s="1">
        <f>MAX($C52)</f>
        <v>0</v>
      </c>
      <c r="W52" s="1">
        <f>MAX($D52)</f>
        <v>0</v>
      </c>
      <c r="X52" s="1">
        <f>MAX($E52)</f>
        <v>0</v>
      </c>
      <c r="Y52" s="1">
        <f>MAX($G52)</f>
        <v>0</v>
      </c>
      <c r="Z52" s="1">
        <f>MAX($H52)</f>
        <v>0</v>
      </c>
    </row>
    <row r="53" spans="1:26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/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>
        <f>MIN($B53)</f>
        <v>0</v>
      </c>
      <c r="J53" s="1">
        <f>MIN($C53)</f>
        <v>0</v>
      </c>
      <c r="K53" s="1">
        <f>MIN($D53)</f>
        <v>0</v>
      </c>
      <c r="L53" s="1">
        <f>MIN($E53)</f>
        <v>0</v>
      </c>
      <c r="M53" s="1">
        <f>MIN($G53)</f>
        <v>0</v>
      </c>
      <c r="N53" s="1">
        <f>MIN($H53)</f>
        <v>0</v>
      </c>
      <c r="O53" s="1">
        <f>MEDIAN($B53)</f>
        <v>0</v>
      </c>
      <c r="P53" s="1">
        <f>MEDIAN($C53)</f>
        <v>0</v>
      </c>
      <c r="Q53" s="1">
        <f>MEDIAN($D53)</f>
        <v>0</v>
      </c>
      <c r="R53" s="1">
        <f>MEDIAN($E53)</f>
        <v>0</v>
      </c>
      <c r="S53" s="1">
        <f>MEDIAN($G53)</f>
        <v>0</v>
      </c>
      <c r="T53" s="1">
        <f>MEDIAN($H53)</f>
        <v>0</v>
      </c>
      <c r="U53" s="1">
        <f>MAX($B53)</f>
        <v>0</v>
      </c>
      <c r="V53" s="1">
        <f>MAX($C53)</f>
        <v>0</v>
      </c>
      <c r="W53" s="1">
        <f>MAX($D53)</f>
        <v>0</v>
      </c>
      <c r="X53" s="1">
        <f>MAX($E53)</f>
        <v>0</v>
      </c>
      <c r="Y53" s="1">
        <f>MAX($G53)</f>
        <v>0</v>
      </c>
      <c r="Z53" s="1">
        <f>MAX($H53)</f>
        <v>0</v>
      </c>
    </row>
    <row r="54" spans="1:26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/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>
        <f>MIN($B54)</f>
        <v>0</v>
      </c>
      <c r="J54" s="1">
        <f>MIN($C54)</f>
        <v>0</v>
      </c>
      <c r="K54" s="1">
        <f>MIN($D54)</f>
        <v>0</v>
      </c>
      <c r="L54" s="1">
        <f>MIN($E54)</f>
        <v>0</v>
      </c>
      <c r="M54" s="1">
        <f>MIN($G54)</f>
        <v>0</v>
      </c>
      <c r="N54" s="1">
        <f>MIN($H54)</f>
        <v>0</v>
      </c>
      <c r="O54" s="1">
        <f>MEDIAN($B54)</f>
        <v>0</v>
      </c>
      <c r="P54" s="1">
        <f>MEDIAN($C54)</f>
        <v>0</v>
      </c>
      <c r="Q54" s="1">
        <f>MEDIAN($D54)</f>
        <v>0</v>
      </c>
      <c r="R54" s="1">
        <f>MEDIAN($E54)</f>
        <v>0</v>
      </c>
      <c r="S54" s="1">
        <f>MEDIAN($G54)</f>
        <v>0</v>
      </c>
      <c r="T54" s="1">
        <f>MEDIAN($H54)</f>
        <v>0</v>
      </c>
      <c r="U54" s="1">
        <f>MAX($B54)</f>
        <v>0</v>
      </c>
      <c r="V54" s="1">
        <f>MAX($C54)</f>
        <v>0</v>
      </c>
      <c r="W54" s="1">
        <f>MAX($D54)</f>
        <v>0</v>
      </c>
      <c r="X54" s="1">
        <f>MAX($E54)</f>
        <v>0</v>
      </c>
      <c r="Y54" s="1">
        <f>MAX($G54)</f>
        <v>0</v>
      </c>
      <c r="Z54" s="1">
        <f>MAX($H54)</f>
        <v>0</v>
      </c>
    </row>
    <row r="55" spans="1:26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/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>
        <f>MIN($B55)</f>
        <v>0</v>
      </c>
      <c r="J55" s="1">
        <f>MIN($C55)</f>
        <v>0</v>
      </c>
      <c r="K55" s="1">
        <f>MIN($D55)</f>
        <v>0</v>
      </c>
      <c r="L55" s="1">
        <f>MIN($E55)</f>
        <v>0</v>
      </c>
      <c r="M55" s="1">
        <f>MIN($G55)</f>
        <v>0</v>
      </c>
      <c r="N55" s="1">
        <f>MIN($H55)</f>
        <v>0</v>
      </c>
      <c r="O55" s="1">
        <f>MEDIAN($B55)</f>
        <v>0</v>
      </c>
      <c r="P55" s="1">
        <f>MEDIAN($C55)</f>
        <v>0</v>
      </c>
      <c r="Q55" s="1">
        <f>MEDIAN($D55)</f>
        <v>0</v>
      </c>
      <c r="R55" s="1">
        <f>MEDIAN($E55)</f>
        <v>0</v>
      </c>
      <c r="S55" s="1">
        <f>MEDIAN($G55)</f>
        <v>0</v>
      </c>
      <c r="T55" s="1">
        <f>MEDIAN($H55)</f>
        <v>0</v>
      </c>
      <c r="U55" s="1">
        <f>MAX($B55)</f>
        <v>0</v>
      </c>
      <c r="V55" s="1">
        <f>MAX($C55)</f>
        <v>0</v>
      </c>
      <c r="W55" s="1">
        <f>MAX($D55)</f>
        <v>0</v>
      </c>
      <c r="X55" s="1">
        <f>MAX($E55)</f>
        <v>0</v>
      </c>
      <c r="Y55" s="1">
        <f>MAX($G55)</f>
        <v>0</v>
      </c>
      <c r="Z55" s="1">
        <f>MAX($H55)</f>
        <v>0</v>
      </c>
    </row>
    <row r="56" spans="1:26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/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>
        <f>MIN($B56)</f>
        <v>0</v>
      </c>
      <c r="J56" s="1">
        <f>MIN($C56)</f>
        <v>0</v>
      </c>
      <c r="K56" s="1">
        <f>MIN($D56)</f>
        <v>0</v>
      </c>
      <c r="L56" s="1">
        <f>MIN($E56)</f>
        <v>0</v>
      </c>
      <c r="M56" s="1">
        <f>MIN($G56)</f>
        <v>0</v>
      </c>
      <c r="N56" s="1">
        <f>MIN($H56)</f>
        <v>0</v>
      </c>
      <c r="O56" s="1">
        <f>MEDIAN($B56)</f>
        <v>0</v>
      </c>
      <c r="P56" s="1">
        <f>MEDIAN($C56)</f>
        <v>0</v>
      </c>
      <c r="Q56" s="1">
        <f>MEDIAN($D56)</f>
        <v>0</v>
      </c>
      <c r="R56" s="1">
        <f>MEDIAN($E56)</f>
        <v>0</v>
      </c>
      <c r="S56" s="1">
        <f>MEDIAN($G56)</f>
        <v>0</v>
      </c>
      <c r="T56" s="1">
        <f>MEDIAN($H56)</f>
        <v>0</v>
      </c>
      <c r="U56" s="1">
        <f>MAX($B56)</f>
        <v>0</v>
      </c>
      <c r="V56" s="1">
        <f>MAX($C56)</f>
        <v>0</v>
      </c>
      <c r="W56" s="1">
        <f>MAX($D56)</f>
        <v>0</v>
      </c>
      <c r="X56" s="1">
        <f>MAX($E56)</f>
        <v>0</v>
      </c>
      <c r="Y56" s="1">
        <f>MAX($G56)</f>
        <v>0</v>
      </c>
      <c r="Z56" s="1">
        <f>MAX($H56)</f>
        <v>0</v>
      </c>
    </row>
    <row r="57" spans="1:26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/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>
        <f>MIN($B57)</f>
        <v>0</v>
      </c>
      <c r="J57" s="1">
        <f>MIN($C57)</f>
        <v>0</v>
      </c>
      <c r="K57" s="1">
        <f>MIN($D57)</f>
        <v>0</v>
      </c>
      <c r="L57" s="1">
        <f>MIN($E57)</f>
        <v>0</v>
      </c>
      <c r="M57" s="1">
        <f>MIN($G57)</f>
        <v>0</v>
      </c>
      <c r="N57" s="1">
        <f>MIN($H57)</f>
        <v>0</v>
      </c>
      <c r="O57" s="1">
        <f>MEDIAN($B57)</f>
        <v>0</v>
      </c>
      <c r="P57" s="1">
        <f>MEDIAN($C57)</f>
        <v>0</v>
      </c>
      <c r="Q57" s="1">
        <f>MEDIAN($D57)</f>
        <v>0</v>
      </c>
      <c r="R57" s="1">
        <f>MEDIAN($E57)</f>
        <v>0</v>
      </c>
      <c r="S57" s="1">
        <f>MEDIAN($G57)</f>
        <v>0</v>
      </c>
      <c r="T57" s="1">
        <f>MEDIAN($H57)</f>
        <v>0</v>
      </c>
      <c r="U57" s="1">
        <f>MAX($B57)</f>
        <v>0</v>
      </c>
      <c r="V57" s="1">
        <f>MAX($C57)</f>
        <v>0</v>
      </c>
      <c r="W57" s="1">
        <f>MAX($D57)</f>
        <v>0</v>
      </c>
      <c r="X57" s="1">
        <f>MAX($E57)</f>
        <v>0</v>
      </c>
      <c r="Y57" s="1">
        <f>MAX($G57)</f>
        <v>0</v>
      </c>
      <c r="Z57" s="1">
        <f>MAX($H57)</f>
        <v>0</v>
      </c>
    </row>
    <row r="58" spans="1:26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/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>
        <f>MIN($B58)</f>
        <v>0</v>
      </c>
      <c r="J58" s="1">
        <f>MIN($C58)</f>
        <v>0</v>
      </c>
      <c r="K58" s="1">
        <f>MIN($D58)</f>
        <v>0</v>
      </c>
      <c r="L58" s="1">
        <f>MIN($E58)</f>
        <v>0</v>
      </c>
      <c r="M58" s="1">
        <f>MIN($G58)</f>
        <v>0</v>
      </c>
      <c r="N58" s="1">
        <f>MIN($H58)</f>
        <v>0</v>
      </c>
      <c r="O58" s="1">
        <f>MEDIAN($B58)</f>
        <v>0</v>
      </c>
      <c r="P58" s="1">
        <f>MEDIAN($C58)</f>
        <v>0</v>
      </c>
      <c r="Q58" s="1">
        <f>MEDIAN($D58)</f>
        <v>0</v>
      </c>
      <c r="R58" s="1">
        <f>MEDIAN($E58)</f>
        <v>0</v>
      </c>
      <c r="S58" s="1">
        <f>MEDIAN($G58)</f>
        <v>0</v>
      </c>
      <c r="T58" s="1">
        <f>MEDIAN($H58)</f>
        <v>0</v>
      </c>
      <c r="U58" s="1">
        <f>MAX($B58)</f>
        <v>0</v>
      </c>
      <c r="V58" s="1">
        <f>MAX($C58)</f>
        <v>0</v>
      </c>
      <c r="W58" s="1">
        <f>MAX($D58)</f>
        <v>0</v>
      </c>
      <c r="X58" s="1">
        <f>MAX($E58)</f>
        <v>0</v>
      </c>
      <c r="Y58" s="1">
        <f>MAX($G58)</f>
        <v>0</v>
      </c>
      <c r="Z58" s="1">
        <f>MAX($H58)</f>
        <v>0</v>
      </c>
    </row>
    <row r="59" spans="1:26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/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>
        <f>MIN($B59)</f>
        <v>0</v>
      </c>
      <c r="J59" s="1">
        <f>MIN($C59)</f>
        <v>0</v>
      </c>
      <c r="K59" s="1">
        <f>MIN($D59)</f>
        <v>0</v>
      </c>
      <c r="L59" s="1">
        <f>MIN($E59)</f>
        <v>0</v>
      </c>
      <c r="M59" s="1">
        <f>MIN($G59)</f>
        <v>0</v>
      </c>
      <c r="N59" s="1">
        <f>MIN($H59)</f>
        <v>0</v>
      </c>
      <c r="O59" s="1">
        <f>MEDIAN($B59)</f>
        <v>0</v>
      </c>
      <c r="P59" s="1">
        <f>MEDIAN($C59)</f>
        <v>0</v>
      </c>
      <c r="Q59" s="1">
        <f>MEDIAN($D59)</f>
        <v>0</v>
      </c>
      <c r="R59" s="1">
        <f>MEDIAN($E59)</f>
        <v>0</v>
      </c>
      <c r="S59" s="1">
        <f>MEDIAN($G59)</f>
        <v>0</v>
      </c>
      <c r="T59" s="1">
        <f>MEDIAN($H59)</f>
        <v>0</v>
      </c>
      <c r="U59" s="1">
        <f>MAX($B59)</f>
        <v>0</v>
      </c>
      <c r="V59" s="1">
        <f>MAX($C59)</f>
        <v>0</v>
      </c>
      <c r="W59" s="1">
        <f>MAX($D59)</f>
        <v>0</v>
      </c>
      <c r="X59" s="1">
        <f>MAX($E59)</f>
        <v>0</v>
      </c>
      <c r="Y59" s="1">
        <f>MAX($G59)</f>
        <v>0</v>
      </c>
      <c r="Z59" s="1">
        <f>MAX($H59)</f>
        <v>0</v>
      </c>
    </row>
    <row r="60" spans="1:26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/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>
        <f>MIN($B60)</f>
        <v>0</v>
      </c>
      <c r="J60" s="1">
        <f>MIN($C60)</f>
        <v>0</v>
      </c>
      <c r="K60" s="1">
        <f>MIN($D60)</f>
        <v>0</v>
      </c>
      <c r="L60" s="1">
        <f>MIN($E60)</f>
        <v>0</v>
      </c>
      <c r="M60" s="1">
        <f>MIN($G60)</f>
        <v>0</v>
      </c>
      <c r="N60" s="1">
        <f>MIN($H60)</f>
        <v>0</v>
      </c>
      <c r="O60" s="1">
        <f>MEDIAN($B60)</f>
        <v>0</v>
      </c>
      <c r="P60" s="1">
        <f>MEDIAN($C60)</f>
        <v>0</v>
      </c>
      <c r="Q60" s="1">
        <f>MEDIAN($D60)</f>
        <v>0</v>
      </c>
      <c r="R60" s="1">
        <f>MEDIAN($E60)</f>
        <v>0</v>
      </c>
      <c r="S60" s="1">
        <f>MEDIAN($G60)</f>
        <v>0</v>
      </c>
      <c r="T60" s="1">
        <f>MEDIAN($H60)</f>
        <v>0</v>
      </c>
      <c r="U60" s="1">
        <f>MAX($B60)</f>
        <v>0</v>
      </c>
      <c r="V60" s="1">
        <f>MAX($C60)</f>
        <v>0</v>
      </c>
      <c r="W60" s="1">
        <f>MAX($D60)</f>
        <v>0</v>
      </c>
      <c r="X60" s="1">
        <f>MAX($E60)</f>
        <v>0</v>
      </c>
      <c r="Y60" s="1">
        <f>MAX($G60)</f>
        <v>0</v>
      </c>
      <c r="Z60" s="1">
        <f>MAX($H60)</f>
        <v>0</v>
      </c>
    </row>
    <row r="61" spans="1:26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/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>
        <f>MIN($B61)</f>
        <v>0</v>
      </c>
      <c r="J61" s="1">
        <f>MIN($C61)</f>
        <v>0</v>
      </c>
      <c r="K61" s="1">
        <f>MIN($D61)</f>
        <v>0</v>
      </c>
      <c r="L61" s="1">
        <f>MIN($E61)</f>
        <v>0</v>
      </c>
      <c r="M61" s="1">
        <f>MIN($G61)</f>
        <v>0</v>
      </c>
      <c r="N61" s="1">
        <f>MIN($H61)</f>
        <v>0</v>
      </c>
      <c r="O61" s="1">
        <f>MEDIAN($B61)</f>
        <v>0</v>
      </c>
      <c r="P61" s="1">
        <f>MEDIAN($C61)</f>
        <v>0</v>
      </c>
      <c r="Q61" s="1">
        <f>MEDIAN($D61)</f>
        <v>0</v>
      </c>
      <c r="R61" s="1">
        <f>MEDIAN($E61)</f>
        <v>0</v>
      </c>
      <c r="S61" s="1">
        <f>MEDIAN($G61)</f>
        <v>0</v>
      </c>
      <c r="T61" s="1">
        <f>MEDIAN($H61)</f>
        <v>0</v>
      </c>
      <c r="U61" s="1">
        <f>MAX($B61)</f>
        <v>0</v>
      </c>
      <c r="V61" s="1">
        <f>MAX($C61)</f>
        <v>0</v>
      </c>
      <c r="W61" s="1">
        <f>MAX($D61)</f>
        <v>0</v>
      </c>
      <c r="X61" s="1">
        <f>MAX($E61)</f>
        <v>0</v>
      </c>
      <c r="Y61" s="1">
        <f>MAX($G61)</f>
        <v>0</v>
      </c>
      <c r="Z61" s="1">
        <f>MAX($H61)</f>
        <v>0</v>
      </c>
    </row>
    <row r="62" spans="1:26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/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>
        <f>MIN($B62)</f>
        <v>0</v>
      </c>
      <c r="J62" s="1">
        <f>MIN($C62)</f>
        <v>0</v>
      </c>
      <c r="K62" s="1">
        <f>MIN($D62)</f>
        <v>0</v>
      </c>
      <c r="L62" s="1">
        <f>MIN($E62)</f>
        <v>0</v>
      </c>
      <c r="M62" s="1">
        <f>MIN($G62)</f>
        <v>0</v>
      </c>
      <c r="N62" s="1">
        <f>MIN($H62)</f>
        <v>0</v>
      </c>
      <c r="O62" s="1">
        <f>MEDIAN($B62)</f>
        <v>0</v>
      </c>
      <c r="P62" s="1">
        <f>MEDIAN($C62)</f>
        <v>0</v>
      </c>
      <c r="Q62" s="1">
        <f>MEDIAN($D62)</f>
        <v>0</v>
      </c>
      <c r="R62" s="1">
        <f>MEDIAN($E62)</f>
        <v>0</v>
      </c>
      <c r="S62" s="1">
        <f>MEDIAN($G62)</f>
        <v>0</v>
      </c>
      <c r="T62" s="1">
        <f>MEDIAN($H62)</f>
        <v>0</v>
      </c>
      <c r="U62" s="1">
        <f>MAX($B62)</f>
        <v>0</v>
      </c>
      <c r="V62" s="1">
        <f>MAX($C62)</f>
        <v>0</v>
      </c>
      <c r="W62" s="1">
        <f>MAX($D62)</f>
        <v>0</v>
      </c>
      <c r="X62" s="1">
        <f>MAX($E62)</f>
        <v>0</v>
      </c>
      <c r="Y62" s="1">
        <f>MAX($G62)</f>
        <v>0</v>
      </c>
      <c r="Z62" s="1">
        <f>MAX($H62)</f>
        <v>0</v>
      </c>
    </row>
    <row r="63" spans="1:26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/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>
        <f>MIN($B63)</f>
        <v>0</v>
      </c>
      <c r="J63" s="1">
        <f>MIN($C63)</f>
        <v>0</v>
      </c>
      <c r="K63" s="1">
        <f>MIN($D63)</f>
        <v>0</v>
      </c>
      <c r="L63" s="1">
        <f>MIN($E63)</f>
        <v>0</v>
      </c>
      <c r="M63" s="1">
        <f>MIN($G63)</f>
        <v>0</v>
      </c>
      <c r="N63" s="1">
        <f>MIN($H63)</f>
        <v>0</v>
      </c>
      <c r="O63" s="1">
        <f>MEDIAN($B63)</f>
        <v>0</v>
      </c>
      <c r="P63" s="1">
        <f>MEDIAN($C63)</f>
        <v>0</v>
      </c>
      <c r="Q63" s="1">
        <f>MEDIAN($D63)</f>
        <v>0</v>
      </c>
      <c r="R63" s="1">
        <f>MEDIAN($E63)</f>
        <v>0</v>
      </c>
      <c r="S63" s="1">
        <f>MEDIAN($G63)</f>
        <v>0</v>
      </c>
      <c r="T63" s="1">
        <f>MEDIAN($H63)</f>
        <v>0</v>
      </c>
      <c r="U63" s="1">
        <f>MAX($B63)</f>
        <v>0</v>
      </c>
      <c r="V63" s="1">
        <f>MAX($C63)</f>
        <v>0</v>
      </c>
      <c r="W63" s="1">
        <f>MAX($D63)</f>
        <v>0</v>
      </c>
      <c r="X63" s="1">
        <f>MAX($E63)</f>
        <v>0</v>
      </c>
      <c r="Y63" s="1">
        <f>MAX($G63)</f>
        <v>0</v>
      </c>
      <c r="Z63" s="1">
        <f>MAX($H63)</f>
        <v>0</v>
      </c>
    </row>
    <row r="64" spans="1:26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/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>
        <f>MIN($B64)</f>
        <v>0</v>
      </c>
      <c r="J64" s="1">
        <f>MIN($C64)</f>
        <v>0</v>
      </c>
      <c r="K64" s="1">
        <f>MIN($D64)</f>
        <v>0</v>
      </c>
      <c r="L64" s="1">
        <f>MIN($E64)</f>
        <v>0</v>
      </c>
      <c r="M64" s="1">
        <f>MIN($G64)</f>
        <v>0</v>
      </c>
      <c r="N64" s="1">
        <f>MIN($H64)</f>
        <v>0</v>
      </c>
      <c r="O64" s="1">
        <f>MEDIAN($B64)</f>
        <v>0</v>
      </c>
      <c r="P64" s="1">
        <f>MEDIAN($C64)</f>
        <v>0</v>
      </c>
      <c r="Q64" s="1">
        <f>MEDIAN($D64)</f>
        <v>0</v>
      </c>
      <c r="R64" s="1">
        <f>MEDIAN($E64)</f>
        <v>0</v>
      </c>
      <c r="S64" s="1">
        <f>MEDIAN($G64)</f>
        <v>0</v>
      </c>
      <c r="T64" s="1">
        <f>MEDIAN($H64)</f>
        <v>0</v>
      </c>
      <c r="U64" s="1">
        <f>MAX($B64)</f>
        <v>0</v>
      </c>
      <c r="V64" s="1">
        <f>MAX($C64)</f>
        <v>0</v>
      </c>
      <c r="W64" s="1">
        <f>MAX($D64)</f>
        <v>0</v>
      </c>
      <c r="X64" s="1">
        <f>MAX($E64)</f>
        <v>0</v>
      </c>
      <c r="Y64" s="1">
        <f>MAX($G64)</f>
        <v>0</v>
      </c>
      <c r="Z64" s="1">
        <f>MAX($H64)</f>
        <v>0</v>
      </c>
    </row>
    <row r="65" spans="1:26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/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>
        <f>MIN($B65)</f>
        <v>0</v>
      </c>
      <c r="J65" s="1">
        <f>MIN($C65)</f>
        <v>0</v>
      </c>
      <c r="K65" s="1">
        <f>MIN($D65)</f>
        <v>0</v>
      </c>
      <c r="L65" s="1">
        <f>MIN($E65)</f>
        <v>0</v>
      </c>
      <c r="M65" s="1">
        <f>MIN($G65)</f>
        <v>0</v>
      </c>
      <c r="N65" s="1">
        <f>MIN($H65)</f>
        <v>0</v>
      </c>
      <c r="O65" s="1">
        <f>MEDIAN($B65)</f>
        <v>0</v>
      </c>
      <c r="P65" s="1">
        <f>MEDIAN($C65)</f>
        <v>0</v>
      </c>
      <c r="Q65" s="1">
        <f>MEDIAN($D65)</f>
        <v>0</v>
      </c>
      <c r="R65" s="1">
        <f>MEDIAN($E65)</f>
        <v>0</v>
      </c>
      <c r="S65" s="1">
        <f>MEDIAN($G65)</f>
        <v>0</v>
      </c>
      <c r="T65" s="1">
        <f>MEDIAN($H65)</f>
        <v>0</v>
      </c>
      <c r="U65" s="1">
        <f>MAX($B65)</f>
        <v>0</v>
      </c>
      <c r="V65" s="1">
        <f>MAX($C65)</f>
        <v>0</v>
      </c>
      <c r="W65" s="1">
        <f>MAX($D65)</f>
        <v>0</v>
      </c>
      <c r="X65" s="1">
        <f>MAX($E65)</f>
        <v>0</v>
      </c>
      <c r="Y65" s="1">
        <f>MAX($G65)</f>
        <v>0</v>
      </c>
      <c r="Z65" s="1">
        <f>MAX($H65)</f>
        <v>0</v>
      </c>
    </row>
    <row r="66" spans="1:26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/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>
        <f>MIN($B66)</f>
        <v>0</v>
      </c>
      <c r="J66" s="1">
        <f>MIN($C66)</f>
        <v>0</v>
      </c>
      <c r="K66" s="1">
        <f>MIN($D66)</f>
        <v>0</v>
      </c>
      <c r="L66" s="1">
        <f>MIN($E66)</f>
        <v>0</v>
      </c>
      <c r="M66" s="1">
        <f>MIN($G66)</f>
        <v>0</v>
      </c>
      <c r="N66" s="1">
        <f>MIN($H66)</f>
        <v>0</v>
      </c>
      <c r="O66" s="1">
        <f>MEDIAN($B66)</f>
        <v>0</v>
      </c>
      <c r="P66" s="1">
        <f>MEDIAN($C66)</f>
        <v>0</v>
      </c>
      <c r="Q66" s="1">
        <f>MEDIAN($D66)</f>
        <v>0</v>
      </c>
      <c r="R66" s="1">
        <f>MEDIAN($E66)</f>
        <v>0</v>
      </c>
      <c r="S66" s="1">
        <f>MEDIAN($G66)</f>
        <v>0</v>
      </c>
      <c r="T66" s="1">
        <f>MEDIAN($H66)</f>
        <v>0</v>
      </c>
      <c r="U66" s="1">
        <f>MAX($B66)</f>
        <v>0</v>
      </c>
      <c r="V66" s="1">
        <f>MAX($C66)</f>
        <v>0</v>
      </c>
      <c r="W66" s="1">
        <f>MAX($D66)</f>
        <v>0</v>
      </c>
      <c r="X66" s="1">
        <f>MAX($E66)</f>
        <v>0</v>
      </c>
      <c r="Y66" s="1">
        <f>MAX($G66)</f>
        <v>0</v>
      </c>
      <c r="Z66" s="1">
        <f>MAX($H66)</f>
        <v>0</v>
      </c>
    </row>
    <row r="67" spans="1:26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/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>
        <f>MIN($B67)</f>
        <v>0</v>
      </c>
      <c r="J67" s="1">
        <f>MIN($C67)</f>
        <v>0</v>
      </c>
      <c r="K67" s="1">
        <f>MIN($D67)</f>
        <v>0</v>
      </c>
      <c r="L67" s="1">
        <f>MIN($E67)</f>
        <v>0</v>
      </c>
      <c r="M67" s="1">
        <f>MIN($G67)</f>
        <v>0</v>
      </c>
      <c r="N67" s="1">
        <f>MIN($H67)</f>
        <v>0</v>
      </c>
      <c r="O67" s="1">
        <f>MEDIAN($B67)</f>
        <v>0</v>
      </c>
      <c r="P67" s="1">
        <f>MEDIAN($C67)</f>
        <v>0</v>
      </c>
      <c r="Q67" s="1">
        <f>MEDIAN($D67)</f>
        <v>0</v>
      </c>
      <c r="R67" s="1">
        <f>MEDIAN($E67)</f>
        <v>0</v>
      </c>
      <c r="S67" s="1">
        <f>MEDIAN($G67)</f>
        <v>0</v>
      </c>
      <c r="T67" s="1">
        <f>MEDIAN($H67)</f>
        <v>0</v>
      </c>
      <c r="U67" s="1">
        <f>MAX($B67)</f>
        <v>0</v>
      </c>
      <c r="V67" s="1">
        <f>MAX($C67)</f>
        <v>0</v>
      </c>
      <c r="W67" s="1">
        <f>MAX($D67)</f>
        <v>0</v>
      </c>
      <c r="X67" s="1">
        <f>MAX($E67)</f>
        <v>0</v>
      </c>
      <c r="Y67" s="1">
        <f>MAX($G67)</f>
        <v>0</v>
      </c>
      <c r="Z67" s="1">
        <f>MAX($H67)</f>
        <v>0</v>
      </c>
    </row>
    <row r="68" spans="1:26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/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>
        <f>MIN($B68)</f>
        <v>0</v>
      </c>
      <c r="J68" s="1">
        <f>MIN($C68)</f>
        <v>0</v>
      </c>
      <c r="K68" s="1">
        <f>MIN($D68)</f>
        <v>0</v>
      </c>
      <c r="L68" s="1">
        <f>MIN($E68)</f>
        <v>0</v>
      </c>
      <c r="M68" s="1">
        <f>MIN($G68)</f>
        <v>0</v>
      </c>
      <c r="N68" s="1">
        <f>MIN($H68)</f>
        <v>0</v>
      </c>
      <c r="O68" s="1">
        <f>MEDIAN($B68)</f>
        <v>0</v>
      </c>
      <c r="P68" s="1">
        <f>MEDIAN($C68)</f>
        <v>0</v>
      </c>
      <c r="Q68" s="1">
        <f>MEDIAN($D68)</f>
        <v>0</v>
      </c>
      <c r="R68" s="1">
        <f>MEDIAN($E68)</f>
        <v>0</v>
      </c>
      <c r="S68" s="1">
        <f>MEDIAN($G68)</f>
        <v>0</v>
      </c>
      <c r="T68" s="1">
        <f>MEDIAN($H68)</f>
        <v>0</v>
      </c>
      <c r="U68" s="1">
        <f>MAX($B68)</f>
        <v>0</v>
      </c>
      <c r="V68" s="1">
        <f>MAX($C68)</f>
        <v>0</v>
      </c>
      <c r="W68" s="1">
        <f>MAX($D68)</f>
        <v>0</v>
      </c>
      <c r="X68" s="1">
        <f>MAX($E68)</f>
        <v>0</v>
      </c>
      <c r="Y68" s="1">
        <f>MAX($G68)</f>
        <v>0</v>
      </c>
      <c r="Z68" s="1">
        <f>MAX($H68)</f>
        <v>0</v>
      </c>
    </row>
    <row r="69" spans="1:26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/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>
        <f>MIN($B69)</f>
        <v>0</v>
      </c>
      <c r="J69" s="1">
        <f>MIN($C69)</f>
        <v>0</v>
      </c>
      <c r="K69" s="1">
        <f>MIN($D69)</f>
        <v>0</v>
      </c>
      <c r="L69" s="1">
        <f>MIN($E69)</f>
        <v>0</v>
      </c>
      <c r="M69" s="1">
        <f>MIN($G69)</f>
        <v>0</v>
      </c>
      <c r="N69" s="1">
        <f>MIN($H69)</f>
        <v>0</v>
      </c>
      <c r="O69" s="1">
        <f>MEDIAN($B69)</f>
        <v>0</v>
      </c>
      <c r="P69" s="1">
        <f>MEDIAN($C69)</f>
        <v>0</v>
      </c>
      <c r="Q69" s="1">
        <f>MEDIAN($D69)</f>
        <v>0</v>
      </c>
      <c r="R69" s="1">
        <f>MEDIAN($E69)</f>
        <v>0</v>
      </c>
      <c r="S69" s="1">
        <f>MEDIAN($G69)</f>
        <v>0</v>
      </c>
      <c r="T69" s="1">
        <f>MEDIAN($H69)</f>
        <v>0</v>
      </c>
      <c r="U69" s="1">
        <f>MAX($B69)</f>
        <v>0</v>
      </c>
      <c r="V69" s="1">
        <f>MAX($C69)</f>
        <v>0</v>
      </c>
      <c r="W69" s="1">
        <f>MAX($D69)</f>
        <v>0</v>
      </c>
      <c r="X69" s="1">
        <f>MAX($E69)</f>
        <v>0</v>
      </c>
      <c r="Y69" s="1">
        <f>MAX($G69)</f>
        <v>0</v>
      </c>
      <c r="Z69" s="1">
        <f>MAX($H69)</f>
        <v>0</v>
      </c>
    </row>
    <row r="70" spans="1:26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/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>
        <f>MIN($B70)</f>
        <v>0</v>
      </c>
      <c r="J70" s="1">
        <f>MIN($C70)</f>
        <v>0</v>
      </c>
      <c r="K70" s="1">
        <f>MIN($D70)</f>
        <v>0</v>
      </c>
      <c r="L70" s="1">
        <f>MIN($E70)</f>
        <v>0</v>
      </c>
      <c r="M70" s="1">
        <f>MIN($G70)</f>
        <v>0</v>
      </c>
      <c r="N70" s="1">
        <f>MIN($H70)</f>
        <v>0</v>
      </c>
      <c r="O70" s="1">
        <f>MEDIAN($B70)</f>
        <v>0</v>
      </c>
      <c r="P70" s="1">
        <f>MEDIAN($C70)</f>
        <v>0</v>
      </c>
      <c r="Q70" s="1">
        <f>MEDIAN($D70)</f>
        <v>0</v>
      </c>
      <c r="R70" s="1">
        <f>MEDIAN($E70)</f>
        <v>0</v>
      </c>
      <c r="S70" s="1">
        <f>MEDIAN($G70)</f>
        <v>0</v>
      </c>
      <c r="T70" s="1">
        <f>MEDIAN($H70)</f>
        <v>0</v>
      </c>
      <c r="U70" s="1">
        <f>MAX($B70)</f>
        <v>0</v>
      </c>
      <c r="V70" s="1">
        <f>MAX($C70)</f>
        <v>0</v>
      </c>
      <c r="W70" s="1">
        <f>MAX($D70)</f>
        <v>0</v>
      </c>
      <c r="X70" s="1">
        <f>MAX($E70)</f>
        <v>0</v>
      </c>
      <c r="Y70" s="1">
        <f>MAX($G70)</f>
        <v>0</v>
      </c>
      <c r="Z70" s="1">
        <f>MAX($H70)</f>
        <v>0</v>
      </c>
    </row>
    <row r="71" spans="1:26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/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>
        <f>MIN($B71)</f>
        <v>0</v>
      </c>
      <c r="J71" s="1">
        <f>MIN($C71)</f>
        <v>0</v>
      </c>
      <c r="K71" s="1">
        <f>MIN($D71)</f>
        <v>0</v>
      </c>
      <c r="L71" s="1">
        <f>MIN($E71)</f>
        <v>0</v>
      </c>
      <c r="M71" s="1">
        <f>MIN($G71)</f>
        <v>0</v>
      </c>
      <c r="N71" s="1">
        <f>MIN($H71)</f>
        <v>0</v>
      </c>
      <c r="O71" s="1">
        <f>MEDIAN($B71)</f>
        <v>0</v>
      </c>
      <c r="P71" s="1">
        <f>MEDIAN($C71)</f>
        <v>0</v>
      </c>
      <c r="Q71" s="1">
        <f>MEDIAN($D71)</f>
        <v>0</v>
      </c>
      <c r="R71" s="1">
        <f>MEDIAN($E71)</f>
        <v>0</v>
      </c>
      <c r="S71" s="1">
        <f>MEDIAN($G71)</f>
        <v>0</v>
      </c>
      <c r="T71" s="1">
        <f>MEDIAN($H71)</f>
        <v>0</v>
      </c>
      <c r="U71" s="1">
        <f>MAX($B71)</f>
        <v>0</v>
      </c>
      <c r="V71" s="1">
        <f>MAX($C71)</f>
        <v>0</v>
      </c>
      <c r="W71" s="1">
        <f>MAX($D71)</f>
        <v>0</v>
      </c>
      <c r="X71" s="1">
        <f>MAX($E71)</f>
        <v>0</v>
      </c>
      <c r="Y71" s="1">
        <f>MAX($G71)</f>
        <v>0</v>
      </c>
      <c r="Z71" s="1">
        <f>MAX($H71)</f>
        <v>0</v>
      </c>
    </row>
    <row r="72" spans="1:26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/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>
        <f>MIN($B72)</f>
        <v>0</v>
      </c>
      <c r="J72" s="1">
        <f>MIN($C72)</f>
        <v>0</v>
      </c>
      <c r="K72" s="1">
        <f>MIN($D72)</f>
        <v>0</v>
      </c>
      <c r="L72" s="1">
        <f>MIN($E72)</f>
        <v>0</v>
      </c>
      <c r="M72" s="1">
        <f>MIN($G72)</f>
        <v>0</v>
      </c>
      <c r="N72" s="1">
        <f>MIN($H72)</f>
        <v>0</v>
      </c>
      <c r="O72" s="1">
        <f>MEDIAN($B72)</f>
        <v>0</v>
      </c>
      <c r="P72" s="1">
        <f>MEDIAN($C72)</f>
        <v>0</v>
      </c>
      <c r="Q72" s="1">
        <f>MEDIAN($D72)</f>
        <v>0</v>
      </c>
      <c r="R72" s="1">
        <f>MEDIAN($E72)</f>
        <v>0</v>
      </c>
      <c r="S72" s="1">
        <f>MEDIAN($G72)</f>
        <v>0</v>
      </c>
      <c r="T72" s="1">
        <f>MEDIAN($H72)</f>
        <v>0</v>
      </c>
      <c r="U72" s="1">
        <f>MAX($B72)</f>
        <v>0</v>
      </c>
      <c r="V72" s="1">
        <f>MAX($C72)</f>
        <v>0</v>
      </c>
      <c r="W72" s="1">
        <f>MAX($D72)</f>
        <v>0</v>
      </c>
      <c r="X72" s="1">
        <f>MAX($E72)</f>
        <v>0</v>
      </c>
      <c r="Y72" s="1">
        <f>MAX($G72)</f>
        <v>0</v>
      </c>
      <c r="Z72" s="1">
        <f>MAX($H72)</f>
        <v>0</v>
      </c>
    </row>
    <row r="73" spans="1:26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/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>
        <f>MIN($B73)</f>
        <v>0</v>
      </c>
      <c r="J73" s="1">
        <f>MIN($C73)</f>
        <v>0</v>
      </c>
      <c r="K73" s="1">
        <f>MIN($D73)</f>
        <v>0</v>
      </c>
      <c r="L73" s="1">
        <f>MIN($E73)</f>
        <v>0</v>
      </c>
      <c r="M73" s="1">
        <f>MIN($G73)</f>
        <v>0</v>
      </c>
      <c r="N73" s="1">
        <f>MIN($H73)</f>
        <v>0</v>
      </c>
      <c r="O73" s="1">
        <f>MEDIAN($B73)</f>
        <v>0</v>
      </c>
      <c r="P73" s="1">
        <f>MEDIAN($C73)</f>
        <v>0</v>
      </c>
      <c r="Q73" s="1">
        <f>MEDIAN($D73)</f>
        <v>0</v>
      </c>
      <c r="R73" s="1">
        <f>MEDIAN($E73)</f>
        <v>0</v>
      </c>
      <c r="S73" s="1">
        <f>MEDIAN($G73)</f>
        <v>0</v>
      </c>
      <c r="T73" s="1">
        <f>MEDIAN($H73)</f>
        <v>0</v>
      </c>
      <c r="U73" s="1">
        <f>MAX($B73)</f>
        <v>0</v>
      </c>
      <c r="V73" s="1">
        <f>MAX($C73)</f>
        <v>0</v>
      </c>
      <c r="W73" s="1">
        <f>MAX($D73)</f>
        <v>0</v>
      </c>
      <c r="X73" s="1">
        <f>MAX($E73)</f>
        <v>0</v>
      </c>
      <c r="Y73" s="1">
        <f>MAX($G73)</f>
        <v>0</v>
      </c>
      <c r="Z73" s="1">
        <f>MAX($H73)</f>
        <v>0</v>
      </c>
    </row>
    <row r="74" spans="1:26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/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>
        <f>MIN($B74)</f>
        <v>0</v>
      </c>
      <c r="J74" s="1">
        <f>MIN($C74)</f>
        <v>0</v>
      </c>
      <c r="K74" s="1">
        <f>MIN($D74)</f>
        <v>0</v>
      </c>
      <c r="L74" s="1">
        <f>MIN($E74)</f>
        <v>0</v>
      </c>
      <c r="M74" s="1">
        <f>MIN($G74)</f>
        <v>0</v>
      </c>
      <c r="N74" s="1">
        <f>MIN($H74)</f>
        <v>0</v>
      </c>
      <c r="O74" s="1">
        <f>MEDIAN($B74)</f>
        <v>0</v>
      </c>
      <c r="P74" s="1">
        <f>MEDIAN($C74)</f>
        <v>0</v>
      </c>
      <c r="Q74" s="1">
        <f>MEDIAN($D74)</f>
        <v>0</v>
      </c>
      <c r="R74" s="1">
        <f>MEDIAN($E74)</f>
        <v>0</v>
      </c>
      <c r="S74" s="1">
        <f>MEDIAN($G74)</f>
        <v>0</v>
      </c>
      <c r="T74" s="1">
        <f>MEDIAN($H74)</f>
        <v>0</v>
      </c>
      <c r="U74" s="1">
        <f>MAX($B74)</f>
        <v>0</v>
      </c>
      <c r="V74" s="1">
        <f>MAX($C74)</f>
        <v>0</v>
      </c>
      <c r="W74" s="1">
        <f>MAX($D74)</f>
        <v>0</v>
      </c>
      <c r="X74" s="1">
        <f>MAX($E74)</f>
        <v>0</v>
      </c>
      <c r="Y74" s="1">
        <f>MAX($G74)</f>
        <v>0</v>
      </c>
      <c r="Z74" s="1">
        <f>MAX($H74)</f>
        <v>0</v>
      </c>
    </row>
    <row r="75" spans="1:26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/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>
        <f>MIN($B75)</f>
        <v>0</v>
      </c>
      <c r="J75" s="1">
        <f>MIN($C75)</f>
        <v>0</v>
      </c>
      <c r="K75" s="1">
        <f>MIN($D75)</f>
        <v>0</v>
      </c>
      <c r="L75" s="1">
        <f>MIN($E75)</f>
        <v>0</v>
      </c>
      <c r="M75" s="1">
        <f>MIN($G75)</f>
        <v>0</v>
      </c>
      <c r="N75" s="1">
        <f>MIN($H75)</f>
        <v>0</v>
      </c>
      <c r="O75" s="1">
        <f>MEDIAN($B75)</f>
        <v>0</v>
      </c>
      <c r="P75" s="1">
        <f>MEDIAN($C75)</f>
        <v>0</v>
      </c>
      <c r="Q75" s="1">
        <f>MEDIAN($D75)</f>
        <v>0</v>
      </c>
      <c r="R75" s="1">
        <f>MEDIAN($E75)</f>
        <v>0</v>
      </c>
      <c r="S75" s="1">
        <f>MEDIAN($G75)</f>
        <v>0</v>
      </c>
      <c r="T75" s="1">
        <f>MEDIAN($H75)</f>
        <v>0</v>
      </c>
      <c r="U75" s="1">
        <f>MAX($B75)</f>
        <v>0</v>
      </c>
      <c r="V75" s="1">
        <f>MAX($C75)</f>
        <v>0</v>
      </c>
      <c r="W75" s="1">
        <f>MAX($D75)</f>
        <v>0</v>
      </c>
      <c r="X75" s="1">
        <f>MAX($E75)</f>
        <v>0</v>
      </c>
      <c r="Y75" s="1">
        <f>MAX($G75)</f>
        <v>0</v>
      </c>
      <c r="Z75" s="1">
        <f>MAX($H75)</f>
        <v>0</v>
      </c>
    </row>
    <row r="76" spans="1:26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/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>
        <f>MIN($B76)</f>
        <v>0</v>
      </c>
      <c r="J76" s="1">
        <f>MIN($C76)</f>
        <v>0</v>
      </c>
      <c r="K76" s="1">
        <f>MIN($D76)</f>
        <v>0</v>
      </c>
      <c r="L76" s="1">
        <f>MIN($E76)</f>
        <v>0</v>
      </c>
      <c r="M76" s="1">
        <f>MIN($G76)</f>
        <v>0</v>
      </c>
      <c r="N76" s="1">
        <f>MIN($H76)</f>
        <v>0</v>
      </c>
      <c r="O76" s="1">
        <f>MEDIAN($B76)</f>
        <v>0</v>
      </c>
      <c r="P76" s="1">
        <f>MEDIAN($C76)</f>
        <v>0</v>
      </c>
      <c r="Q76" s="1">
        <f>MEDIAN($D76)</f>
        <v>0</v>
      </c>
      <c r="R76" s="1">
        <f>MEDIAN($E76)</f>
        <v>0</v>
      </c>
      <c r="S76" s="1">
        <f>MEDIAN($G76)</f>
        <v>0</v>
      </c>
      <c r="T76" s="1">
        <f>MEDIAN($H76)</f>
        <v>0</v>
      </c>
      <c r="U76" s="1">
        <f>MAX($B76)</f>
        <v>0</v>
      </c>
      <c r="V76" s="1">
        <f>MAX($C76)</f>
        <v>0</v>
      </c>
      <c r="W76" s="1">
        <f>MAX($D76)</f>
        <v>0</v>
      </c>
      <c r="X76" s="1">
        <f>MAX($E76)</f>
        <v>0</v>
      </c>
      <c r="Y76" s="1">
        <f>MAX($G76)</f>
        <v>0</v>
      </c>
      <c r="Z76" s="1">
        <f>MAX($H76)</f>
        <v>0</v>
      </c>
    </row>
    <row r="77" spans="1:26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/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>
        <f>MIN($B77)</f>
        <v>0</v>
      </c>
      <c r="J77" s="1">
        <f>MIN($C77)</f>
        <v>0</v>
      </c>
      <c r="K77" s="1">
        <f>MIN($D77)</f>
        <v>0</v>
      </c>
      <c r="L77" s="1">
        <f>MIN($E77)</f>
        <v>0</v>
      </c>
      <c r="M77" s="1">
        <f>MIN($G77)</f>
        <v>0</v>
      </c>
      <c r="N77" s="1">
        <f>MIN($H77)</f>
        <v>0</v>
      </c>
      <c r="O77" s="1">
        <f>MEDIAN($B77)</f>
        <v>0</v>
      </c>
      <c r="P77" s="1">
        <f>MEDIAN($C77)</f>
        <v>0</v>
      </c>
      <c r="Q77" s="1">
        <f>MEDIAN($D77)</f>
        <v>0</v>
      </c>
      <c r="R77" s="1">
        <f>MEDIAN($E77)</f>
        <v>0</v>
      </c>
      <c r="S77" s="1">
        <f>MEDIAN($G77)</f>
        <v>0</v>
      </c>
      <c r="T77" s="1">
        <f>MEDIAN($H77)</f>
        <v>0</v>
      </c>
      <c r="U77" s="1">
        <f>MAX($B77)</f>
        <v>0</v>
      </c>
      <c r="V77" s="1">
        <f>MAX($C77)</f>
        <v>0</v>
      </c>
      <c r="W77" s="1">
        <f>MAX($D77)</f>
        <v>0</v>
      </c>
      <c r="X77" s="1">
        <f>MAX($E77)</f>
        <v>0</v>
      </c>
      <c r="Y77" s="1">
        <f>MAX($G77)</f>
        <v>0</v>
      </c>
      <c r="Z77" s="1">
        <f>MAX($H77)</f>
        <v>0</v>
      </c>
    </row>
    <row r="78" spans="1:26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/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>
        <f>MIN($B78)</f>
        <v>0</v>
      </c>
      <c r="J78" s="1">
        <f>MIN($C78)</f>
        <v>0</v>
      </c>
      <c r="K78" s="1">
        <f>MIN($D78)</f>
        <v>0</v>
      </c>
      <c r="L78" s="1">
        <f>MIN($E78)</f>
        <v>0</v>
      </c>
      <c r="M78" s="1">
        <f>MIN($G78)</f>
        <v>0</v>
      </c>
      <c r="N78" s="1">
        <f>MIN($H78)</f>
        <v>0</v>
      </c>
      <c r="O78" s="1">
        <f>MEDIAN($B78)</f>
        <v>0</v>
      </c>
      <c r="P78" s="1">
        <f>MEDIAN($C78)</f>
        <v>0</v>
      </c>
      <c r="Q78" s="1">
        <f>MEDIAN($D78)</f>
        <v>0</v>
      </c>
      <c r="R78" s="1">
        <f>MEDIAN($E78)</f>
        <v>0</v>
      </c>
      <c r="S78" s="1">
        <f>MEDIAN($G78)</f>
        <v>0</v>
      </c>
      <c r="T78" s="1">
        <f>MEDIAN($H78)</f>
        <v>0</v>
      </c>
      <c r="U78" s="1">
        <f>MAX($B78)</f>
        <v>0</v>
      </c>
      <c r="V78" s="1">
        <f>MAX($C78)</f>
        <v>0</v>
      </c>
      <c r="W78" s="1">
        <f>MAX($D78)</f>
        <v>0</v>
      </c>
      <c r="X78" s="1">
        <f>MAX($E78)</f>
        <v>0</v>
      </c>
      <c r="Y78" s="1">
        <f>MAX($G78)</f>
        <v>0</v>
      </c>
      <c r="Z78" s="1">
        <f>MAX($H78)</f>
        <v>0</v>
      </c>
    </row>
    <row r="79" spans="1:26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/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>
        <f>MIN($B79)</f>
        <v>0</v>
      </c>
      <c r="J79" s="1">
        <f>MIN($C79)</f>
        <v>0</v>
      </c>
      <c r="K79" s="1">
        <f>MIN($D79)</f>
        <v>0</v>
      </c>
      <c r="L79" s="1">
        <f>MIN($E79)</f>
        <v>0</v>
      </c>
      <c r="M79" s="1">
        <f>MIN($G79)</f>
        <v>0</v>
      </c>
      <c r="N79" s="1">
        <f>MIN($H79)</f>
        <v>0</v>
      </c>
      <c r="O79" s="1">
        <f>MEDIAN($B79)</f>
        <v>0</v>
      </c>
      <c r="P79" s="1">
        <f>MEDIAN($C79)</f>
        <v>0</v>
      </c>
      <c r="Q79" s="1">
        <f>MEDIAN($D79)</f>
        <v>0</v>
      </c>
      <c r="R79" s="1">
        <f>MEDIAN($E79)</f>
        <v>0</v>
      </c>
      <c r="S79" s="1">
        <f>MEDIAN($G79)</f>
        <v>0</v>
      </c>
      <c r="T79" s="1">
        <f>MEDIAN($H79)</f>
        <v>0</v>
      </c>
      <c r="U79" s="1">
        <f>MAX($B79)</f>
        <v>0</v>
      </c>
      <c r="V79" s="1">
        <f>MAX($C79)</f>
        <v>0</v>
      </c>
      <c r="W79" s="1">
        <f>MAX($D79)</f>
        <v>0</v>
      </c>
      <c r="X79" s="1">
        <f>MAX($E79)</f>
        <v>0</v>
      </c>
      <c r="Y79" s="1">
        <f>MAX($G79)</f>
        <v>0</v>
      </c>
      <c r="Z79" s="1">
        <f>MAX($H79)</f>
        <v>0</v>
      </c>
    </row>
    <row r="80" spans="1:26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/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>
        <f>MIN($B80)</f>
        <v>0</v>
      </c>
      <c r="J80" s="1">
        <f>MIN($C80)</f>
        <v>0</v>
      </c>
      <c r="K80" s="1">
        <f>MIN($D80)</f>
        <v>0</v>
      </c>
      <c r="L80" s="1">
        <f>MIN($E80)</f>
        <v>0</v>
      </c>
      <c r="M80" s="1">
        <f>MIN($G80)</f>
        <v>0</v>
      </c>
      <c r="N80" s="1">
        <f>MIN($H80)</f>
        <v>0</v>
      </c>
      <c r="O80" s="1">
        <f>MEDIAN($B80)</f>
        <v>0</v>
      </c>
      <c r="P80" s="1">
        <f>MEDIAN($C80)</f>
        <v>0</v>
      </c>
      <c r="Q80" s="1">
        <f>MEDIAN($D80)</f>
        <v>0</v>
      </c>
      <c r="R80" s="1">
        <f>MEDIAN($E80)</f>
        <v>0</v>
      </c>
      <c r="S80" s="1">
        <f>MEDIAN($G80)</f>
        <v>0</v>
      </c>
      <c r="T80" s="1">
        <f>MEDIAN($H80)</f>
        <v>0</v>
      </c>
      <c r="U80" s="1">
        <f>MAX($B80)</f>
        <v>0</v>
      </c>
      <c r="V80" s="1">
        <f>MAX($C80)</f>
        <v>0</v>
      </c>
      <c r="W80" s="1">
        <f>MAX($D80)</f>
        <v>0</v>
      </c>
      <c r="X80" s="1">
        <f>MAX($E80)</f>
        <v>0</v>
      </c>
      <c r="Y80" s="1">
        <f>MAX($G80)</f>
        <v>0</v>
      </c>
      <c r="Z80" s="1">
        <f>MAX($H80)</f>
        <v>0</v>
      </c>
    </row>
    <row r="81" spans="1:26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/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>
        <f>MIN($B81)</f>
        <v>0</v>
      </c>
      <c r="J81" s="1">
        <f>MIN($C81)</f>
        <v>0</v>
      </c>
      <c r="K81" s="1">
        <f>MIN($D81)</f>
        <v>0</v>
      </c>
      <c r="L81" s="1">
        <f>MIN($E81)</f>
        <v>0</v>
      </c>
      <c r="M81" s="1">
        <f>MIN($G81)</f>
        <v>0</v>
      </c>
      <c r="N81" s="1">
        <f>MIN($H81)</f>
        <v>0</v>
      </c>
      <c r="O81" s="1">
        <f>MEDIAN($B81)</f>
        <v>0</v>
      </c>
      <c r="P81" s="1">
        <f>MEDIAN($C81)</f>
        <v>0</v>
      </c>
      <c r="Q81" s="1">
        <f>MEDIAN($D81)</f>
        <v>0</v>
      </c>
      <c r="R81" s="1">
        <f>MEDIAN($E81)</f>
        <v>0</v>
      </c>
      <c r="S81" s="1">
        <f>MEDIAN($G81)</f>
        <v>0</v>
      </c>
      <c r="T81" s="1">
        <f>MEDIAN($H81)</f>
        <v>0</v>
      </c>
      <c r="U81" s="1">
        <f>MAX($B81)</f>
        <v>0</v>
      </c>
      <c r="V81" s="1">
        <f>MAX($C81)</f>
        <v>0</v>
      </c>
      <c r="W81" s="1">
        <f>MAX($D81)</f>
        <v>0</v>
      </c>
      <c r="X81" s="1">
        <f>MAX($E81)</f>
        <v>0</v>
      </c>
      <c r="Y81" s="1">
        <f>MAX($G81)</f>
        <v>0</v>
      </c>
      <c r="Z81" s="1">
        <f>MAX($H81)</f>
        <v>0</v>
      </c>
    </row>
    <row r="82" spans="1:26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/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>
        <f>MIN($B82)</f>
        <v>0</v>
      </c>
      <c r="J82" s="1">
        <f>MIN($C82)</f>
        <v>0</v>
      </c>
      <c r="K82" s="1">
        <f>MIN($D82)</f>
        <v>0</v>
      </c>
      <c r="L82" s="1">
        <f>MIN($E82)</f>
        <v>0</v>
      </c>
      <c r="M82" s="1">
        <f>MIN($G82)</f>
        <v>0</v>
      </c>
      <c r="N82" s="1">
        <f>MIN($H82)</f>
        <v>0</v>
      </c>
      <c r="O82" s="1">
        <f>MEDIAN($B82)</f>
        <v>0</v>
      </c>
      <c r="P82" s="1">
        <f>MEDIAN($C82)</f>
        <v>0</v>
      </c>
      <c r="Q82" s="1">
        <f>MEDIAN($D82)</f>
        <v>0</v>
      </c>
      <c r="R82" s="1">
        <f>MEDIAN($E82)</f>
        <v>0</v>
      </c>
      <c r="S82" s="1">
        <f>MEDIAN($G82)</f>
        <v>0</v>
      </c>
      <c r="T82" s="1">
        <f>MEDIAN($H82)</f>
        <v>0</v>
      </c>
      <c r="U82" s="1">
        <f>MAX($B82)</f>
        <v>0</v>
      </c>
      <c r="V82" s="1">
        <f>MAX($C82)</f>
        <v>0</v>
      </c>
      <c r="W82" s="1">
        <f>MAX($D82)</f>
        <v>0</v>
      </c>
      <c r="X82" s="1">
        <f>MAX($E82)</f>
        <v>0</v>
      </c>
      <c r="Y82" s="1">
        <f>MAX($G82)</f>
        <v>0</v>
      </c>
      <c r="Z82" s="1">
        <f>MAX($H82)</f>
        <v>0</v>
      </c>
    </row>
    <row r="83" spans="1:26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/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>
        <f>MIN($B83)</f>
        <v>0</v>
      </c>
      <c r="J83" s="1">
        <f>MIN($C83)</f>
        <v>0</v>
      </c>
      <c r="K83" s="1">
        <f>MIN($D83)</f>
        <v>0</v>
      </c>
      <c r="L83" s="1">
        <f>MIN($E83)</f>
        <v>0</v>
      </c>
      <c r="M83" s="1">
        <f>MIN($G83)</f>
        <v>0</v>
      </c>
      <c r="N83" s="1">
        <f>MIN($H83)</f>
        <v>0</v>
      </c>
      <c r="O83" s="1">
        <f>MEDIAN($B83)</f>
        <v>0</v>
      </c>
      <c r="P83" s="1">
        <f>MEDIAN($C83)</f>
        <v>0</v>
      </c>
      <c r="Q83" s="1">
        <f>MEDIAN($D83)</f>
        <v>0</v>
      </c>
      <c r="R83" s="1">
        <f>MEDIAN($E83)</f>
        <v>0</v>
      </c>
      <c r="S83" s="1">
        <f>MEDIAN($G83)</f>
        <v>0</v>
      </c>
      <c r="T83" s="1">
        <f>MEDIAN($H83)</f>
        <v>0</v>
      </c>
      <c r="U83" s="1">
        <f>MAX($B83)</f>
        <v>0</v>
      </c>
      <c r="V83" s="1">
        <f>MAX($C83)</f>
        <v>0</v>
      </c>
      <c r="W83" s="1">
        <f>MAX($D83)</f>
        <v>0</v>
      </c>
      <c r="X83" s="1">
        <f>MAX($E83)</f>
        <v>0</v>
      </c>
      <c r="Y83" s="1">
        <f>MAX($G83)</f>
        <v>0</v>
      </c>
      <c r="Z83" s="1">
        <f>MAX($H83)</f>
        <v>0</v>
      </c>
    </row>
    <row r="84" spans="1:26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/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>
        <f>MIN($B84)</f>
        <v>0</v>
      </c>
      <c r="J84" s="1">
        <f>MIN($C84)</f>
        <v>0</v>
      </c>
      <c r="K84" s="1">
        <f>MIN($D84)</f>
        <v>0</v>
      </c>
      <c r="L84" s="1">
        <f>MIN($E84)</f>
        <v>0</v>
      </c>
      <c r="M84" s="1">
        <f>MIN($G84)</f>
        <v>0</v>
      </c>
      <c r="N84" s="1">
        <f>MIN($H84)</f>
        <v>0</v>
      </c>
      <c r="O84" s="1">
        <f>MEDIAN($B84)</f>
        <v>0</v>
      </c>
      <c r="P84" s="1">
        <f>MEDIAN($C84)</f>
        <v>0</v>
      </c>
      <c r="Q84" s="1">
        <f>MEDIAN($D84)</f>
        <v>0</v>
      </c>
      <c r="R84" s="1">
        <f>MEDIAN($E84)</f>
        <v>0</v>
      </c>
      <c r="S84" s="1">
        <f>MEDIAN($G84)</f>
        <v>0</v>
      </c>
      <c r="T84" s="1">
        <f>MEDIAN($H84)</f>
        <v>0</v>
      </c>
      <c r="U84" s="1">
        <f>MAX($B84)</f>
        <v>0</v>
      </c>
      <c r="V84" s="1">
        <f>MAX($C84)</f>
        <v>0</v>
      </c>
      <c r="W84" s="1">
        <f>MAX($D84)</f>
        <v>0</v>
      </c>
      <c r="X84" s="1">
        <f>MAX($E84)</f>
        <v>0</v>
      </c>
      <c r="Y84" s="1">
        <f>MAX($G84)</f>
        <v>0</v>
      </c>
      <c r="Z84" s="1">
        <f>MAX($H84)</f>
        <v>0</v>
      </c>
    </row>
    <row r="85" spans="1:26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/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>
        <f>MIN($B85)</f>
        <v>0</v>
      </c>
      <c r="J85" s="1">
        <f>MIN($C85)</f>
        <v>0</v>
      </c>
      <c r="K85" s="1">
        <f>MIN($D85)</f>
        <v>0</v>
      </c>
      <c r="L85" s="1">
        <f>MIN($E85)</f>
        <v>0</v>
      </c>
      <c r="M85" s="1">
        <f>MIN($G85)</f>
        <v>0</v>
      </c>
      <c r="N85" s="1">
        <f>MIN($H85)</f>
        <v>0</v>
      </c>
      <c r="O85" s="1">
        <f>MEDIAN($B85)</f>
        <v>0</v>
      </c>
      <c r="P85" s="1">
        <f>MEDIAN($C85)</f>
        <v>0</v>
      </c>
      <c r="Q85" s="1">
        <f>MEDIAN($D85)</f>
        <v>0</v>
      </c>
      <c r="R85" s="1">
        <f>MEDIAN($E85)</f>
        <v>0</v>
      </c>
      <c r="S85" s="1">
        <f>MEDIAN($G85)</f>
        <v>0</v>
      </c>
      <c r="T85" s="1">
        <f>MEDIAN($H85)</f>
        <v>0</v>
      </c>
      <c r="U85" s="1">
        <f>MAX($B85)</f>
        <v>0</v>
      </c>
      <c r="V85" s="1">
        <f>MAX($C85)</f>
        <v>0</v>
      </c>
      <c r="W85" s="1">
        <f>MAX($D85)</f>
        <v>0</v>
      </c>
      <c r="X85" s="1">
        <f>MAX($E85)</f>
        <v>0</v>
      </c>
      <c r="Y85" s="1">
        <f>MAX($G85)</f>
        <v>0</v>
      </c>
      <c r="Z85" s="1">
        <f>MAX($H85)</f>
        <v>0</v>
      </c>
    </row>
    <row r="86" spans="1:26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/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>
        <f>MIN($B86)</f>
        <v>0</v>
      </c>
      <c r="J86" s="1">
        <f>MIN($C86)</f>
        <v>0</v>
      </c>
      <c r="K86" s="1">
        <f>MIN($D86)</f>
        <v>0</v>
      </c>
      <c r="L86" s="1">
        <f>MIN($E86)</f>
        <v>0</v>
      </c>
      <c r="M86" s="1">
        <f>MIN($G86)</f>
        <v>0</v>
      </c>
      <c r="N86" s="1">
        <f>MIN($H86)</f>
        <v>0</v>
      </c>
      <c r="O86" s="1">
        <f>MEDIAN($B86)</f>
        <v>0</v>
      </c>
      <c r="P86" s="1">
        <f>MEDIAN($C86)</f>
        <v>0</v>
      </c>
      <c r="Q86" s="1">
        <f>MEDIAN($D86)</f>
        <v>0</v>
      </c>
      <c r="R86" s="1">
        <f>MEDIAN($E86)</f>
        <v>0</v>
      </c>
      <c r="S86" s="1">
        <f>MEDIAN($G86)</f>
        <v>0</v>
      </c>
      <c r="T86" s="1">
        <f>MEDIAN($H86)</f>
        <v>0</v>
      </c>
      <c r="U86" s="1">
        <f>MAX($B86)</f>
        <v>0</v>
      </c>
      <c r="V86" s="1">
        <f>MAX($C86)</f>
        <v>0</v>
      </c>
      <c r="W86" s="1">
        <f>MAX($D86)</f>
        <v>0</v>
      </c>
      <c r="X86" s="1">
        <f>MAX($E86)</f>
        <v>0</v>
      </c>
      <c r="Y86" s="1">
        <f>MAX($G86)</f>
        <v>0</v>
      </c>
      <c r="Z86" s="1">
        <f>MAX($H86)</f>
        <v>0</v>
      </c>
    </row>
    <row r="87" spans="1:26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/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>
        <f>MIN($B87)</f>
        <v>0</v>
      </c>
      <c r="J87" s="1">
        <f>MIN($C87)</f>
        <v>0</v>
      </c>
      <c r="K87" s="1">
        <f>MIN($D87)</f>
        <v>0</v>
      </c>
      <c r="L87" s="1">
        <f>MIN($E87)</f>
        <v>0</v>
      </c>
      <c r="M87" s="1">
        <f>MIN($G87)</f>
        <v>0</v>
      </c>
      <c r="N87" s="1">
        <f>MIN($H87)</f>
        <v>0</v>
      </c>
      <c r="O87" s="1">
        <f>MEDIAN($B87)</f>
        <v>0</v>
      </c>
      <c r="P87" s="1">
        <f>MEDIAN($C87)</f>
        <v>0</v>
      </c>
      <c r="Q87" s="1">
        <f>MEDIAN($D87)</f>
        <v>0</v>
      </c>
      <c r="R87" s="1">
        <f>MEDIAN($E87)</f>
        <v>0</v>
      </c>
      <c r="S87" s="1">
        <f>MEDIAN($G87)</f>
        <v>0</v>
      </c>
      <c r="T87" s="1">
        <f>MEDIAN($H87)</f>
        <v>0</v>
      </c>
      <c r="U87" s="1">
        <f>MAX($B87)</f>
        <v>0</v>
      </c>
      <c r="V87" s="1">
        <f>MAX($C87)</f>
        <v>0</v>
      </c>
      <c r="W87" s="1">
        <f>MAX($D87)</f>
        <v>0</v>
      </c>
      <c r="X87" s="1">
        <f>MAX($E87)</f>
        <v>0</v>
      </c>
      <c r="Y87" s="1">
        <f>MAX($G87)</f>
        <v>0</v>
      </c>
      <c r="Z87" s="1">
        <f>MAX($H87)</f>
        <v>0</v>
      </c>
    </row>
    <row r="88" spans="1:26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/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>
        <f>MIN($B88)</f>
        <v>0</v>
      </c>
      <c r="J88" s="1">
        <f>MIN($C88)</f>
        <v>0</v>
      </c>
      <c r="K88" s="1">
        <f>MIN($D88)</f>
        <v>0</v>
      </c>
      <c r="L88" s="1">
        <f>MIN($E88)</f>
        <v>0</v>
      </c>
      <c r="M88" s="1">
        <f>MIN($G88)</f>
        <v>0</v>
      </c>
      <c r="N88" s="1">
        <f>MIN($H88)</f>
        <v>0</v>
      </c>
      <c r="O88" s="1">
        <f>MEDIAN($B88)</f>
        <v>0</v>
      </c>
      <c r="P88" s="1">
        <f>MEDIAN($C88)</f>
        <v>0</v>
      </c>
      <c r="Q88" s="1">
        <f>MEDIAN($D88)</f>
        <v>0</v>
      </c>
      <c r="R88" s="1">
        <f>MEDIAN($E88)</f>
        <v>0</v>
      </c>
      <c r="S88" s="1">
        <f>MEDIAN($G88)</f>
        <v>0</v>
      </c>
      <c r="T88" s="1">
        <f>MEDIAN($H88)</f>
        <v>0</v>
      </c>
      <c r="U88" s="1">
        <f>MAX($B88)</f>
        <v>0</v>
      </c>
      <c r="V88" s="1">
        <f>MAX($C88)</f>
        <v>0</v>
      </c>
      <c r="W88" s="1">
        <f>MAX($D88)</f>
        <v>0</v>
      </c>
      <c r="X88" s="1">
        <f>MAX($E88)</f>
        <v>0</v>
      </c>
      <c r="Y88" s="1">
        <f>MAX($G88)</f>
        <v>0</v>
      </c>
      <c r="Z88" s="1">
        <f>MAX($H88)</f>
        <v>0</v>
      </c>
    </row>
    <row r="89" spans="1:26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/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>
        <f>MIN($B89)</f>
        <v>0</v>
      </c>
      <c r="J89" s="1">
        <f>MIN($C89)</f>
        <v>0</v>
      </c>
      <c r="K89" s="1">
        <f>MIN($D89)</f>
        <v>0</v>
      </c>
      <c r="L89" s="1">
        <f>MIN($E89)</f>
        <v>0</v>
      </c>
      <c r="M89" s="1">
        <f>MIN($G89)</f>
        <v>0</v>
      </c>
      <c r="N89" s="1">
        <f>MIN($H89)</f>
        <v>0</v>
      </c>
      <c r="O89" s="1">
        <f>MEDIAN($B89)</f>
        <v>0</v>
      </c>
      <c r="P89" s="1">
        <f>MEDIAN($C89)</f>
        <v>0</v>
      </c>
      <c r="Q89" s="1">
        <f>MEDIAN($D89)</f>
        <v>0</v>
      </c>
      <c r="R89" s="1">
        <f>MEDIAN($E89)</f>
        <v>0</v>
      </c>
      <c r="S89" s="1">
        <f>MEDIAN($G89)</f>
        <v>0</v>
      </c>
      <c r="T89" s="1">
        <f>MEDIAN($H89)</f>
        <v>0</v>
      </c>
      <c r="U89" s="1">
        <f>MAX($B89)</f>
        <v>0</v>
      </c>
      <c r="V89" s="1">
        <f>MAX($C89)</f>
        <v>0</v>
      </c>
      <c r="W89" s="1">
        <f>MAX($D89)</f>
        <v>0</v>
      </c>
      <c r="X89" s="1">
        <f>MAX($E89)</f>
        <v>0</v>
      </c>
      <c r="Y89" s="1">
        <f>MAX($G89)</f>
        <v>0</v>
      </c>
      <c r="Z89" s="1">
        <f>MAX($H89)</f>
        <v>0</v>
      </c>
    </row>
    <row r="90" spans="1:26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/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>
        <f>MIN($B90)</f>
        <v>0</v>
      </c>
      <c r="J90" s="1">
        <f>MIN($C90)</f>
        <v>0</v>
      </c>
      <c r="K90" s="1">
        <f>MIN($D90)</f>
        <v>0</v>
      </c>
      <c r="L90" s="1">
        <f>MIN($E90)</f>
        <v>0</v>
      </c>
      <c r="M90" s="1">
        <f>MIN($G90)</f>
        <v>0</v>
      </c>
      <c r="N90" s="1">
        <f>MIN($H90)</f>
        <v>0</v>
      </c>
      <c r="O90" s="1">
        <f>MEDIAN($B90)</f>
        <v>0</v>
      </c>
      <c r="P90" s="1">
        <f>MEDIAN($C90)</f>
        <v>0</v>
      </c>
      <c r="Q90" s="1">
        <f>MEDIAN($D90)</f>
        <v>0</v>
      </c>
      <c r="R90" s="1">
        <f>MEDIAN($E90)</f>
        <v>0</v>
      </c>
      <c r="S90" s="1">
        <f>MEDIAN($G90)</f>
        <v>0</v>
      </c>
      <c r="T90" s="1">
        <f>MEDIAN($H90)</f>
        <v>0</v>
      </c>
      <c r="U90" s="1">
        <f>MAX($B90)</f>
        <v>0</v>
      </c>
      <c r="V90" s="1">
        <f>MAX($C90)</f>
        <v>0</v>
      </c>
      <c r="W90" s="1">
        <f>MAX($D90)</f>
        <v>0</v>
      </c>
      <c r="X90" s="1">
        <f>MAX($E90)</f>
        <v>0</v>
      </c>
      <c r="Y90" s="1">
        <f>MAX($G90)</f>
        <v>0</v>
      </c>
      <c r="Z90" s="1">
        <f>MAX($H90)</f>
        <v>0</v>
      </c>
    </row>
    <row r="91" spans="1:26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/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>
        <f>MIN($B91)</f>
        <v>0</v>
      </c>
      <c r="J91" s="1">
        <f>MIN($C91)</f>
        <v>0</v>
      </c>
      <c r="K91" s="1">
        <f>MIN($D91)</f>
        <v>0</v>
      </c>
      <c r="L91" s="1">
        <f>MIN($E91)</f>
        <v>0</v>
      </c>
      <c r="M91" s="1">
        <f>MIN($G91)</f>
        <v>0</v>
      </c>
      <c r="N91" s="1">
        <f>MIN($H91)</f>
        <v>0</v>
      </c>
      <c r="O91" s="1">
        <f>MEDIAN($B91)</f>
        <v>0</v>
      </c>
      <c r="P91" s="1">
        <f>MEDIAN($C91)</f>
        <v>0</v>
      </c>
      <c r="Q91" s="1">
        <f>MEDIAN($D91)</f>
        <v>0</v>
      </c>
      <c r="R91" s="1">
        <f>MEDIAN($E91)</f>
        <v>0</v>
      </c>
      <c r="S91" s="1">
        <f>MEDIAN($G91)</f>
        <v>0</v>
      </c>
      <c r="T91" s="1">
        <f>MEDIAN($H91)</f>
        <v>0</v>
      </c>
      <c r="U91" s="1">
        <f>MAX($B91)</f>
        <v>0</v>
      </c>
      <c r="V91" s="1">
        <f>MAX($C91)</f>
        <v>0</v>
      </c>
      <c r="W91" s="1">
        <f>MAX($D91)</f>
        <v>0</v>
      </c>
      <c r="X91" s="1">
        <f>MAX($E91)</f>
        <v>0</v>
      </c>
      <c r="Y91" s="1">
        <f>MAX($G91)</f>
        <v>0</v>
      </c>
      <c r="Z91" s="1">
        <f>MAX($H91)</f>
        <v>0</v>
      </c>
    </row>
    <row r="92" spans="1:26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/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>
        <f>MIN($B92)</f>
        <v>0</v>
      </c>
      <c r="J92" s="1">
        <f>MIN($C92)</f>
        <v>0</v>
      </c>
      <c r="K92" s="1">
        <f>MIN($D92)</f>
        <v>0</v>
      </c>
      <c r="L92" s="1">
        <f>MIN($E92)</f>
        <v>0</v>
      </c>
      <c r="M92" s="1">
        <f>MIN($G92)</f>
        <v>0</v>
      </c>
      <c r="N92" s="1">
        <f>MIN($H92)</f>
        <v>0</v>
      </c>
      <c r="O92" s="1">
        <f>MEDIAN($B92)</f>
        <v>0</v>
      </c>
      <c r="P92" s="1">
        <f>MEDIAN($C92)</f>
        <v>0</v>
      </c>
      <c r="Q92" s="1">
        <f>MEDIAN($D92)</f>
        <v>0</v>
      </c>
      <c r="R92" s="1">
        <f>MEDIAN($E92)</f>
        <v>0</v>
      </c>
      <c r="S92" s="1">
        <f>MEDIAN($G92)</f>
        <v>0</v>
      </c>
      <c r="T92" s="1">
        <f>MEDIAN($H92)</f>
        <v>0</v>
      </c>
      <c r="U92" s="1">
        <f>MAX($B92)</f>
        <v>0</v>
      </c>
      <c r="V92" s="1">
        <f>MAX($C92)</f>
        <v>0</v>
      </c>
      <c r="W92" s="1">
        <f>MAX($D92)</f>
        <v>0</v>
      </c>
      <c r="X92" s="1">
        <f>MAX($E92)</f>
        <v>0</v>
      </c>
      <c r="Y92" s="1">
        <f>MAX($G92)</f>
        <v>0</v>
      </c>
      <c r="Z92" s="1">
        <f>MAX($H92)</f>
        <v>0</v>
      </c>
    </row>
    <row r="93" spans="1:26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/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>
        <f>MIN($B93)</f>
        <v>0</v>
      </c>
      <c r="J93" s="1">
        <f>MIN($C93)</f>
        <v>0</v>
      </c>
      <c r="K93" s="1">
        <f>MIN($D93)</f>
        <v>0</v>
      </c>
      <c r="L93" s="1">
        <f>MIN($E93)</f>
        <v>0</v>
      </c>
      <c r="M93" s="1">
        <f>MIN($G93)</f>
        <v>0</v>
      </c>
      <c r="N93" s="1">
        <f>MIN($H93)</f>
        <v>0</v>
      </c>
      <c r="O93" s="1">
        <f>MEDIAN($B93)</f>
        <v>0</v>
      </c>
      <c r="P93" s="1">
        <f>MEDIAN($C93)</f>
        <v>0</v>
      </c>
      <c r="Q93" s="1">
        <f>MEDIAN($D93)</f>
        <v>0</v>
      </c>
      <c r="R93" s="1">
        <f>MEDIAN($E93)</f>
        <v>0</v>
      </c>
      <c r="S93" s="1">
        <f>MEDIAN($G93)</f>
        <v>0</v>
      </c>
      <c r="T93" s="1">
        <f>MEDIAN($H93)</f>
        <v>0</v>
      </c>
      <c r="U93" s="1">
        <f>MAX($B93)</f>
        <v>0</v>
      </c>
      <c r="V93" s="1">
        <f>MAX($C93)</f>
        <v>0</v>
      </c>
      <c r="W93" s="1">
        <f>MAX($D93)</f>
        <v>0</v>
      </c>
      <c r="X93" s="1">
        <f>MAX($E93)</f>
        <v>0</v>
      </c>
      <c r="Y93" s="1">
        <f>MAX($G93)</f>
        <v>0</v>
      </c>
      <c r="Z93" s="1">
        <f>MAX($H93)</f>
        <v>0</v>
      </c>
    </row>
    <row r="94" spans="1:26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/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>
        <f>MIN($B94)</f>
        <v>0</v>
      </c>
      <c r="J94" s="1">
        <f>MIN($C94)</f>
        <v>0</v>
      </c>
      <c r="K94" s="1">
        <f>MIN($D94)</f>
        <v>0</v>
      </c>
      <c r="L94" s="1">
        <f>MIN($E94)</f>
        <v>0</v>
      </c>
      <c r="M94" s="1">
        <f>MIN($G94)</f>
        <v>0</v>
      </c>
      <c r="N94" s="1">
        <f>MIN($H94)</f>
        <v>0</v>
      </c>
      <c r="O94" s="1">
        <f>MEDIAN($B94)</f>
        <v>0</v>
      </c>
      <c r="P94" s="1">
        <f>MEDIAN($C94)</f>
        <v>0</v>
      </c>
      <c r="Q94" s="1">
        <f>MEDIAN($D94)</f>
        <v>0</v>
      </c>
      <c r="R94" s="1">
        <f>MEDIAN($E94)</f>
        <v>0</v>
      </c>
      <c r="S94" s="1">
        <f>MEDIAN($G94)</f>
        <v>0</v>
      </c>
      <c r="T94" s="1">
        <f>MEDIAN($H94)</f>
        <v>0</v>
      </c>
      <c r="U94" s="1">
        <f>MAX($B94)</f>
        <v>0</v>
      </c>
      <c r="V94" s="1">
        <f>MAX($C94)</f>
        <v>0</v>
      </c>
      <c r="W94" s="1">
        <f>MAX($D94)</f>
        <v>0</v>
      </c>
      <c r="X94" s="1">
        <f>MAX($E94)</f>
        <v>0</v>
      </c>
      <c r="Y94" s="1">
        <f>MAX($G94)</f>
        <v>0</v>
      </c>
      <c r="Z94" s="1">
        <f>MAX($H94)</f>
        <v>0</v>
      </c>
    </row>
    <row r="95" spans="1:26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/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>
        <f>MIN($B95)</f>
        <v>0</v>
      </c>
      <c r="J95" s="1">
        <f>MIN($C95)</f>
        <v>0</v>
      </c>
      <c r="K95" s="1">
        <f>MIN($D95)</f>
        <v>0</v>
      </c>
      <c r="L95" s="1">
        <f>MIN($E95)</f>
        <v>0</v>
      </c>
      <c r="M95" s="1">
        <f>MIN($G95)</f>
        <v>0</v>
      </c>
      <c r="N95" s="1">
        <f>MIN($H95)</f>
        <v>0</v>
      </c>
      <c r="O95" s="1">
        <f>MEDIAN($B95)</f>
        <v>0</v>
      </c>
      <c r="P95" s="1">
        <f>MEDIAN($C95)</f>
        <v>0</v>
      </c>
      <c r="Q95" s="1">
        <f>MEDIAN($D95)</f>
        <v>0</v>
      </c>
      <c r="R95" s="1">
        <f>MEDIAN($E95)</f>
        <v>0</v>
      </c>
      <c r="S95" s="1">
        <f>MEDIAN($G95)</f>
        <v>0</v>
      </c>
      <c r="T95" s="1">
        <f>MEDIAN($H95)</f>
        <v>0</v>
      </c>
      <c r="U95" s="1">
        <f>MAX($B95)</f>
        <v>0</v>
      </c>
      <c r="V95" s="1">
        <f>MAX($C95)</f>
        <v>0</v>
      </c>
      <c r="W95" s="1">
        <f>MAX($D95)</f>
        <v>0</v>
      </c>
      <c r="X95" s="1">
        <f>MAX($E95)</f>
        <v>0</v>
      </c>
      <c r="Y95" s="1">
        <f>MAX($G95)</f>
        <v>0</v>
      </c>
      <c r="Z95" s="1">
        <f>MAX($H95)</f>
        <v>0</v>
      </c>
    </row>
    <row r="96" spans="1:26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/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>
        <f>MIN($B96)</f>
        <v>0</v>
      </c>
      <c r="J96" s="1">
        <f>MIN($C96)</f>
        <v>0</v>
      </c>
      <c r="K96" s="1">
        <f>MIN($D96)</f>
        <v>0</v>
      </c>
      <c r="L96" s="1">
        <f>MIN($E96)</f>
        <v>0</v>
      </c>
      <c r="M96" s="1">
        <f>MIN($G96)</f>
        <v>0</v>
      </c>
      <c r="N96" s="1">
        <f>MIN($H96)</f>
        <v>0</v>
      </c>
      <c r="O96" s="1">
        <f>MEDIAN($B96)</f>
        <v>0</v>
      </c>
      <c r="P96" s="1">
        <f>MEDIAN($C96)</f>
        <v>0</v>
      </c>
      <c r="Q96" s="1">
        <f>MEDIAN($D96)</f>
        <v>0</v>
      </c>
      <c r="R96" s="1">
        <f>MEDIAN($E96)</f>
        <v>0</v>
      </c>
      <c r="S96" s="1">
        <f>MEDIAN($G96)</f>
        <v>0</v>
      </c>
      <c r="T96" s="1">
        <f>MEDIAN($H96)</f>
        <v>0</v>
      </c>
      <c r="U96" s="1">
        <f>MAX($B96)</f>
        <v>0</v>
      </c>
      <c r="V96" s="1">
        <f>MAX($C96)</f>
        <v>0</v>
      </c>
      <c r="W96" s="1">
        <f>MAX($D96)</f>
        <v>0</v>
      </c>
      <c r="X96" s="1">
        <f>MAX($E96)</f>
        <v>0</v>
      </c>
      <c r="Y96" s="1">
        <f>MAX($G96)</f>
        <v>0</v>
      </c>
      <c r="Z96" s="1">
        <f>MAX($H96)</f>
        <v>0</v>
      </c>
    </row>
    <row r="97" spans="1:26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/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>
        <f>MIN($B97)</f>
        <v>0</v>
      </c>
      <c r="J97" s="1">
        <f>MIN($C97)</f>
        <v>0</v>
      </c>
      <c r="K97" s="1">
        <f>MIN($D97)</f>
        <v>0</v>
      </c>
      <c r="L97" s="1">
        <f>MIN($E97)</f>
        <v>0</v>
      </c>
      <c r="M97" s="1">
        <f>MIN($G97)</f>
        <v>0</v>
      </c>
      <c r="N97" s="1">
        <f>MIN($H97)</f>
        <v>0</v>
      </c>
      <c r="O97" s="1">
        <f>MEDIAN($B97)</f>
        <v>0</v>
      </c>
      <c r="P97" s="1">
        <f>MEDIAN($C97)</f>
        <v>0</v>
      </c>
      <c r="Q97" s="1">
        <f>MEDIAN($D97)</f>
        <v>0</v>
      </c>
      <c r="R97" s="1">
        <f>MEDIAN($E97)</f>
        <v>0</v>
      </c>
      <c r="S97" s="1">
        <f>MEDIAN($G97)</f>
        <v>0</v>
      </c>
      <c r="T97" s="1">
        <f>MEDIAN($H97)</f>
        <v>0</v>
      </c>
      <c r="U97" s="1">
        <f>MAX($B97)</f>
        <v>0</v>
      </c>
      <c r="V97" s="1">
        <f>MAX($C97)</f>
        <v>0</v>
      </c>
      <c r="W97" s="1">
        <f>MAX($D97)</f>
        <v>0</v>
      </c>
      <c r="X97" s="1">
        <f>MAX($E97)</f>
        <v>0</v>
      </c>
      <c r="Y97" s="1">
        <f>MAX($G97)</f>
        <v>0</v>
      </c>
      <c r="Z97" s="1">
        <f>MAX($H97)</f>
        <v>0</v>
      </c>
    </row>
    <row r="98" spans="1:26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/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>
        <f>MIN($B98)</f>
        <v>0</v>
      </c>
      <c r="J98" s="1">
        <f>MIN($C98)</f>
        <v>0</v>
      </c>
      <c r="K98" s="1">
        <f>MIN($D98)</f>
        <v>0</v>
      </c>
      <c r="L98" s="1">
        <f>MIN($E98)</f>
        <v>0</v>
      </c>
      <c r="M98" s="1">
        <f>MIN($G98)</f>
        <v>0</v>
      </c>
      <c r="N98" s="1">
        <f>MIN($H98)</f>
        <v>0</v>
      </c>
      <c r="O98" s="1">
        <f>MEDIAN($B98)</f>
        <v>0</v>
      </c>
      <c r="P98" s="1">
        <f>MEDIAN($C98)</f>
        <v>0</v>
      </c>
      <c r="Q98" s="1">
        <f>MEDIAN($D98)</f>
        <v>0</v>
      </c>
      <c r="R98" s="1">
        <f>MEDIAN($E98)</f>
        <v>0</v>
      </c>
      <c r="S98" s="1">
        <f>MEDIAN($G98)</f>
        <v>0</v>
      </c>
      <c r="T98" s="1">
        <f>MEDIAN($H98)</f>
        <v>0</v>
      </c>
      <c r="U98" s="1">
        <f>MAX($B98)</f>
        <v>0</v>
      </c>
      <c r="V98" s="1">
        <f>MAX($C98)</f>
        <v>0</v>
      </c>
      <c r="W98" s="1">
        <f>MAX($D98)</f>
        <v>0</v>
      </c>
      <c r="X98" s="1">
        <f>MAX($E98)</f>
        <v>0</v>
      </c>
      <c r="Y98" s="1">
        <f>MAX($G98)</f>
        <v>0</v>
      </c>
      <c r="Z98" s="1">
        <f>MAX($H98)</f>
        <v>0</v>
      </c>
    </row>
    <row r="99" spans="1:26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/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>
        <f>MIN($B99)</f>
        <v>0</v>
      </c>
      <c r="J99" s="1">
        <f>MIN($C99)</f>
        <v>0</v>
      </c>
      <c r="K99" s="1">
        <f>MIN($D99)</f>
        <v>0</v>
      </c>
      <c r="L99" s="1">
        <f>MIN($E99)</f>
        <v>0</v>
      </c>
      <c r="M99" s="1">
        <f>MIN($G99)</f>
        <v>0</v>
      </c>
      <c r="N99" s="1">
        <f>MIN($H99)</f>
        <v>0</v>
      </c>
      <c r="O99" s="1">
        <f>MEDIAN($B99)</f>
        <v>0</v>
      </c>
      <c r="P99" s="1">
        <f>MEDIAN($C99)</f>
        <v>0</v>
      </c>
      <c r="Q99" s="1">
        <f>MEDIAN($D99)</f>
        <v>0</v>
      </c>
      <c r="R99" s="1">
        <f>MEDIAN($E99)</f>
        <v>0</v>
      </c>
      <c r="S99" s="1">
        <f>MEDIAN($G99)</f>
        <v>0</v>
      </c>
      <c r="T99" s="1">
        <f>MEDIAN($H99)</f>
        <v>0</v>
      </c>
      <c r="U99" s="1">
        <f>MAX($B99)</f>
        <v>0</v>
      </c>
      <c r="V99" s="1">
        <f>MAX($C99)</f>
        <v>0</v>
      </c>
      <c r="W99" s="1">
        <f>MAX($D99)</f>
        <v>0</v>
      </c>
      <c r="X99" s="1">
        <f>MAX($E99)</f>
        <v>0</v>
      </c>
      <c r="Y99" s="1">
        <f>MAX($G99)</f>
        <v>0</v>
      </c>
      <c r="Z99" s="1">
        <f>MAX($H99)</f>
        <v>0</v>
      </c>
    </row>
    <row r="100" spans="1:26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/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>
        <f>MIN($B100)</f>
        <v>0</v>
      </c>
      <c r="J100" s="1">
        <f>MIN($C100)</f>
        <v>0</v>
      </c>
      <c r="K100" s="1">
        <f>MIN($D100)</f>
        <v>0</v>
      </c>
      <c r="L100" s="1">
        <f>MIN($E100)</f>
        <v>0</v>
      </c>
      <c r="M100" s="1">
        <f>MIN($G100)</f>
        <v>0</v>
      </c>
      <c r="N100" s="1">
        <f>MIN($H100)</f>
        <v>0</v>
      </c>
      <c r="O100" s="1">
        <f>MEDIAN($B100)</f>
        <v>0</v>
      </c>
      <c r="P100" s="1">
        <f>MEDIAN($C100)</f>
        <v>0</v>
      </c>
      <c r="Q100" s="1">
        <f>MEDIAN($D100)</f>
        <v>0</v>
      </c>
      <c r="R100" s="1">
        <f>MEDIAN($E100)</f>
        <v>0</v>
      </c>
      <c r="S100" s="1">
        <f>MEDIAN($G100)</f>
        <v>0</v>
      </c>
      <c r="T100" s="1">
        <f>MEDIAN($H100)</f>
        <v>0</v>
      </c>
      <c r="U100" s="1">
        <f>MAX($B100)</f>
        <v>0</v>
      </c>
      <c r="V100" s="1">
        <f>MAX($C100)</f>
        <v>0</v>
      </c>
      <c r="W100" s="1">
        <f>MAX($D100)</f>
        <v>0</v>
      </c>
      <c r="X100" s="1">
        <f>MAX($E100)</f>
        <v>0</v>
      </c>
      <c r="Y100" s="1">
        <f>MAX($G100)</f>
        <v>0</v>
      </c>
      <c r="Z100" s="1">
        <f>MAX($H100)</f>
        <v>0</v>
      </c>
    </row>
    <row r="101" spans="1:26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/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>
        <f>MIN($B101)</f>
        <v>0</v>
      </c>
      <c r="J101" s="1">
        <f>MIN($C101)</f>
        <v>0</v>
      </c>
      <c r="K101" s="1">
        <f>MIN($D101)</f>
        <v>0</v>
      </c>
      <c r="L101" s="1">
        <f>MIN($E101)</f>
        <v>0</v>
      </c>
      <c r="M101" s="1">
        <f>MIN($G101)</f>
        <v>0</v>
      </c>
      <c r="N101" s="1">
        <f>MIN($H101)</f>
        <v>0</v>
      </c>
      <c r="O101" s="1">
        <f>MEDIAN($B101)</f>
        <v>0</v>
      </c>
      <c r="P101" s="1">
        <f>MEDIAN($C101)</f>
        <v>0</v>
      </c>
      <c r="Q101" s="1">
        <f>MEDIAN($D101)</f>
        <v>0</v>
      </c>
      <c r="R101" s="1">
        <f>MEDIAN($E101)</f>
        <v>0</v>
      </c>
      <c r="S101" s="1">
        <f>MEDIAN($G101)</f>
        <v>0</v>
      </c>
      <c r="T101" s="1">
        <f>MEDIAN($H101)</f>
        <v>0</v>
      </c>
      <c r="U101" s="1">
        <f>MAX($B101)</f>
        <v>0</v>
      </c>
      <c r="V101" s="1">
        <f>MAX($C101)</f>
        <v>0</v>
      </c>
      <c r="W101" s="1">
        <f>MAX($D101)</f>
        <v>0</v>
      </c>
      <c r="X101" s="1">
        <f>MAX($E101)</f>
        <v>0</v>
      </c>
      <c r="Y101" s="1">
        <f>MAX($G101)</f>
        <v>0</v>
      </c>
      <c r="Z101" s="1">
        <f>MAX($H101)</f>
        <v>0</v>
      </c>
    </row>
    <row r="102" spans="1:26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/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>
        <f>MIN($B102)</f>
        <v>0</v>
      </c>
      <c r="J102" s="1">
        <f>MIN($C102)</f>
        <v>0</v>
      </c>
      <c r="K102" s="1">
        <f>MIN($D102)</f>
        <v>0</v>
      </c>
      <c r="L102" s="1">
        <f>MIN($E102)</f>
        <v>0</v>
      </c>
      <c r="M102" s="1">
        <f>MIN($G102)</f>
        <v>0</v>
      </c>
      <c r="N102" s="1">
        <f>MIN($H102)</f>
        <v>0</v>
      </c>
      <c r="O102" s="1">
        <f>MEDIAN($B102)</f>
        <v>0</v>
      </c>
      <c r="P102" s="1">
        <f>MEDIAN($C102)</f>
        <v>0</v>
      </c>
      <c r="Q102" s="1">
        <f>MEDIAN($D102)</f>
        <v>0</v>
      </c>
      <c r="R102" s="1">
        <f>MEDIAN($E102)</f>
        <v>0</v>
      </c>
      <c r="S102" s="1">
        <f>MEDIAN($G102)</f>
        <v>0</v>
      </c>
      <c r="T102" s="1">
        <f>MEDIAN($H102)</f>
        <v>0</v>
      </c>
      <c r="U102" s="1">
        <f>MAX($B102)</f>
        <v>0</v>
      </c>
      <c r="V102" s="1">
        <f>MAX($C102)</f>
        <v>0</v>
      </c>
      <c r="W102" s="1">
        <f>MAX($D102)</f>
        <v>0</v>
      </c>
      <c r="X102" s="1">
        <f>MAX($E102)</f>
        <v>0</v>
      </c>
      <c r="Y102" s="1">
        <f>MAX($G102)</f>
        <v>0</v>
      </c>
      <c r="Z102" s="1">
        <f>MAX($H102)</f>
        <v>0</v>
      </c>
    </row>
    <row r="103" spans="1:26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/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>
        <f>MIN($B103)</f>
        <v>0</v>
      </c>
      <c r="J103" s="1">
        <f>MIN($C103)</f>
        <v>0</v>
      </c>
      <c r="K103" s="1">
        <f>MIN($D103)</f>
        <v>0</v>
      </c>
      <c r="L103" s="1">
        <f>MIN($E103)</f>
        <v>0</v>
      </c>
      <c r="M103" s="1">
        <f>MIN($G103)</f>
        <v>0</v>
      </c>
      <c r="N103" s="1">
        <f>MIN($H103)</f>
        <v>0</v>
      </c>
      <c r="O103" s="1">
        <f>MEDIAN($B103)</f>
        <v>0</v>
      </c>
      <c r="P103" s="1">
        <f>MEDIAN($C103)</f>
        <v>0</v>
      </c>
      <c r="Q103" s="1">
        <f>MEDIAN($D103)</f>
        <v>0</v>
      </c>
      <c r="R103" s="1">
        <f>MEDIAN($E103)</f>
        <v>0</v>
      </c>
      <c r="S103" s="1">
        <f>MEDIAN($G103)</f>
        <v>0</v>
      </c>
      <c r="T103" s="1">
        <f>MEDIAN($H103)</f>
        <v>0</v>
      </c>
      <c r="U103" s="1">
        <f>MAX($B103)</f>
        <v>0</v>
      </c>
      <c r="V103" s="1">
        <f>MAX($C103)</f>
        <v>0</v>
      </c>
      <c r="W103" s="1">
        <f>MAX($D103)</f>
        <v>0</v>
      </c>
      <c r="X103" s="1">
        <f>MAX($E103)</f>
        <v>0</v>
      </c>
      <c r="Y103" s="1">
        <f>MAX($G103)</f>
        <v>0</v>
      </c>
      <c r="Z103" s="1">
        <f>MAX($H103)</f>
        <v>0</v>
      </c>
    </row>
    <row r="104" spans="1:26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/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>
        <f>MIN($B104)</f>
        <v>0</v>
      </c>
      <c r="J104" s="1">
        <f>MIN($C104)</f>
        <v>0</v>
      </c>
      <c r="K104" s="1">
        <f>MIN($D104)</f>
        <v>0</v>
      </c>
      <c r="L104" s="1">
        <f>MIN($E104)</f>
        <v>0</v>
      </c>
      <c r="M104" s="1">
        <f>MIN($G104)</f>
        <v>0</v>
      </c>
      <c r="N104" s="1">
        <f>MIN($H104)</f>
        <v>0</v>
      </c>
      <c r="O104" s="1">
        <f>MEDIAN($B104)</f>
        <v>0</v>
      </c>
      <c r="P104" s="1">
        <f>MEDIAN($C104)</f>
        <v>0</v>
      </c>
      <c r="Q104" s="1">
        <f>MEDIAN($D104)</f>
        <v>0</v>
      </c>
      <c r="R104" s="1">
        <f>MEDIAN($E104)</f>
        <v>0</v>
      </c>
      <c r="S104" s="1">
        <f>MEDIAN($G104)</f>
        <v>0</v>
      </c>
      <c r="T104" s="1">
        <f>MEDIAN($H104)</f>
        <v>0</v>
      </c>
      <c r="U104" s="1">
        <f>MAX($B104)</f>
        <v>0</v>
      </c>
      <c r="V104" s="1">
        <f>MAX($C104)</f>
        <v>0</v>
      </c>
      <c r="W104" s="1">
        <f>MAX($D104)</f>
        <v>0</v>
      </c>
      <c r="X104" s="1">
        <f>MAX($E104)</f>
        <v>0</v>
      </c>
      <c r="Y104" s="1">
        <f>MAX($G104)</f>
        <v>0</v>
      </c>
      <c r="Z104" s="1">
        <f>MAX($H104)</f>
        <v>0</v>
      </c>
    </row>
    <row r="105" spans="1:26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/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>
        <f>MIN($B105)</f>
        <v>0</v>
      </c>
      <c r="J105" s="1">
        <f>MIN($C105)</f>
        <v>0</v>
      </c>
      <c r="K105" s="1">
        <f>MIN($D105)</f>
        <v>0</v>
      </c>
      <c r="L105" s="1">
        <f>MIN($E105)</f>
        <v>0</v>
      </c>
      <c r="M105" s="1">
        <f>MIN($G105)</f>
        <v>0</v>
      </c>
      <c r="N105" s="1">
        <f>MIN($H105)</f>
        <v>0</v>
      </c>
      <c r="O105" s="1">
        <f>MEDIAN($B105)</f>
        <v>0</v>
      </c>
      <c r="P105" s="1">
        <f>MEDIAN($C105)</f>
        <v>0</v>
      </c>
      <c r="Q105" s="1">
        <f>MEDIAN($D105)</f>
        <v>0</v>
      </c>
      <c r="R105" s="1">
        <f>MEDIAN($E105)</f>
        <v>0</v>
      </c>
      <c r="S105" s="1">
        <f>MEDIAN($G105)</f>
        <v>0</v>
      </c>
      <c r="T105" s="1">
        <f>MEDIAN($H105)</f>
        <v>0</v>
      </c>
      <c r="U105" s="1">
        <f>MAX($B105)</f>
        <v>0</v>
      </c>
      <c r="V105" s="1">
        <f>MAX($C105)</f>
        <v>0</v>
      </c>
      <c r="W105" s="1">
        <f>MAX($D105)</f>
        <v>0</v>
      </c>
      <c r="X105" s="1">
        <f>MAX($E105)</f>
        <v>0</v>
      </c>
      <c r="Y105" s="1">
        <f>MAX($G105)</f>
        <v>0</v>
      </c>
      <c r="Z105" s="1">
        <f>MAX($H105)</f>
        <v>0</v>
      </c>
    </row>
    <row r="106" spans="1:26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/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>
        <f>MIN($B106)</f>
        <v>0</v>
      </c>
      <c r="J106" s="1">
        <f>MIN($C106)</f>
        <v>0</v>
      </c>
      <c r="K106" s="1">
        <f>MIN($D106)</f>
        <v>0</v>
      </c>
      <c r="L106" s="1">
        <f>MIN($E106)</f>
        <v>0</v>
      </c>
      <c r="M106" s="1">
        <f>MIN($G106)</f>
        <v>0</v>
      </c>
      <c r="N106" s="1">
        <f>MIN($H106)</f>
        <v>0</v>
      </c>
      <c r="O106" s="1">
        <f>MEDIAN($B106)</f>
        <v>0</v>
      </c>
      <c r="P106" s="1">
        <f>MEDIAN($C106)</f>
        <v>0</v>
      </c>
      <c r="Q106" s="1">
        <f>MEDIAN($D106)</f>
        <v>0</v>
      </c>
      <c r="R106" s="1">
        <f>MEDIAN($E106)</f>
        <v>0</v>
      </c>
      <c r="S106" s="1">
        <f>MEDIAN($G106)</f>
        <v>0</v>
      </c>
      <c r="T106" s="1">
        <f>MEDIAN($H106)</f>
        <v>0</v>
      </c>
      <c r="U106" s="1">
        <f>MAX($B106)</f>
        <v>0</v>
      </c>
      <c r="V106" s="1">
        <f>MAX($C106)</f>
        <v>0</v>
      </c>
      <c r="W106" s="1">
        <f>MAX($D106)</f>
        <v>0</v>
      </c>
      <c r="X106" s="1">
        <f>MAX($E106)</f>
        <v>0</v>
      </c>
      <c r="Y106" s="1">
        <f>MAX($G106)</f>
        <v>0</v>
      </c>
      <c r="Z106" s="1">
        <f>MAX($H106)</f>
        <v>0</v>
      </c>
    </row>
    <row r="107" spans="1:26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/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>
        <f>MIN($B107)</f>
        <v>0</v>
      </c>
      <c r="J107" s="1">
        <f>MIN($C107)</f>
        <v>0</v>
      </c>
      <c r="K107" s="1">
        <f>MIN($D107)</f>
        <v>0</v>
      </c>
      <c r="L107" s="1">
        <f>MIN($E107)</f>
        <v>0</v>
      </c>
      <c r="M107" s="1">
        <f>MIN($G107)</f>
        <v>0</v>
      </c>
      <c r="N107" s="1">
        <f>MIN($H107)</f>
        <v>0</v>
      </c>
      <c r="O107" s="1">
        <f>MEDIAN($B107)</f>
        <v>0</v>
      </c>
      <c r="P107" s="1">
        <f>MEDIAN($C107)</f>
        <v>0</v>
      </c>
      <c r="Q107" s="1">
        <f>MEDIAN($D107)</f>
        <v>0</v>
      </c>
      <c r="R107" s="1">
        <f>MEDIAN($E107)</f>
        <v>0</v>
      </c>
      <c r="S107" s="1">
        <f>MEDIAN($G107)</f>
        <v>0</v>
      </c>
      <c r="T107" s="1">
        <f>MEDIAN($H107)</f>
        <v>0</v>
      </c>
      <c r="U107" s="1">
        <f>MAX($B107)</f>
        <v>0</v>
      </c>
      <c r="V107" s="1">
        <f>MAX($C107)</f>
        <v>0</v>
      </c>
      <c r="W107" s="1">
        <f>MAX($D107)</f>
        <v>0</v>
      </c>
      <c r="X107" s="1">
        <f>MAX($E107)</f>
        <v>0</v>
      </c>
      <c r="Y107" s="1">
        <f>MAX($G107)</f>
        <v>0</v>
      </c>
      <c r="Z107" s="1">
        <f>MAX($H107)</f>
        <v>0</v>
      </c>
    </row>
    <row r="108" spans="1:26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/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>
        <f>MIN($B108)</f>
        <v>0</v>
      </c>
      <c r="J108" s="1">
        <f>MIN($C108)</f>
        <v>0</v>
      </c>
      <c r="K108" s="1">
        <f>MIN($D108)</f>
        <v>0</v>
      </c>
      <c r="L108" s="1">
        <f>MIN($E108)</f>
        <v>0</v>
      </c>
      <c r="M108" s="1">
        <f>MIN($G108)</f>
        <v>0</v>
      </c>
      <c r="N108" s="1">
        <f>MIN($H108)</f>
        <v>0</v>
      </c>
      <c r="O108" s="1">
        <f>MEDIAN($B108)</f>
        <v>0</v>
      </c>
      <c r="P108" s="1">
        <f>MEDIAN($C108)</f>
        <v>0</v>
      </c>
      <c r="Q108" s="1">
        <f>MEDIAN($D108)</f>
        <v>0</v>
      </c>
      <c r="R108" s="1">
        <f>MEDIAN($E108)</f>
        <v>0</v>
      </c>
      <c r="S108" s="1">
        <f>MEDIAN($G108)</f>
        <v>0</v>
      </c>
      <c r="T108" s="1">
        <f>MEDIAN($H108)</f>
        <v>0</v>
      </c>
      <c r="U108" s="1">
        <f>MAX($B108)</f>
        <v>0</v>
      </c>
      <c r="V108" s="1">
        <f>MAX($C108)</f>
        <v>0</v>
      </c>
      <c r="W108" s="1">
        <f>MAX($D108)</f>
        <v>0</v>
      </c>
      <c r="X108" s="1">
        <f>MAX($E108)</f>
        <v>0</v>
      </c>
      <c r="Y108" s="1">
        <f>MAX($G108)</f>
        <v>0</v>
      </c>
      <c r="Z108" s="1">
        <f>MAX($H108)</f>
        <v>0</v>
      </c>
    </row>
    <row r="109" spans="1:26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/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>
        <f>MIN($B109)</f>
        <v>0</v>
      </c>
      <c r="J109" s="1">
        <f>MIN($C109)</f>
        <v>0</v>
      </c>
      <c r="K109" s="1">
        <f>MIN($D109)</f>
        <v>0</v>
      </c>
      <c r="L109" s="1">
        <f>MIN($E109)</f>
        <v>0</v>
      </c>
      <c r="M109" s="1">
        <f>MIN($G109)</f>
        <v>0</v>
      </c>
      <c r="N109" s="1">
        <f>MIN($H109)</f>
        <v>0</v>
      </c>
      <c r="O109" s="1">
        <f>MEDIAN($B109)</f>
        <v>0</v>
      </c>
      <c r="P109" s="1">
        <f>MEDIAN($C109)</f>
        <v>0</v>
      </c>
      <c r="Q109" s="1">
        <f>MEDIAN($D109)</f>
        <v>0</v>
      </c>
      <c r="R109" s="1">
        <f>MEDIAN($E109)</f>
        <v>0</v>
      </c>
      <c r="S109" s="1">
        <f>MEDIAN($G109)</f>
        <v>0</v>
      </c>
      <c r="T109" s="1">
        <f>MEDIAN($H109)</f>
        <v>0</v>
      </c>
      <c r="U109" s="1">
        <f>MAX($B109)</f>
        <v>0</v>
      </c>
      <c r="V109" s="1">
        <f>MAX($C109)</f>
        <v>0</v>
      </c>
      <c r="W109" s="1">
        <f>MAX($D109)</f>
        <v>0</v>
      </c>
      <c r="X109" s="1">
        <f>MAX($E109)</f>
        <v>0</v>
      </c>
      <c r="Y109" s="1">
        <f>MAX($G109)</f>
        <v>0</v>
      </c>
      <c r="Z109" s="1">
        <f>MAX($H109)</f>
        <v>0</v>
      </c>
    </row>
    <row r="110" spans="1:26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/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>
        <f>MIN($B110)</f>
        <v>0</v>
      </c>
      <c r="J110" s="1">
        <f>MIN($C110)</f>
        <v>0</v>
      </c>
      <c r="K110" s="1">
        <f>MIN($D110)</f>
        <v>0</v>
      </c>
      <c r="L110" s="1">
        <f>MIN($E110)</f>
        <v>0</v>
      </c>
      <c r="M110" s="1">
        <f>MIN($G110)</f>
        <v>0</v>
      </c>
      <c r="N110" s="1">
        <f>MIN($H110)</f>
        <v>0</v>
      </c>
      <c r="O110" s="1">
        <f>MEDIAN($B110)</f>
        <v>0</v>
      </c>
      <c r="P110" s="1">
        <f>MEDIAN($C110)</f>
        <v>0</v>
      </c>
      <c r="Q110" s="1">
        <f>MEDIAN($D110)</f>
        <v>0</v>
      </c>
      <c r="R110" s="1">
        <f>MEDIAN($E110)</f>
        <v>0</v>
      </c>
      <c r="S110" s="1">
        <f>MEDIAN($G110)</f>
        <v>0</v>
      </c>
      <c r="T110" s="1">
        <f>MEDIAN($H110)</f>
        <v>0</v>
      </c>
      <c r="U110" s="1">
        <f>MAX($B110)</f>
        <v>0</v>
      </c>
      <c r="V110" s="1">
        <f>MAX($C110)</f>
        <v>0</v>
      </c>
      <c r="W110" s="1">
        <f>MAX($D110)</f>
        <v>0</v>
      </c>
      <c r="X110" s="1">
        <f>MAX($E110)</f>
        <v>0</v>
      </c>
      <c r="Y110" s="1">
        <f>MAX($G110)</f>
        <v>0</v>
      </c>
      <c r="Z110" s="1">
        <f>MAX($H110)</f>
        <v>0</v>
      </c>
    </row>
    <row r="111" spans="1:26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/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>
        <f>MIN($B111)</f>
        <v>0</v>
      </c>
      <c r="J111" s="1">
        <f>MIN($C111)</f>
        <v>0</v>
      </c>
      <c r="K111" s="1">
        <f>MIN($D111)</f>
        <v>0</v>
      </c>
      <c r="L111" s="1">
        <f>MIN($E111)</f>
        <v>0</v>
      </c>
      <c r="M111" s="1">
        <f>MIN($G111)</f>
        <v>0</v>
      </c>
      <c r="N111" s="1">
        <f>MIN($H111)</f>
        <v>0</v>
      </c>
      <c r="O111" s="1">
        <f>MEDIAN($B111)</f>
        <v>0</v>
      </c>
      <c r="P111" s="1">
        <f>MEDIAN($C111)</f>
        <v>0</v>
      </c>
      <c r="Q111" s="1">
        <f>MEDIAN($D111)</f>
        <v>0</v>
      </c>
      <c r="R111" s="1">
        <f>MEDIAN($E111)</f>
        <v>0</v>
      </c>
      <c r="S111" s="1">
        <f>MEDIAN($G111)</f>
        <v>0</v>
      </c>
      <c r="T111" s="1">
        <f>MEDIAN($H111)</f>
        <v>0</v>
      </c>
      <c r="U111" s="1">
        <f>MAX($B111)</f>
        <v>0</v>
      </c>
      <c r="V111" s="1">
        <f>MAX($C111)</f>
        <v>0</v>
      </c>
      <c r="W111" s="1">
        <f>MAX($D111)</f>
        <v>0</v>
      </c>
      <c r="X111" s="1">
        <f>MAX($E111)</f>
        <v>0</v>
      </c>
      <c r="Y111" s="1">
        <f>MAX($G111)</f>
        <v>0</v>
      </c>
      <c r="Z111" s="1">
        <f>MAX($H111)</f>
        <v>0</v>
      </c>
    </row>
    <row r="112" spans="1:26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/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>
        <f>MIN($B112)</f>
        <v>0</v>
      </c>
      <c r="J112" s="1">
        <f>MIN($C112)</f>
        <v>0</v>
      </c>
      <c r="K112" s="1">
        <f>MIN($D112)</f>
        <v>0</v>
      </c>
      <c r="L112" s="1">
        <f>MIN($E112)</f>
        <v>0</v>
      </c>
      <c r="M112" s="1">
        <f>MIN($G112)</f>
        <v>0</v>
      </c>
      <c r="N112" s="1">
        <f>MIN($H112)</f>
        <v>0</v>
      </c>
      <c r="O112" s="1">
        <f>MEDIAN($B112)</f>
        <v>0</v>
      </c>
      <c r="P112" s="1">
        <f>MEDIAN($C112)</f>
        <v>0</v>
      </c>
      <c r="Q112" s="1">
        <f>MEDIAN($D112)</f>
        <v>0</v>
      </c>
      <c r="R112" s="1">
        <f>MEDIAN($E112)</f>
        <v>0</v>
      </c>
      <c r="S112" s="1">
        <f>MEDIAN($G112)</f>
        <v>0</v>
      </c>
      <c r="T112" s="1">
        <f>MEDIAN($H112)</f>
        <v>0</v>
      </c>
      <c r="U112" s="1">
        <f>MAX($B112)</f>
        <v>0</v>
      </c>
      <c r="V112" s="1">
        <f>MAX($C112)</f>
        <v>0</v>
      </c>
      <c r="W112" s="1">
        <f>MAX($D112)</f>
        <v>0</v>
      </c>
      <c r="X112" s="1">
        <f>MAX($E112)</f>
        <v>0</v>
      </c>
      <c r="Y112" s="1">
        <f>MAX($G112)</f>
        <v>0</v>
      </c>
      <c r="Z112" s="1">
        <f>MAX($H112)</f>
        <v>0</v>
      </c>
    </row>
    <row r="113" spans="1:26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/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>
        <f>MIN($B113)</f>
        <v>0</v>
      </c>
      <c r="J113" s="1">
        <f>MIN($C113)</f>
        <v>0</v>
      </c>
      <c r="K113" s="1">
        <f>MIN($D113)</f>
        <v>0</v>
      </c>
      <c r="L113" s="1">
        <f>MIN($E113)</f>
        <v>0</v>
      </c>
      <c r="M113" s="1">
        <f>MIN($G113)</f>
        <v>0</v>
      </c>
      <c r="N113" s="1">
        <f>MIN($H113)</f>
        <v>0</v>
      </c>
      <c r="O113" s="1">
        <f>MEDIAN($B113)</f>
        <v>0</v>
      </c>
      <c r="P113" s="1">
        <f>MEDIAN($C113)</f>
        <v>0</v>
      </c>
      <c r="Q113" s="1">
        <f>MEDIAN($D113)</f>
        <v>0</v>
      </c>
      <c r="R113" s="1">
        <f>MEDIAN($E113)</f>
        <v>0</v>
      </c>
      <c r="S113" s="1">
        <f>MEDIAN($G113)</f>
        <v>0</v>
      </c>
      <c r="T113" s="1">
        <f>MEDIAN($H113)</f>
        <v>0</v>
      </c>
      <c r="U113" s="1">
        <f>MAX($B113)</f>
        <v>0</v>
      </c>
      <c r="V113" s="1">
        <f>MAX($C113)</f>
        <v>0</v>
      </c>
      <c r="W113" s="1">
        <f>MAX($D113)</f>
        <v>0</v>
      </c>
      <c r="X113" s="1">
        <f>MAX($E113)</f>
        <v>0</v>
      </c>
      <c r="Y113" s="1">
        <f>MAX($G113)</f>
        <v>0</v>
      </c>
      <c r="Z113" s="1">
        <f>MAX($H113)</f>
        <v>0</v>
      </c>
    </row>
    <row r="114" spans="1:26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/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>
        <f>MIN($B114)</f>
        <v>0</v>
      </c>
      <c r="J114" s="1">
        <f>MIN($C114)</f>
        <v>0</v>
      </c>
      <c r="K114" s="1">
        <f>MIN($D114)</f>
        <v>0</v>
      </c>
      <c r="L114" s="1">
        <f>MIN($E114)</f>
        <v>0</v>
      </c>
      <c r="M114" s="1">
        <f>MIN($G114)</f>
        <v>0</v>
      </c>
      <c r="N114" s="1">
        <f>MIN($H114)</f>
        <v>0</v>
      </c>
      <c r="O114" s="1">
        <f>MEDIAN($B114)</f>
        <v>0</v>
      </c>
      <c r="P114" s="1">
        <f>MEDIAN($C114)</f>
        <v>0</v>
      </c>
      <c r="Q114" s="1">
        <f>MEDIAN($D114)</f>
        <v>0</v>
      </c>
      <c r="R114" s="1">
        <f>MEDIAN($E114)</f>
        <v>0</v>
      </c>
      <c r="S114" s="1">
        <f>MEDIAN($G114)</f>
        <v>0</v>
      </c>
      <c r="T114" s="1">
        <f>MEDIAN($H114)</f>
        <v>0</v>
      </c>
      <c r="U114" s="1">
        <f>MAX($B114)</f>
        <v>0</v>
      </c>
      <c r="V114" s="1">
        <f>MAX($C114)</f>
        <v>0</v>
      </c>
      <c r="W114" s="1">
        <f>MAX($D114)</f>
        <v>0</v>
      </c>
      <c r="X114" s="1">
        <f>MAX($E114)</f>
        <v>0</v>
      </c>
      <c r="Y114" s="1">
        <f>MAX($G114)</f>
        <v>0</v>
      </c>
      <c r="Z114" s="1">
        <f>MAX($H114)</f>
        <v>0</v>
      </c>
    </row>
    <row r="115" spans="1:26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/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>
        <f>MIN($B115)</f>
        <v>0</v>
      </c>
      <c r="J115" s="1">
        <f>MIN($C115)</f>
        <v>0</v>
      </c>
      <c r="K115" s="1">
        <f>MIN($D115)</f>
        <v>0</v>
      </c>
      <c r="L115" s="1">
        <f>MIN($E115)</f>
        <v>0</v>
      </c>
      <c r="M115" s="1">
        <f>MIN($G115)</f>
        <v>0</v>
      </c>
      <c r="N115" s="1">
        <f>MIN($H115)</f>
        <v>0</v>
      </c>
      <c r="O115" s="1">
        <f>MEDIAN($B115)</f>
        <v>0</v>
      </c>
      <c r="P115" s="1">
        <f>MEDIAN($C115)</f>
        <v>0</v>
      </c>
      <c r="Q115" s="1">
        <f>MEDIAN($D115)</f>
        <v>0</v>
      </c>
      <c r="R115" s="1">
        <f>MEDIAN($E115)</f>
        <v>0</v>
      </c>
      <c r="S115" s="1">
        <f>MEDIAN($G115)</f>
        <v>0</v>
      </c>
      <c r="T115" s="1">
        <f>MEDIAN($H115)</f>
        <v>0</v>
      </c>
      <c r="U115" s="1">
        <f>MAX($B115)</f>
        <v>0</v>
      </c>
      <c r="V115" s="1">
        <f>MAX($C115)</f>
        <v>0</v>
      </c>
      <c r="W115" s="1">
        <f>MAX($D115)</f>
        <v>0</v>
      </c>
      <c r="X115" s="1">
        <f>MAX($E115)</f>
        <v>0</v>
      </c>
      <c r="Y115" s="1">
        <f>MAX($G115)</f>
        <v>0</v>
      </c>
      <c r="Z115" s="1">
        <f>MAX($H115)</f>
        <v>0</v>
      </c>
    </row>
    <row r="116" spans="1:26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/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>
        <f>MIN($B116)</f>
        <v>0</v>
      </c>
      <c r="J116" s="1">
        <f>MIN($C116)</f>
        <v>0</v>
      </c>
      <c r="K116" s="1">
        <f>MIN($D116)</f>
        <v>0</v>
      </c>
      <c r="L116" s="1">
        <f>MIN($E116)</f>
        <v>0</v>
      </c>
      <c r="M116" s="1">
        <f>MIN($G116)</f>
        <v>0</v>
      </c>
      <c r="N116" s="1">
        <f>MIN($H116)</f>
        <v>0</v>
      </c>
      <c r="O116" s="1">
        <f>MEDIAN($B116)</f>
        <v>0</v>
      </c>
      <c r="P116" s="1">
        <f>MEDIAN($C116)</f>
        <v>0</v>
      </c>
      <c r="Q116" s="1">
        <f>MEDIAN($D116)</f>
        <v>0</v>
      </c>
      <c r="R116" s="1">
        <f>MEDIAN($E116)</f>
        <v>0</v>
      </c>
      <c r="S116" s="1">
        <f>MEDIAN($G116)</f>
        <v>0</v>
      </c>
      <c r="T116" s="1">
        <f>MEDIAN($H116)</f>
        <v>0</v>
      </c>
      <c r="U116" s="1">
        <f>MAX($B116)</f>
        <v>0</v>
      </c>
      <c r="V116" s="1">
        <f>MAX($C116)</f>
        <v>0</v>
      </c>
      <c r="W116" s="1">
        <f>MAX($D116)</f>
        <v>0</v>
      </c>
      <c r="X116" s="1">
        <f>MAX($E116)</f>
        <v>0</v>
      </c>
      <c r="Y116" s="1">
        <f>MAX($G116)</f>
        <v>0</v>
      </c>
      <c r="Z116" s="1">
        <f>MAX($H116)</f>
        <v>0</v>
      </c>
    </row>
    <row r="117" spans="1:26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/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>
        <f>MIN($B117)</f>
        <v>0</v>
      </c>
      <c r="J117" s="1">
        <f>MIN($C117)</f>
        <v>0</v>
      </c>
      <c r="K117" s="1">
        <f>MIN($D117)</f>
        <v>0</v>
      </c>
      <c r="L117" s="1">
        <f>MIN($E117)</f>
        <v>0</v>
      </c>
      <c r="M117" s="1">
        <f>MIN($G117)</f>
        <v>0</v>
      </c>
      <c r="N117" s="1">
        <f>MIN($H117)</f>
        <v>0</v>
      </c>
      <c r="O117" s="1">
        <f>MEDIAN($B117)</f>
        <v>0</v>
      </c>
      <c r="P117" s="1">
        <f>MEDIAN($C117)</f>
        <v>0</v>
      </c>
      <c r="Q117" s="1">
        <f>MEDIAN($D117)</f>
        <v>0</v>
      </c>
      <c r="R117" s="1">
        <f>MEDIAN($E117)</f>
        <v>0</v>
      </c>
      <c r="S117" s="1">
        <f>MEDIAN($G117)</f>
        <v>0</v>
      </c>
      <c r="T117" s="1">
        <f>MEDIAN($H117)</f>
        <v>0</v>
      </c>
      <c r="U117" s="1">
        <f>MAX($B117)</f>
        <v>0</v>
      </c>
      <c r="V117" s="1">
        <f>MAX($C117)</f>
        <v>0</v>
      </c>
      <c r="W117" s="1">
        <f>MAX($D117)</f>
        <v>0</v>
      </c>
      <c r="X117" s="1">
        <f>MAX($E117)</f>
        <v>0</v>
      </c>
      <c r="Y117" s="1">
        <f>MAX($G117)</f>
        <v>0</v>
      </c>
      <c r="Z117" s="1">
        <f>MAX($H117)</f>
        <v>0</v>
      </c>
    </row>
    <row r="118" spans="1:26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/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>
        <f>MIN($B118)</f>
        <v>0</v>
      </c>
      <c r="J118" s="1">
        <f>MIN($C118)</f>
        <v>0</v>
      </c>
      <c r="K118" s="1">
        <f>MIN($D118)</f>
        <v>0</v>
      </c>
      <c r="L118" s="1">
        <f>MIN($E118)</f>
        <v>0</v>
      </c>
      <c r="M118" s="1">
        <f>MIN($G118)</f>
        <v>0</v>
      </c>
      <c r="N118" s="1">
        <f>MIN($H118)</f>
        <v>0</v>
      </c>
      <c r="O118" s="1">
        <f>MEDIAN($B118)</f>
        <v>0</v>
      </c>
      <c r="P118" s="1">
        <f>MEDIAN($C118)</f>
        <v>0</v>
      </c>
      <c r="Q118" s="1">
        <f>MEDIAN($D118)</f>
        <v>0</v>
      </c>
      <c r="R118" s="1">
        <f>MEDIAN($E118)</f>
        <v>0</v>
      </c>
      <c r="S118" s="1">
        <f>MEDIAN($G118)</f>
        <v>0</v>
      </c>
      <c r="T118" s="1">
        <f>MEDIAN($H118)</f>
        <v>0</v>
      </c>
      <c r="U118" s="1">
        <f>MAX($B118)</f>
        <v>0</v>
      </c>
      <c r="V118" s="1">
        <f>MAX($C118)</f>
        <v>0</v>
      </c>
      <c r="W118" s="1">
        <f>MAX($D118)</f>
        <v>0</v>
      </c>
      <c r="X118" s="1">
        <f>MAX($E118)</f>
        <v>0</v>
      </c>
      <c r="Y118" s="1">
        <f>MAX($G118)</f>
        <v>0</v>
      </c>
      <c r="Z118" s="1">
        <f>MAX($H118)</f>
        <v>0</v>
      </c>
    </row>
    <row r="119" spans="1:26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/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>
        <f>MIN($B119)</f>
        <v>0</v>
      </c>
      <c r="J119" s="1">
        <f>MIN($C119)</f>
        <v>0</v>
      </c>
      <c r="K119" s="1">
        <f>MIN($D119)</f>
        <v>0</v>
      </c>
      <c r="L119" s="1">
        <f>MIN($E119)</f>
        <v>0</v>
      </c>
      <c r="M119" s="1">
        <f>MIN($G119)</f>
        <v>0</v>
      </c>
      <c r="N119" s="1">
        <f>MIN($H119)</f>
        <v>0</v>
      </c>
      <c r="O119" s="1">
        <f>MEDIAN($B119)</f>
        <v>0</v>
      </c>
      <c r="P119" s="1">
        <f>MEDIAN($C119)</f>
        <v>0</v>
      </c>
      <c r="Q119" s="1">
        <f>MEDIAN($D119)</f>
        <v>0</v>
      </c>
      <c r="R119" s="1">
        <f>MEDIAN($E119)</f>
        <v>0</v>
      </c>
      <c r="S119" s="1">
        <f>MEDIAN($G119)</f>
        <v>0</v>
      </c>
      <c r="T119" s="1">
        <f>MEDIAN($H119)</f>
        <v>0</v>
      </c>
      <c r="U119" s="1">
        <f>MAX($B119)</f>
        <v>0</v>
      </c>
      <c r="V119" s="1">
        <f>MAX($C119)</f>
        <v>0</v>
      </c>
      <c r="W119" s="1">
        <f>MAX($D119)</f>
        <v>0</v>
      </c>
      <c r="X119" s="1">
        <f>MAX($E119)</f>
        <v>0</v>
      </c>
      <c r="Y119" s="1">
        <f>MAX($G119)</f>
        <v>0</v>
      </c>
      <c r="Z119" s="1">
        <f>MAX($H119)</f>
        <v>0</v>
      </c>
    </row>
    <row r="120" spans="1:26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/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>
        <f>MIN($B120)</f>
        <v>0</v>
      </c>
      <c r="J120" s="1">
        <f>MIN($C120)</f>
        <v>0</v>
      </c>
      <c r="K120" s="1">
        <f>MIN($D120)</f>
        <v>0</v>
      </c>
      <c r="L120" s="1">
        <f>MIN($E120)</f>
        <v>0</v>
      </c>
      <c r="M120" s="1">
        <f>MIN($G120)</f>
        <v>0</v>
      </c>
      <c r="N120" s="1">
        <f>MIN($H120)</f>
        <v>0</v>
      </c>
      <c r="O120" s="1">
        <f>MEDIAN($B120)</f>
        <v>0</v>
      </c>
      <c r="P120" s="1">
        <f>MEDIAN($C120)</f>
        <v>0</v>
      </c>
      <c r="Q120" s="1">
        <f>MEDIAN($D120)</f>
        <v>0</v>
      </c>
      <c r="R120" s="1">
        <f>MEDIAN($E120)</f>
        <v>0</v>
      </c>
      <c r="S120" s="1">
        <f>MEDIAN($G120)</f>
        <v>0</v>
      </c>
      <c r="T120" s="1">
        <f>MEDIAN($H120)</f>
        <v>0</v>
      </c>
      <c r="U120" s="1">
        <f>MAX($B120)</f>
        <v>0</v>
      </c>
      <c r="V120" s="1">
        <f>MAX($C120)</f>
        <v>0</v>
      </c>
      <c r="W120" s="1">
        <f>MAX($D120)</f>
        <v>0</v>
      </c>
      <c r="X120" s="1">
        <f>MAX($E120)</f>
        <v>0</v>
      </c>
      <c r="Y120" s="1">
        <f>MAX($G120)</f>
        <v>0</v>
      </c>
      <c r="Z120" s="1">
        <f>MAX($H120)</f>
        <v>0</v>
      </c>
    </row>
    <row r="121" spans="1:26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/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>
        <f>MIN($B121)</f>
        <v>0</v>
      </c>
      <c r="J121" s="1">
        <f>MIN($C121)</f>
        <v>0</v>
      </c>
      <c r="K121" s="1">
        <f>MIN($D121)</f>
        <v>0</v>
      </c>
      <c r="L121" s="1">
        <f>MIN($E121)</f>
        <v>0</v>
      </c>
      <c r="M121" s="1">
        <f>MIN($G121)</f>
        <v>0</v>
      </c>
      <c r="N121" s="1">
        <f>MIN($H121)</f>
        <v>0</v>
      </c>
      <c r="O121" s="1">
        <f>MEDIAN($B121)</f>
        <v>0</v>
      </c>
      <c r="P121" s="1">
        <f>MEDIAN($C121)</f>
        <v>0</v>
      </c>
      <c r="Q121" s="1">
        <f>MEDIAN($D121)</f>
        <v>0</v>
      </c>
      <c r="R121" s="1">
        <f>MEDIAN($E121)</f>
        <v>0</v>
      </c>
      <c r="S121" s="1">
        <f>MEDIAN($G121)</f>
        <v>0</v>
      </c>
      <c r="T121" s="1">
        <f>MEDIAN($H121)</f>
        <v>0</v>
      </c>
      <c r="U121" s="1">
        <f>MAX($B121)</f>
        <v>0</v>
      </c>
      <c r="V121" s="1">
        <f>MAX($C121)</f>
        <v>0</v>
      </c>
      <c r="W121" s="1">
        <f>MAX($D121)</f>
        <v>0</v>
      </c>
      <c r="X121" s="1">
        <f>MAX($E121)</f>
        <v>0</v>
      </c>
      <c r="Y121" s="1">
        <f>MAX($G121)</f>
        <v>0</v>
      </c>
      <c r="Z121" s="1">
        <f>MAX($H121)</f>
        <v>0</v>
      </c>
    </row>
    <row r="122" spans="1:26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/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>
        <f>MIN($B122)</f>
        <v>0</v>
      </c>
      <c r="J122" s="1">
        <f>MIN($C122)</f>
        <v>0</v>
      </c>
      <c r="K122" s="1">
        <f>MIN($D122)</f>
        <v>0</v>
      </c>
      <c r="L122" s="1">
        <f>MIN($E122)</f>
        <v>0</v>
      </c>
      <c r="M122" s="1">
        <f>MIN($G122)</f>
        <v>0</v>
      </c>
      <c r="N122" s="1">
        <f>MIN($H122)</f>
        <v>0</v>
      </c>
      <c r="O122" s="1">
        <f>MEDIAN($B122)</f>
        <v>0</v>
      </c>
      <c r="P122" s="1">
        <f>MEDIAN($C122)</f>
        <v>0</v>
      </c>
      <c r="Q122" s="1">
        <f>MEDIAN($D122)</f>
        <v>0</v>
      </c>
      <c r="R122" s="1">
        <f>MEDIAN($E122)</f>
        <v>0</v>
      </c>
      <c r="S122" s="1">
        <f>MEDIAN($G122)</f>
        <v>0</v>
      </c>
      <c r="T122" s="1">
        <f>MEDIAN($H122)</f>
        <v>0</v>
      </c>
      <c r="U122" s="1">
        <f>MAX($B122)</f>
        <v>0</v>
      </c>
      <c r="V122" s="1">
        <f>MAX($C122)</f>
        <v>0</v>
      </c>
      <c r="W122" s="1">
        <f>MAX($D122)</f>
        <v>0</v>
      </c>
      <c r="X122" s="1">
        <f>MAX($E122)</f>
        <v>0</v>
      </c>
      <c r="Y122" s="1">
        <f>MAX($G122)</f>
        <v>0</v>
      </c>
      <c r="Z122" s="1">
        <f>MAX($H122)</f>
        <v>0</v>
      </c>
    </row>
    <row r="123" spans="1:26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/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>
        <f>MIN($B123)</f>
        <v>0</v>
      </c>
      <c r="J123" s="1">
        <f>MIN($C123)</f>
        <v>0</v>
      </c>
      <c r="K123" s="1">
        <f>MIN($D123)</f>
        <v>0</v>
      </c>
      <c r="L123" s="1">
        <f>MIN($E123)</f>
        <v>0</v>
      </c>
      <c r="M123" s="1">
        <f>MIN($G123)</f>
        <v>0</v>
      </c>
      <c r="N123" s="1">
        <f>MIN($H123)</f>
        <v>0</v>
      </c>
      <c r="O123" s="1">
        <f>MEDIAN($B123)</f>
        <v>0</v>
      </c>
      <c r="P123" s="1">
        <f>MEDIAN($C123)</f>
        <v>0</v>
      </c>
      <c r="Q123" s="1">
        <f>MEDIAN($D123)</f>
        <v>0</v>
      </c>
      <c r="R123" s="1">
        <f>MEDIAN($E123)</f>
        <v>0</v>
      </c>
      <c r="S123" s="1">
        <f>MEDIAN($G123)</f>
        <v>0</v>
      </c>
      <c r="T123" s="1">
        <f>MEDIAN($H123)</f>
        <v>0</v>
      </c>
      <c r="U123" s="1">
        <f>MAX($B123)</f>
        <v>0</v>
      </c>
      <c r="V123" s="1">
        <f>MAX($C123)</f>
        <v>0</v>
      </c>
      <c r="W123" s="1">
        <f>MAX($D123)</f>
        <v>0</v>
      </c>
      <c r="X123" s="1">
        <f>MAX($E123)</f>
        <v>0</v>
      </c>
      <c r="Y123" s="1">
        <f>MAX($G123)</f>
        <v>0</v>
      </c>
      <c r="Z123" s="1">
        <f>MAX($H123)</f>
        <v>0</v>
      </c>
    </row>
    <row r="124" spans="1:26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/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>
        <f>MIN($B124)</f>
        <v>0</v>
      </c>
      <c r="J124" s="1">
        <f>MIN($C124)</f>
        <v>0</v>
      </c>
      <c r="K124" s="1">
        <f>MIN($D124)</f>
        <v>0</v>
      </c>
      <c r="L124" s="1">
        <f>MIN($E124)</f>
        <v>0</v>
      </c>
      <c r="M124" s="1">
        <f>MIN($G124)</f>
        <v>0</v>
      </c>
      <c r="N124" s="1">
        <f>MIN($H124)</f>
        <v>0</v>
      </c>
      <c r="O124" s="1">
        <f>MEDIAN($B124)</f>
        <v>0</v>
      </c>
      <c r="P124" s="1">
        <f>MEDIAN($C124)</f>
        <v>0</v>
      </c>
      <c r="Q124" s="1">
        <f>MEDIAN($D124)</f>
        <v>0</v>
      </c>
      <c r="R124" s="1">
        <f>MEDIAN($E124)</f>
        <v>0</v>
      </c>
      <c r="S124" s="1">
        <f>MEDIAN($G124)</f>
        <v>0</v>
      </c>
      <c r="T124" s="1">
        <f>MEDIAN($H124)</f>
        <v>0</v>
      </c>
      <c r="U124" s="1">
        <f>MAX($B124)</f>
        <v>0</v>
      </c>
      <c r="V124" s="1">
        <f>MAX($C124)</f>
        <v>0</v>
      </c>
      <c r="W124" s="1">
        <f>MAX($D124)</f>
        <v>0</v>
      </c>
      <c r="X124" s="1">
        <f>MAX($E124)</f>
        <v>0</v>
      </c>
      <c r="Y124" s="1">
        <f>MAX($G124)</f>
        <v>0</v>
      </c>
      <c r="Z124" s="1">
        <f>MAX($H124)</f>
        <v>0</v>
      </c>
    </row>
    <row r="125" spans="1:26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/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>
        <f>MIN($B125)</f>
        <v>0</v>
      </c>
      <c r="J125" s="1">
        <f>MIN($C125)</f>
        <v>0</v>
      </c>
      <c r="K125" s="1">
        <f>MIN($D125)</f>
        <v>0</v>
      </c>
      <c r="L125" s="1">
        <f>MIN($E125)</f>
        <v>0</v>
      </c>
      <c r="M125" s="1">
        <f>MIN($G125)</f>
        <v>0</v>
      </c>
      <c r="N125" s="1">
        <f>MIN($H125)</f>
        <v>0</v>
      </c>
      <c r="O125" s="1">
        <f>MEDIAN($B125)</f>
        <v>0</v>
      </c>
      <c r="P125" s="1">
        <f>MEDIAN($C125)</f>
        <v>0</v>
      </c>
      <c r="Q125" s="1">
        <f>MEDIAN($D125)</f>
        <v>0</v>
      </c>
      <c r="R125" s="1">
        <f>MEDIAN($E125)</f>
        <v>0</v>
      </c>
      <c r="S125" s="1">
        <f>MEDIAN($G125)</f>
        <v>0</v>
      </c>
      <c r="T125" s="1">
        <f>MEDIAN($H125)</f>
        <v>0</v>
      </c>
      <c r="U125" s="1">
        <f>MAX($B125)</f>
        <v>0</v>
      </c>
      <c r="V125" s="1">
        <f>MAX($C125)</f>
        <v>0</v>
      </c>
      <c r="W125" s="1">
        <f>MAX($D125)</f>
        <v>0</v>
      </c>
      <c r="X125" s="1">
        <f>MAX($E125)</f>
        <v>0</v>
      </c>
      <c r="Y125" s="1">
        <f>MAX($G125)</f>
        <v>0</v>
      </c>
      <c r="Z125" s="1">
        <f>MAX($H125)</f>
        <v>0</v>
      </c>
    </row>
    <row r="126" spans="1:26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/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>
        <f>MIN($B126)</f>
        <v>0</v>
      </c>
      <c r="J126" s="1">
        <f>MIN($C126)</f>
        <v>0</v>
      </c>
      <c r="K126" s="1">
        <f>MIN($D126)</f>
        <v>0</v>
      </c>
      <c r="L126" s="1">
        <f>MIN($E126)</f>
        <v>0</v>
      </c>
      <c r="M126" s="1">
        <f>MIN($G126)</f>
        <v>0</v>
      </c>
      <c r="N126" s="1">
        <f>MIN($H126)</f>
        <v>0</v>
      </c>
      <c r="O126" s="1">
        <f>MEDIAN($B126)</f>
        <v>0</v>
      </c>
      <c r="P126" s="1">
        <f>MEDIAN($C126)</f>
        <v>0</v>
      </c>
      <c r="Q126" s="1">
        <f>MEDIAN($D126)</f>
        <v>0</v>
      </c>
      <c r="R126" s="1">
        <f>MEDIAN($E126)</f>
        <v>0</v>
      </c>
      <c r="S126" s="1">
        <f>MEDIAN($G126)</f>
        <v>0</v>
      </c>
      <c r="T126" s="1">
        <f>MEDIAN($H126)</f>
        <v>0</v>
      </c>
      <c r="U126" s="1">
        <f>MAX($B126)</f>
        <v>0</v>
      </c>
      <c r="V126" s="1">
        <f>MAX($C126)</f>
        <v>0</v>
      </c>
      <c r="W126" s="1">
        <f>MAX($D126)</f>
        <v>0</v>
      </c>
      <c r="X126" s="1">
        <f>MAX($E126)</f>
        <v>0</v>
      </c>
      <c r="Y126" s="1">
        <f>MAX($G126)</f>
        <v>0</v>
      </c>
      <c r="Z126" s="1">
        <f>MAX($H126)</f>
        <v>0</v>
      </c>
    </row>
    <row r="127" spans="1:26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/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>
        <f>MIN($B127)</f>
        <v>0</v>
      </c>
      <c r="J127" s="1">
        <f>MIN($C127)</f>
        <v>0</v>
      </c>
      <c r="K127" s="1">
        <f>MIN($D127)</f>
        <v>0</v>
      </c>
      <c r="L127" s="1">
        <f>MIN($E127)</f>
        <v>0</v>
      </c>
      <c r="M127" s="1">
        <f>MIN($G127)</f>
        <v>0</v>
      </c>
      <c r="N127" s="1">
        <f>MIN($H127)</f>
        <v>0</v>
      </c>
      <c r="O127" s="1">
        <f>MEDIAN($B127)</f>
        <v>0</v>
      </c>
      <c r="P127" s="1">
        <f>MEDIAN($C127)</f>
        <v>0</v>
      </c>
      <c r="Q127" s="1">
        <f>MEDIAN($D127)</f>
        <v>0</v>
      </c>
      <c r="R127" s="1">
        <f>MEDIAN($E127)</f>
        <v>0</v>
      </c>
      <c r="S127" s="1">
        <f>MEDIAN($G127)</f>
        <v>0</v>
      </c>
      <c r="T127" s="1">
        <f>MEDIAN($H127)</f>
        <v>0</v>
      </c>
      <c r="U127" s="1">
        <f>MAX($B127)</f>
        <v>0</v>
      </c>
      <c r="V127" s="1">
        <f>MAX($C127)</f>
        <v>0</v>
      </c>
      <c r="W127" s="1">
        <f>MAX($D127)</f>
        <v>0</v>
      </c>
      <c r="X127" s="1">
        <f>MAX($E127)</f>
        <v>0</v>
      </c>
      <c r="Y127" s="1">
        <f>MAX($G127)</f>
        <v>0</v>
      </c>
      <c r="Z127" s="1">
        <f>MAX($H127)</f>
        <v>0</v>
      </c>
    </row>
    <row r="128" spans="1:26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/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>
        <f>MIN($B128)</f>
        <v>0</v>
      </c>
      <c r="J128" s="1">
        <f>MIN($C128)</f>
        <v>0</v>
      </c>
      <c r="K128" s="1">
        <f>MIN($D128)</f>
        <v>0</v>
      </c>
      <c r="L128" s="1">
        <f>MIN($E128)</f>
        <v>0</v>
      </c>
      <c r="M128" s="1">
        <f>MIN($G128)</f>
        <v>0</v>
      </c>
      <c r="N128" s="1">
        <f>MIN($H128)</f>
        <v>0</v>
      </c>
      <c r="O128" s="1">
        <f>MEDIAN($B128)</f>
        <v>0</v>
      </c>
      <c r="P128" s="1">
        <f>MEDIAN($C128)</f>
        <v>0</v>
      </c>
      <c r="Q128" s="1">
        <f>MEDIAN($D128)</f>
        <v>0</v>
      </c>
      <c r="R128" s="1">
        <f>MEDIAN($E128)</f>
        <v>0</v>
      </c>
      <c r="S128" s="1">
        <f>MEDIAN($G128)</f>
        <v>0</v>
      </c>
      <c r="T128" s="1">
        <f>MEDIAN($H128)</f>
        <v>0</v>
      </c>
      <c r="U128" s="1">
        <f>MAX($B128)</f>
        <v>0</v>
      </c>
      <c r="V128" s="1">
        <f>MAX($C128)</f>
        <v>0</v>
      </c>
      <c r="W128" s="1">
        <f>MAX($D128)</f>
        <v>0</v>
      </c>
      <c r="X128" s="1">
        <f>MAX($E128)</f>
        <v>0</v>
      </c>
      <c r="Y128" s="1">
        <f>MAX($G128)</f>
        <v>0</v>
      </c>
      <c r="Z128" s="1">
        <f>MAX($H128)</f>
        <v>0</v>
      </c>
    </row>
    <row r="129" spans="1:26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/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>
        <f>MIN($B129)</f>
        <v>0</v>
      </c>
      <c r="J129" s="1">
        <f>MIN($C129)</f>
        <v>0</v>
      </c>
      <c r="K129" s="1">
        <f>MIN($D129)</f>
        <v>0</v>
      </c>
      <c r="L129" s="1">
        <f>MIN($E129)</f>
        <v>0</v>
      </c>
      <c r="M129" s="1">
        <f>MIN($G129)</f>
        <v>0</v>
      </c>
      <c r="N129" s="1">
        <f>MIN($H129)</f>
        <v>0</v>
      </c>
      <c r="O129" s="1">
        <f>MEDIAN($B129)</f>
        <v>0</v>
      </c>
      <c r="P129" s="1">
        <f>MEDIAN($C129)</f>
        <v>0</v>
      </c>
      <c r="Q129" s="1">
        <f>MEDIAN($D129)</f>
        <v>0</v>
      </c>
      <c r="R129" s="1">
        <f>MEDIAN($E129)</f>
        <v>0</v>
      </c>
      <c r="S129" s="1">
        <f>MEDIAN($G129)</f>
        <v>0</v>
      </c>
      <c r="T129" s="1">
        <f>MEDIAN($H129)</f>
        <v>0</v>
      </c>
      <c r="U129" s="1">
        <f>MAX($B129)</f>
        <v>0</v>
      </c>
      <c r="V129" s="1">
        <f>MAX($C129)</f>
        <v>0</v>
      </c>
      <c r="W129" s="1">
        <f>MAX($D129)</f>
        <v>0</v>
      </c>
      <c r="X129" s="1">
        <f>MAX($E129)</f>
        <v>0</v>
      </c>
      <c r="Y129" s="1">
        <f>MAX($G129)</f>
        <v>0</v>
      </c>
      <c r="Z129" s="1">
        <f>MAX($H129)</f>
        <v>0</v>
      </c>
    </row>
    <row r="130" spans="1:26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/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>
        <f>MIN($B130)</f>
        <v>0</v>
      </c>
      <c r="J130" s="1">
        <f>MIN($C130)</f>
        <v>0</v>
      </c>
      <c r="K130" s="1">
        <f>MIN($D130)</f>
        <v>0</v>
      </c>
      <c r="L130" s="1">
        <f>MIN($E130)</f>
        <v>0</v>
      </c>
      <c r="M130" s="1">
        <f>MIN($G130)</f>
        <v>0</v>
      </c>
      <c r="N130" s="1">
        <f>MIN($H130)</f>
        <v>0</v>
      </c>
      <c r="O130" s="1">
        <f>MEDIAN($B130)</f>
        <v>0</v>
      </c>
      <c r="P130" s="1">
        <f>MEDIAN($C130)</f>
        <v>0</v>
      </c>
      <c r="Q130" s="1">
        <f>MEDIAN($D130)</f>
        <v>0</v>
      </c>
      <c r="R130" s="1">
        <f>MEDIAN($E130)</f>
        <v>0</v>
      </c>
      <c r="S130" s="1">
        <f>MEDIAN($G130)</f>
        <v>0</v>
      </c>
      <c r="T130" s="1">
        <f>MEDIAN($H130)</f>
        <v>0</v>
      </c>
      <c r="U130" s="1">
        <f>MAX($B130)</f>
        <v>0</v>
      </c>
      <c r="V130" s="1">
        <f>MAX($C130)</f>
        <v>0</v>
      </c>
      <c r="W130" s="1">
        <f>MAX($D130)</f>
        <v>0</v>
      </c>
      <c r="X130" s="1">
        <f>MAX($E130)</f>
        <v>0</v>
      </c>
      <c r="Y130" s="1">
        <f>MAX($G130)</f>
        <v>0</v>
      </c>
      <c r="Z130" s="1">
        <f>MAX($H130)</f>
        <v>0</v>
      </c>
    </row>
    <row r="131" spans="1:26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/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>
        <f>MIN($B131)</f>
        <v>0</v>
      </c>
      <c r="J131" s="1">
        <f>MIN($C131)</f>
        <v>0</v>
      </c>
      <c r="K131" s="1">
        <f>MIN($D131)</f>
        <v>0</v>
      </c>
      <c r="L131" s="1">
        <f>MIN($E131)</f>
        <v>0</v>
      </c>
      <c r="M131" s="1">
        <f>MIN($G131)</f>
        <v>0</v>
      </c>
      <c r="N131" s="1">
        <f>MIN($H131)</f>
        <v>0</v>
      </c>
      <c r="O131" s="1">
        <f>MEDIAN($B131)</f>
        <v>0</v>
      </c>
      <c r="P131" s="1">
        <f>MEDIAN($C131)</f>
        <v>0</v>
      </c>
      <c r="Q131" s="1">
        <f>MEDIAN($D131)</f>
        <v>0</v>
      </c>
      <c r="R131" s="1">
        <f>MEDIAN($E131)</f>
        <v>0</v>
      </c>
      <c r="S131" s="1">
        <f>MEDIAN($G131)</f>
        <v>0</v>
      </c>
      <c r="T131" s="1">
        <f>MEDIAN($H131)</f>
        <v>0</v>
      </c>
      <c r="U131" s="1">
        <f>MAX($B131)</f>
        <v>0</v>
      </c>
      <c r="V131" s="1">
        <f>MAX($C131)</f>
        <v>0</v>
      </c>
      <c r="W131" s="1">
        <f>MAX($D131)</f>
        <v>0</v>
      </c>
      <c r="X131" s="1">
        <f>MAX($E131)</f>
        <v>0</v>
      </c>
      <c r="Y131" s="1">
        <f>MAX($G131)</f>
        <v>0</v>
      </c>
      <c r="Z131" s="1">
        <f>MAX($H131)</f>
        <v>0</v>
      </c>
    </row>
    <row r="132" spans="1:26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/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>
        <f>MIN($B132)</f>
        <v>0</v>
      </c>
      <c r="J132" s="1">
        <f>MIN($C132)</f>
        <v>0</v>
      </c>
      <c r="K132" s="1">
        <f>MIN($D132)</f>
        <v>0</v>
      </c>
      <c r="L132" s="1">
        <f>MIN($E132)</f>
        <v>0</v>
      </c>
      <c r="M132" s="1">
        <f>MIN($G132)</f>
        <v>0</v>
      </c>
      <c r="N132" s="1">
        <f>MIN($H132)</f>
        <v>0</v>
      </c>
      <c r="O132" s="1">
        <f>MEDIAN($B132)</f>
        <v>0</v>
      </c>
      <c r="P132" s="1">
        <f>MEDIAN($C132)</f>
        <v>0</v>
      </c>
      <c r="Q132" s="1">
        <f>MEDIAN($D132)</f>
        <v>0</v>
      </c>
      <c r="R132" s="1">
        <f>MEDIAN($E132)</f>
        <v>0</v>
      </c>
      <c r="S132" s="1">
        <f>MEDIAN($G132)</f>
        <v>0</v>
      </c>
      <c r="T132" s="1">
        <f>MEDIAN($H132)</f>
        <v>0</v>
      </c>
      <c r="U132" s="1">
        <f>MAX($B132)</f>
        <v>0</v>
      </c>
      <c r="V132" s="1">
        <f>MAX($C132)</f>
        <v>0</v>
      </c>
      <c r="W132" s="1">
        <f>MAX($D132)</f>
        <v>0</v>
      </c>
      <c r="X132" s="1">
        <f>MAX($E132)</f>
        <v>0</v>
      </c>
      <c r="Y132" s="1">
        <f>MAX($G132)</f>
        <v>0</v>
      </c>
      <c r="Z132" s="1">
        <f>MAX($H132)</f>
        <v>0</v>
      </c>
    </row>
    <row r="133" spans="1:26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/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>
        <f>MIN($B133)</f>
        <v>0</v>
      </c>
      <c r="J133" s="1">
        <f>MIN($C133)</f>
        <v>0</v>
      </c>
      <c r="K133" s="1">
        <f>MIN($D133)</f>
        <v>0</v>
      </c>
      <c r="L133" s="1">
        <f>MIN($E133)</f>
        <v>0</v>
      </c>
      <c r="M133" s="1">
        <f>MIN($G133)</f>
        <v>0</v>
      </c>
      <c r="N133" s="1">
        <f>MIN($H133)</f>
        <v>0</v>
      </c>
      <c r="O133" s="1">
        <f>MEDIAN($B133)</f>
        <v>0</v>
      </c>
      <c r="P133" s="1">
        <f>MEDIAN($C133)</f>
        <v>0</v>
      </c>
      <c r="Q133" s="1">
        <f>MEDIAN($D133)</f>
        <v>0</v>
      </c>
      <c r="R133" s="1">
        <f>MEDIAN($E133)</f>
        <v>0</v>
      </c>
      <c r="S133" s="1">
        <f>MEDIAN($G133)</f>
        <v>0</v>
      </c>
      <c r="T133" s="1">
        <f>MEDIAN($H133)</f>
        <v>0</v>
      </c>
      <c r="U133" s="1">
        <f>MAX($B133)</f>
        <v>0</v>
      </c>
      <c r="V133" s="1">
        <f>MAX($C133)</f>
        <v>0</v>
      </c>
      <c r="W133" s="1">
        <f>MAX($D133)</f>
        <v>0</v>
      </c>
      <c r="X133" s="1">
        <f>MAX($E133)</f>
        <v>0</v>
      </c>
      <c r="Y133" s="1">
        <f>MAX($G133)</f>
        <v>0</v>
      </c>
      <c r="Z133" s="1">
        <f>MAX($H133)</f>
        <v>0</v>
      </c>
    </row>
    <row r="134" spans="1:26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/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>
        <f>MIN($B134)</f>
        <v>0</v>
      </c>
      <c r="J134" s="1">
        <f>MIN($C134)</f>
        <v>0</v>
      </c>
      <c r="K134" s="1">
        <f>MIN($D134)</f>
        <v>0</v>
      </c>
      <c r="L134" s="1">
        <f>MIN($E134)</f>
        <v>0</v>
      </c>
      <c r="M134" s="1">
        <f>MIN($G134)</f>
        <v>0</v>
      </c>
      <c r="N134" s="1">
        <f>MIN($H134)</f>
        <v>0</v>
      </c>
      <c r="O134" s="1">
        <f>MEDIAN($B134)</f>
        <v>0</v>
      </c>
      <c r="P134" s="1">
        <f>MEDIAN($C134)</f>
        <v>0</v>
      </c>
      <c r="Q134" s="1">
        <f>MEDIAN($D134)</f>
        <v>0</v>
      </c>
      <c r="R134" s="1">
        <f>MEDIAN($E134)</f>
        <v>0</v>
      </c>
      <c r="S134" s="1">
        <f>MEDIAN($G134)</f>
        <v>0</v>
      </c>
      <c r="T134" s="1">
        <f>MEDIAN($H134)</f>
        <v>0</v>
      </c>
      <c r="U134" s="1">
        <f>MAX($B134)</f>
        <v>0</v>
      </c>
      <c r="V134" s="1">
        <f>MAX($C134)</f>
        <v>0</v>
      </c>
      <c r="W134" s="1">
        <f>MAX($D134)</f>
        <v>0</v>
      </c>
      <c r="X134" s="1">
        <f>MAX($E134)</f>
        <v>0</v>
      </c>
      <c r="Y134" s="1">
        <f>MAX($G134)</f>
        <v>0</v>
      </c>
      <c r="Z134" s="1">
        <f>MAX($H134)</f>
        <v>0</v>
      </c>
    </row>
    <row r="135" spans="1:26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/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>
        <f>MIN($B135)</f>
        <v>0</v>
      </c>
      <c r="J135" s="1">
        <f>MIN($C135)</f>
        <v>0</v>
      </c>
      <c r="K135" s="1">
        <f>MIN($D135)</f>
        <v>0</v>
      </c>
      <c r="L135" s="1">
        <f>MIN($E135)</f>
        <v>0</v>
      </c>
      <c r="M135" s="1">
        <f>MIN($G135)</f>
        <v>0</v>
      </c>
      <c r="N135" s="1">
        <f>MIN($H135)</f>
        <v>0</v>
      </c>
      <c r="O135" s="1">
        <f>MEDIAN($B135)</f>
        <v>0</v>
      </c>
      <c r="P135" s="1">
        <f>MEDIAN($C135)</f>
        <v>0</v>
      </c>
      <c r="Q135" s="1">
        <f>MEDIAN($D135)</f>
        <v>0</v>
      </c>
      <c r="R135" s="1">
        <f>MEDIAN($E135)</f>
        <v>0</v>
      </c>
      <c r="S135" s="1">
        <f>MEDIAN($G135)</f>
        <v>0</v>
      </c>
      <c r="T135" s="1">
        <f>MEDIAN($H135)</f>
        <v>0</v>
      </c>
      <c r="U135" s="1">
        <f>MAX($B135)</f>
        <v>0</v>
      </c>
      <c r="V135" s="1">
        <f>MAX($C135)</f>
        <v>0</v>
      </c>
      <c r="W135" s="1">
        <f>MAX($D135)</f>
        <v>0</v>
      </c>
      <c r="X135" s="1">
        <f>MAX($E135)</f>
        <v>0</v>
      </c>
      <c r="Y135" s="1">
        <f>MAX($G135)</f>
        <v>0</v>
      </c>
      <c r="Z135" s="1">
        <f>MAX($H135)</f>
        <v>0</v>
      </c>
    </row>
    <row r="136" spans="1:26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/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>
        <f>MIN($B136)</f>
        <v>0</v>
      </c>
      <c r="J136" s="1">
        <f>MIN($C136)</f>
        <v>0</v>
      </c>
      <c r="K136" s="1">
        <f>MIN($D136)</f>
        <v>0</v>
      </c>
      <c r="L136" s="1">
        <f>MIN($E136)</f>
        <v>0</v>
      </c>
      <c r="M136" s="1">
        <f>MIN($G136)</f>
        <v>0</v>
      </c>
      <c r="N136" s="1">
        <f>MIN($H136)</f>
        <v>0</v>
      </c>
      <c r="O136" s="1">
        <f>MEDIAN($B136)</f>
        <v>0</v>
      </c>
      <c r="P136" s="1">
        <f>MEDIAN($C136)</f>
        <v>0</v>
      </c>
      <c r="Q136" s="1">
        <f>MEDIAN($D136)</f>
        <v>0</v>
      </c>
      <c r="R136" s="1">
        <f>MEDIAN($E136)</f>
        <v>0</v>
      </c>
      <c r="S136" s="1">
        <f>MEDIAN($G136)</f>
        <v>0</v>
      </c>
      <c r="T136" s="1">
        <f>MEDIAN($H136)</f>
        <v>0</v>
      </c>
      <c r="U136" s="1">
        <f>MAX($B136)</f>
        <v>0</v>
      </c>
      <c r="V136" s="1">
        <f>MAX($C136)</f>
        <v>0</v>
      </c>
      <c r="W136" s="1">
        <f>MAX($D136)</f>
        <v>0</v>
      </c>
      <c r="X136" s="1">
        <f>MAX($E136)</f>
        <v>0</v>
      </c>
      <c r="Y136" s="1">
        <f>MAX($G136)</f>
        <v>0</v>
      </c>
      <c r="Z136" s="1">
        <f>MAX($H136)</f>
        <v>0</v>
      </c>
    </row>
    <row r="137" spans="1:26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/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>
        <f>MIN($B137)</f>
        <v>0</v>
      </c>
      <c r="J137" s="1">
        <f>MIN($C137)</f>
        <v>0</v>
      </c>
      <c r="K137" s="1">
        <f>MIN($D137)</f>
        <v>0</v>
      </c>
      <c r="L137" s="1">
        <f>MIN($E137)</f>
        <v>0</v>
      </c>
      <c r="M137" s="1">
        <f>MIN($G137)</f>
        <v>0</v>
      </c>
      <c r="N137" s="1">
        <f>MIN($H137)</f>
        <v>0</v>
      </c>
      <c r="O137" s="1">
        <f>MEDIAN($B137)</f>
        <v>0</v>
      </c>
      <c r="P137" s="1">
        <f>MEDIAN($C137)</f>
        <v>0</v>
      </c>
      <c r="Q137" s="1">
        <f>MEDIAN($D137)</f>
        <v>0</v>
      </c>
      <c r="R137" s="1">
        <f>MEDIAN($E137)</f>
        <v>0</v>
      </c>
      <c r="S137" s="1">
        <f>MEDIAN($G137)</f>
        <v>0</v>
      </c>
      <c r="T137" s="1">
        <f>MEDIAN($H137)</f>
        <v>0</v>
      </c>
      <c r="U137" s="1">
        <f>MAX($B137)</f>
        <v>0</v>
      </c>
      <c r="V137" s="1">
        <f>MAX($C137)</f>
        <v>0</v>
      </c>
      <c r="W137" s="1">
        <f>MAX($D137)</f>
        <v>0</v>
      </c>
      <c r="X137" s="1">
        <f>MAX($E137)</f>
        <v>0</v>
      </c>
      <c r="Y137" s="1">
        <f>MAX($G137)</f>
        <v>0</v>
      </c>
      <c r="Z137" s="1">
        <f>MAX($H137)</f>
        <v>0</v>
      </c>
    </row>
    <row r="138" spans="1:26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/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>
        <f>MIN($B138)</f>
        <v>0</v>
      </c>
      <c r="J138" s="1">
        <f>MIN($C138)</f>
        <v>0</v>
      </c>
      <c r="K138" s="1">
        <f>MIN($D138)</f>
        <v>0</v>
      </c>
      <c r="L138" s="1">
        <f>MIN($E138)</f>
        <v>0</v>
      </c>
      <c r="M138" s="1">
        <f>MIN($G138)</f>
        <v>0</v>
      </c>
      <c r="N138" s="1">
        <f>MIN($H138)</f>
        <v>0</v>
      </c>
      <c r="O138" s="1">
        <f>MEDIAN($B138)</f>
        <v>0</v>
      </c>
      <c r="P138" s="1">
        <f>MEDIAN($C138)</f>
        <v>0</v>
      </c>
      <c r="Q138" s="1">
        <f>MEDIAN($D138)</f>
        <v>0</v>
      </c>
      <c r="R138" s="1">
        <f>MEDIAN($E138)</f>
        <v>0</v>
      </c>
      <c r="S138" s="1">
        <f>MEDIAN($G138)</f>
        <v>0</v>
      </c>
      <c r="T138" s="1">
        <f>MEDIAN($H138)</f>
        <v>0</v>
      </c>
      <c r="U138" s="1">
        <f>MAX($B138)</f>
        <v>0</v>
      </c>
      <c r="V138" s="1">
        <f>MAX($C138)</f>
        <v>0</v>
      </c>
      <c r="W138" s="1">
        <f>MAX($D138)</f>
        <v>0</v>
      </c>
      <c r="X138" s="1">
        <f>MAX($E138)</f>
        <v>0</v>
      </c>
      <c r="Y138" s="1">
        <f>MAX($G138)</f>
        <v>0</v>
      </c>
      <c r="Z138" s="1">
        <f>MAX($H138)</f>
        <v>0</v>
      </c>
    </row>
    <row r="139" spans="1:26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/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>
        <f>MIN($B139)</f>
        <v>0</v>
      </c>
      <c r="J139" s="1">
        <f>MIN($C139)</f>
        <v>0</v>
      </c>
      <c r="K139" s="1">
        <f>MIN($D139)</f>
        <v>0</v>
      </c>
      <c r="L139" s="1">
        <f>MIN($E139)</f>
        <v>0</v>
      </c>
      <c r="M139" s="1">
        <f>MIN($G139)</f>
        <v>0</v>
      </c>
      <c r="N139" s="1">
        <f>MIN($H139)</f>
        <v>0</v>
      </c>
      <c r="O139" s="1">
        <f>MEDIAN($B139)</f>
        <v>0</v>
      </c>
      <c r="P139" s="1">
        <f>MEDIAN($C139)</f>
        <v>0</v>
      </c>
      <c r="Q139" s="1">
        <f>MEDIAN($D139)</f>
        <v>0</v>
      </c>
      <c r="R139" s="1">
        <f>MEDIAN($E139)</f>
        <v>0</v>
      </c>
      <c r="S139" s="1">
        <f>MEDIAN($G139)</f>
        <v>0</v>
      </c>
      <c r="T139" s="1">
        <f>MEDIAN($H139)</f>
        <v>0</v>
      </c>
      <c r="U139" s="1">
        <f>MAX($B139)</f>
        <v>0</v>
      </c>
      <c r="V139" s="1">
        <f>MAX($C139)</f>
        <v>0</v>
      </c>
      <c r="W139" s="1">
        <f>MAX($D139)</f>
        <v>0</v>
      </c>
      <c r="X139" s="1">
        <f>MAX($E139)</f>
        <v>0</v>
      </c>
      <c r="Y139" s="1">
        <f>MAX($G139)</f>
        <v>0</v>
      </c>
      <c r="Z139" s="1">
        <f>MAX($H139)</f>
        <v>0</v>
      </c>
    </row>
    <row r="140" spans="1:26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/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>
        <f>MIN($B140)</f>
        <v>0</v>
      </c>
      <c r="J140" s="1">
        <f>MIN($C140)</f>
        <v>0</v>
      </c>
      <c r="K140" s="1">
        <f>MIN($D140)</f>
        <v>0</v>
      </c>
      <c r="L140" s="1">
        <f>MIN($E140)</f>
        <v>0</v>
      </c>
      <c r="M140" s="1">
        <f>MIN($G140)</f>
        <v>0</v>
      </c>
      <c r="N140" s="1">
        <f>MIN($H140)</f>
        <v>0</v>
      </c>
      <c r="O140" s="1">
        <f>MEDIAN($B140)</f>
        <v>0</v>
      </c>
      <c r="P140" s="1">
        <f>MEDIAN($C140)</f>
        <v>0</v>
      </c>
      <c r="Q140" s="1">
        <f>MEDIAN($D140)</f>
        <v>0</v>
      </c>
      <c r="R140" s="1">
        <f>MEDIAN($E140)</f>
        <v>0</v>
      </c>
      <c r="S140" s="1">
        <f>MEDIAN($G140)</f>
        <v>0</v>
      </c>
      <c r="T140" s="1">
        <f>MEDIAN($H140)</f>
        <v>0</v>
      </c>
      <c r="U140" s="1">
        <f>MAX($B140)</f>
        <v>0</v>
      </c>
      <c r="V140" s="1">
        <f>MAX($C140)</f>
        <v>0</v>
      </c>
      <c r="W140" s="1">
        <f>MAX($D140)</f>
        <v>0</v>
      </c>
      <c r="X140" s="1">
        <f>MAX($E140)</f>
        <v>0</v>
      </c>
      <c r="Y140" s="1">
        <f>MAX($G140)</f>
        <v>0</v>
      </c>
      <c r="Z140" s="1">
        <f>MAX($H140)</f>
        <v>0</v>
      </c>
    </row>
    <row r="141" spans="1:26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/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>
        <f>MIN($B141)</f>
        <v>0</v>
      </c>
      <c r="J141" s="1">
        <f>MIN($C141)</f>
        <v>0</v>
      </c>
      <c r="K141" s="1">
        <f>MIN($D141)</f>
        <v>0</v>
      </c>
      <c r="L141" s="1">
        <f>MIN($E141)</f>
        <v>0</v>
      </c>
      <c r="M141" s="1">
        <f>MIN($G141)</f>
        <v>0</v>
      </c>
      <c r="N141" s="1">
        <f>MIN($H141)</f>
        <v>0</v>
      </c>
      <c r="O141" s="1">
        <f>MEDIAN($B141)</f>
        <v>0</v>
      </c>
      <c r="P141" s="1">
        <f>MEDIAN($C141)</f>
        <v>0</v>
      </c>
      <c r="Q141" s="1">
        <f>MEDIAN($D141)</f>
        <v>0</v>
      </c>
      <c r="R141" s="1">
        <f>MEDIAN($E141)</f>
        <v>0</v>
      </c>
      <c r="S141" s="1">
        <f>MEDIAN($G141)</f>
        <v>0</v>
      </c>
      <c r="T141" s="1">
        <f>MEDIAN($H141)</f>
        <v>0</v>
      </c>
      <c r="U141" s="1">
        <f>MAX($B141)</f>
        <v>0</v>
      </c>
      <c r="V141" s="1">
        <f>MAX($C141)</f>
        <v>0</v>
      </c>
      <c r="W141" s="1">
        <f>MAX($D141)</f>
        <v>0</v>
      </c>
      <c r="X141" s="1">
        <f>MAX($E141)</f>
        <v>0</v>
      </c>
      <c r="Y141" s="1">
        <f>MAX($G141)</f>
        <v>0</v>
      </c>
      <c r="Z141" s="1">
        <f>MAX($H141)</f>
        <v>0</v>
      </c>
    </row>
    <row r="142" spans="1:26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/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>
        <f>MIN($B142)</f>
        <v>0</v>
      </c>
      <c r="J142" s="1">
        <f>MIN($C142)</f>
        <v>0</v>
      </c>
      <c r="K142" s="1">
        <f>MIN($D142)</f>
        <v>0</v>
      </c>
      <c r="L142" s="1">
        <f>MIN($E142)</f>
        <v>0</v>
      </c>
      <c r="M142" s="1">
        <f>MIN($G142)</f>
        <v>0</v>
      </c>
      <c r="N142" s="1">
        <f>MIN($H142)</f>
        <v>0</v>
      </c>
      <c r="O142" s="1">
        <f>MEDIAN($B142)</f>
        <v>0</v>
      </c>
      <c r="P142" s="1">
        <f>MEDIAN($C142)</f>
        <v>0</v>
      </c>
      <c r="Q142" s="1">
        <f>MEDIAN($D142)</f>
        <v>0</v>
      </c>
      <c r="R142" s="1">
        <f>MEDIAN($E142)</f>
        <v>0</v>
      </c>
      <c r="S142" s="1">
        <f>MEDIAN($G142)</f>
        <v>0</v>
      </c>
      <c r="T142" s="1">
        <f>MEDIAN($H142)</f>
        <v>0</v>
      </c>
      <c r="U142" s="1">
        <f>MAX($B142)</f>
        <v>0</v>
      </c>
      <c r="V142" s="1">
        <f>MAX($C142)</f>
        <v>0</v>
      </c>
      <c r="W142" s="1">
        <f>MAX($D142)</f>
        <v>0</v>
      </c>
      <c r="X142" s="1">
        <f>MAX($E142)</f>
        <v>0</v>
      </c>
      <c r="Y142" s="1">
        <f>MAX($G142)</f>
        <v>0</v>
      </c>
      <c r="Z142" s="1">
        <f>MAX($H142)</f>
        <v>0</v>
      </c>
    </row>
    <row r="143" spans="1:26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/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>
        <f>MIN($B143)</f>
        <v>0</v>
      </c>
      <c r="J143" s="1">
        <f>MIN($C143)</f>
        <v>0</v>
      </c>
      <c r="K143" s="1">
        <f>MIN($D143)</f>
        <v>0</v>
      </c>
      <c r="L143" s="1">
        <f>MIN($E143)</f>
        <v>0</v>
      </c>
      <c r="M143" s="1">
        <f>MIN($G143)</f>
        <v>0</v>
      </c>
      <c r="N143" s="1">
        <f>MIN($H143)</f>
        <v>0</v>
      </c>
      <c r="O143" s="1">
        <f>MEDIAN($B143)</f>
        <v>0</v>
      </c>
      <c r="P143" s="1">
        <f>MEDIAN($C143)</f>
        <v>0</v>
      </c>
      <c r="Q143" s="1">
        <f>MEDIAN($D143)</f>
        <v>0</v>
      </c>
      <c r="R143" s="1">
        <f>MEDIAN($E143)</f>
        <v>0</v>
      </c>
      <c r="S143" s="1">
        <f>MEDIAN($G143)</f>
        <v>0</v>
      </c>
      <c r="T143" s="1">
        <f>MEDIAN($H143)</f>
        <v>0</v>
      </c>
      <c r="U143" s="1">
        <f>MAX($B143)</f>
        <v>0</v>
      </c>
      <c r="V143" s="1">
        <f>MAX($C143)</f>
        <v>0</v>
      </c>
      <c r="W143" s="1">
        <f>MAX($D143)</f>
        <v>0</v>
      </c>
      <c r="X143" s="1">
        <f>MAX($E143)</f>
        <v>0</v>
      </c>
      <c r="Y143" s="1">
        <f>MAX($G143)</f>
        <v>0</v>
      </c>
      <c r="Z143" s="1">
        <f>MAX($H143)</f>
        <v>0</v>
      </c>
    </row>
    <row r="144" spans="1:26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/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>
        <f>MIN($B144)</f>
        <v>0</v>
      </c>
      <c r="J144" s="1">
        <f>MIN($C144)</f>
        <v>0</v>
      </c>
      <c r="K144" s="1">
        <f>MIN($D144)</f>
        <v>0</v>
      </c>
      <c r="L144" s="1">
        <f>MIN($E144)</f>
        <v>0</v>
      </c>
      <c r="M144" s="1">
        <f>MIN($G144)</f>
        <v>0</v>
      </c>
      <c r="N144" s="1">
        <f>MIN($H144)</f>
        <v>0</v>
      </c>
      <c r="O144" s="1">
        <f>MEDIAN($B144)</f>
        <v>0</v>
      </c>
      <c r="P144" s="1">
        <f>MEDIAN($C144)</f>
        <v>0</v>
      </c>
      <c r="Q144" s="1">
        <f>MEDIAN($D144)</f>
        <v>0</v>
      </c>
      <c r="R144" s="1">
        <f>MEDIAN($E144)</f>
        <v>0</v>
      </c>
      <c r="S144" s="1">
        <f>MEDIAN($G144)</f>
        <v>0</v>
      </c>
      <c r="T144" s="1">
        <f>MEDIAN($H144)</f>
        <v>0</v>
      </c>
      <c r="U144" s="1">
        <f>MAX($B144)</f>
        <v>0</v>
      </c>
      <c r="V144" s="1">
        <f>MAX($C144)</f>
        <v>0</v>
      </c>
      <c r="W144" s="1">
        <f>MAX($D144)</f>
        <v>0</v>
      </c>
      <c r="X144" s="1">
        <f>MAX($E144)</f>
        <v>0</v>
      </c>
      <c r="Y144" s="1">
        <f>MAX($G144)</f>
        <v>0</v>
      </c>
      <c r="Z144" s="1">
        <f>MAX($H144)</f>
        <v>0</v>
      </c>
    </row>
    <row r="145" spans="1:26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/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>
        <f>MIN($B145)</f>
        <v>0</v>
      </c>
      <c r="J145" s="1">
        <f>MIN($C145)</f>
        <v>0</v>
      </c>
      <c r="K145" s="1">
        <f>MIN($D145)</f>
        <v>0</v>
      </c>
      <c r="L145" s="1">
        <f>MIN($E145)</f>
        <v>0</v>
      </c>
      <c r="M145" s="1">
        <f>MIN($G145)</f>
        <v>0</v>
      </c>
      <c r="N145" s="1">
        <f>MIN($H145)</f>
        <v>0</v>
      </c>
      <c r="O145" s="1">
        <f>MEDIAN($B145)</f>
        <v>0</v>
      </c>
      <c r="P145" s="1">
        <f>MEDIAN($C145)</f>
        <v>0</v>
      </c>
      <c r="Q145" s="1">
        <f>MEDIAN($D145)</f>
        <v>0</v>
      </c>
      <c r="R145" s="1">
        <f>MEDIAN($E145)</f>
        <v>0</v>
      </c>
      <c r="S145" s="1">
        <f>MEDIAN($G145)</f>
        <v>0</v>
      </c>
      <c r="T145" s="1">
        <f>MEDIAN($H145)</f>
        <v>0</v>
      </c>
      <c r="U145" s="1">
        <f>MAX($B145)</f>
        <v>0</v>
      </c>
      <c r="V145" s="1">
        <f>MAX($C145)</f>
        <v>0</v>
      </c>
      <c r="W145" s="1">
        <f>MAX($D145)</f>
        <v>0</v>
      </c>
      <c r="X145" s="1">
        <f>MAX($E145)</f>
        <v>0</v>
      </c>
      <c r="Y145" s="1">
        <f>MAX($G145)</f>
        <v>0</v>
      </c>
      <c r="Z145" s="1">
        <f>MAX($H145)</f>
        <v>0</v>
      </c>
    </row>
    <row r="146" spans="1:26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/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>
        <f>MIN($B146)</f>
        <v>0</v>
      </c>
      <c r="J146" s="1">
        <f>MIN($C146)</f>
        <v>0</v>
      </c>
      <c r="K146" s="1">
        <f>MIN($D146)</f>
        <v>0</v>
      </c>
      <c r="L146" s="1">
        <f>MIN($E146)</f>
        <v>0</v>
      </c>
      <c r="M146" s="1">
        <f>MIN($G146)</f>
        <v>0</v>
      </c>
      <c r="N146" s="1">
        <f>MIN($H146)</f>
        <v>0</v>
      </c>
      <c r="O146" s="1">
        <f>MEDIAN($B146)</f>
        <v>0</v>
      </c>
      <c r="P146" s="1">
        <f>MEDIAN($C146)</f>
        <v>0</v>
      </c>
      <c r="Q146" s="1">
        <f>MEDIAN($D146)</f>
        <v>0</v>
      </c>
      <c r="R146" s="1">
        <f>MEDIAN($E146)</f>
        <v>0</v>
      </c>
      <c r="S146" s="1">
        <f>MEDIAN($G146)</f>
        <v>0</v>
      </c>
      <c r="T146" s="1">
        <f>MEDIAN($H146)</f>
        <v>0</v>
      </c>
      <c r="U146" s="1">
        <f>MAX($B146)</f>
        <v>0</v>
      </c>
      <c r="V146" s="1">
        <f>MAX($C146)</f>
        <v>0</v>
      </c>
      <c r="W146" s="1">
        <f>MAX($D146)</f>
        <v>0</v>
      </c>
      <c r="X146" s="1">
        <f>MAX($E146)</f>
        <v>0</v>
      </c>
      <c r="Y146" s="1">
        <f>MAX($G146)</f>
        <v>0</v>
      </c>
      <c r="Z146" s="1">
        <f>MAX($H146)</f>
        <v>0</v>
      </c>
    </row>
    <row r="147" spans="1:26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/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>
        <f>MIN($B147)</f>
        <v>0</v>
      </c>
      <c r="J147" s="1">
        <f>MIN($C147)</f>
        <v>0</v>
      </c>
      <c r="K147" s="1">
        <f>MIN($D147)</f>
        <v>0</v>
      </c>
      <c r="L147" s="1">
        <f>MIN($E147)</f>
        <v>0</v>
      </c>
      <c r="M147" s="1">
        <f>MIN($G147)</f>
        <v>0</v>
      </c>
      <c r="N147" s="1">
        <f>MIN($H147)</f>
        <v>0</v>
      </c>
      <c r="O147" s="1">
        <f>MEDIAN($B147)</f>
        <v>0</v>
      </c>
      <c r="P147" s="1">
        <f>MEDIAN($C147)</f>
        <v>0</v>
      </c>
      <c r="Q147" s="1">
        <f>MEDIAN($D147)</f>
        <v>0</v>
      </c>
      <c r="R147" s="1">
        <f>MEDIAN($E147)</f>
        <v>0</v>
      </c>
      <c r="S147" s="1">
        <f>MEDIAN($G147)</f>
        <v>0</v>
      </c>
      <c r="T147" s="1">
        <f>MEDIAN($H147)</f>
        <v>0</v>
      </c>
      <c r="U147" s="1">
        <f>MAX($B147)</f>
        <v>0</v>
      </c>
      <c r="V147" s="1">
        <f>MAX($C147)</f>
        <v>0</v>
      </c>
      <c r="W147" s="1">
        <f>MAX($D147)</f>
        <v>0</v>
      </c>
      <c r="X147" s="1">
        <f>MAX($E147)</f>
        <v>0</v>
      </c>
      <c r="Y147" s="1">
        <f>MAX($G147)</f>
        <v>0</v>
      </c>
      <c r="Z147" s="1">
        <f>MAX($H147)</f>
        <v>0</v>
      </c>
    </row>
    <row r="148" spans="1:26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/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>
        <f>MIN($B148)</f>
        <v>0</v>
      </c>
      <c r="J148" s="1">
        <f>MIN($C148)</f>
        <v>0</v>
      </c>
      <c r="K148" s="1">
        <f>MIN($D148)</f>
        <v>0</v>
      </c>
      <c r="L148" s="1">
        <f>MIN($E148)</f>
        <v>0</v>
      </c>
      <c r="M148" s="1">
        <f>MIN($G148)</f>
        <v>0</v>
      </c>
      <c r="N148" s="1">
        <f>MIN($H148)</f>
        <v>0</v>
      </c>
      <c r="O148" s="1">
        <f>MEDIAN($B148)</f>
        <v>0</v>
      </c>
      <c r="P148" s="1">
        <f>MEDIAN($C148)</f>
        <v>0</v>
      </c>
      <c r="Q148" s="1">
        <f>MEDIAN($D148)</f>
        <v>0</v>
      </c>
      <c r="R148" s="1">
        <f>MEDIAN($E148)</f>
        <v>0</v>
      </c>
      <c r="S148" s="1">
        <f>MEDIAN($G148)</f>
        <v>0</v>
      </c>
      <c r="T148" s="1">
        <f>MEDIAN($H148)</f>
        <v>0</v>
      </c>
      <c r="U148" s="1">
        <f>MAX($B148)</f>
        <v>0</v>
      </c>
      <c r="V148" s="1">
        <f>MAX($C148)</f>
        <v>0</v>
      </c>
      <c r="W148" s="1">
        <f>MAX($D148)</f>
        <v>0</v>
      </c>
      <c r="X148" s="1">
        <f>MAX($E148)</f>
        <v>0</v>
      </c>
      <c r="Y148" s="1">
        <f>MAX($G148)</f>
        <v>0</v>
      </c>
      <c r="Z148" s="1">
        <f>MAX($H148)</f>
        <v>0</v>
      </c>
    </row>
    <row r="149" spans="1:26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/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>
        <f>MIN($B149)</f>
        <v>0</v>
      </c>
      <c r="J149" s="1">
        <f>MIN($C149)</f>
        <v>0</v>
      </c>
      <c r="K149" s="1">
        <f>MIN($D149)</f>
        <v>0</v>
      </c>
      <c r="L149" s="1">
        <f>MIN($E149)</f>
        <v>0</v>
      </c>
      <c r="M149" s="1">
        <f>MIN($G149)</f>
        <v>0</v>
      </c>
      <c r="N149" s="1">
        <f>MIN($H149)</f>
        <v>0</v>
      </c>
      <c r="O149" s="1">
        <f>MEDIAN($B149)</f>
        <v>0</v>
      </c>
      <c r="P149" s="1">
        <f>MEDIAN($C149)</f>
        <v>0</v>
      </c>
      <c r="Q149" s="1">
        <f>MEDIAN($D149)</f>
        <v>0</v>
      </c>
      <c r="R149" s="1">
        <f>MEDIAN($E149)</f>
        <v>0</v>
      </c>
      <c r="S149" s="1">
        <f>MEDIAN($G149)</f>
        <v>0</v>
      </c>
      <c r="T149" s="1">
        <f>MEDIAN($H149)</f>
        <v>0</v>
      </c>
      <c r="U149" s="1">
        <f>MAX($B149)</f>
        <v>0</v>
      </c>
      <c r="V149" s="1">
        <f>MAX($C149)</f>
        <v>0</v>
      </c>
      <c r="W149" s="1">
        <f>MAX($D149)</f>
        <v>0</v>
      </c>
      <c r="X149" s="1">
        <f>MAX($E149)</f>
        <v>0</v>
      </c>
      <c r="Y149" s="1">
        <f>MAX($G149)</f>
        <v>0</v>
      </c>
      <c r="Z149" s="1">
        <f>MAX($H149)</f>
        <v>0</v>
      </c>
    </row>
    <row r="150" spans="1:26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/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>
        <f>MIN($B150)</f>
        <v>0</v>
      </c>
      <c r="J150" s="1">
        <f>MIN($C150)</f>
        <v>0</v>
      </c>
      <c r="K150" s="1">
        <f>MIN($D150)</f>
        <v>0</v>
      </c>
      <c r="L150" s="1">
        <f>MIN($E150)</f>
        <v>0</v>
      </c>
      <c r="M150" s="1">
        <f>MIN($G150)</f>
        <v>0</v>
      </c>
      <c r="N150" s="1">
        <f>MIN($H150)</f>
        <v>0</v>
      </c>
      <c r="O150" s="1">
        <f>MEDIAN($B150)</f>
        <v>0</v>
      </c>
      <c r="P150" s="1">
        <f>MEDIAN($C150)</f>
        <v>0</v>
      </c>
      <c r="Q150" s="1">
        <f>MEDIAN($D150)</f>
        <v>0</v>
      </c>
      <c r="R150" s="1">
        <f>MEDIAN($E150)</f>
        <v>0</v>
      </c>
      <c r="S150" s="1">
        <f>MEDIAN($G150)</f>
        <v>0</v>
      </c>
      <c r="T150" s="1">
        <f>MEDIAN($H150)</f>
        <v>0</v>
      </c>
      <c r="U150" s="1">
        <f>MAX($B150)</f>
        <v>0</v>
      </c>
      <c r="V150" s="1">
        <f>MAX($C150)</f>
        <v>0</v>
      </c>
      <c r="W150" s="1">
        <f>MAX($D150)</f>
        <v>0</v>
      </c>
      <c r="X150" s="1">
        <f>MAX($E150)</f>
        <v>0</v>
      </c>
      <c r="Y150" s="1">
        <f>MAX($G150)</f>
        <v>0</v>
      </c>
      <c r="Z150" s="1">
        <f>MAX($H150)</f>
        <v>0</v>
      </c>
    </row>
    <row r="151" spans="1:26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/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>
        <f>MIN($B151)</f>
        <v>0</v>
      </c>
      <c r="J151" s="1">
        <f>MIN($C151)</f>
        <v>0</v>
      </c>
      <c r="K151" s="1">
        <f>MIN($D151)</f>
        <v>0</v>
      </c>
      <c r="L151" s="1">
        <f>MIN($E151)</f>
        <v>0</v>
      </c>
      <c r="M151" s="1">
        <f>MIN($G151)</f>
        <v>0</v>
      </c>
      <c r="N151" s="1">
        <f>MIN($H151)</f>
        <v>0</v>
      </c>
      <c r="O151" s="1">
        <f>MEDIAN($B151)</f>
        <v>0</v>
      </c>
      <c r="P151" s="1">
        <f>MEDIAN($C151)</f>
        <v>0</v>
      </c>
      <c r="Q151" s="1">
        <f>MEDIAN($D151)</f>
        <v>0</v>
      </c>
      <c r="R151" s="1">
        <f>MEDIAN($E151)</f>
        <v>0</v>
      </c>
      <c r="S151" s="1">
        <f>MEDIAN($G151)</f>
        <v>0</v>
      </c>
      <c r="T151" s="1">
        <f>MEDIAN($H151)</f>
        <v>0</v>
      </c>
      <c r="U151" s="1">
        <f>MAX($B151)</f>
        <v>0</v>
      </c>
      <c r="V151" s="1">
        <f>MAX($C151)</f>
        <v>0</v>
      </c>
      <c r="W151" s="1">
        <f>MAX($D151)</f>
        <v>0</v>
      </c>
      <c r="X151" s="1">
        <f>MAX($E151)</f>
        <v>0</v>
      </c>
      <c r="Y151" s="1">
        <f>MAX($G151)</f>
        <v>0</v>
      </c>
      <c r="Z151" s="1">
        <f>MAX($H151)</f>
        <v>0</v>
      </c>
    </row>
    <row r="152" spans="1:26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/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>
        <f>MIN($B152)</f>
        <v>0</v>
      </c>
      <c r="J152" s="1">
        <f>MIN($C152)</f>
        <v>0</v>
      </c>
      <c r="K152" s="1">
        <f>MIN($D152)</f>
        <v>0</v>
      </c>
      <c r="L152" s="1">
        <f>MIN($E152)</f>
        <v>0</v>
      </c>
      <c r="M152" s="1">
        <f>MIN($G152)</f>
        <v>0</v>
      </c>
      <c r="N152" s="1">
        <f>MIN($H152)</f>
        <v>0</v>
      </c>
      <c r="O152" s="1">
        <f>MEDIAN($B152)</f>
        <v>0</v>
      </c>
      <c r="P152" s="1">
        <f>MEDIAN($C152)</f>
        <v>0</v>
      </c>
      <c r="Q152" s="1">
        <f>MEDIAN($D152)</f>
        <v>0</v>
      </c>
      <c r="R152" s="1">
        <f>MEDIAN($E152)</f>
        <v>0</v>
      </c>
      <c r="S152" s="1">
        <f>MEDIAN($G152)</f>
        <v>0</v>
      </c>
      <c r="T152" s="1">
        <f>MEDIAN($H152)</f>
        <v>0</v>
      </c>
      <c r="U152" s="1">
        <f>MAX($B152)</f>
        <v>0</v>
      </c>
      <c r="V152" s="1">
        <f>MAX($C152)</f>
        <v>0</v>
      </c>
      <c r="W152" s="1">
        <f>MAX($D152)</f>
        <v>0</v>
      </c>
      <c r="X152" s="1">
        <f>MAX($E152)</f>
        <v>0</v>
      </c>
      <c r="Y152" s="1">
        <f>MAX($G152)</f>
        <v>0</v>
      </c>
      <c r="Z152" s="1">
        <f>MAX($H152)</f>
        <v>0</v>
      </c>
    </row>
    <row r="153" spans="1:26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/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>
        <f>MIN($B153)</f>
        <v>0</v>
      </c>
      <c r="J153" s="1">
        <f>MIN($C153)</f>
        <v>0</v>
      </c>
      <c r="K153" s="1">
        <f>MIN($D153)</f>
        <v>0</v>
      </c>
      <c r="L153" s="1">
        <f>MIN($E153)</f>
        <v>0</v>
      </c>
      <c r="M153" s="1">
        <f>MIN($G153)</f>
        <v>0</v>
      </c>
      <c r="N153" s="1">
        <f>MIN($H153)</f>
        <v>0</v>
      </c>
      <c r="O153" s="1">
        <f>MEDIAN($B153)</f>
        <v>0</v>
      </c>
      <c r="P153" s="1">
        <f>MEDIAN($C153)</f>
        <v>0</v>
      </c>
      <c r="Q153" s="1">
        <f>MEDIAN($D153)</f>
        <v>0</v>
      </c>
      <c r="R153" s="1">
        <f>MEDIAN($E153)</f>
        <v>0</v>
      </c>
      <c r="S153" s="1">
        <f>MEDIAN($G153)</f>
        <v>0</v>
      </c>
      <c r="T153" s="1">
        <f>MEDIAN($H153)</f>
        <v>0</v>
      </c>
      <c r="U153" s="1">
        <f>MAX($B153)</f>
        <v>0</v>
      </c>
      <c r="V153" s="1">
        <f>MAX($C153)</f>
        <v>0</v>
      </c>
      <c r="W153" s="1">
        <f>MAX($D153)</f>
        <v>0</v>
      </c>
      <c r="X153" s="1">
        <f>MAX($E153)</f>
        <v>0</v>
      </c>
      <c r="Y153" s="1">
        <f>MAX($G153)</f>
        <v>0</v>
      </c>
      <c r="Z153" s="1">
        <f>MAX($H153)</f>
        <v>0</v>
      </c>
    </row>
    <row r="154" spans="1:26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/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>
        <f>MIN($B154)</f>
        <v>0</v>
      </c>
      <c r="J154" s="1">
        <f>MIN($C154)</f>
        <v>0</v>
      </c>
      <c r="K154" s="1">
        <f>MIN($D154)</f>
        <v>0</v>
      </c>
      <c r="L154" s="1">
        <f>MIN($E154)</f>
        <v>0</v>
      </c>
      <c r="M154" s="1">
        <f>MIN($G154)</f>
        <v>0</v>
      </c>
      <c r="N154" s="1">
        <f>MIN($H154)</f>
        <v>0</v>
      </c>
      <c r="O154" s="1">
        <f>MEDIAN($B154)</f>
        <v>0</v>
      </c>
      <c r="P154" s="1">
        <f>MEDIAN($C154)</f>
        <v>0</v>
      </c>
      <c r="Q154" s="1">
        <f>MEDIAN($D154)</f>
        <v>0</v>
      </c>
      <c r="R154" s="1">
        <f>MEDIAN($E154)</f>
        <v>0</v>
      </c>
      <c r="S154" s="1">
        <f>MEDIAN($G154)</f>
        <v>0</v>
      </c>
      <c r="T154" s="1">
        <f>MEDIAN($H154)</f>
        <v>0</v>
      </c>
      <c r="U154" s="1">
        <f>MAX($B154)</f>
        <v>0</v>
      </c>
      <c r="V154" s="1">
        <f>MAX($C154)</f>
        <v>0</v>
      </c>
      <c r="W154" s="1">
        <f>MAX($D154)</f>
        <v>0</v>
      </c>
      <c r="X154" s="1">
        <f>MAX($E154)</f>
        <v>0</v>
      </c>
      <c r="Y154" s="1">
        <f>MAX($G154)</f>
        <v>0</v>
      </c>
      <c r="Z154" s="1">
        <f>MAX($H154)</f>
        <v>0</v>
      </c>
    </row>
    <row r="155" spans="1:26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/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>
        <f>MIN($B155)</f>
        <v>0</v>
      </c>
      <c r="J155" s="1">
        <f>MIN($C155)</f>
        <v>0</v>
      </c>
      <c r="K155" s="1">
        <f>MIN($D155)</f>
        <v>0</v>
      </c>
      <c r="L155" s="1">
        <f>MIN($E155)</f>
        <v>0</v>
      </c>
      <c r="M155" s="1">
        <f>MIN($G155)</f>
        <v>0</v>
      </c>
      <c r="N155" s="1">
        <f>MIN($H155)</f>
        <v>0</v>
      </c>
      <c r="O155" s="1">
        <f>MEDIAN($B155)</f>
        <v>0</v>
      </c>
      <c r="P155" s="1">
        <f>MEDIAN($C155)</f>
        <v>0</v>
      </c>
      <c r="Q155" s="1">
        <f>MEDIAN($D155)</f>
        <v>0</v>
      </c>
      <c r="R155" s="1">
        <f>MEDIAN($E155)</f>
        <v>0</v>
      </c>
      <c r="S155" s="1">
        <f>MEDIAN($G155)</f>
        <v>0</v>
      </c>
      <c r="T155" s="1">
        <f>MEDIAN($H155)</f>
        <v>0</v>
      </c>
      <c r="U155" s="1">
        <f>MAX($B155)</f>
        <v>0</v>
      </c>
      <c r="V155" s="1">
        <f>MAX($C155)</f>
        <v>0</v>
      </c>
      <c r="W155" s="1">
        <f>MAX($D155)</f>
        <v>0</v>
      </c>
      <c r="X155" s="1">
        <f>MAX($E155)</f>
        <v>0</v>
      </c>
      <c r="Y155" s="1">
        <f>MAX($G155)</f>
        <v>0</v>
      </c>
      <c r="Z155" s="1">
        <f>MAX($H155)</f>
        <v>0</v>
      </c>
    </row>
    <row r="156" spans="1:26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/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>
        <f>MIN($B156)</f>
        <v>0</v>
      </c>
      <c r="J156" s="1">
        <f>MIN($C156)</f>
        <v>0</v>
      </c>
      <c r="K156" s="1">
        <f>MIN($D156)</f>
        <v>0</v>
      </c>
      <c r="L156" s="1">
        <f>MIN($E156)</f>
        <v>0</v>
      </c>
      <c r="M156" s="1">
        <f>MIN($G156)</f>
        <v>0</v>
      </c>
      <c r="N156" s="1">
        <f>MIN($H156)</f>
        <v>0</v>
      </c>
      <c r="O156" s="1">
        <f>MEDIAN($B156)</f>
        <v>0</v>
      </c>
      <c r="P156" s="1">
        <f>MEDIAN($C156)</f>
        <v>0</v>
      </c>
      <c r="Q156" s="1">
        <f>MEDIAN($D156)</f>
        <v>0</v>
      </c>
      <c r="R156" s="1">
        <f>MEDIAN($E156)</f>
        <v>0</v>
      </c>
      <c r="S156" s="1">
        <f>MEDIAN($G156)</f>
        <v>0</v>
      </c>
      <c r="T156" s="1">
        <f>MEDIAN($H156)</f>
        <v>0</v>
      </c>
      <c r="U156" s="1">
        <f>MAX($B156)</f>
        <v>0</v>
      </c>
      <c r="V156" s="1">
        <f>MAX($C156)</f>
        <v>0</v>
      </c>
      <c r="W156" s="1">
        <f>MAX($D156)</f>
        <v>0</v>
      </c>
      <c r="X156" s="1">
        <f>MAX($E156)</f>
        <v>0</v>
      </c>
      <c r="Y156" s="1">
        <f>MAX($G156)</f>
        <v>0</v>
      </c>
      <c r="Z156" s="1">
        <f>MAX($H156)</f>
        <v>0</v>
      </c>
    </row>
    <row r="157" spans="1:26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/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>
        <f>MIN($B157)</f>
        <v>0</v>
      </c>
      <c r="J157" s="1">
        <f>MIN($C157)</f>
        <v>0</v>
      </c>
      <c r="K157" s="1">
        <f>MIN($D157)</f>
        <v>0</v>
      </c>
      <c r="L157" s="1">
        <f>MIN($E157)</f>
        <v>0</v>
      </c>
      <c r="M157" s="1">
        <f>MIN($G157)</f>
        <v>0</v>
      </c>
      <c r="N157" s="1">
        <f>MIN($H157)</f>
        <v>0</v>
      </c>
      <c r="O157" s="1">
        <f>MEDIAN($B157)</f>
        <v>0</v>
      </c>
      <c r="P157" s="1">
        <f>MEDIAN($C157)</f>
        <v>0</v>
      </c>
      <c r="Q157" s="1">
        <f>MEDIAN($D157)</f>
        <v>0</v>
      </c>
      <c r="R157" s="1">
        <f>MEDIAN($E157)</f>
        <v>0</v>
      </c>
      <c r="S157" s="1">
        <f>MEDIAN($G157)</f>
        <v>0</v>
      </c>
      <c r="T157" s="1">
        <f>MEDIAN($H157)</f>
        <v>0</v>
      </c>
      <c r="U157" s="1">
        <f>MAX($B157)</f>
        <v>0</v>
      </c>
      <c r="V157" s="1">
        <f>MAX($C157)</f>
        <v>0</v>
      </c>
      <c r="W157" s="1">
        <f>MAX($D157)</f>
        <v>0</v>
      </c>
      <c r="X157" s="1">
        <f>MAX($E157)</f>
        <v>0</v>
      </c>
      <c r="Y157" s="1">
        <f>MAX($G157)</f>
        <v>0</v>
      </c>
      <c r="Z157" s="1">
        <f>MAX($H157)</f>
        <v>0</v>
      </c>
    </row>
    <row r="158" spans="1:26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/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>
        <f>MIN($B158)</f>
        <v>0</v>
      </c>
      <c r="J158" s="1">
        <f>MIN($C158)</f>
        <v>0</v>
      </c>
      <c r="K158" s="1">
        <f>MIN($D158)</f>
        <v>0</v>
      </c>
      <c r="L158" s="1">
        <f>MIN($E158)</f>
        <v>0</v>
      </c>
      <c r="M158" s="1">
        <f>MIN($G158)</f>
        <v>0</v>
      </c>
      <c r="N158" s="1">
        <f>MIN($H158)</f>
        <v>0</v>
      </c>
      <c r="O158" s="1">
        <f>MEDIAN($B158)</f>
        <v>0</v>
      </c>
      <c r="P158" s="1">
        <f>MEDIAN($C158)</f>
        <v>0</v>
      </c>
      <c r="Q158" s="1">
        <f>MEDIAN($D158)</f>
        <v>0</v>
      </c>
      <c r="R158" s="1">
        <f>MEDIAN($E158)</f>
        <v>0</v>
      </c>
      <c r="S158" s="1">
        <f>MEDIAN($G158)</f>
        <v>0</v>
      </c>
      <c r="T158" s="1">
        <f>MEDIAN($H158)</f>
        <v>0</v>
      </c>
      <c r="U158" s="1">
        <f>MAX($B158)</f>
        <v>0</v>
      </c>
      <c r="V158" s="1">
        <f>MAX($C158)</f>
        <v>0</v>
      </c>
      <c r="W158" s="1">
        <f>MAX($D158)</f>
        <v>0</v>
      </c>
      <c r="X158" s="1">
        <f>MAX($E158)</f>
        <v>0</v>
      </c>
      <c r="Y158" s="1">
        <f>MAX($G158)</f>
        <v>0</v>
      </c>
      <c r="Z158" s="1">
        <f>MAX($H158)</f>
        <v>0</v>
      </c>
    </row>
    <row r="159" spans="1:26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/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>
        <f>MIN($B159)</f>
        <v>0</v>
      </c>
      <c r="J159" s="1">
        <f>MIN($C159)</f>
        <v>0</v>
      </c>
      <c r="K159" s="1">
        <f>MIN($D159)</f>
        <v>0</v>
      </c>
      <c r="L159" s="1">
        <f>MIN($E159)</f>
        <v>0</v>
      </c>
      <c r="M159" s="1">
        <f>MIN($G159)</f>
        <v>0</v>
      </c>
      <c r="N159" s="1">
        <f>MIN($H159)</f>
        <v>0</v>
      </c>
      <c r="O159" s="1">
        <f>MEDIAN($B159)</f>
        <v>0</v>
      </c>
      <c r="P159" s="1">
        <f>MEDIAN($C159)</f>
        <v>0</v>
      </c>
      <c r="Q159" s="1">
        <f>MEDIAN($D159)</f>
        <v>0</v>
      </c>
      <c r="R159" s="1">
        <f>MEDIAN($E159)</f>
        <v>0</v>
      </c>
      <c r="S159" s="1">
        <f>MEDIAN($G159)</f>
        <v>0</v>
      </c>
      <c r="T159" s="1">
        <f>MEDIAN($H159)</f>
        <v>0</v>
      </c>
      <c r="U159" s="1">
        <f>MAX($B159)</f>
        <v>0</v>
      </c>
      <c r="V159" s="1">
        <f>MAX($C159)</f>
        <v>0</v>
      </c>
      <c r="W159" s="1">
        <f>MAX($D159)</f>
        <v>0</v>
      </c>
      <c r="X159" s="1">
        <f>MAX($E159)</f>
        <v>0</v>
      </c>
      <c r="Y159" s="1">
        <f>MAX($G159)</f>
        <v>0</v>
      </c>
      <c r="Z159" s="1">
        <f>MAX($H159)</f>
        <v>0</v>
      </c>
    </row>
    <row r="160" spans="1:26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/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>
        <f>MIN($B160)</f>
        <v>0</v>
      </c>
      <c r="J160" s="1">
        <f>MIN($C160)</f>
        <v>0</v>
      </c>
      <c r="K160" s="1">
        <f>MIN($D160)</f>
        <v>0</v>
      </c>
      <c r="L160" s="1">
        <f>MIN($E160)</f>
        <v>0</v>
      </c>
      <c r="M160" s="1">
        <f>MIN($G160)</f>
        <v>0</v>
      </c>
      <c r="N160" s="1">
        <f>MIN($H160)</f>
        <v>0</v>
      </c>
      <c r="O160" s="1">
        <f>MEDIAN($B160)</f>
        <v>0</v>
      </c>
      <c r="P160" s="1">
        <f>MEDIAN($C160)</f>
        <v>0</v>
      </c>
      <c r="Q160" s="1">
        <f>MEDIAN($D160)</f>
        <v>0</v>
      </c>
      <c r="R160" s="1">
        <f>MEDIAN($E160)</f>
        <v>0</v>
      </c>
      <c r="S160" s="1">
        <f>MEDIAN($G160)</f>
        <v>0</v>
      </c>
      <c r="T160" s="1">
        <f>MEDIAN($H160)</f>
        <v>0</v>
      </c>
      <c r="U160" s="1">
        <f>MAX($B160)</f>
        <v>0</v>
      </c>
      <c r="V160" s="1">
        <f>MAX($C160)</f>
        <v>0</v>
      </c>
      <c r="W160" s="1">
        <f>MAX($D160)</f>
        <v>0</v>
      </c>
      <c r="X160" s="1">
        <f>MAX($E160)</f>
        <v>0</v>
      </c>
      <c r="Y160" s="1">
        <f>MAX($G160)</f>
        <v>0</v>
      </c>
      <c r="Z160" s="1">
        <f>MAX($H160)</f>
        <v>0</v>
      </c>
    </row>
    <row r="161" spans="1:26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/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>
        <f>MIN($B161)</f>
        <v>0</v>
      </c>
      <c r="J161" s="1">
        <f>MIN($C161)</f>
        <v>0</v>
      </c>
      <c r="K161" s="1">
        <f>MIN($D161)</f>
        <v>0</v>
      </c>
      <c r="L161" s="1">
        <f>MIN($E161)</f>
        <v>0</v>
      </c>
      <c r="M161" s="1">
        <f>MIN($G161)</f>
        <v>0</v>
      </c>
      <c r="N161" s="1">
        <f>MIN($H161)</f>
        <v>0</v>
      </c>
      <c r="O161" s="1">
        <f>MEDIAN($B161)</f>
        <v>0</v>
      </c>
      <c r="P161" s="1">
        <f>MEDIAN($C161)</f>
        <v>0</v>
      </c>
      <c r="Q161" s="1">
        <f>MEDIAN($D161)</f>
        <v>0</v>
      </c>
      <c r="R161" s="1">
        <f>MEDIAN($E161)</f>
        <v>0</v>
      </c>
      <c r="S161" s="1">
        <f>MEDIAN($G161)</f>
        <v>0</v>
      </c>
      <c r="T161" s="1">
        <f>MEDIAN($H161)</f>
        <v>0</v>
      </c>
      <c r="U161" s="1">
        <f>MAX($B161)</f>
        <v>0</v>
      </c>
      <c r="V161" s="1">
        <f>MAX($C161)</f>
        <v>0</v>
      </c>
      <c r="W161" s="1">
        <f>MAX($D161)</f>
        <v>0</v>
      </c>
      <c r="X161" s="1">
        <f>MAX($E161)</f>
        <v>0</v>
      </c>
      <c r="Y161" s="1">
        <f>MAX($G161)</f>
        <v>0</v>
      </c>
      <c r="Z161" s="1">
        <f>MAX($H161)</f>
        <v>0</v>
      </c>
    </row>
    <row r="162" spans="1:26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/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>
        <f>MIN($B162)</f>
        <v>0</v>
      </c>
      <c r="J162" s="1">
        <f>MIN($C162)</f>
        <v>0</v>
      </c>
      <c r="K162" s="1">
        <f>MIN($D162)</f>
        <v>0</v>
      </c>
      <c r="L162" s="1">
        <f>MIN($E162)</f>
        <v>0</v>
      </c>
      <c r="M162" s="1">
        <f>MIN($G162)</f>
        <v>0</v>
      </c>
      <c r="N162" s="1">
        <f>MIN($H162)</f>
        <v>0</v>
      </c>
      <c r="O162" s="1">
        <f>MEDIAN($B162)</f>
        <v>0</v>
      </c>
      <c r="P162" s="1">
        <f>MEDIAN($C162)</f>
        <v>0</v>
      </c>
      <c r="Q162" s="1">
        <f>MEDIAN($D162)</f>
        <v>0</v>
      </c>
      <c r="R162" s="1">
        <f>MEDIAN($E162)</f>
        <v>0</v>
      </c>
      <c r="S162" s="1">
        <f>MEDIAN($G162)</f>
        <v>0</v>
      </c>
      <c r="T162" s="1">
        <f>MEDIAN($H162)</f>
        <v>0</v>
      </c>
      <c r="U162" s="1">
        <f>MAX($B162)</f>
        <v>0</v>
      </c>
      <c r="V162" s="1">
        <f>MAX($C162)</f>
        <v>0</v>
      </c>
      <c r="W162" s="1">
        <f>MAX($D162)</f>
        <v>0</v>
      </c>
      <c r="X162" s="1">
        <f>MAX($E162)</f>
        <v>0</v>
      </c>
      <c r="Y162" s="1">
        <f>MAX($G162)</f>
        <v>0</v>
      </c>
      <c r="Z162" s="1">
        <f>MAX($H162)</f>
        <v>0</v>
      </c>
    </row>
    <row r="163" spans="1:26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/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>
        <f>MIN($B163)</f>
        <v>0</v>
      </c>
      <c r="J163" s="1">
        <f>MIN($C163)</f>
        <v>0</v>
      </c>
      <c r="K163" s="1">
        <f>MIN($D163)</f>
        <v>0</v>
      </c>
      <c r="L163" s="1">
        <f>MIN($E163)</f>
        <v>0</v>
      </c>
      <c r="M163" s="1">
        <f>MIN($G163)</f>
        <v>0</v>
      </c>
      <c r="N163" s="1">
        <f>MIN($H163)</f>
        <v>0</v>
      </c>
      <c r="O163" s="1">
        <f>MEDIAN($B163)</f>
        <v>0</v>
      </c>
      <c r="P163" s="1">
        <f>MEDIAN($C163)</f>
        <v>0</v>
      </c>
      <c r="Q163" s="1">
        <f>MEDIAN($D163)</f>
        <v>0</v>
      </c>
      <c r="R163" s="1">
        <f>MEDIAN($E163)</f>
        <v>0</v>
      </c>
      <c r="S163" s="1">
        <f>MEDIAN($G163)</f>
        <v>0</v>
      </c>
      <c r="T163" s="1">
        <f>MEDIAN($H163)</f>
        <v>0</v>
      </c>
      <c r="U163" s="1">
        <f>MAX($B163)</f>
        <v>0</v>
      </c>
      <c r="V163" s="1">
        <f>MAX($C163)</f>
        <v>0</v>
      </c>
      <c r="W163" s="1">
        <f>MAX($D163)</f>
        <v>0</v>
      </c>
      <c r="X163" s="1">
        <f>MAX($E163)</f>
        <v>0</v>
      </c>
      <c r="Y163" s="1">
        <f>MAX($G163)</f>
        <v>0</v>
      </c>
      <c r="Z163" s="1">
        <f>MAX($H163)</f>
        <v>0</v>
      </c>
    </row>
    <row r="164" spans="1:26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/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>
        <f>MIN($B164)</f>
        <v>0</v>
      </c>
      <c r="J164" s="1">
        <f>MIN($C164)</f>
        <v>0</v>
      </c>
      <c r="K164" s="1">
        <f>MIN($D164)</f>
        <v>0</v>
      </c>
      <c r="L164" s="1">
        <f>MIN($E164)</f>
        <v>0</v>
      </c>
      <c r="M164" s="1">
        <f>MIN($G164)</f>
        <v>0</v>
      </c>
      <c r="N164" s="1">
        <f>MIN($H164)</f>
        <v>0</v>
      </c>
      <c r="O164" s="1">
        <f>MEDIAN($B164)</f>
        <v>0</v>
      </c>
      <c r="P164" s="1">
        <f>MEDIAN($C164)</f>
        <v>0</v>
      </c>
      <c r="Q164" s="1">
        <f>MEDIAN($D164)</f>
        <v>0</v>
      </c>
      <c r="R164" s="1">
        <f>MEDIAN($E164)</f>
        <v>0</v>
      </c>
      <c r="S164" s="1">
        <f>MEDIAN($G164)</f>
        <v>0</v>
      </c>
      <c r="T164" s="1">
        <f>MEDIAN($H164)</f>
        <v>0</v>
      </c>
      <c r="U164" s="1">
        <f>MAX($B164)</f>
        <v>0</v>
      </c>
      <c r="V164" s="1">
        <f>MAX($C164)</f>
        <v>0</v>
      </c>
      <c r="W164" s="1">
        <f>MAX($D164)</f>
        <v>0</v>
      </c>
      <c r="X164" s="1">
        <f>MAX($E164)</f>
        <v>0</v>
      </c>
      <c r="Y164" s="1">
        <f>MAX($G164)</f>
        <v>0</v>
      </c>
      <c r="Z164" s="1">
        <f>MAX($H164)</f>
        <v>0</v>
      </c>
    </row>
    <row r="165" spans="1:26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/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>
        <f>MIN($B165)</f>
        <v>0</v>
      </c>
      <c r="J165" s="1">
        <f>MIN($C165)</f>
        <v>0</v>
      </c>
      <c r="K165" s="1">
        <f>MIN($D165)</f>
        <v>0</v>
      </c>
      <c r="L165" s="1">
        <f>MIN($E165)</f>
        <v>0</v>
      </c>
      <c r="M165" s="1">
        <f>MIN($G165)</f>
        <v>0</v>
      </c>
      <c r="N165" s="1">
        <f>MIN($H165)</f>
        <v>0</v>
      </c>
      <c r="O165" s="1">
        <f>MEDIAN($B165)</f>
        <v>0</v>
      </c>
      <c r="P165" s="1">
        <f>MEDIAN($C165)</f>
        <v>0</v>
      </c>
      <c r="Q165" s="1">
        <f>MEDIAN($D165)</f>
        <v>0</v>
      </c>
      <c r="R165" s="1">
        <f>MEDIAN($E165)</f>
        <v>0</v>
      </c>
      <c r="S165" s="1">
        <f>MEDIAN($G165)</f>
        <v>0</v>
      </c>
      <c r="T165" s="1">
        <f>MEDIAN($H165)</f>
        <v>0</v>
      </c>
      <c r="U165" s="1">
        <f>MAX($B165)</f>
        <v>0</v>
      </c>
      <c r="V165" s="1">
        <f>MAX($C165)</f>
        <v>0</v>
      </c>
      <c r="W165" s="1">
        <f>MAX($D165)</f>
        <v>0</v>
      </c>
      <c r="X165" s="1">
        <f>MAX($E165)</f>
        <v>0</v>
      </c>
      <c r="Y165" s="1">
        <f>MAX($G165)</f>
        <v>0</v>
      </c>
      <c r="Z165" s="1">
        <f>MAX($H165)</f>
        <v>0</v>
      </c>
    </row>
    <row r="166" spans="1:26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/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>
        <f>MIN($B166)</f>
        <v>0</v>
      </c>
      <c r="J166" s="1">
        <f>MIN($C166)</f>
        <v>0</v>
      </c>
      <c r="K166" s="1">
        <f>MIN($D166)</f>
        <v>0</v>
      </c>
      <c r="L166" s="1">
        <f>MIN($E166)</f>
        <v>0</v>
      </c>
      <c r="M166" s="1">
        <f>MIN($G166)</f>
        <v>0</v>
      </c>
      <c r="N166" s="1">
        <f>MIN($H166)</f>
        <v>0</v>
      </c>
      <c r="O166" s="1">
        <f>MEDIAN($B166)</f>
        <v>0</v>
      </c>
      <c r="P166" s="1">
        <f>MEDIAN($C166)</f>
        <v>0</v>
      </c>
      <c r="Q166" s="1">
        <f>MEDIAN($D166)</f>
        <v>0</v>
      </c>
      <c r="R166" s="1">
        <f>MEDIAN($E166)</f>
        <v>0</v>
      </c>
      <c r="S166" s="1">
        <f>MEDIAN($G166)</f>
        <v>0</v>
      </c>
      <c r="T166" s="1">
        <f>MEDIAN($H166)</f>
        <v>0</v>
      </c>
      <c r="U166" s="1">
        <f>MAX($B166)</f>
        <v>0</v>
      </c>
      <c r="V166" s="1">
        <f>MAX($C166)</f>
        <v>0</v>
      </c>
      <c r="W166" s="1">
        <f>MAX($D166)</f>
        <v>0</v>
      </c>
      <c r="X166" s="1">
        <f>MAX($E166)</f>
        <v>0</v>
      </c>
      <c r="Y166" s="1">
        <f>MAX($G166)</f>
        <v>0</v>
      </c>
      <c r="Z166" s="1">
        <f>MAX($H166)</f>
        <v>0</v>
      </c>
    </row>
    <row r="167" spans="1:26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/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>
        <f>MIN($B167)</f>
        <v>0</v>
      </c>
      <c r="J167" s="1">
        <f>MIN($C167)</f>
        <v>0</v>
      </c>
      <c r="K167" s="1">
        <f>MIN($D167)</f>
        <v>0</v>
      </c>
      <c r="L167" s="1">
        <f>MIN($E167)</f>
        <v>0</v>
      </c>
      <c r="M167" s="1">
        <f>MIN($G167)</f>
        <v>0</v>
      </c>
      <c r="N167" s="1">
        <f>MIN($H167)</f>
        <v>0</v>
      </c>
      <c r="O167" s="1">
        <f>MEDIAN($B167)</f>
        <v>0</v>
      </c>
      <c r="P167" s="1">
        <f>MEDIAN($C167)</f>
        <v>0</v>
      </c>
      <c r="Q167" s="1">
        <f>MEDIAN($D167)</f>
        <v>0</v>
      </c>
      <c r="R167" s="1">
        <f>MEDIAN($E167)</f>
        <v>0</v>
      </c>
      <c r="S167" s="1">
        <f>MEDIAN($G167)</f>
        <v>0</v>
      </c>
      <c r="T167" s="1">
        <f>MEDIAN($H167)</f>
        <v>0</v>
      </c>
      <c r="U167" s="1">
        <f>MAX($B167)</f>
        <v>0</v>
      </c>
      <c r="V167" s="1">
        <f>MAX($C167)</f>
        <v>0</v>
      </c>
      <c r="W167" s="1">
        <f>MAX($D167)</f>
        <v>0</v>
      </c>
      <c r="X167" s="1">
        <f>MAX($E167)</f>
        <v>0</v>
      </c>
      <c r="Y167" s="1">
        <f>MAX($G167)</f>
        <v>0</v>
      </c>
      <c r="Z167" s="1">
        <f>MAX($H167)</f>
        <v>0</v>
      </c>
    </row>
    <row r="168" spans="1:26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/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>
        <f>MIN($B168)</f>
        <v>0</v>
      </c>
      <c r="J168" s="1">
        <f>MIN($C168)</f>
        <v>0</v>
      </c>
      <c r="K168" s="1">
        <f>MIN($D168)</f>
        <v>0</v>
      </c>
      <c r="L168" s="1">
        <f>MIN($E168)</f>
        <v>0</v>
      </c>
      <c r="M168" s="1">
        <f>MIN($G168)</f>
        <v>0</v>
      </c>
      <c r="N168" s="1">
        <f>MIN($H168)</f>
        <v>0</v>
      </c>
      <c r="O168" s="1">
        <f>MEDIAN($B168)</f>
        <v>0</v>
      </c>
      <c r="P168" s="1">
        <f>MEDIAN($C168)</f>
        <v>0</v>
      </c>
      <c r="Q168" s="1">
        <f>MEDIAN($D168)</f>
        <v>0</v>
      </c>
      <c r="R168" s="1">
        <f>MEDIAN($E168)</f>
        <v>0</v>
      </c>
      <c r="S168" s="1">
        <f>MEDIAN($G168)</f>
        <v>0</v>
      </c>
      <c r="T168" s="1">
        <f>MEDIAN($H168)</f>
        <v>0</v>
      </c>
      <c r="U168" s="1">
        <f>MAX($B168)</f>
        <v>0</v>
      </c>
      <c r="V168" s="1">
        <f>MAX($C168)</f>
        <v>0</v>
      </c>
      <c r="W168" s="1">
        <f>MAX($D168)</f>
        <v>0</v>
      </c>
      <c r="X168" s="1">
        <f>MAX($E168)</f>
        <v>0</v>
      </c>
      <c r="Y168" s="1">
        <f>MAX($G168)</f>
        <v>0</v>
      </c>
      <c r="Z168" s="1">
        <f>MAX($H168)</f>
        <v>0</v>
      </c>
    </row>
    <row r="169" spans="1:26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/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>
        <f>MIN($B169)</f>
        <v>0</v>
      </c>
      <c r="J169" s="1">
        <f>MIN($C169)</f>
        <v>0</v>
      </c>
      <c r="K169" s="1">
        <f>MIN($D169)</f>
        <v>0</v>
      </c>
      <c r="L169" s="1">
        <f>MIN($E169)</f>
        <v>0</v>
      </c>
      <c r="M169" s="1">
        <f>MIN($G169)</f>
        <v>0</v>
      </c>
      <c r="N169" s="1">
        <f>MIN($H169)</f>
        <v>0</v>
      </c>
      <c r="O169" s="1">
        <f>MEDIAN($B169)</f>
        <v>0</v>
      </c>
      <c r="P169" s="1">
        <f>MEDIAN($C169)</f>
        <v>0</v>
      </c>
      <c r="Q169" s="1">
        <f>MEDIAN($D169)</f>
        <v>0</v>
      </c>
      <c r="R169" s="1">
        <f>MEDIAN($E169)</f>
        <v>0</v>
      </c>
      <c r="S169" s="1">
        <f>MEDIAN($G169)</f>
        <v>0</v>
      </c>
      <c r="T169" s="1">
        <f>MEDIAN($H169)</f>
        <v>0</v>
      </c>
      <c r="U169" s="1">
        <f>MAX($B169)</f>
        <v>0</v>
      </c>
      <c r="V169" s="1">
        <f>MAX($C169)</f>
        <v>0</v>
      </c>
      <c r="W169" s="1">
        <f>MAX($D169)</f>
        <v>0</v>
      </c>
      <c r="X169" s="1">
        <f>MAX($E169)</f>
        <v>0</v>
      </c>
      <c r="Y169" s="1">
        <f>MAX($G169)</f>
        <v>0</v>
      </c>
      <c r="Z169" s="1">
        <f>MAX($H169)</f>
        <v>0</v>
      </c>
    </row>
    <row r="170" spans="1:26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/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>
        <f>MIN($B170)</f>
        <v>0</v>
      </c>
      <c r="J170" s="1">
        <f>MIN($C170)</f>
        <v>0</v>
      </c>
      <c r="K170" s="1">
        <f>MIN($D170)</f>
        <v>0</v>
      </c>
      <c r="L170" s="1">
        <f>MIN($E170)</f>
        <v>0</v>
      </c>
      <c r="M170" s="1">
        <f>MIN($G170)</f>
        <v>0</v>
      </c>
      <c r="N170" s="1">
        <f>MIN($H170)</f>
        <v>0</v>
      </c>
      <c r="O170" s="1">
        <f>MEDIAN($B170)</f>
        <v>0</v>
      </c>
      <c r="P170" s="1">
        <f>MEDIAN($C170)</f>
        <v>0</v>
      </c>
      <c r="Q170" s="1">
        <f>MEDIAN($D170)</f>
        <v>0</v>
      </c>
      <c r="R170" s="1">
        <f>MEDIAN($E170)</f>
        <v>0</v>
      </c>
      <c r="S170" s="1">
        <f>MEDIAN($G170)</f>
        <v>0</v>
      </c>
      <c r="T170" s="1">
        <f>MEDIAN($H170)</f>
        <v>0</v>
      </c>
      <c r="U170" s="1">
        <f>MAX($B170)</f>
        <v>0</v>
      </c>
      <c r="V170" s="1">
        <f>MAX($C170)</f>
        <v>0</v>
      </c>
      <c r="W170" s="1">
        <f>MAX($D170)</f>
        <v>0</v>
      </c>
      <c r="X170" s="1">
        <f>MAX($E170)</f>
        <v>0</v>
      </c>
      <c r="Y170" s="1">
        <f>MAX($G170)</f>
        <v>0</v>
      </c>
      <c r="Z170" s="1">
        <f>MAX($H170)</f>
        <v>0</v>
      </c>
    </row>
    <row r="171" spans="1:26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/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>
        <f>MIN($B171)</f>
        <v>0</v>
      </c>
      <c r="J171" s="1">
        <f>MIN($C171)</f>
        <v>0</v>
      </c>
      <c r="K171" s="1">
        <f>MIN($D171)</f>
        <v>0</v>
      </c>
      <c r="L171" s="1">
        <f>MIN($E171)</f>
        <v>0</v>
      </c>
      <c r="M171" s="1">
        <f>MIN($G171)</f>
        <v>0</v>
      </c>
      <c r="N171" s="1">
        <f>MIN($H171)</f>
        <v>0</v>
      </c>
      <c r="O171" s="1">
        <f>MEDIAN($B171)</f>
        <v>0</v>
      </c>
      <c r="P171" s="1">
        <f>MEDIAN($C171)</f>
        <v>0</v>
      </c>
      <c r="Q171" s="1">
        <f>MEDIAN($D171)</f>
        <v>0</v>
      </c>
      <c r="R171" s="1">
        <f>MEDIAN($E171)</f>
        <v>0</v>
      </c>
      <c r="S171" s="1">
        <f>MEDIAN($G171)</f>
        <v>0</v>
      </c>
      <c r="T171" s="1">
        <f>MEDIAN($H171)</f>
        <v>0</v>
      </c>
      <c r="U171" s="1">
        <f>MAX($B171)</f>
        <v>0</v>
      </c>
      <c r="V171" s="1">
        <f>MAX($C171)</f>
        <v>0</v>
      </c>
      <c r="W171" s="1">
        <f>MAX($D171)</f>
        <v>0</v>
      </c>
      <c r="X171" s="1">
        <f>MAX($E171)</f>
        <v>0</v>
      </c>
      <c r="Y171" s="1">
        <f>MAX($G171)</f>
        <v>0</v>
      </c>
      <c r="Z171" s="1">
        <f>MAX($H171)</f>
        <v>0</v>
      </c>
    </row>
    <row r="172" spans="1:26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/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>
        <f>MIN($B172)</f>
        <v>0</v>
      </c>
      <c r="J172" s="1">
        <f>MIN($C172)</f>
        <v>0</v>
      </c>
      <c r="K172" s="1">
        <f>MIN($D172)</f>
        <v>0</v>
      </c>
      <c r="L172" s="1">
        <f>MIN($E172)</f>
        <v>0</v>
      </c>
      <c r="M172" s="1">
        <f>MIN($G172)</f>
        <v>0</v>
      </c>
      <c r="N172" s="1">
        <f>MIN($H172)</f>
        <v>0</v>
      </c>
      <c r="O172" s="1">
        <f>MEDIAN($B172)</f>
        <v>0</v>
      </c>
      <c r="P172" s="1">
        <f>MEDIAN($C172)</f>
        <v>0</v>
      </c>
      <c r="Q172" s="1">
        <f>MEDIAN($D172)</f>
        <v>0</v>
      </c>
      <c r="R172" s="1">
        <f>MEDIAN($E172)</f>
        <v>0</v>
      </c>
      <c r="S172" s="1">
        <f>MEDIAN($G172)</f>
        <v>0</v>
      </c>
      <c r="T172" s="1">
        <f>MEDIAN($H172)</f>
        <v>0</v>
      </c>
      <c r="U172" s="1">
        <f>MAX($B172)</f>
        <v>0</v>
      </c>
      <c r="V172" s="1">
        <f>MAX($C172)</f>
        <v>0</v>
      </c>
      <c r="W172" s="1">
        <f>MAX($D172)</f>
        <v>0</v>
      </c>
      <c r="X172" s="1">
        <f>MAX($E172)</f>
        <v>0</v>
      </c>
      <c r="Y172" s="1">
        <f>MAX($G172)</f>
        <v>0</v>
      </c>
      <c r="Z172" s="1">
        <f>MAX($H172)</f>
        <v>0</v>
      </c>
    </row>
    <row r="173" spans="1:26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/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>
        <f>MIN($B173)</f>
        <v>0</v>
      </c>
      <c r="J173" s="1">
        <f>MIN($C173)</f>
        <v>0</v>
      </c>
      <c r="K173" s="1">
        <f>MIN($D173)</f>
        <v>0</v>
      </c>
      <c r="L173" s="1">
        <f>MIN($E173)</f>
        <v>0</v>
      </c>
      <c r="M173" s="1">
        <f>MIN($G173)</f>
        <v>0</v>
      </c>
      <c r="N173" s="1">
        <f>MIN($H173)</f>
        <v>0</v>
      </c>
      <c r="O173" s="1">
        <f>MEDIAN($B173)</f>
        <v>0</v>
      </c>
      <c r="P173" s="1">
        <f>MEDIAN($C173)</f>
        <v>0</v>
      </c>
      <c r="Q173" s="1">
        <f>MEDIAN($D173)</f>
        <v>0</v>
      </c>
      <c r="R173" s="1">
        <f>MEDIAN($E173)</f>
        <v>0</v>
      </c>
      <c r="S173" s="1">
        <f>MEDIAN($G173)</f>
        <v>0</v>
      </c>
      <c r="T173" s="1">
        <f>MEDIAN($H173)</f>
        <v>0</v>
      </c>
      <c r="U173" s="1">
        <f>MAX($B173)</f>
        <v>0</v>
      </c>
      <c r="V173" s="1">
        <f>MAX($C173)</f>
        <v>0</v>
      </c>
      <c r="W173" s="1">
        <f>MAX($D173)</f>
        <v>0</v>
      </c>
      <c r="X173" s="1">
        <f>MAX($E173)</f>
        <v>0</v>
      </c>
      <c r="Y173" s="1">
        <f>MAX($G173)</f>
        <v>0</v>
      </c>
      <c r="Z173" s="1">
        <f>MAX($H173)</f>
        <v>0</v>
      </c>
    </row>
    <row r="174" spans="1:26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/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>
        <f>MIN($B174)</f>
        <v>0</v>
      </c>
      <c r="J174" s="1">
        <f>MIN($C174)</f>
        <v>0</v>
      </c>
      <c r="K174" s="1">
        <f>MIN($D174)</f>
        <v>0</v>
      </c>
      <c r="L174" s="1">
        <f>MIN($E174)</f>
        <v>0</v>
      </c>
      <c r="M174" s="1">
        <f>MIN($G174)</f>
        <v>0</v>
      </c>
      <c r="N174" s="1">
        <f>MIN($H174)</f>
        <v>0</v>
      </c>
      <c r="O174" s="1">
        <f>MEDIAN($B174)</f>
        <v>0</v>
      </c>
      <c r="P174" s="1">
        <f>MEDIAN($C174)</f>
        <v>0</v>
      </c>
      <c r="Q174" s="1">
        <f>MEDIAN($D174)</f>
        <v>0</v>
      </c>
      <c r="R174" s="1">
        <f>MEDIAN($E174)</f>
        <v>0</v>
      </c>
      <c r="S174" s="1">
        <f>MEDIAN($G174)</f>
        <v>0</v>
      </c>
      <c r="T174" s="1">
        <f>MEDIAN($H174)</f>
        <v>0</v>
      </c>
      <c r="U174" s="1">
        <f>MAX($B174)</f>
        <v>0</v>
      </c>
      <c r="V174" s="1">
        <f>MAX($C174)</f>
        <v>0</v>
      </c>
      <c r="W174" s="1">
        <f>MAX($D174)</f>
        <v>0</v>
      </c>
      <c r="X174" s="1">
        <f>MAX($E174)</f>
        <v>0</v>
      </c>
      <c r="Y174" s="1">
        <f>MAX($G174)</f>
        <v>0</v>
      </c>
      <c r="Z174" s="1">
        <f>MAX($H174)</f>
        <v>0</v>
      </c>
    </row>
    <row r="175" spans="1:26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/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>
        <f>MIN($B175)</f>
        <v>0</v>
      </c>
      <c r="J175" s="1">
        <f>MIN($C175)</f>
        <v>0</v>
      </c>
      <c r="K175" s="1">
        <f>MIN($D175)</f>
        <v>0</v>
      </c>
      <c r="L175" s="1">
        <f>MIN($E175)</f>
        <v>0</v>
      </c>
      <c r="M175" s="1">
        <f>MIN($G175)</f>
        <v>0</v>
      </c>
      <c r="N175" s="1">
        <f>MIN($H175)</f>
        <v>0</v>
      </c>
      <c r="O175" s="1">
        <f>MEDIAN($B175)</f>
        <v>0</v>
      </c>
      <c r="P175" s="1">
        <f>MEDIAN($C175)</f>
        <v>0</v>
      </c>
      <c r="Q175" s="1">
        <f>MEDIAN($D175)</f>
        <v>0</v>
      </c>
      <c r="R175" s="1">
        <f>MEDIAN($E175)</f>
        <v>0</v>
      </c>
      <c r="S175" s="1">
        <f>MEDIAN($G175)</f>
        <v>0</v>
      </c>
      <c r="T175" s="1">
        <f>MEDIAN($H175)</f>
        <v>0</v>
      </c>
      <c r="U175" s="1">
        <f>MAX($B175)</f>
        <v>0</v>
      </c>
      <c r="V175" s="1">
        <f>MAX($C175)</f>
        <v>0</v>
      </c>
      <c r="W175" s="1">
        <f>MAX($D175)</f>
        <v>0</v>
      </c>
      <c r="X175" s="1">
        <f>MAX($E175)</f>
        <v>0</v>
      </c>
      <c r="Y175" s="1">
        <f>MAX($G175)</f>
        <v>0</v>
      </c>
      <c r="Z175" s="1">
        <f>MAX($H175)</f>
        <v>0</v>
      </c>
    </row>
    <row r="176" spans="1:26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/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>
        <f>MIN($B176)</f>
        <v>0</v>
      </c>
      <c r="J176" s="1">
        <f>MIN($C176)</f>
        <v>0</v>
      </c>
      <c r="K176" s="1">
        <f>MIN($D176)</f>
        <v>0</v>
      </c>
      <c r="L176" s="1">
        <f>MIN($E176)</f>
        <v>0</v>
      </c>
      <c r="M176" s="1">
        <f>MIN($G176)</f>
        <v>0</v>
      </c>
      <c r="N176" s="1">
        <f>MIN($H176)</f>
        <v>0</v>
      </c>
      <c r="O176" s="1">
        <f>MEDIAN($B176)</f>
        <v>0</v>
      </c>
      <c r="P176" s="1">
        <f>MEDIAN($C176)</f>
        <v>0</v>
      </c>
      <c r="Q176" s="1">
        <f>MEDIAN($D176)</f>
        <v>0</v>
      </c>
      <c r="R176" s="1">
        <f>MEDIAN($E176)</f>
        <v>0</v>
      </c>
      <c r="S176" s="1">
        <f>MEDIAN($G176)</f>
        <v>0</v>
      </c>
      <c r="T176" s="1">
        <f>MEDIAN($H176)</f>
        <v>0</v>
      </c>
      <c r="U176" s="1">
        <f>MAX($B176)</f>
        <v>0</v>
      </c>
      <c r="V176" s="1">
        <f>MAX($C176)</f>
        <v>0</v>
      </c>
      <c r="W176" s="1">
        <f>MAX($D176)</f>
        <v>0</v>
      </c>
      <c r="X176" s="1">
        <f>MAX($E176)</f>
        <v>0</v>
      </c>
      <c r="Y176" s="1">
        <f>MAX($G176)</f>
        <v>0</v>
      </c>
      <c r="Z176" s="1">
        <f>MAX($H176)</f>
        <v>0</v>
      </c>
    </row>
    <row r="177" spans="1:26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/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>
        <f>MIN($B177)</f>
        <v>0</v>
      </c>
      <c r="J177" s="1">
        <f>MIN($C177)</f>
        <v>0</v>
      </c>
      <c r="K177" s="1">
        <f>MIN($D177)</f>
        <v>0</v>
      </c>
      <c r="L177" s="1">
        <f>MIN($E177)</f>
        <v>0</v>
      </c>
      <c r="M177" s="1">
        <f>MIN($G177)</f>
        <v>0</v>
      </c>
      <c r="N177" s="1">
        <f>MIN($H177)</f>
        <v>0</v>
      </c>
      <c r="O177" s="1">
        <f>MEDIAN($B177)</f>
        <v>0</v>
      </c>
      <c r="P177" s="1">
        <f>MEDIAN($C177)</f>
        <v>0</v>
      </c>
      <c r="Q177" s="1">
        <f>MEDIAN($D177)</f>
        <v>0</v>
      </c>
      <c r="R177" s="1">
        <f>MEDIAN($E177)</f>
        <v>0</v>
      </c>
      <c r="S177" s="1">
        <f>MEDIAN($G177)</f>
        <v>0</v>
      </c>
      <c r="T177" s="1">
        <f>MEDIAN($H177)</f>
        <v>0</v>
      </c>
      <c r="U177" s="1">
        <f>MAX($B177)</f>
        <v>0</v>
      </c>
      <c r="V177" s="1">
        <f>MAX($C177)</f>
        <v>0</v>
      </c>
      <c r="W177" s="1">
        <f>MAX($D177)</f>
        <v>0</v>
      </c>
      <c r="X177" s="1">
        <f>MAX($E177)</f>
        <v>0</v>
      </c>
      <c r="Y177" s="1">
        <f>MAX($G177)</f>
        <v>0</v>
      </c>
      <c r="Z177" s="1">
        <f>MAX($H177)</f>
        <v>0</v>
      </c>
    </row>
    <row r="178" spans="1:26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/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>
        <f>MIN($B178)</f>
        <v>0</v>
      </c>
      <c r="J178" s="1">
        <f>MIN($C178)</f>
        <v>0</v>
      </c>
      <c r="K178" s="1">
        <f>MIN($D178)</f>
        <v>0</v>
      </c>
      <c r="L178" s="1">
        <f>MIN($E178)</f>
        <v>0</v>
      </c>
      <c r="M178" s="1">
        <f>MIN($G178)</f>
        <v>0</v>
      </c>
      <c r="N178" s="1">
        <f>MIN($H178)</f>
        <v>0</v>
      </c>
      <c r="O178" s="1">
        <f>MEDIAN($B178)</f>
        <v>0</v>
      </c>
      <c r="P178" s="1">
        <f>MEDIAN($C178)</f>
        <v>0</v>
      </c>
      <c r="Q178" s="1">
        <f>MEDIAN($D178)</f>
        <v>0</v>
      </c>
      <c r="R178" s="1">
        <f>MEDIAN($E178)</f>
        <v>0</v>
      </c>
      <c r="S178" s="1">
        <f>MEDIAN($G178)</f>
        <v>0</v>
      </c>
      <c r="T178" s="1">
        <f>MEDIAN($H178)</f>
        <v>0</v>
      </c>
      <c r="U178" s="1">
        <f>MAX($B178)</f>
        <v>0</v>
      </c>
      <c r="V178" s="1">
        <f>MAX($C178)</f>
        <v>0</v>
      </c>
      <c r="W178" s="1">
        <f>MAX($D178)</f>
        <v>0</v>
      </c>
      <c r="X178" s="1">
        <f>MAX($E178)</f>
        <v>0</v>
      </c>
      <c r="Y178" s="1">
        <f>MAX($G178)</f>
        <v>0</v>
      </c>
      <c r="Z178" s="1">
        <f>MAX($H178)</f>
        <v>0</v>
      </c>
    </row>
    <row r="179" spans="1:26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/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>
        <f>MIN($B179)</f>
        <v>0</v>
      </c>
      <c r="J179" s="1">
        <f>MIN($C179)</f>
        <v>0</v>
      </c>
      <c r="K179" s="1">
        <f>MIN($D179)</f>
        <v>0</v>
      </c>
      <c r="L179" s="1">
        <f>MIN($E179)</f>
        <v>0</v>
      </c>
      <c r="M179" s="1">
        <f>MIN($G179)</f>
        <v>0</v>
      </c>
      <c r="N179" s="1">
        <f>MIN($H179)</f>
        <v>0</v>
      </c>
      <c r="O179" s="1">
        <f>MEDIAN($B179)</f>
        <v>0</v>
      </c>
      <c r="P179" s="1">
        <f>MEDIAN($C179)</f>
        <v>0</v>
      </c>
      <c r="Q179" s="1">
        <f>MEDIAN($D179)</f>
        <v>0</v>
      </c>
      <c r="R179" s="1">
        <f>MEDIAN($E179)</f>
        <v>0</v>
      </c>
      <c r="S179" s="1">
        <f>MEDIAN($G179)</f>
        <v>0</v>
      </c>
      <c r="T179" s="1">
        <f>MEDIAN($H179)</f>
        <v>0</v>
      </c>
      <c r="U179" s="1">
        <f>MAX($B179)</f>
        <v>0</v>
      </c>
      <c r="V179" s="1">
        <f>MAX($C179)</f>
        <v>0</v>
      </c>
      <c r="W179" s="1">
        <f>MAX($D179)</f>
        <v>0</v>
      </c>
      <c r="X179" s="1">
        <f>MAX($E179)</f>
        <v>0</v>
      </c>
      <c r="Y179" s="1">
        <f>MAX($G179)</f>
        <v>0</v>
      </c>
      <c r="Z179" s="1">
        <f>MAX($H179)</f>
        <v>0</v>
      </c>
    </row>
    <row r="180" spans="1:26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/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>
        <f>MIN($B180)</f>
        <v>0</v>
      </c>
      <c r="J180" s="1">
        <f>MIN($C180)</f>
        <v>0</v>
      </c>
      <c r="K180" s="1">
        <f>MIN($D180)</f>
        <v>0</v>
      </c>
      <c r="L180" s="1">
        <f>MIN($E180)</f>
        <v>0</v>
      </c>
      <c r="M180" s="1">
        <f>MIN($G180)</f>
        <v>0</v>
      </c>
      <c r="N180" s="1">
        <f>MIN($H180)</f>
        <v>0</v>
      </c>
      <c r="O180" s="1">
        <f>MEDIAN($B180)</f>
        <v>0</v>
      </c>
      <c r="P180" s="1">
        <f>MEDIAN($C180)</f>
        <v>0</v>
      </c>
      <c r="Q180" s="1">
        <f>MEDIAN($D180)</f>
        <v>0</v>
      </c>
      <c r="R180" s="1">
        <f>MEDIAN($E180)</f>
        <v>0</v>
      </c>
      <c r="S180" s="1">
        <f>MEDIAN($G180)</f>
        <v>0</v>
      </c>
      <c r="T180" s="1">
        <f>MEDIAN($H180)</f>
        <v>0</v>
      </c>
      <c r="U180" s="1">
        <f>MAX($B180)</f>
        <v>0</v>
      </c>
      <c r="V180" s="1">
        <f>MAX($C180)</f>
        <v>0</v>
      </c>
      <c r="W180" s="1">
        <f>MAX($D180)</f>
        <v>0</v>
      </c>
      <c r="X180" s="1">
        <f>MAX($E180)</f>
        <v>0</v>
      </c>
      <c r="Y180" s="1">
        <f>MAX($G180)</f>
        <v>0</v>
      </c>
      <c r="Z180" s="1">
        <f>MAX($H180)</f>
        <v>0</v>
      </c>
    </row>
    <row r="181" spans="1:26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/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>
        <f>MIN($B181)</f>
        <v>0</v>
      </c>
      <c r="J181" s="1">
        <f>MIN($C181)</f>
        <v>0</v>
      </c>
      <c r="K181" s="1">
        <f>MIN($D181)</f>
        <v>0</v>
      </c>
      <c r="L181" s="1">
        <f>MIN($E181)</f>
        <v>0</v>
      </c>
      <c r="M181" s="1">
        <f>MIN($G181)</f>
        <v>0</v>
      </c>
      <c r="N181" s="1">
        <f>MIN($H181)</f>
        <v>0</v>
      </c>
      <c r="O181" s="1">
        <f>MEDIAN($B181)</f>
        <v>0</v>
      </c>
      <c r="P181" s="1">
        <f>MEDIAN($C181)</f>
        <v>0</v>
      </c>
      <c r="Q181" s="1">
        <f>MEDIAN($D181)</f>
        <v>0</v>
      </c>
      <c r="R181" s="1">
        <f>MEDIAN($E181)</f>
        <v>0</v>
      </c>
      <c r="S181" s="1">
        <f>MEDIAN($G181)</f>
        <v>0</v>
      </c>
      <c r="T181" s="1">
        <f>MEDIAN($H181)</f>
        <v>0</v>
      </c>
      <c r="U181" s="1">
        <f>MAX($B181)</f>
        <v>0</v>
      </c>
      <c r="V181" s="1">
        <f>MAX($C181)</f>
        <v>0</v>
      </c>
      <c r="W181" s="1">
        <f>MAX($D181)</f>
        <v>0</v>
      </c>
      <c r="X181" s="1">
        <f>MAX($E181)</f>
        <v>0</v>
      </c>
      <c r="Y181" s="1">
        <f>MAX($G181)</f>
        <v>0</v>
      </c>
      <c r="Z181" s="1">
        <f>MAX($H181)</f>
        <v>0</v>
      </c>
    </row>
    <row r="182" spans="1:26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/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>
        <f>MIN($B182)</f>
        <v>0</v>
      </c>
      <c r="J182" s="1">
        <f>MIN($C182)</f>
        <v>0</v>
      </c>
      <c r="K182" s="1">
        <f>MIN($D182)</f>
        <v>0</v>
      </c>
      <c r="L182" s="1">
        <f>MIN($E182)</f>
        <v>0</v>
      </c>
      <c r="M182" s="1">
        <f>MIN($G182)</f>
        <v>0</v>
      </c>
      <c r="N182" s="1">
        <f>MIN($H182)</f>
        <v>0</v>
      </c>
      <c r="O182" s="1">
        <f>MEDIAN($B182)</f>
        <v>0</v>
      </c>
      <c r="P182" s="1">
        <f>MEDIAN($C182)</f>
        <v>0</v>
      </c>
      <c r="Q182" s="1">
        <f>MEDIAN($D182)</f>
        <v>0</v>
      </c>
      <c r="R182" s="1">
        <f>MEDIAN($E182)</f>
        <v>0</v>
      </c>
      <c r="S182" s="1">
        <f>MEDIAN($G182)</f>
        <v>0</v>
      </c>
      <c r="T182" s="1">
        <f>MEDIAN($H182)</f>
        <v>0</v>
      </c>
      <c r="U182" s="1">
        <f>MAX($B182)</f>
        <v>0</v>
      </c>
      <c r="V182" s="1">
        <f>MAX($C182)</f>
        <v>0</v>
      </c>
      <c r="W182" s="1">
        <f>MAX($D182)</f>
        <v>0</v>
      </c>
      <c r="X182" s="1">
        <f>MAX($E182)</f>
        <v>0</v>
      </c>
      <c r="Y182" s="1">
        <f>MAX($G182)</f>
        <v>0</v>
      </c>
      <c r="Z182" s="1">
        <f>MAX($H182)</f>
        <v>0</v>
      </c>
    </row>
    <row r="183" spans="1:26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/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>
        <f>MIN($B183)</f>
        <v>0</v>
      </c>
      <c r="J183" s="1">
        <f>MIN($C183)</f>
        <v>0</v>
      </c>
      <c r="K183" s="1">
        <f>MIN($D183)</f>
        <v>0</v>
      </c>
      <c r="L183" s="1">
        <f>MIN($E183)</f>
        <v>0</v>
      </c>
      <c r="M183" s="1">
        <f>MIN($G183)</f>
        <v>0</v>
      </c>
      <c r="N183" s="1">
        <f>MIN($H183)</f>
        <v>0</v>
      </c>
      <c r="O183" s="1">
        <f>MEDIAN($B183)</f>
        <v>0</v>
      </c>
      <c r="P183" s="1">
        <f>MEDIAN($C183)</f>
        <v>0</v>
      </c>
      <c r="Q183" s="1">
        <f>MEDIAN($D183)</f>
        <v>0</v>
      </c>
      <c r="R183" s="1">
        <f>MEDIAN($E183)</f>
        <v>0</v>
      </c>
      <c r="S183" s="1">
        <f>MEDIAN($G183)</f>
        <v>0</v>
      </c>
      <c r="T183" s="1">
        <f>MEDIAN($H183)</f>
        <v>0</v>
      </c>
      <c r="U183" s="1">
        <f>MAX($B183)</f>
        <v>0</v>
      </c>
      <c r="V183" s="1">
        <f>MAX($C183)</f>
        <v>0</v>
      </c>
      <c r="W183" s="1">
        <f>MAX($D183)</f>
        <v>0</v>
      </c>
      <c r="X183" s="1">
        <f>MAX($E183)</f>
        <v>0</v>
      </c>
      <c r="Y183" s="1">
        <f>MAX($G183)</f>
        <v>0</v>
      </c>
      <c r="Z183" s="1">
        <f>MAX($H183)</f>
        <v>0</v>
      </c>
    </row>
    <row r="184" spans="1:26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/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>
        <f>MIN($B184)</f>
        <v>0</v>
      </c>
      <c r="J184" s="1">
        <f>MIN($C184)</f>
        <v>0</v>
      </c>
      <c r="K184" s="1">
        <f>MIN($D184)</f>
        <v>0</v>
      </c>
      <c r="L184" s="1">
        <f>MIN($E184)</f>
        <v>0</v>
      </c>
      <c r="M184" s="1">
        <f>MIN($G184)</f>
        <v>0</v>
      </c>
      <c r="N184" s="1">
        <f>MIN($H184)</f>
        <v>0</v>
      </c>
      <c r="O184" s="1">
        <f>MEDIAN($B184)</f>
        <v>0</v>
      </c>
      <c r="P184" s="1">
        <f>MEDIAN($C184)</f>
        <v>0</v>
      </c>
      <c r="Q184" s="1">
        <f>MEDIAN($D184)</f>
        <v>0</v>
      </c>
      <c r="R184" s="1">
        <f>MEDIAN($E184)</f>
        <v>0</v>
      </c>
      <c r="S184" s="1">
        <f>MEDIAN($G184)</f>
        <v>0</v>
      </c>
      <c r="T184" s="1">
        <f>MEDIAN($H184)</f>
        <v>0</v>
      </c>
      <c r="U184" s="1">
        <f>MAX($B184)</f>
        <v>0</v>
      </c>
      <c r="V184" s="1">
        <f>MAX($C184)</f>
        <v>0</v>
      </c>
      <c r="W184" s="1">
        <f>MAX($D184)</f>
        <v>0</v>
      </c>
      <c r="X184" s="1">
        <f>MAX($E184)</f>
        <v>0</v>
      </c>
      <c r="Y184" s="1">
        <f>MAX($G184)</f>
        <v>0</v>
      </c>
      <c r="Z184" s="1">
        <f>MAX($H184)</f>
        <v>0</v>
      </c>
    </row>
    <row r="185" spans="1:26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/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>
        <f>MIN($B185)</f>
        <v>0</v>
      </c>
      <c r="J185" s="1">
        <f>MIN($C185)</f>
        <v>0</v>
      </c>
      <c r="K185" s="1">
        <f>MIN($D185)</f>
        <v>0</v>
      </c>
      <c r="L185" s="1">
        <f>MIN($E185)</f>
        <v>0</v>
      </c>
      <c r="M185" s="1">
        <f>MIN($G185)</f>
        <v>0</v>
      </c>
      <c r="N185" s="1">
        <f>MIN($H185)</f>
        <v>0</v>
      </c>
      <c r="O185" s="1">
        <f>MEDIAN($B185)</f>
        <v>0</v>
      </c>
      <c r="P185" s="1">
        <f>MEDIAN($C185)</f>
        <v>0</v>
      </c>
      <c r="Q185" s="1">
        <f>MEDIAN($D185)</f>
        <v>0</v>
      </c>
      <c r="R185" s="1">
        <f>MEDIAN($E185)</f>
        <v>0</v>
      </c>
      <c r="S185" s="1">
        <f>MEDIAN($G185)</f>
        <v>0</v>
      </c>
      <c r="T185" s="1">
        <f>MEDIAN($H185)</f>
        <v>0</v>
      </c>
      <c r="U185" s="1">
        <f>MAX($B185)</f>
        <v>0</v>
      </c>
      <c r="V185" s="1">
        <f>MAX($C185)</f>
        <v>0</v>
      </c>
      <c r="W185" s="1">
        <f>MAX($D185)</f>
        <v>0</v>
      </c>
      <c r="X185" s="1">
        <f>MAX($E185)</f>
        <v>0</v>
      </c>
      <c r="Y185" s="1">
        <f>MAX($G185)</f>
        <v>0</v>
      </c>
      <c r="Z185" s="1">
        <f>MAX($H185)</f>
        <v>0</v>
      </c>
    </row>
    <row r="186" spans="1:26">
      <c r="A186" s="1" t="s">
        <v>91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/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>
        <f>MIN($B186)</f>
        <v>0</v>
      </c>
      <c r="J186" s="1">
        <f>MIN($C186)</f>
        <v>0</v>
      </c>
      <c r="K186" s="1">
        <f>MIN($D186)</f>
        <v>0</v>
      </c>
      <c r="L186" s="1">
        <f>MIN($E186)</f>
        <v>0</v>
      </c>
      <c r="M186" s="1">
        <f>MIN($G186)</f>
        <v>0</v>
      </c>
      <c r="N186" s="1">
        <f>MIN($H186)</f>
        <v>0</v>
      </c>
      <c r="O186" s="1">
        <f>MEDIAN($B186)</f>
        <v>0</v>
      </c>
      <c r="P186" s="1">
        <f>MEDIAN($C186)</f>
        <v>0</v>
      </c>
      <c r="Q186" s="1">
        <f>MEDIAN($D186)</f>
        <v>0</v>
      </c>
      <c r="R186" s="1">
        <f>MEDIAN($E186)</f>
        <v>0</v>
      </c>
      <c r="S186" s="1">
        <f>MEDIAN($G186)</f>
        <v>0</v>
      </c>
      <c r="T186" s="1">
        <f>MEDIAN($H186)</f>
        <v>0</v>
      </c>
      <c r="U186" s="1">
        <f>MAX($B186)</f>
        <v>0</v>
      </c>
      <c r="V186" s="1">
        <f>MAX($C186)</f>
        <v>0</v>
      </c>
      <c r="W186" s="1">
        <f>MAX($D186)</f>
        <v>0</v>
      </c>
      <c r="X186" s="1">
        <f>MAX($E186)</f>
        <v>0</v>
      </c>
      <c r="Y186" s="1">
        <f>MAX($G186)</f>
        <v>0</v>
      </c>
      <c r="Z186" s="1">
        <f>MAX($H186)</f>
        <v>0</v>
      </c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 t="s">
        <v>183</v>
      </c>
      <c r="B188" s="1">
        <f>SUM(B$3:B$186)</f>
        <v>0</v>
      </c>
      <c r="C188" s="1">
        <f>SUM(C$3:C$186)</f>
        <v>0</v>
      </c>
      <c r="D188" s="1">
        <f>SUM(D$3:D$186)</f>
        <v>0</v>
      </c>
      <c r="E188" s="1">
        <f>SUM(E$3:E$186)</f>
        <v>0</v>
      </c>
      <c r="F188" s="1"/>
      <c r="G188" s="1">
        <f>SUM(G$3:G$186)</f>
        <v>0</v>
      </c>
      <c r="H188" s="1">
        <f>SUM(H$3:H$186)</f>
        <v>0</v>
      </c>
      <c r="I188" s="1">
        <f>SUM(I$3:I$186)</f>
        <v>0</v>
      </c>
      <c r="J188" s="1">
        <f>SUM(J$3:J$186)</f>
        <v>0</v>
      </c>
      <c r="K188" s="1">
        <f>SUM(K$3:K$186)</f>
        <v>0</v>
      </c>
      <c r="L188" s="1">
        <f>SUM(L$3:L$186)</f>
        <v>0</v>
      </c>
      <c r="M188" s="1">
        <f>SUM(M$3:M$186)</f>
        <v>0</v>
      </c>
      <c r="N188" s="1">
        <f>SUM(N$3:N$186)</f>
        <v>0</v>
      </c>
      <c r="O188" s="1">
        <f>SUM(O$3:O$186)</f>
        <v>0</v>
      </c>
      <c r="P188" s="1">
        <f>SUM(P$3:P$186)</f>
        <v>0</v>
      </c>
      <c r="Q188" s="1">
        <f>SUM(Q$3:Q$186)</f>
        <v>0</v>
      </c>
      <c r="R188" s="1">
        <f>SUM(R$3:R$186)</f>
        <v>0</v>
      </c>
      <c r="S188" s="1">
        <f>SUM(S$3:S$186)</f>
        <v>0</v>
      </c>
      <c r="T188" s="1">
        <f>SUM(T$3:T$186)</f>
        <v>0</v>
      </c>
      <c r="U188" s="1">
        <f>SUM(U$3:U$186)</f>
        <v>0</v>
      </c>
      <c r="V188" s="1">
        <f>SUM(V$3:V$186)</f>
        <v>0</v>
      </c>
      <c r="W188" s="1">
        <f>SUM(W$3:W$186)</f>
        <v>0</v>
      </c>
      <c r="X188" s="1">
        <f>SUM(X$3:X$186)</f>
        <v>0</v>
      </c>
      <c r="Y188" s="1">
        <f>SUM(Y$3:Y$186)</f>
        <v>0</v>
      </c>
      <c r="Z188" s="1">
        <f>SUM(Z$3:Z$186)</f>
        <v>0</v>
      </c>
    </row>
    <row r="189" spans="1:26">
      <c r="A189" s="1" t="s">
        <v>184</v>
      </c>
      <c r="B189" s="1">
        <f>AVERAGE(B$3:B$186)</f>
        <v>0</v>
      </c>
      <c r="C189" s="1">
        <f>AVERAGE(C$3:C$186)</f>
        <v>0</v>
      </c>
      <c r="D189" s="1">
        <f>AVERAGE(D$3:D$186)</f>
        <v>0</v>
      </c>
      <c r="E189" s="1">
        <f>AVERAGE(E$3:E$186)</f>
        <v>0</v>
      </c>
      <c r="F189" s="1"/>
      <c r="G189" s="1">
        <f>AVERAGE(G$3:G$186)</f>
        <v>0</v>
      </c>
      <c r="H189" s="1">
        <f>AVERAGE(H$3:H$186)</f>
        <v>0</v>
      </c>
      <c r="I189" s="1">
        <f>AVERAGE(I$3:I$186)</f>
        <v>0</v>
      </c>
      <c r="J189" s="1">
        <f>AVERAGE(J$3:J$186)</f>
        <v>0</v>
      </c>
      <c r="K189" s="1">
        <f>AVERAGE(K$3:K$186)</f>
        <v>0</v>
      </c>
      <c r="L189" s="1">
        <f>AVERAGE(L$3:L$186)</f>
        <v>0</v>
      </c>
      <c r="M189" s="1">
        <f>AVERAGE(M$3:M$186)</f>
        <v>0</v>
      </c>
      <c r="N189" s="1">
        <f>AVERAGE(N$3:N$186)</f>
        <v>0</v>
      </c>
      <c r="O189" s="1">
        <f>AVERAGE(O$3:O$186)</f>
        <v>0</v>
      </c>
      <c r="P189" s="1">
        <f>AVERAGE(P$3:P$186)</f>
        <v>0</v>
      </c>
      <c r="Q189" s="1">
        <f>AVERAGE(Q$3:Q$186)</f>
        <v>0</v>
      </c>
      <c r="R189" s="1">
        <f>AVERAGE(R$3:R$186)</f>
        <v>0</v>
      </c>
      <c r="S189" s="1">
        <f>AVERAGE(S$3:S$186)</f>
        <v>0</v>
      </c>
      <c r="T189" s="1">
        <f>AVERAGE(T$3:T$186)</f>
        <v>0</v>
      </c>
      <c r="U189" s="1">
        <f>AVERAGE(U$3:U$186)</f>
        <v>0</v>
      </c>
      <c r="V189" s="1">
        <f>AVERAGE(V$3:V$186)</f>
        <v>0</v>
      </c>
      <c r="W189" s="1">
        <f>AVERAGE(W$3:W$186)</f>
        <v>0</v>
      </c>
      <c r="X189" s="1">
        <f>AVERAGE(X$3:X$186)</f>
        <v>0</v>
      </c>
      <c r="Y189" s="1">
        <f>AVERAGE(Y$3:Y$186)</f>
        <v>0</v>
      </c>
      <c r="Z189" s="1">
        <f>AVERAGE(Z$3:Z$186)</f>
        <v>0</v>
      </c>
    </row>
    <row r="190" spans="1:26">
      <c r="A190" s="1" t="s">
        <v>185</v>
      </c>
      <c r="B190" s="1">
        <f>STDEV(B$3:B$186)</f>
        <v>0</v>
      </c>
      <c r="C190" s="1">
        <f>STDEV(C$3:C$186)</f>
        <v>0</v>
      </c>
      <c r="D190" s="1">
        <f>STDEV(D$3:D$186)</f>
        <v>0</v>
      </c>
      <c r="E190" s="1">
        <f>STDEV(E$3:E$186)</f>
        <v>0</v>
      </c>
      <c r="F190" s="1"/>
      <c r="G190" s="1">
        <f>STDEV(G$3:G$186)</f>
        <v>0</v>
      </c>
      <c r="H190" s="1">
        <f>STDEV(H$3:H$186)</f>
        <v>0</v>
      </c>
      <c r="I190" s="1">
        <f>STDEV(I$3:I$186)</f>
        <v>0</v>
      </c>
      <c r="J190" s="1">
        <f>STDEV(J$3:J$186)</f>
        <v>0</v>
      </c>
      <c r="K190" s="1">
        <f>STDEV(K$3:K$186)</f>
        <v>0</v>
      </c>
      <c r="L190" s="1">
        <f>STDEV(L$3:L$186)</f>
        <v>0</v>
      </c>
      <c r="M190" s="1">
        <f>STDEV(M$3:M$186)</f>
        <v>0</v>
      </c>
      <c r="N190" s="1">
        <f>STDEV(N$3:N$186)</f>
        <v>0</v>
      </c>
      <c r="O190" s="1">
        <f>STDEV(O$3:O$186)</f>
        <v>0</v>
      </c>
      <c r="P190" s="1">
        <f>STDEV(P$3:P$186)</f>
        <v>0</v>
      </c>
      <c r="Q190" s="1">
        <f>STDEV(Q$3:Q$186)</f>
        <v>0</v>
      </c>
      <c r="R190" s="1">
        <f>STDEV(R$3:R$186)</f>
        <v>0</v>
      </c>
      <c r="S190" s="1">
        <f>STDEV(S$3:S$186)</f>
        <v>0</v>
      </c>
      <c r="T190" s="1">
        <f>STDEV(T$3:T$186)</f>
        <v>0</v>
      </c>
      <c r="U190" s="1">
        <f>STDEV(U$3:U$186)</f>
        <v>0</v>
      </c>
      <c r="V190" s="1">
        <f>STDEV(V$3:V$186)</f>
        <v>0</v>
      </c>
      <c r="W190" s="1">
        <f>STDEV(W$3:W$186)</f>
        <v>0</v>
      </c>
      <c r="X190" s="1">
        <f>STDEV(X$3:X$186)</f>
        <v>0</v>
      </c>
      <c r="Y190" s="1">
        <f>STDEV(Y$3:Y$186)</f>
        <v>0</v>
      </c>
      <c r="Z190" s="1">
        <f>STDEV(Z$3:Z$186)</f>
        <v>0</v>
      </c>
    </row>
    <row r="191" spans="1:26">
      <c r="A191" s="1" t="s">
        <v>186</v>
      </c>
      <c r="B191" s="1">
        <f>SUMPRODUCT(--(B$3:B$186-$I$3:$I$186)^2)^0.5</f>
        <v>0</v>
      </c>
      <c r="C191" s="1">
        <f>SUMPRODUCT(--(C$3:C$186-$J$3:$J$186)^2)^0.5</f>
        <v>0</v>
      </c>
      <c r="D191" s="1">
        <f>SUMPRODUCT(--(D$3:D$186-$K$3:$K$186)^2)^0.5</f>
        <v>0</v>
      </c>
      <c r="E191" s="1">
        <f>SUMPRODUCT(--(E$3:E$186-$L$3:$L$186)^2)^0.5</f>
        <v>0</v>
      </c>
      <c r="F191" s="1"/>
      <c r="G191" s="1">
        <f>SUMPRODUCT(--(G$3:G$186-$M$3:$M$186)^2)^0.5</f>
        <v>0</v>
      </c>
      <c r="H191" s="1">
        <f>SUMPRODUCT(--(H$3:H$186-$N$3:$N$186)^2)^0.5</f>
        <v>0</v>
      </c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 t="s">
        <v>187</v>
      </c>
      <c r="B192" s="1">
        <f>SUMPRODUCT(NOT(ISBLANK(B$3:B$186))*(B$3:B$186=$I$3:$I$186))</f>
        <v>0</v>
      </c>
      <c r="C192" s="1">
        <f>SUMPRODUCT(NOT(ISBLANK(C$3:C$186))*(C$3:C$186=$J$3:$J$186))</f>
        <v>0</v>
      </c>
      <c r="D192" s="1">
        <f>SUMPRODUCT(NOT(ISBLANK(D$3:D$186))*(D$3:D$186=$K$3:$K$186))</f>
        <v>0</v>
      </c>
      <c r="E192" s="1">
        <f>SUMPRODUCT(NOT(ISBLANK(E$3:E$186))*(E$3:E$186=$L$3:$L$186))</f>
        <v>0</v>
      </c>
      <c r="F192" s="1"/>
      <c r="G192" s="1">
        <f>SUMPRODUCT(NOT(ISBLANK(G$3:G$186))*(G$3:G$186=$M$3:$M$186))</f>
        <v>0</v>
      </c>
      <c r="H192" s="1">
        <f>SUMPRODUCT(NOT(ISBLANK(H$3:H$186))*(H$3:H$186=$N$3:$N$186))</f>
        <v>0</v>
      </c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 t="s">
        <v>188</v>
      </c>
      <c r="B193" s="1">
        <f>SUMPRODUCT(NOT(ISBLANK(B$3:B$186))*(B$3:B$186&lt;$O$3:$O$186))</f>
        <v>0</v>
      </c>
      <c r="C193" s="1">
        <f>SUMPRODUCT(NOT(ISBLANK(C$3:C$186))*(C$3:C$186&lt;$P$3:$P$186))</f>
        <v>0</v>
      </c>
      <c r="D193" s="1">
        <f>SUMPRODUCT(NOT(ISBLANK(D$3:D$186))*(D$3:D$186&lt;$Q$3:$Q$186))</f>
        <v>0</v>
      </c>
      <c r="E193" s="1">
        <f>SUMPRODUCT(NOT(ISBLANK(E$3:E$186))*(E$3:E$186&lt;$R$3:$R$186))</f>
        <v>0</v>
      </c>
      <c r="F193" s="1"/>
      <c r="G193" s="1">
        <f>SUMPRODUCT(NOT(ISBLANK(G$3:G$186))*(G$3:G$186&lt;$S$3:$S$186))</f>
        <v>0</v>
      </c>
      <c r="H193" s="1">
        <f>SUMPRODUCT(NOT(ISBLANK(H$3:H$186))*(H$3:H$186&lt;$T$3:$T$186))</f>
        <v>0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 t="s">
        <v>189</v>
      </c>
      <c r="B194" s="1">
        <f>SUMPRODUCT((NOT(ISBLANK(B$3:B$186))*(B$3:B$186&gt;$O$3:$O$186))+ISBLANK(B$3:B$186))</f>
        <v>0</v>
      </c>
      <c r="C194" s="1">
        <f>SUMPRODUCT((NOT(ISBLANK(C$3:C$186))*(C$3:C$186&gt;$P$3:$P$186))+ISBLANK(C$3:C$186))</f>
        <v>0</v>
      </c>
      <c r="D194" s="1">
        <f>SUMPRODUCT((NOT(ISBLANK(D$3:D$186))*(D$3:D$186&gt;$Q$3:$Q$186))+ISBLANK(D$3:D$186))</f>
        <v>0</v>
      </c>
      <c r="E194" s="1">
        <f>SUMPRODUCT((NOT(ISBLANK(E$3:E$186))*(E$3:E$186&gt;$R$3:$R$186))+ISBLANK(E$3:E$186))</f>
        <v>0</v>
      </c>
      <c r="F194" s="1"/>
      <c r="G194" s="1">
        <f>SUMPRODUCT((NOT(ISBLANK(G$3:G$186))*(G$3:G$186&gt;$S$3:$S$186))+ISBLANK(G$3:G$186))</f>
        <v>0</v>
      </c>
      <c r="H194" s="1">
        <f>SUMPRODUCT((NOT(ISBLANK(H$3:H$186))*(H$3:H$186&gt;$T$3:$T$186))+ISBLANK(H$3:H$186))</f>
        <v>0</v>
      </c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 t="s">
        <v>190</v>
      </c>
      <c r="B195" s="1">
        <f>SUMPRODUCT((NOT(ISBLANK(B$3:B$186))*(B$3:B$186=$U$3:$U$186))+ISBLANK(B$3:B$186))</f>
        <v>0</v>
      </c>
      <c r="C195" s="1">
        <f>SUMPRODUCT((NOT(ISBLANK(C$3:C$186))*(C$3:C$186=$V$3:$V$186))+ISBLANK(C$3:C$186))</f>
        <v>0</v>
      </c>
      <c r="D195" s="1">
        <f>SUMPRODUCT((NOT(ISBLANK(D$3:D$186))*(D$3:D$186=$W$3:$W$186))+ISBLANK(D$3:D$186))</f>
        <v>0</v>
      </c>
      <c r="E195" s="1">
        <f>SUMPRODUCT((NOT(ISBLANK(E$3:E$186))*(E$3:E$186=$X$3:$X$186))+ISBLANK(E$3:E$186))</f>
        <v>0</v>
      </c>
      <c r="F195" s="1"/>
      <c r="G195" s="1">
        <f>SUMPRODUCT((NOT(ISBLANK(G$3:G$186))*(G$3:G$186=$Y$3:$Y$186))+ISBLANK(G$3:G$186))</f>
        <v>0</v>
      </c>
      <c r="H195" s="1">
        <f>SUMPRODUCT((NOT(ISBLANK(H$3:H$186))*(H$3:H$186=$Z$3:$Z$186))+ISBLANK(H$3:H$186))</f>
        <v>0</v>
      </c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6" width="11.42578125" customWidth="1"/>
  </cols>
  <sheetData>
    <row r="1" spans="1:26">
      <c r="A1" s="1"/>
      <c r="B1" s="1" t="s">
        <v>191</v>
      </c>
      <c r="C1" s="1"/>
      <c r="D1" s="1"/>
      <c r="E1" s="1"/>
      <c r="F1" s="1"/>
      <c r="G1" s="1"/>
      <c r="H1" s="1"/>
      <c r="I1" s="1" t="s">
        <v>200</v>
      </c>
      <c r="J1" s="1"/>
      <c r="K1" s="1"/>
      <c r="L1" s="1"/>
      <c r="M1" s="1"/>
      <c r="N1" s="1"/>
      <c r="O1" s="1" t="s">
        <v>201</v>
      </c>
      <c r="P1" s="1"/>
      <c r="Q1" s="1"/>
      <c r="R1" s="1"/>
      <c r="S1" s="1"/>
      <c r="T1" s="1"/>
      <c r="U1" s="1" t="s">
        <v>202</v>
      </c>
      <c r="V1" s="1"/>
      <c r="W1" s="1"/>
      <c r="X1" s="1"/>
      <c r="Y1" s="1"/>
      <c r="Z1" s="1"/>
    </row>
    <row r="2" spans="1:26">
      <c r="A2" s="1"/>
      <c r="B2" s="1" t="s">
        <v>192</v>
      </c>
      <c r="C2" s="1" t="s">
        <v>193</v>
      </c>
      <c r="D2" s="1" t="s">
        <v>194</v>
      </c>
      <c r="E2" s="1" t="s">
        <v>195</v>
      </c>
      <c r="F2" s="1" t="s">
        <v>196</v>
      </c>
      <c r="G2" s="1" t="s">
        <v>198</v>
      </c>
      <c r="H2" s="1" t="s">
        <v>199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198</v>
      </c>
      <c r="N2" s="1" t="s">
        <v>199</v>
      </c>
      <c r="O2" s="1" t="s">
        <v>192</v>
      </c>
      <c r="P2" s="1" t="s">
        <v>193</v>
      </c>
      <c r="Q2" s="1" t="s">
        <v>194</v>
      </c>
      <c r="R2" s="1" t="s">
        <v>195</v>
      </c>
      <c r="S2" s="1" t="s">
        <v>198</v>
      </c>
      <c r="T2" s="1" t="s">
        <v>199</v>
      </c>
      <c r="U2" s="1" t="s">
        <v>192</v>
      </c>
      <c r="V2" s="1" t="s">
        <v>193</v>
      </c>
      <c r="W2" s="1" t="s">
        <v>194</v>
      </c>
      <c r="X2" s="1" t="s">
        <v>195</v>
      </c>
      <c r="Y2" s="1" t="s">
        <v>198</v>
      </c>
      <c r="Z2" s="1" t="s">
        <v>199</v>
      </c>
    </row>
    <row r="3" spans="1:26">
      <c r="A3" s="1" t="s">
        <v>204</v>
      </c>
      <c r="B3" s="1">
        <f>AVERAGE(Instances!B3:Instances!B94)</f>
        <v>0</v>
      </c>
      <c r="C3" s="1">
        <f>AVERAGE(Instances!C3:Instances!C94)</f>
        <v>0</v>
      </c>
      <c r="D3" s="1">
        <f>AVERAGE(Instances!D3:Instances!D94)</f>
        <v>0</v>
      </c>
      <c r="E3" s="1">
        <f>AVERAGE(Instances!E3:Instances!E94)</f>
        <v>0</v>
      </c>
      <c r="F3" s="1"/>
      <c r="G3" s="1">
        <f>AVERAGE(Instances!G3:Instances!G94)</f>
        <v>0</v>
      </c>
      <c r="H3" s="1">
        <f>SUM(Instances!H3:Instances!H94)</f>
        <v>0</v>
      </c>
      <c r="I3" s="1">
        <f>MIN($B3)</f>
        <v>0</v>
      </c>
      <c r="J3" s="1">
        <f>MIN($C3)</f>
        <v>0</v>
      </c>
      <c r="K3" s="1">
        <f>MIN($D3)</f>
        <v>0</v>
      </c>
      <c r="L3" s="1">
        <f>MIN($E3)</f>
        <v>0</v>
      </c>
      <c r="M3" s="1">
        <f>MIN($G3)</f>
        <v>0</v>
      </c>
      <c r="N3" s="1">
        <f>MIN($H3)</f>
        <v>0</v>
      </c>
      <c r="O3" s="1">
        <f>MEDIAN($B3)</f>
        <v>0</v>
      </c>
      <c r="P3" s="1">
        <f>MEDIAN($C3)</f>
        <v>0</v>
      </c>
      <c r="Q3" s="1">
        <f>MEDIAN($D3)</f>
        <v>0</v>
      </c>
      <c r="R3" s="1">
        <f>MEDIAN($E3)</f>
        <v>0</v>
      </c>
      <c r="S3" s="1">
        <f>MEDIAN($G3)</f>
        <v>0</v>
      </c>
      <c r="T3" s="1">
        <f>MEDIAN($H3)</f>
        <v>0</v>
      </c>
      <c r="U3" s="1">
        <f>MAX($B3)</f>
        <v>0</v>
      </c>
      <c r="V3" s="1">
        <f>MAX($C3)</f>
        <v>0</v>
      </c>
      <c r="W3" s="1">
        <f>MAX($D3)</f>
        <v>0</v>
      </c>
      <c r="X3" s="1">
        <f>MAX($E3)</f>
        <v>0</v>
      </c>
      <c r="Y3" s="1">
        <f>MAX($G3)</f>
        <v>0</v>
      </c>
      <c r="Z3" s="1">
        <f>MAX($H3)</f>
        <v>0</v>
      </c>
    </row>
    <row r="4" spans="1:26">
      <c r="A4" s="1" t="s">
        <v>204</v>
      </c>
      <c r="B4" s="1">
        <f>AVERAGE(Instances!B95:Instances!B186)</f>
        <v>0</v>
      </c>
      <c r="C4" s="1">
        <f>AVERAGE(Instances!C95:Instances!C186)</f>
        <v>0</v>
      </c>
      <c r="D4" s="1">
        <f>AVERAGE(Instances!D95:Instances!D186)</f>
        <v>0</v>
      </c>
      <c r="E4" s="1">
        <f>AVERAGE(Instances!E95:Instances!E186)</f>
        <v>0</v>
      </c>
      <c r="F4" s="1"/>
      <c r="G4" s="1">
        <f>AVERAGE(Instances!G95:Instances!G186)</f>
        <v>0</v>
      </c>
      <c r="H4" s="1">
        <f>SUM(Instances!H95:Instances!H186)</f>
        <v>0</v>
      </c>
      <c r="I4" s="1">
        <f>MIN($B4)</f>
        <v>0</v>
      </c>
      <c r="J4" s="1">
        <f>MIN($C4)</f>
        <v>0</v>
      </c>
      <c r="K4" s="1">
        <f>MIN($D4)</f>
        <v>0</v>
      </c>
      <c r="L4" s="1">
        <f>MIN($E4)</f>
        <v>0</v>
      </c>
      <c r="M4" s="1">
        <f>MIN($G4)</f>
        <v>0</v>
      </c>
      <c r="N4" s="1">
        <f>MIN($H4)</f>
        <v>0</v>
      </c>
      <c r="O4" s="1">
        <f>MEDIAN($B4)</f>
        <v>0</v>
      </c>
      <c r="P4" s="1">
        <f>MEDIAN($C4)</f>
        <v>0</v>
      </c>
      <c r="Q4" s="1">
        <f>MEDIAN($D4)</f>
        <v>0</v>
      </c>
      <c r="R4" s="1">
        <f>MEDIAN($E4)</f>
        <v>0</v>
      </c>
      <c r="S4" s="1">
        <f>MEDIAN($G4)</f>
        <v>0</v>
      </c>
      <c r="T4" s="1">
        <f>MEDIAN($H4)</f>
        <v>0</v>
      </c>
      <c r="U4" s="1">
        <f>MAX($B4)</f>
        <v>0</v>
      </c>
      <c r="V4" s="1">
        <f>MAX($C4)</f>
        <v>0</v>
      </c>
      <c r="W4" s="1">
        <f>MAX($D4)</f>
        <v>0</v>
      </c>
      <c r="X4" s="1">
        <f>MAX($E4)</f>
        <v>0</v>
      </c>
      <c r="Y4" s="1">
        <f>MAX($G4)</f>
        <v>0</v>
      </c>
      <c r="Z4" s="1">
        <f>MAX($H4)</f>
        <v>0</v>
      </c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183</v>
      </c>
      <c r="B6" s="1">
        <f>SUM(B$3:B$4)</f>
        <v>0</v>
      </c>
      <c r="C6" s="1">
        <f>SUM(C$3:C$4)</f>
        <v>0</v>
      </c>
      <c r="D6" s="1">
        <f>SUM(D$3:D$4)</f>
        <v>0</v>
      </c>
      <c r="E6" s="1">
        <f>SUM(E$3:E$4)</f>
        <v>0</v>
      </c>
      <c r="F6" s="1"/>
      <c r="G6" s="1">
        <f>SUM(G$3:G$4)</f>
        <v>0</v>
      </c>
      <c r="H6" s="1">
        <f>SUM(H$3:H$4)</f>
        <v>0</v>
      </c>
      <c r="I6" s="1">
        <f>SUM(I$3:I$4)</f>
        <v>0</v>
      </c>
      <c r="J6" s="1">
        <f>SUM(J$3:J$4)</f>
        <v>0</v>
      </c>
      <c r="K6" s="1">
        <f>SUM(K$3:K$4)</f>
        <v>0</v>
      </c>
      <c r="L6" s="1">
        <f>SUM(L$3:L$4)</f>
        <v>0</v>
      </c>
      <c r="M6" s="1">
        <f>SUM(M$3:M$4)</f>
        <v>0</v>
      </c>
      <c r="N6" s="1">
        <f>SUM(N$3:N$4)</f>
        <v>0</v>
      </c>
      <c r="O6" s="1">
        <f>SUM(O$3:O$4)</f>
        <v>0</v>
      </c>
      <c r="P6" s="1">
        <f>SUM(P$3:P$4)</f>
        <v>0</v>
      </c>
      <c r="Q6" s="1">
        <f>SUM(Q$3:Q$4)</f>
        <v>0</v>
      </c>
      <c r="R6" s="1">
        <f>SUM(R$3:R$4)</f>
        <v>0</v>
      </c>
      <c r="S6" s="1">
        <f>SUM(S$3:S$4)</f>
        <v>0</v>
      </c>
      <c r="T6" s="1">
        <f>SUM(T$3:T$4)</f>
        <v>0</v>
      </c>
      <c r="U6" s="1">
        <f>SUM(U$3:U$4)</f>
        <v>0</v>
      </c>
      <c r="V6" s="1">
        <f>SUM(V$3:V$4)</f>
        <v>0</v>
      </c>
      <c r="W6" s="1">
        <f>SUM(W$3:W$4)</f>
        <v>0</v>
      </c>
      <c r="X6" s="1">
        <f>SUM(X$3:X$4)</f>
        <v>0</v>
      </c>
      <c r="Y6" s="1">
        <f>SUM(Y$3:Y$4)</f>
        <v>0</v>
      </c>
      <c r="Z6" s="1">
        <f>SUM(Z$3:Z$4)</f>
        <v>0</v>
      </c>
    </row>
    <row r="7" spans="1:26">
      <c r="A7" s="1" t="s">
        <v>184</v>
      </c>
      <c r="B7" s="1">
        <f>AVERAGE(B$3:B$4)</f>
        <v>0</v>
      </c>
      <c r="C7" s="1">
        <f>AVERAGE(C$3:C$4)</f>
        <v>0</v>
      </c>
      <c r="D7" s="1">
        <f>AVERAGE(D$3:D$4)</f>
        <v>0</v>
      </c>
      <c r="E7" s="1">
        <f>AVERAGE(E$3:E$4)</f>
        <v>0</v>
      </c>
      <c r="F7" s="1"/>
      <c r="G7" s="1">
        <f>AVERAGE(G$3:G$4)</f>
        <v>0</v>
      </c>
      <c r="H7" s="1">
        <f>AVERAGE(H$3:H$4)</f>
        <v>0</v>
      </c>
      <c r="I7" s="1">
        <f>AVERAGE(I$3:I$4)</f>
        <v>0</v>
      </c>
      <c r="J7" s="1">
        <f>AVERAGE(J$3:J$4)</f>
        <v>0</v>
      </c>
      <c r="K7" s="1">
        <f>AVERAGE(K$3:K$4)</f>
        <v>0</v>
      </c>
      <c r="L7" s="1">
        <f>AVERAGE(L$3:L$4)</f>
        <v>0</v>
      </c>
      <c r="M7" s="1">
        <f>AVERAGE(M$3:M$4)</f>
        <v>0</v>
      </c>
      <c r="N7" s="1">
        <f>AVERAGE(N$3:N$4)</f>
        <v>0</v>
      </c>
      <c r="O7" s="1">
        <f>AVERAGE(O$3:O$4)</f>
        <v>0</v>
      </c>
      <c r="P7" s="1">
        <f>AVERAGE(P$3:P$4)</f>
        <v>0</v>
      </c>
      <c r="Q7" s="1">
        <f>AVERAGE(Q$3:Q$4)</f>
        <v>0</v>
      </c>
      <c r="R7" s="1">
        <f>AVERAGE(R$3:R$4)</f>
        <v>0</v>
      </c>
      <c r="S7" s="1">
        <f>AVERAGE(S$3:S$4)</f>
        <v>0</v>
      </c>
      <c r="T7" s="1">
        <f>AVERAGE(T$3:T$4)</f>
        <v>0</v>
      </c>
      <c r="U7" s="1">
        <f>AVERAGE(U$3:U$4)</f>
        <v>0</v>
      </c>
      <c r="V7" s="1">
        <f>AVERAGE(V$3:V$4)</f>
        <v>0</v>
      </c>
      <c r="W7" s="1">
        <f>AVERAGE(W$3:W$4)</f>
        <v>0</v>
      </c>
      <c r="X7" s="1">
        <f>AVERAGE(X$3:X$4)</f>
        <v>0</v>
      </c>
      <c r="Y7" s="1">
        <f>AVERAGE(Y$3:Y$4)</f>
        <v>0</v>
      </c>
      <c r="Z7" s="1">
        <f>AVERAGE(Z$3:Z$4)</f>
        <v>0</v>
      </c>
    </row>
    <row r="8" spans="1:26">
      <c r="A8" s="1" t="s">
        <v>185</v>
      </c>
      <c r="B8" s="1">
        <f>STDEV(B$3:B$4)</f>
        <v>0</v>
      </c>
      <c r="C8" s="1">
        <f>STDEV(C$3:C$4)</f>
        <v>0</v>
      </c>
      <c r="D8" s="1">
        <f>STDEV(D$3:D$4)</f>
        <v>0</v>
      </c>
      <c r="E8" s="1">
        <f>STDEV(E$3:E$4)</f>
        <v>0</v>
      </c>
      <c r="F8" s="1"/>
      <c r="G8" s="1">
        <f>STDEV(G$3:G$4)</f>
        <v>0</v>
      </c>
      <c r="H8" s="1">
        <f>STDEV(H$3:H$4)</f>
        <v>0</v>
      </c>
      <c r="I8" s="1">
        <f>STDEV(I$3:I$4)</f>
        <v>0</v>
      </c>
      <c r="J8" s="1">
        <f>STDEV(J$3:J$4)</f>
        <v>0</v>
      </c>
      <c r="K8" s="1">
        <f>STDEV(K$3:K$4)</f>
        <v>0</v>
      </c>
      <c r="L8" s="1">
        <f>STDEV(L$3:L$4)</f>
        <v>0</v>
      </c>
      <c r="M8" s="1">
        <f>STDEV(M$3:M$4)</f>
        <v>0</v>
      </c>
      <c r="N8" s="1">
        <f>STDEV(N$3:N$4)</f>
        <v>0</v>
      </c>
      <c r="O8" s="1">
        <f>STDEV(O$3:O$4)</f>
        <v>0</v>
      </c>
      <c r="P8" s="1">
        <f>STDEV(P$3:P$4)</f>
        <v>0</v>
      </c>
      <c r="Q8" s="1">
        <f>STDEV(Q$3:Q$4)</f>
        <v>0</v>
      </c>
      <c r="R8" s="1">
        <f>STDEV(R$3:R$4)</f>
        <v>0</v>
      </c>
      <c r="S8" s="1">
        <f>STDEV(S$3:S$4)</f>
        <v>0</v>
      </c>
      <c r="T8" s="1">
        <f>STDEV(T$3:T$4)</f>
        <v>0</v>
      </c>
      <c r="U8" s="1">
        <f>STDEV(U$3:U$4)</f>
        <v>0</v>
      </c>
      <c r="V8" s="1">
        <f>STDEV(V$3:V$4)</f>
        <v>0</v>
      </c>
      <c r="W8" s="1">
        <f>STDEV(W$3:W$4)</f>
        <v>0</v>
      </c>
      <c r="X8" s="1">
        <f>STDEV(X$3:X$4)</f>
        <v>0</v>
      </c>
      <c r="Y8" s="1">
        <f>STDEV(Y$3:Y$4)</f>
        <v>0</v>
      </c>
      <c r="Z8" s="1">
        <f>STDEV(Z$3:Z$4)</f>
        <v>0</v>
      </c>
    </row>
    <row r="9" spans="1:26">
      <c r="A9" s="1" t="s">
        <v>186</v>
      </c>
      <c r="B9" s="1">
        <f>SUMPRODUCT(--(B$3:B$4-$I$3:$I$4)^2)^0.5</f>
        <v>0</v>
      </c>
      <c r="C9" s="1">
        <f>SUMPRODUCT(--(C$3:C$4-$J$3:$J$4)^2)^0.5</f>
        <v>0</v>
      </c>
      <c r="D9" s="1">
        <f>SUMPRODUCT(--(D$3:D$4-$K$3:$K$4)^2)^0.5</f>
        <v>0</v>
      </c>
      <c r="E9" s="1">
        <f>SUMPRODUCT(--(E$3:E$4-$L$3:$L$4)^2)^0.5</f>
        <v>0</v>
      </c>
      <c r="F9" s="1"/>
      <c r="G9" s="1">
        <f>SUMPRODUCT(--(G$3:G$4-$M$3:$M$4)^2)^0.5</f>
        <v>0</v>
      </c>
      <c r="H9" s="1">
        <f>SUMPRODUCT(--(H$3:H$4-$N$3:$N$4)^2)^0.5</f>
        <v>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187</v>
      </c>
      <c r="B10" s="1">
        <f>SUMPRODUCT(NOT(ISBLANK(B$3:B$4))*(B$3:B$4=$I$3:$I$4))</f>
        <v>0</v>
      </c>
      <c r="C10" s="1">
        <f>SUMPRODUCT(NOT(ISBLANK(C$3:C$4))*(C$3:C$4=$J$3:$J$4))</f>
        <v>0</v>
      </c>
      <c r="D10" s="1">
        <f>SUMPRODUCT(NOT(ISBLANK(D$3:D$4))*(D$3:D$4=$K$3:$K$4))</f>
        <v>0</v>
      </c>
      <c r="E10" s="1">
        <f>SUMPRODUCT(NOT(ISBLANK(E$3:E$4))*(E$3:E$4=$L$3:$L$4))</f>
        <v>0</v>
      </c>
      <c r="F10" s="1"/>
      <c r="G10" s="1">
        <f>SUMPRODUCT(NOT(ISBLANK(G$3:G$4))*(G$3:G$4=$M$3:$M$4))</f>
        <v>0</v>
      </c>
      <c r="H10" s="1">
        <f>SUMPRODUCT(NOT(ISBLANK(H$3:H$4))*(H$3:H$4=$N$3:$N$4))</f>
        <v>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 t="s">
        <v>188</v>
      </c>
      <c r="B11" s="1">
        <f>SUMPRODUCT(NOT(ISBLANK(B$3:B$4))*(B$3:B$4&lt;$O$3:$O$4))</f>
        <v>0</v>
      </c>
      <c r="C11" s="1">
        <f>SUMPRODUCT(NOT(ISBLANK(C$3:C$4))*(C$3:C$4&lt;$P$3:$P$4))</f>
        <v>0</v>
      </c>
      <c r="D11" s="1">
        <f>SUMPRODUCT(NOT(ISBLANK(D$3:D$4))*(D$3:D$4&lt;$Q$3:$Q$4))</f>
        <v>0</v>
      </c>
      <c r="E11" s="1">
        <f>SUMPRODUCT(NOT(ISBLANK(E$3:E$4))*(E$3:E$4&lt;$R$3:$R$4))</f>
        <v>0</v>
      </c>
      <c r="F11" s="1"/>
      <c r="G11" s="1">
        <f>SUMPRODUCT(NOT(ISBLANK(G$3:G$4))*(G$3:G$4&lt;$S$3:$S$4))</f>
        <v>0</v>
      </c>
      <c r="H11" s="1">
        <f>SUMPRODUCT(NOT(ISBLANK(H$3:H$4))*(H$3:H$4&lt;$T$3:$T$4))</f>
        <v>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189</v>
      </c>
      <c r="B12" s="1">
        <f>SUMPRODUCT((NOT(ISBLANK(B$3:B$4))*(B$3:B$4&gt;$O$3:$O$4))+ISBLANK(B$3:B$4))</f>
        <v>0</v>
      </c>
      <c r="C12" s="1">
        <f>SUMPRODUCT((NOT(ISBLANK(C$3:C$4))*(C$3:C$4&gt;$P$3:$P$4))+ISBLANK(C$3:C$4))</f>
        <v>0</v>
      </c>
      <c r="D12" s="1">
        <f>SUMPRODUCT((NOT(ISBLANK(D$3:D$4))*(D$3:D$4&gt;$Q$3:$Q$4))+ISBLANK(D$3:D$4))</f>
        <v>0</v>
      </c>
      <c r="E12" s="1">
        <f>SUMPRODUCT((NOT(ISBLANK(E$3:E$4))*(E$3:E$4&gt;$R$3:$R$4))+ISBLANK(E$3:E$4))</f>
        <v>0</v>
      </c>
      <c r="F12" s="1"/>
      <c r="G12" s="1">
        <f>SUMPRODUCT((NOT(ISBLANK(G$3:G$4))*(G$3:G$4&gt;$S$3:$S$4))+ISBLANK(G$3:G$4))</f>
        <v>0</v>
      </c>
      <c r="H12" s="1">
        <f>SUMPRODUCT((NOT(ISBLANK(H$3:H$4))*(H$3:H$4&gt;$T$3:$T$4))+ISBLANK(H$3:H$4))</f>
        <v>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190</v>
      </c>
      <c r="B13" s="1">
        <f>SUMPRODUCT((NOT(ISBLANK(B$3:B$4))*(B$3:B$4=$U$3:$U$4))+ISBLANK(B$3:B$4))</f>
        <v>0</v>
      </c>
      <c r="C13" s="1">
        <f>SUMPRODUCT((NOT(ISBLANK(C$3:C$4))*(C$3:C$4=$V$3:$V$4))+ISBLANK(C$3:C$4))</f>
        <v>0</v>
      </c>
      <c r="D13" s="1">
        <f>SUMPRODUCT((NOT(ISBLANK(D$3:D$4))*(D$3:D$4=$W$3:$W$4))+ISBLANK(D$3:D$4))</f>
        <v>0</v>
      </c>
      <c r="E13" s="1">
        <f>SUMPRODUCT((NOT(ISBLANK(E$3:E$4))*(E$3:E$4=$X$3:$X$4))+ISBLANK(E$3:E$4))</f>
        <v>0</v>
      </c>
      <c r="F13" s="1"/>
      <c r="G13" s="1">
        <f>SUMPRODUCT((NOT(ISBLANK(G$3:G$4))*(G$3:G$4=$Y$3:$Y$4))+ISBLANK(G$3:G$4))</f>
        <v>0</v>
      </c>
      <c r="H13" s="1">
        <f>SUMPRODUCT((NOT(ISBLANK(H$3:H$4))*(H$3:H$4=$Z$3:$Z$4))+ISBLANK(H$3:H$4))</f>
        <v>0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1299"/>
  <sheetViews>
    <sheetView workbookViewId="0"/>
  </sheetViews>
  <sheetFormatPr defaultRowHeight="15"/>
  <sheetData>
    <row r="2" spans="1:20">
      <c r="A2" t="s">
        <v>192</v>
      </c>
      <c r="B2">
        <v>1</v>
      </c>
      <c r="E2">
        <f>VLOOKUP(Charts!$F$3,A2:B7,2,FALSE)</f>
        <v>0</v>
      </c>
      <c r="K2">
        <f>E2</f>
        <v>0</v>
      </c>
      <c r="Q2">
        <f>VLOOKUP(Charts!$F$3,A2:B7,2,FALSE)</f>
        <v>0</v>
      </c>
    </row>
    <row r="3" spans="1:20">
      <c r="A3" t="s">
        <v>193</v>
      </c>
      <c r="B3">
        <v>2</v>
      </c>
      <c r="D3" t="s">
        <v>205</v>
      </c>
      <c r="E3">
        <f>Instances!B1</f>
        <v>0</v>
      </c>
      <c r="J3" t="s">
        <v>205</v>
      </c>
      <c r="K3">
        <f>E3</f>
        <v>0</v>
      </c>
      <c r="Q3">
        <f>Instances!B1</f>
        <v>0</v>
      </c>
    </row>
    <row r="4" spans="1:20">
      <c r="A4" t="s">
        <v>194</v>
      </c>
      <c r="B4">
        <v>3</v>
      </c>
      <c r="D4" t="s">
        <v>206</v>
      </c>
      <c r="E4" t="s">
        <v>210</v>
      </c>
      <c r="F4" t="s">
        <v>211</v>
      </c>
      <c r="H4" t="s">
        <v>212</v>
      </c>
      <c r="J4" t="s">
        <v>206</v>
      </c>
      <c r="K4" t="s">
        <v>210</v>
      </c>
      <c r="L4" t="s">
        <v>211</v>
      </c>
      <c r="N4" t="s">
        <v>212</v>
      </c>
      <c r="P4" t="s">
        <v>213</v>
      </c>
      <c r="Q4" t="s">
        <v>206</v>
      </c>
      <c r="R4" t="s">
        <v>211</v>
      </c>
      <c r="S4" t="s">
        <v>206</v>
      </c>
      <c r="T4" t="s">
        <v>212</v>
      </c>
    </row>
    <row r="5" spans="1:20">
      <c r="A5" t="s">
        <v>195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IFERROR(SMALL(E5:E188,ROW()-ROW($F$5)+1),"")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IFERROR(SMALL(K5:K188,ROW()-ROW($L$5)+1),"")</f>
        <v>0</v>
      </c>
      <c r="N5">
        <f>IFERROR(SUM(L5:L5),"")</f>
        <v>0</v>
      </c>
      <c r="Q5">
        <f>IF(Charts!$B$3="none",E932,IF(K932="",NA(),K932))</f>
        <v>0</v>
      </c>
      <c r="R5">
        <f>IF(Charts!$B$3="none",F932,IF(L932="",NA(),L932))</f>
        <v>0</v>
      </c>
      <c r="S5">
        <f>IF(Charts!$B$3="none",G932,IF(M932="",NA(),M932))</f>
        <v>0</v>
      </c>
      <c r="T5">
        <f>IF(Charts!$B$3="none",H932,IF(N932="",NA(),N932))</f>
        <v>0</v>
      </c>
    </row>
    <row r="6" spans="1:20">
      <c r="A6" t="s">
        <v>198</v>
      </c>
      <c r="B6">
        <v>6</v>
      </c>
      <c r="D6">
        <v>2</v>
      </c>
      <c r="E6">
        <f>IF(INDIRECT(ADDRESS($D6+2,E$2+1,,,"Instances"))="","",INDIRECT(ADDRESS($D6+2,E$2+1,,,"Instances")))</f>
        <v>0</v>
      </c>
      <c r="F6">
        <f>IFERROR(SMALL(E5:E188,ROW()-ROW($F$5)+1),"")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IFERROR(SMALL(K5:K188,ROW()-ROW($L$5)+1),"")</f>
        <v>0</v>
      </c>
      <c r="N6">
        <f>IFERROR(SUM(L5:L6),"")</f>
        <v>0</v>
      </c>
      <c r="Q6">
        <f>IF(Charts!$B$3="none",E933,IF(K933="",NA(),K933))</f>
        <v>0</v>
      </c>
      <c r="R6">
        <f>IF(Charts!$B$3="none",F933,IF(L933="",NA(),L933))</f>
        <v>0</v>
      </c>
      <c r="S6">
        <f>IF(Charts!$B$3="none",G933,IF(M933="",NA(),M933))</f>
        <v>0</v>
      </c>
      <c r="T6">
        <f>IF(Charts!$B$3="none",H933,IF(N933="",NA(),N933))</f>
        <v>0</v>
      </c>
    </row>
    <row r="7" spans="1:20">
      <c r="A7" t="s">
        <v>199</v>
      </c>
      <c r="B7">
        <v>7</v>
      </c>
      <c r="D7">
        <v>3</v>
      </c>
      <c r="E7">
        <f>IF(INDIRECT(ADDRESS($D7+2,E$2+1,,,"Instances"))="","",INDIRECT(ADDRESS($D7+2,E$2+1,,,"Instances")))</f>
        <v>0</v>
      </c>
      <c r="F7">
        <f>IFERROR(SMALL(E5:E188,ROW()-ROW($F$5)+1),"")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IFERROR(SMALL(K5:K188,ROW()-ROW($L$5)+1),"")</f>
        <v>0</v>
      </c>
      <c r="N7">
        <f>IFERROR(SUM(L5:L7),"")</f>
        <v>0</v>
      </c>
      <c r="Q7">
        <f>IF(Charts!$B$3="none",E934,IF(K934="",NA(),K934))</f>
        <v>0</v>
      </c>
      <c r="R7">
        <f>IF(Charts!$B$3="none",F934,IF(L934="",NA(),L934))</f>
        <v>0</v>
      </c>
      <c r="S7">
        <f>IF(Charts!$B$3="none",G934,IF(M934="",NA(),M934))</f>
        <v>0</v>
      </c>
      <c r="T7">
        <f>IF(Charts!$B$3="none",H934,IF(N934="",NA(),N934))</f>
        <v>0</v>
      </c>
    </row>
    <row r="8" spans="1:20">
      <c r="D8">
        <v>4</v>
      </c>
      <c r="E8">
        <f>IF(INDIRECT(ADDRESS($D8+2,E$2+1,,,"Instances"))="","",INDIRECT(ADDRESS($D8+2,E$2+1,,,"Instances")))</f>
        <v>0</v>
      </c>
      <c r="F8">
        <f>IFERROR(SMALL(E5:E188,ROW()-ROW($F$5)+1),"")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IFERROR(SMALL(K5:K188,ROW()-ROW($L$5)+1),"")</f>
        <v>0</v>
      </c>
      <c r="N8">
        <f>IFERROR(SUM(L5:L8),"")</f>
        <v>0</v>
      </c>
      <c r="Q8">
        <f>IF(Charts!$B$3="none",E935,IF(K935="",NA(),K935))</f>
        <v>0</v>
      </c>
      <c r="R8">
        <f>IF(Charts!$B$3="none",F935,IF(L935="",NA(),L935))</f>
        <v>0</v>
      </c>
      <c r="S8">
        <f>IF(Charts!$B$3="none",G935,IF(M935="",NA(),M935))</f>
        <v>0</v>
      </c>
      <c r="T8">
        <f>IF(Charts!$B$3="none",H935,IF(N935="",NA(),N935))</f>
        <v>0</v>
      </c>
    </row>
    <row r="9" spans="1:20">
      <c r="D9">
        <v>5</v>
      </c>
      <c r="E9">
        <f>IF(INDIRECT(ADDRESS($D9+2,E$2+1,,,"Instances"))="","",INDIRECT(ADDRESS($D9+2,E$2+1,,,"Instances")))</f>
        <v>0</v>
      </c>
      <c r="F9">
        <f>IFERROR(SMALL(E5:E188,ROW()-ROW($F$5)+1),"")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IFERROR(SMALL(K5:K188,ROW()-ROW($L$5)+1),"")</f>
        <v>0</v>
      </c>
      <c r="N9">
        <f>IFERROR(SUM(L5:L9),"")</f>
        <v>0</v>
      </c>
      <c r="Q9">
        <f>IF(Charts!$B$3="none",E936,IF(K936="",NA(),K936))</f>
        <v>0</v>
      </c>
      <c r="R9">
        <f>IF(Charts!$B$3="none",F936,IF(L936="",NA(),L936))</f>
        <v>0</v>
      </c>
      <c r="S9">
        <f>IF(Charts!$B$3="none",G936,IF(M936="",NA(),M936))</f>
        <v>0</v>
      </c>
      <c r="T9">
        <f>IF(Charts!$B$3="none",H936,IF(N936="",NA(),N936))</f>
        <v>0</v>
      </c>
    </row>
    <row r="10" spans="1:20">
      <c r="D10">
        <v>6</v>
      </c>
      <c r="E10">
        <f>IF(INDIRECT(ADDRESS($D10+2,E$2+1,,,"Instances"))="","",INDIRECT(ADDRESS($D10+2,E$2+1,,,"Instances")))</f>
        <v>0</v>
      </c>
      <c r="F10">
        <f>IFERROR(SMALL(E5:E188,ROW()-ROW($F$5)+1),"")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IFERROR(SMALL(K5:K188,ROW()-ROW($L$5)+1),"")</f>
        <v>0</v>
      </c>
      <c r="N10">
        <f>IFERROR(SUM(L5:L10),"")</f>
        <v>0</v>
      </c>
      <c r="Q10">
        <f>IF(Charts!$B$3="none",E937,IF(K937="",NA(),K937))</f>
        <v>0</v>
      </c>
      <c r="R10">
        <f>IF(Charts!$B$3="none",F937,IF(L937="",NA(),L937))</f>
        <v>0</v>
      </c>
      <c r="S10">
        <f>IF(Charts!$B$3="none",G937,IF(M937="",NA(),M937))</f>
        <v>0</v>
      </c>
      <c r="T10">
        <f>IF(Charts!$B$3="none",H937,IF(N937="",NA(),N937))</f>
        <v>0</v>
      </c>
    </row>
    <row r="11" spans="1:20">
      <c r="D11">
        <v>7</v>
      </c>
      <c r="E11">
        <f>IF(INDIRECT(ADDRESS($D11+2,E$2+1,,,"Instances"))="","",INDIRECT(ADDRESS($D11+2,E$2+1,,,"Instances")))</f>
        <v>0</v>
      </c>
      <c r="F11">
        <f>IFERROR(SMALL(E5:E188,ROW()-ROW($F$5)+1),"")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IFERROR(SMALL(K5:K188,ROW()-ROW($L$5)+1),"")</f>
        <v>0</v>
      </c>
      <c r="N11">
        <f>IFERROR(SUM(L5:L11),"")</f>
        <v>0</v>
      </c>
      <c r="Q11">
        <f>IF(Charts!$B$3="none",E938,IF(K938="",NA(),K938))</f>
        <v>0</v>
      </c>
      <c r="R11">
        <f>IF(Charts!$B$3="none",F938,IF(L938="",NA(),L938))</f>
        <v>0</v>
      </c>
      <c r="S11">
        <f>IF(Charts!$B$3="none",G938,IF(M938="",NA(),M938))</f>
        <v>0</v>
      </c>
      <c r="T11">
        <f>IF(Charts!$B$3="none",H938,IF(N938="",NA(),N938))</f>
        <v>0</v>
      </c>
    </row>
    <row r="12" spans="1:20">
      <c r="D12">
        <v>8</v>
      </c>
      <c r="E12">
        <f>IF(INDIRECT(ADDRESS($D12+2,E$2+1,,,"Instances"))="","",INDIRECT(ADDRESS($D12+2,E$2+1,,,"Instances")))</f>
        <v>0</v>
      </c>
      <c r="F12">
        <f>IFERROR(SMALL(E5:E188,ROW()-ROW($F$5)+1),"")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IFERROR(SMALL(K5:K188,ROW()-ROW($L$5)+1),"")</f>
        <v>0</v>
      </c>
      <c r="N12">
        <f>IFERROR(SUM(L5:L12),"")</f>
        <v>0</v>
      </c>
      <c r="Q12">
        <f>IF(Charts!$B$3="none",E939,IF(K939="",NA(),K939))</f>
        <v>0</v>
      </c>
      <c r="R12">
        <f>IF(Charts!$B$3="none",F939,IF(L939="",NA(),L939))</f>
        <v>0</v>
      </c>
      <c r="S12">
        <f>IF(Charts!$B$3="none",G939,IF(M939="",NA(),M939))</f>
        <v>0</v>
      </c>
      <c r="T12">
        <f>IF(Charts!$B$3="none",H939,IF(N939="",NA(),N939))</f>
        <v>0</v>
      </c>
    </row>
    <row r="13" spans="1:20">
      <c r="D13">
        <v>9</v>
      </c>
      <c r="E13">
        <f>IF(INDIRECT(ADDRESS($D13+2,E$2+1,,,"Instances"))="","",INDIRECT(ADDRESS($D13+2,E$2+1,,,"Instances")))</f>
        <v>0</v>
      </c>
      <c r="F13">
        <f>IFERROR(SMALL(E5:E188,ROW()-ROW($F$5)+1),"")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IFERROR(SMALL(K5:K188,ROW()-ROW($L$5)+1),"")</f>
        <v>0</v>
      </c>
      <c r="N13">
        <f>IFERROR(SUM(L5:L13),"")</f>
        <v>0</v>
      </c>
      <c r="Q13">
        <f>IF(Charts!$B$3="none",E940,IF(K940="",NA(),K940))</f>
        <v>0</v>
      </c>
      <c r="R13">
        <f>IF(Charts!$B$3="none",F940,IF(L940="",NA(),L940))</f>
        <v>0</v>
      </c>
      <c r="S13">
        <f>IF(Charts!$B$3="none",G940,IF(M940="",NA(),M940))</f>
        <v>0</v>
      </c>
      <c r="T13">
        <f>IF(Charts!$B$3="none",H940,IF(N940="",NA(),N940))</f>
        <v>0</v>
      </c>
    </row>
    <row r="14" spans="1:20">
      <c r="D14">
        <v>10</v>
      </c>
      <c r="E14">
        <f>IF(INDIRECT(ADDRESS($D14+2,E$2+1,,,"Instances"))="","",INDIRECT(ADDRESS($D14+2,E$2+1,,,"Instances")))</f>
        <v>0</v>
      </c>
      <c r="F14">
        <f>IFERROR(SMALL(E5:E188,ROW()-ROW($F$5)+1),"")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IFERROR(SMALL(K5:K188,ROW()-ROW($L$5)+1),"")</f>
        <v>0</v>
      </c>
      <c r="N14">
        <f>IFERROR(SUM(L5:L14),"")</f>
        <v>0</v>
      </c>
      <c r="Q14">
        <f>IF(Charts!$B$3="none",E941,IF(K941="",NA(),K941))</f>
        <v>0</v>
      </c>
      <c r="R14">
        <f>IF(Charts!$B$3="none",F941,IF(L941="",NA(),L941))</f>
        <v>0</v>
      </c>
      <c r="S14">
        <f>IF(Charts!$B$3="none",G941,IF(M941="",NA(),M941))</f>
        <v>0</v>
      </c>
      <c r="T14">
        <f>IF(Charts!$B$3="none",H941,IF(N941="",NA(),N941))</f>
        <v>0</v>
      </c>
    </row>
    <row r="15" spans="1:20">
      <c r="D15">
        <v>11</v>
      </c>
      <c r="E15">
        <f>IF(INDIRECT(ADDRESS($D15+2,E$2+1,,,"Instances"))="","",INDIRECT(ADDRESS($D15+2,E$2+1,,,"Instances")))</f>
        <v>0</v>
      </c>
      <c r="F15">
        <f>IFERROR(SMALL(E5:E188,ROW()-ROW($F$5)+1),"")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IFERROR(SMALL(K5:K188,ROW()-ROW($L$5)+1),"")</f>
        <v>0</v>
      </c>
      <c r="N15">
        <f>IFERROR(SUM(L5:L15),"")</f>
        <v>0</v>
      </c>
      <c r="Q15">
        <f>IF(Charts!$B$3="none",E942,IF(K942="",NA(),K942))</f>
        <v>0</v>
      </c>
      <c r="R15">
        <f>IF(Charts!$B$3="none",F942,IF(L942="",NA(),L942))</f>
        <v>0</v>
      </c>
      <c r="S15">
        <f>IF(Charts!$B$3="none",G942,IF(M942="",NA(),M942))</f>
        <v>0</v>
      </c>
      <c r="T15">
        <f>IF(Charts!$B$3="none",H942,IF(N942="",NA(),N942))</f>
        <v>0</v>
      </c>
    </row>
    <row r="16" spans="1:20">
      <c r="D16">
        <v>12</v>
      </c>
      <c r="E16">
        <f>IF(INDIRECT(ADDRESS($D16+2,E$2+1,,,"Instances"))="","",INDIRECT(ADDRESS($D16+2,E$2+1,,,"Instances")))</f>
        <v>0</v>
      </c>
      <c r="F16">
        <f>IFERROR(SMALL(E5:E188,ROW()-ROW($F$5)+1),"")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IFERROR(SMALL(K5:K188,ROW()-ROW($L$5)+1),"")</f>
        <v>0</v>
      </c>
      <c r="N16">
        <f>IFERROR(SUM(L5:L16),"")</f>
        <v>0</v>
      </c>
      <c r="Q16">
        <f>IF(Charts!$B$3="none",E943,IF(K943="",NA(),K943))</f>
        <v>0</v>
      </c>
      <c r="R16">
        <f>IF(Charts!$B$3="none",F943,IF(L943="",NA(),L943))</f>
        <v>0</v>
      </c>
      <c r="S16">
        <f>IF(Charts!$B$3="none",G943,IF(M943="",NA(),M943))</f>
        <v>0</v>
      </c>
      <c r="T16">
        <f>IF(Charts!$B$3="none",H943,IF(N943="",NA(),N943))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IFERROR(SMALL(E5:E188,ROW()-ROW($F$5)+1),"")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IFERROR(SMALL(K5:K188,ROW()-ROW($L$5)+1),"")</f>
        <v>0</v>
      </c>
      <c r="N17">
        <f>IFERROR(SUM(L5:L17),"")</f>
        <v>0</v>
      </c>
      <c r="Q17">
        <f>IF(Charts!$B$3="none",E944,IF(K944="",NA(),K944))</f>
        <v>0</v>
      </c>
      <c r="R17">
        <f>IF(Charts!$B$3="none",F944,IF(L944="",NA(),L944))</f>
        <v>0</v>
      </c>
      <c r="S17">
        <f>IF(Charts!$B$3="none",G944,IF(M944="",NA(),M944))</f>
        <v>0</v>
      </c>
      <c r="T17">
        <f>IF(Charts!$B$3="none",H944,IF(N944="",NA(),N944))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IFERROR(SMALL(E5:E188,ROW()-ROW($F$5)+1),"")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IFERROR(SMALL(K5:K188,ROW()-ROW($L$5)+1),"")</f>
        <v>0</v>
      </c>
      <c r="N18">
        <f>IFERROR(SUM(L5:L18),"")</f>
        <v>0</v>
      </c>
      <c r="Q18">
        <f>IF(Charts!$B$3="none",E945,IF(K945="",NA(),K945))</f>
        <v>0</v>
      </c>
      <c r="R18">
        <f>IF(Charts!$B$3="none",F945,IF(L945="",NA(),L945))</f>
        <v>0</v>
      </c>
      <c r="S18">
        <f>IF(Charts!$B$3="none",G945,IF(M945="",NA(),M945))</f>
        <v>0</v>
      </c>
      <c r="T18">
        <f>IF(Charts!$B$3="none",H945,IF(N945="",NA(),N945))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IFERROR(SMALL(E5:E188,ROW()-ROW($F$5)+1),"")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IFERROR(SMALL(K5:K188,ROW()-ROW($L$5)+1),"")</f>
        <v>0</v>
      </c>
      <c r="N19">
        <f>IFERROR(SUM(L5:L19),"")</f>
        <v>0</v>
      </c>
      <c r="Q19">
        <f>IF(Charts!$B$3="none",E946,IF(K946="",NA(),K946))</f>
        <v>0</v>
      </c>
      <c r="R19">
        <f>IF(Charts!$B$3="none",F946,IF(L946="",NA(),L946))</f>
        <v>0</v>
      </c>
      <c r="S19">
        <f>IF(Charts!$B$3="none",G946,IF(M946="",NA(),M946))</f>
        <v>0</v>
      </c>
      <c r="T19">
        <f>IF(Charts!$B$3="none",H946,IF(N946="",NA(),N946))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IFERROR(SMALL(E5:E188,ROW()-ROW($F$5)+1),"")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IFERROR(SMALL(K5:K188,ROW()-ROW($L$5)+1),"")</f>
        <v>0</v>
      </c>
      <c r="N20">
        <f>IFERROR(SUM(L5:L20),"")</f>
        <v>0</v>
      </c>
      <c r="Q20">
        <f>IF(Charts!$B$3="none",E947,IF(K947="",NA(),K947))</f>
        <v>0</v>
      </c>
      <c r="R20">
        <f>IF(Charts!$B$3="none",F947,IF(L947="",NA(),L947))</f>
        <v>0</v>
      </c>
      <c r="S20">
        <f>IF(Charts!$B$3="none",G947,IF(M947="",NA(),M947))</f>
        <v>0</v>
      </c>
      <c r="T20">
        <f>IF(Charts!$B$3="none",H947,IF(N947="",NA(),N947))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IFERROR(SMALL(E5:E188,ROW()-ROW($F$5)+1),"")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IFERROR(SMALL(K5:K188,ROW()-ROW($L$5)+1),"")</f>
        <v>0</v>
      </c>
      <c r="N21">
        <f>IFERROR(SUM(L5:L21),"")</f>
        <v>0</v>
      </c>
      <c r="Q21">
        <f>IF(Charts!$B$3="none",E948,IF(K948="",NA(),K948))</f>
        <v>0</v>
      </c>
      <c r="R21">
        <f>IF(Charts!$B$3="none",F948,IF(L948="",NA(),L948))</f>
        <v>0</v>
      </c>
      <c r="S21">
        <f>IF(Charts!$B$3="none",G948,IF(M948="",NA(),M948))</f>
        <v>0</v>
      </c>
      <c r="T21">
        <f>IF(Charts!$B$3="none",H948,IF(N948="",NA(),N948))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IFERROR(SMALL(E5:E188,ROW()-ROW($F$5)+1),"")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IFERROR(SMALL(K5:K188,ROW()-ROW($L$5)+1),"")</f>
        <v>0</v>
      </c>
      <c r="N22">
        <f>IFERROR(SUM(L5:L22),"")</f>
        <v>0</v>
      </c>
      <c r="Q22">
        <f>IF(Charts!$B$3="none",E949,IF(K949="",NA(),K949))</f>
        <v>0</v>
      </c>
      <c r="R22">
        <f>IF(Charts!$B$3="none",F949,IF(L949="",NA(),L949))</f>
        <v>0</v>
      </c>
      <c r="S22">
        <f>IF(Charts!$B$3="none",G949,IF(M949="",NA(),M949))</f>
        <v>0</v>
      </c>
      <c r="T22">
        <f>IF(Charts!$B$3="none",H949,IF(N949="",NA(),N949))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IFERROR(SMALL(E5:E188,ROW()-ROW($F$5)+1),"")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IFERROR(SMALL(K5:K188,ROW()-ROW($L$5)+1),"")</f>
        <v>0</v>
      </c>
      <c r="N23">
        <f>IFERROR(SUM(L5:L23),"")</f>
        <v>0</v>
      </c>
      <c r="Q23">
        <f>IF(Charts!$B$3="none",E950,IF(K950="",NA(),K950))</f>
        <v>0</v>
      </c>
      <c r="R23">
        <f>IF(Charts!$B$3="none",F950,IF(L950="",NA(),L950))</f>
        <v>0</v>
      </c>
      <c r="S23">
        <f>IF(Charts!$B$3="none",G950,IF(M950="",NA(),M950))</f>
        <v>0</v>
      </c>
      <c r="T23">
        <f>IF(Charts!$B$3="none",H950,IF(N950="",NA(),N950))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IFERROR(SMALL(E5:E188,ROW()-ROW($F$5)+1),"")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IFERROR(SMALL(K5:K188,ROW()-ROW($L$5)+1),"")</f>
        <v>0</v>
      </c>
      <c r="N24">
        <f>IFERROR(SUM(L5:L24),"")</f>
        <v>0</v>
      </c>
      <c r="Q24">
        <f>IF(Charts!$B$3="none",E951,IF(K951="",NA(),K951))</f>
        <v>0</v>
      </c>
      <c r="R24">
        <f>IF(Charts!$B$3="none",F951,IF(L951="",NA(),L951))</f>
        <v>0</v>
      </c>
      <c r="S24">
        <f>IF(Charts!$B$3="none",G951,IF(M951="",NA(),M951))</f>
        <v>0</v>
      </c>
      <c r="T24">
        <f>IF(Charts!$B$3="none",H951,IF(N951="",NA(),N951))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IFERROR(SMALL(E5:E188,ROW()-ROW($F$5)+1),"")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IFERROR(SMALL(K5:K188,ROW()-ROW($L$5)+1),"")</f>
        <v>0</v>
      </c>
      <c r="N25">
        <f>IFERROR(SUM(L5:L25),"")</f>
        <v>0</v>
      </c>
      <c r="Q25">
        <f>IF(Charts!$B$3="none",E952,IF(K952="",NA(),K952))</f>
        <v>0</v>
      </c>
      <c r="R25">
        <f>IF(Charts!$B$3="none",F952,IF(L952="",NA(),L952))</f>
        <v>0</v>
      </c>
      <c r="S25">
        <f>IF(Charts!$B$3="none",G952,IF(M952="",NA(),M952))</f>
        <v>0</v>
      </c>
      <c r="T25">
        <f>IF(Charts!$B$3="none",H952,IF(N952="",NA(),N952))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IFERROR(SMALL(E5:E188,ROW()-ROW($F$5)+1),"")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IFERROR(SMALL(K5:K188,ROW()-ROW($L$5)+1),"")</f>
        <v>0</v>
      </c>
      <c r="N26">
        <f>IFERROR(SUM(L5:L26),"")</f>
        <v>0</v>
      </c>
      <c r="Q26">
        <f>IF(Charts!$B$3="none",E953,IF(K953="",NA(),K953))</f>
        <v>0</v>
      </c>
      <c r="R26">
        <f>IF(Charts!$B$3="none",F953,IF(L953="",NA(),L953))</f>
        <v>0</v>
      </c>
      <c r="S26">
        <f>IF(Charts!$B$3="none",G953,IF(M953="",NA(),M953))</f>
        <v>0</v>
      </c>
      <c r="T26">
        <f>IF(Charts!$B$3="none",H953,IF(N953="",NA(),N953))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IFERROR(SMALL(E5:E188,ROW()-ROW($F$5)+1),"")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IFERROR(SMALL(K5:K188,ROW()-ROW($L$5)+1),"")</f>
        <v>0</v>
      </c>
      <c r="N27">
        <f>IFERROR(SUM(L5:L27),"")</f>
        <v>0</v>
      </c>
      <c r="Q27">
        <f>IF(Charts!$B$3="none",E954,IF(K954="",NA(),K954))</f>
        <v>0</v>
      </c>
      <c r="R27">
        <f>IF(Charts!$B$3="none",F954,IF(L954="",NA(),L954))</f>
        <v>0</v>
      </c>
      <c r="S27">
        <f>IF(Charts!$B$3="none",G954,IF(M954="",NA(),M954))</f>
        <v>0</v>
      </c>
      <c r="T27">
        <f>IF(Charts!$B$3="none",H954,IF(N954="",NA(),N954))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IFERROR(SMALL(E5:E188,ROW()-ROW($F$5)+1),"")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IFERROR(SMALL(K5:K188,ROW()-ROW($L$5)+1),"")</f>
        <v>0</v>
      </c>
      <c r="N28">
        <f>IFERROR(SUM(L5:L28),"")</f>
        <v>0</v>
      </c>
      <c r="Q28">
        <f>IF(Charts!$B$3="none",E955,IF(K955="",NA(),K955))</f>
        <v>0</v>
      </c>
      <c r="R28">
        <f>IF(Charts!$B$3="none",F955,IF(L955="",NA(),L955))</f>
        <v>0</v>
      </c>
      <c r="S28">
        <f>IF(Charts!$B$3="none",G955,IF(M955="",NA(),M955))</f>
        <v>0</v>
      </c>
      <c r="T28">
        <f>IF(Charts!$B$3="none",H955,IF(N955="",NA(),N955))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IFERROR(SMALL(E5:E188,ROW()-ROW($F$5)+1),"")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IFERROR(SMALL(K5:K188,ROW()-ROW($L$5)+1),"")</f>
        <v>0</v>
      </c>
      <c r="N29">
        <f>IFERROR(SUM(L5:L29),"")</f>
        <v>0</v>
      </c>
      <c r="Q29">
        <f>IF(Charts!$B$3="none",E956,IF(K956="",NA(),K956))</f>
        <v>0</v>
      </c>
      <c r="R29">
        <f>IF(Charts!$B$3="none",F956,IF(L956="",NA(),L956))</f>
        <v>0</v>
      </c>
      <c r="S29">
        <f>IF(Charts!$B$3="none",G956,IF(M956="",NA(),M956))</f>
        <v>0</v>
      </c>
      <c r="T29">
        <f>IF(Charts!$B$3="none",H956,IF(N956="",NA(),N956))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IFERROR(SMALL(E5:E188,ROW()-ROW($F$5)+1),"")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IFERROR(SMALL(K5:K188,ROW()-ROW($L$5)+1),"")</f>
        <v>0</v>
      </c>
      <c r="N30">
        <f>IFERROR(SUM(L5:L30),"")</f>
        <v>0</v>
      </c>
      <c r="Q30">
        <f>IF(Charts!$B$3="none",E957,IF(K957="",NA(),K957))</f>
        <v>0</v>
      </c>
      <c r="R30">
        <f>IF(Charts!$B$3="none",F957,IF(L957="",NA(),L957))</f>
        <v>0</v>
      </c>
      <c r="S30">
        <f>IF(Charts!$B$3="none",G957,IF(M957="",NA(),M957))</f>
        <v>0</v>
      </c>
      <c r="T30">
        <f>IF(Charts!$B$3="none",H957,IF(N957="",NA(),N957))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IFERROR(SMALL(E5:E188,ROW()-ROW($F$5)+1),"")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IFERROR(SMALL(K5:K188,ROW()-ROW($L$5)+1),"")</f>
        <v>0</v>
      </c>
      <c r="N31">
        <f>IFERROR(SUM(L5:L31),"")</f>
        <v>0</v>
      </c>
      <c r="Q31">
        <f>IF(Charts!$B$3="none",E958,IF(K958="",NA(),K958))</f>
        <v>0</v>
      </c>
      <c r="R31">
        <f>IF(Charts!$B$3="none",F958,IF(L958="",NA(),L958))</f>
        <v>0</v>
      </c>
      <c r="S31">
        <f>IF(Charts!$B$3="none",G958,IF(M958="",NA(),M958))</f>
        <v>0</v>
      </c>
      <c r="T31">
        <f>IF(Charts!$B$3="none",H958,IF(N958="",NA(),N958))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IFERROR(SMALL(E5:E188,ROW()-ROW($F$5)+1),"")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IFERROR(SMALL(K5:K188,ROW()-ROW($L$5)+1),"")</f>
        <v>0</v>
      </c>
      <c r="N32">
        <f>IFERROR(SUM(L5:L32),"")</f>
        <v>0</v>
      </c>
      <c r="Q32">
        <f>IF(Charts!$B$3="none",E959,IF(K959="",NA(),K959))</f>
        <v>0</v>
      </c>
      <c r="R32">
        <f>IF(Charts!$B$3="none",F959,IF(L959="",NA(),L959))</f>
        <v>0</v>
      </c>
      <c r="S32">
        <f>IF(Charts!$B$3="none",G959,IF(M959="",NA(),M959))</f>
        <v>0</v>
      </c>
      <c r="T32">
        <f>IF(Charts!$B$3="none",H959,IF(N959="",NA(),N959))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IFERROR(SMALL(E5:E188,ROW()-ROW($F$5)+1),"")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IFERROR(SMALL(K5:K188,ROW()-ROW($L$5)+1),"")</f>
        <v>0</v>
      </c>
      <c r="N33">
        <f>IFERROR(SUM(L5:L33),"")</f>
        <v>0</v>
      </c>
      <c r="Q33">
        <f>IF(Charts!$B$3="none",E960,IF(K960="",NA(),K960))</f>
        <v>0</v>
      </c>
      <c r="R33">
        <f>IF(Charts!$B$3="none",F960,IF(L960="",NA(),L960))</f>
        <v>0</v>
      </c>
      <c r="S33">
        <f>IF(Charts!$B$3="none",G960,IF(M960="",NA(),M960))</f>
        <v>0</v>
      </c>
      <c r="T33">
        <f>IF(Charts!$B$3="none",H960,IF(N960="",NA(),N960))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IFERROR(SMALL(E5:E188,ROW()-ROW($F$5)+1),"")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IFERROR(SMALL(K5:K188,ROW()-ROW($L$5)+1),"")</f>
        <v>0</v>
      </c>
      <c r="N34">
        <f>IFERROR(SUM(L5:L34),"")</f>
        <v>0</v>
      </c>
      <c r="Q34">
        <f>IF(Charts!$B$3="none",E961,IF(K961="",NA(),K961))</f>
        <v>0</v>
      </c>
      <c r="R34">
        <f>IF(Charts!$B$3="none",F961,IF(L961="",NA(),L961))</f>
        <v>0</v>
      </c>
      <c r="S34">
        <f>IF(Charts!$B$3="none",G961,IF(M961="",NA(),M961))</f>
        <v>0</v>
      </c>
      <c r="T34">
        <f>IF(Charts!$B$3="none",H961,IF(N961="",NA(),N961))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IFERROR(SMALL(E5:E188,ROW()-ROW($F$5)+1),"")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IFERROR(SMALL(K5:K188,ROW()-ROW($L$5)+1),"")</f>
        <v>0</v>
      </c>
      <c r="N35">
        <f>IFERROR(SUM(L5:L35),"")</f>
        <v>0</v>
      </c>
      <c r="Q35">
        <f>IF(Charts!$B$3="none",E962,IF(K962="",NA(),K962))</f>
        <v>0</v>
      </c>
      <c r="R35">
        <f>IF(Charts!$B$3="none",F962,IF(L962="",NA(),L962))</f>
        <v>0</v>
      </c>
      <c r="S35">
        <f>IF(Charts!$B$3="none",G962,IF(M962="",NA(),M962))</f>
        <v>0</v>
      </c>
      <c r="T35">
        <f>IF(Charts!$B$3="none",H962,IF(N962="",NA(),N962))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IFERROR(SMALL(E5:E188,ROW()-ROW($F$5)+1),"")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IFERROR(SMALL(K5:K188,ROW()-ROW($L$5)+1),"")</f>
        <v>0</v>
      </c>
      <c r="N36">
        <f>IFERROR(SUM(L5:L36),"")</f>
        <v>0</v>
      </c>
      <c r="Q36">
        <f>IF(Charts!$B$3="none",E963,IF(K963="",NA(),K963))</f>
        <v>0</v>
      </c>
      <c r="R36">
        <f>IF(Charts!$B$3="none",F963,IF(L963="",NA(),L963))</f>
        <v>0</v>
      </c>
      <c r="S36">
        <f>IF(Charts!$B$3="none",G963,IF(M963="",NA(),M963))</f>
        <v>0</v>
      </c>
      <c r="T36">
        <f>IF(Charts!$B$3="none",H963,IF(N963="",NA(),N963))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IFERROR(SMALL(E5:E188,ROW()-ROW($F$5)+1),"")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IFERROR(SMALL(K5:K188,ROW()-ROW($L$5)+1),"")</f>
        <v>0</v>
      </c>
      <c r="N37">
        <f>IFERROR(SUM(L5:L37),"")</f>
        <v>0</v>
      </c>
      <c r="Q37">
        <f>IF(Charts!$B$3="none",E964,IF(K964="",NA(),K964))</f>
        <v>0</v>
      </c>
      <c r="R37">
        <f>IF(Charts!$B$3="none",F964,IF(L964="",NA(),L964))</f>
        <v>0</v>
      </c>
      <c r="S37">
        <f>IF(Charts!$B$3="none",G964,IF(M964="",NA(),M964))</f>
        <v>0</v>
      </c>
      <c r="T37">
        <f>IF(Charts!$B$3="none",H964,IF(N964="",NA(),N964))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IFERROR(SMALL(E5:E188,ROW()-ROW($F$5)+1),"")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IFERROR(SMALL(K5:K188,ROW()-ROW($L$5)+1),"")</f>
        <v>0</v>
      </c>
      <c r="N38">
        <f>IFERROR(SUM(L5:L38),"")</f>
        <v>0</v>
      </c>
      <c r="Q38">
        <f>IF(Charts!$B$3="none",E965,IF(K965="",NA(),K965))</f>
        <v>0</v>
      </c>
      <c r="R38">
        <f>IF(Charts!$B$3="none",F965,IF(L965="",NA(),L965))</f>
        <v>0</v>
      </c>
      <c r="S38">
        <f>IF(Charts!$B$3="none",G965,IF(M965="",NA(),M965))</f>
        <v>0</v>
      </c>
      <c r="T38">
        <f>IF(Charts!$B$3="none",H965,IF(N965="",NA(),N965))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IFERROR(SMALL(E5:E188,ROW()-ROW($F$5)+1),"")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IFERROR(SMALL(K5:K188,ROW()-ROW($L$5)+1),"")</f>
        <v>0</v>
      </c>
      <c r="N39">
        <f>IFERROR(SUM(L5:L39),"")</f>
        <v>0</v>
      </c>
      <c r="Q39">
        <f>IF(Charts!$B$3="none",E966,IF(K966="",NA(),K966))</f>
        <v>0</v>
      </c>
      <c r="R39">
        <f>IF(Charts!$B$3="none",F966,IF(L966="",NA(),L966))</f>
        <v>0</v>
      </c>
      <c r="S39">
        <f>IF(Charts!$B$3="none",G966,IF(M966="",NA(),M966))</f>
        <v>0</v>
      </c>
      <c r="T39">
        <f>IF(Charts!$B$3="none",H966,IF(N966="",NA(),N966))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IFERROR(SMALL(E5:E188,ROW()-ROW($F$5)+1),"")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IFERROR(SMALL(K5:K188,ROW()-ROW($L$5)+1),"")</f>
        <v>0</v>
      </c>
      <c r="N40">
        <f>IFERROR(SUM(L5:L40),"")</f>
        <v>0</v>
      </c>
      <c r="Q40">
        <f>IF(Charts!$B$3="none",E967,IF(K967="",NA(),K967))</f>
        <v>0</v>
      </c>
      <c r="R40">
        <f>IF(Charts!$B$3="none",F967,IF(L967="",NA(),L967))</f>
        <v>0</v>
      </c>
      <c r="S40">
        <f>IF(Charts!$B$3="none",G967,IF(M967="",NA(),M967))</f>
        <v>0</v>
      </c>
      <c r="T40">
        <f>IF(Charts!$B$3="none",H967,IF(N967="",NA(),N967))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IFERROR(SMALL(E5:E188,ROW()-ROW($F$5)+1),"")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IFERROR(SMALL(K5:K188,ROW()-ROW($L$5)+1),"")</f>
        <v>0</v>
      </c>
      <c r="N41">
        <f>IFERROR(SUM(L5:L41),"")</f>
        <v>0</v>
      </c>
      <c r="Q41">
        <f>IF(Charts!$B$3="none",E968,IF(K968="",NA(),K968))</f>
        <v>0</v>
      </c>
      <c r="R41">
        <f>IF(Charts!$B$3="none",F968,IF(L968="",NA(),L968))</f>
        <v>0</v>
      </c>
      <c r="S41">
        <f>IF(Charts!$B$3="none",G968,IF(M968="",NA(),M968))</f>
        <v>0</v>
      </c>
      <c r="T41">
        <f>IF(Charts!$B$3="none",H968,IF(N968="",NA(),N968))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IFERROR(SMALL(E5:E188,ROW()-ROW($F$5)+1),"")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IFERROR(SMALL(K5:K188,ROW()-ROW($L$5)+1),"")</f>
        <v>0</v>
      </c>
      <c r="N42">
        <f>IFERROR(SUM(L5:L42),"")</f>
        <v>0</v>
      </c>
      <c r="Q42">
        <f>IF(Charts!$B$3="none",E969,IF(K969="",NA(),K969))</f>
        <v>0</v>
      </c>
      <c r="R42">
        <f>IF(Charts!$B$3="none",F969,IF(L969="",NA(),L969))</f>
        <v>0</v>
      </c>
      <c r="S42">
        <f>IF(Charts!$B$3="none",G969,IF(M969="",NA(),M969))</f>
        <v>0</v>
      </c>
      <c r="T42">
        <f>IF(Charts!$B$3="none",H969,IF(N969="",NA(),N969))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IFERROR(SMALL(E5:E188,ROW()-ROW($F$5)+1),"")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IFERROR(SMALL(K5:K188,ROW()-ROW($L$5)+1),"")</f>
        <v>0</v>
      </c>
      <c r="N43">
        <f>IFERROR(SUM(L5:L43),"")</f>
        <v>0</v>
      </c>
      <c r="Q43">
        <f>IF(Charts!$B$3="none",E970,IF(K970="",NA(),K970))</f>
        <v>0</v>
      </c>
      <c r="R43">
        <f>IF(Charts!$B$3="none",F970,IF(L970="",NA(),L970))</f>
        <v>0</v>
      </c>
      <c r="S43">
        <f>IF(Charts!$B$3="none",G970,IF(M970="",NA(),M970))</f>
        <v>0</v>
      </c>
      <c r="T43">
        <f>IF(Charts!$B$3="none",H970,IF(N970="",NA(),N970))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IFERROR(SMALL(E5:E188,ROW()-ROW($F$5)+1),"")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IFERROR(SMALL(K5:K188,ROW()-ROW($L$5)+1),"")</f>
        <v>0</v>
      </c>
      <c r="N44">
        <f>IFERROR(SUM(L5:L44),"")</f>
        <v>0</v>
      </c>
      <c r="Q44">
        <f>IF(Charts!$B$3="none",E971,IF(K971="",NA(),K971))</f>
        <v>0</v>
      </c>
      <c r="R44">
        <f>IF(Charts!$B$3="none",F971,IF(L971="",NA(),L971))</f>
        <v>0</v>
      </c>
      <c r="S44">
        <f>IF(Charts!$B$3="none",G971,IF(M971="",NA(),M971))</f>
        <v>0</v>
      </c>
      <c r="T44">
        <f>IF(Charts!$B$3="none",H971,IF(N971="",NA(),N971))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IFERROR(SMALL(E5:E188,ROW()-ROW($F$5)+1),"")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IFERROR(SMALL(K5:K188,ROW()-ROW($L$5)+1),"")</f>
        <v>0</v>
      </c>
      <c r="N45">
        <f>IFERROR(SUM(L5:L45),"")</f>
        <v>0</v>
      </c>
      <c r="Q45">
        <f>IF(Charts!$B$3="none",E972,IF(K972="",NA(),K972))</f>
        <v>0</v>
      </c>
      <c r="R45">
        <f>IF(Charts!$B$3="none",F972,IF(L972="",NA(),L972))</f>
        <v>0</v>
      </c>
      <c r="S45">
        <f>IF(Charts!$B$3="none",G972,IF(M972="",NA(),M972))</f>
        <v>0</v>
      </c>
      <c r="T45">
        <f>IF(Charts!$B$3="none",H972,IF(N972="",NA(),N972))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IFERROR(SMALL(E5:E188,ROW()-ROW($F$5)+1),"")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IFERROR(SMALL(K5:K188,ROW()-ROW($L$5)+1),"")</f>
        <v>0</v>
      </c>
      <c r="N46">
        <f>IFERROR(SUM(L5:L46),"")</f>
        <v>0</v>
      </c>
      <c r="Q46">
        <f>IF(Charts!$B$3="none",E973,IF(K973="",NA(),K973))</f>
        <v>0</v>
      </c>
      <c r="R46">
        <f>IF(Charts!$B$3="none",F973,IF(L973="",NA(),L973))</f>
        <v>0</v>
      </c>
      <c r="S46">
        <f>IF(Charts!$B$3="none",G973,IF(M973="",NA(),M973))</f>
        <v>0</v>
      </c>
      <c r="T46">
        <f>IF(Charts!$B$3="none",H973,IF(N973="",NA(),N973))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IFERROR(SMALL(E5:E188,ROW()-ROW($F$5)+1),"")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IFERROR(SMALL(K5:K188,ROW()-ROW($L$5)+1),"")</f>
        <v>0</v>
      </c>
      <c r="N47">
        <f>IFERROR(SUM(L5:L47),"")</f>
        <v>0</v>
      </c>
      <c r="Q47">
        <f>IF(Charts!$B$3="none",E974,IF(K974="",NA(),K974))</f>
        <v>0</v>
      </c>
      <c r="R47">
        <f>IF(Charts!$B$3="none",F974,IF(L974="",NA(),L974))</f>
        <v>0</v>
      </c>
      <c r="S47">
        <f>IF(Charts!$B$3="none",G974,IF(M974="",NA(),M974))</f>
        <v>0</v>
      </c>
      <c r="T47">
        <f>IF(Charts!$B$3="none",H974,IF(N974="",NA(),N974))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IFERROR(SMALL(E5:E188,ROW()-ROW($F$5)+1),"")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IFERROR(SMALL(K5:K188,ROW()-ROW($L$5)+1),"")</f>
        <v>0</v>
      </c>
      <c r="N48">
        <f>IFERROR(SUM(L5:L48),"")</f>
        <v>0</v>
      </c>
      <c r="Q48">
        <f>IF(Charts!$B$3="none",E975,IF(K975="",NA(),K975))</f>
        <v>0</v>
      </c>
      <c r="R48">
        <f>IF(Charts!$B$3="none",F975,IF(L975="",NA(),L975))</f>
        <v>0</v>
      </c>
      <c r="S48">
        <f>IF(Charts!$B$3="none",G975,IF(M975="",NA(),M975))</f>
        <v>0</v>
      </c>
      <c r="T48">
        <f>IF(Charts!$B$3="none",H975,IF(N975="",NA(),N975))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IFERROR(SMALL(E5:E188,ROW()-ROW($F$5)+1),"")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IFERROR(SMALL(K5:K188,ROW()-ROW($L$5)+1),"")</f>
        <v>0</v>
      </c>
      <c r="N49">
        <f>IFERROR(SUM(L5:L49),"")</f>
        <v>0</v>
      </c>
      <c r="Q49">
        <f>IF(Charts!$B$3="none",E976,IF(K976="",NA(),K976))</f>
        <v>0</v>
      </c>
      <c r="R49">
        <f>IF(Charts!$B$3="none",F976,IF(L976="",NA(),L976))</f>
        <v>0</v>
      </c>
      <c r="S49">
        <f>IF(Charts!$B$3="none",G976,IF(M976="",NA(),M976))</f>
        <v>0</v>
      </c>
      <c r="T49">
        <f>IF(Charts!$B$3="none",H976,IF(N976="",NA(),N976))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IFERROR(SMALL(E5:E188,ROW()-ROW($F$5)+1),"")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IFERROR(SMALL(K5:K188,ROW()-ROW($L$5)+1),"")</f>
        <v>0</v>
      </c>
      <c r="N50">
        <f>IFERROR(SUM(L5:L50),"")</f>
        <v>0</v>
      </c>
      <c r="Q50">
        <f>IF(Charts!$B$3="none",E977,IF(K977="",NA(),K977))</f>
        <v>0</v>
      </c>
      <c r="R50">
        <f>IF(Charts!$B$3="none",F977,IF(L977="",NA(),L977))</f>
        <v>0</v>
      </c>
      <c r="S50">
        <f>IF(Charts!$B$3="none",G977,IF(M977="",NA(),M977))</f>
        <v>0</v>
      </c>
      <c r="T50">
        <f>IF(Charts!$B$3="none",H977,IF(N977="",NA(),N977))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IFERROR(SMALL(E5:E188,ROW()-ROW($F$5)+1),"")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IFERROR(SMALL(K5:K188,ROW()-ROW($L$5)+1),"")</f>
        <v>0</v>
      </c>
      <c r="N51">
        <f>IFERROR(SUM(L5:L51),"")</f>
        <v>0</v>
      </c>
      <c r="Q51">
        <f>IF(Charts!$B$3="none",E978,IF(K978="",NA(),K978))</f>
        <v>0</v>
      </c>
      <c r="R51">
        <f>IF(Charts!$B$3="none",F978,IF(L978="",NA(),L978))</f>
        <v>0</v>
      </c>
      <c r="S51">
        <f>IF(Charts!$B$3="none",G978,IF(M978="",NA(),M978))</f>
        <v>0</v>
      </c>
      <c r="T51">
        <f>IF(Charts!$B$3="none",H978,IF(N978="",NA(),N978))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IFERROR(SMALL(E5:E188,ROW()-ROW($F$5)+1),"")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IFERROR(SMALL(K5:K188,ROW()-ROW($L$5)+1),"")</f>
        <v>0</v>
      </c>
      <c r="N52">
        <f>IFERROR(SUM(L5:L52),"")</f>
        <v>0</v>
      </c>
      <c r="Q52">
        <f>IF(Charts!$B$3="none",E979,IF(K979="",NA(),K979))</f>
        <v>0</v>
      </c>
      <c r="R52">
        <f>IF(Charts!$B$3="none",F979,IF(L979="",NA(),L979))</f>
        <v>0</v>
      </c>
      <c r="S52">
        <f>IF(Charts!$B$3="none",G979,IF(M979="",NA(),M979))</f>
        <v>0</v>
      </c>
      <c r="T52">
        <f>IF(Charts!$B$3="none",H979,IF(N979="",NA(),N979))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IFERROR(SMALL(E5:E188,ROW()-ROW($F$5)+1),"")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IFERROR(SMALL(K5:K188,ROW()-ROW($L$5)+1),"")</f>
        <v>0</v>
      </c>
      <c r="N53">
        <f>IFERROR(SUM(L5:L53),"")</f>
        <v>0</v>
      </c>
      <c r="Q53">
        <f>IF(Charts!$B$3="none",E980,IF(K980="",NA(),K980))</f>
        <v>0</v>
      </c>
      <c r="R53">
        <f>IF(Charts!$B$3="none",F980,IF(L980="",NA(),L980))</f>
        <v>0</v>
      </c>
      <c r="S53">
        <f>IF(Charts!$B$3="none",G980,IF(M980="",NA(),M980))</f>
        <v>0</v>
      </c>
      <c r="T53">
        <f>IF(Charts!$B$3="none",H980,IF(N980="",NA(),N980))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IFERROR(SMALL(E5:E188,ROW()-ROW($F$5)+1),"")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IFERROR(SMALL(K5:K188,ROW()-ROW($L$5)+1),"")</f>
        <v>0</v>
      </c>
      <c r="N54">
        <f>IFERROR(SUM(L5:L54),"")</f>
        <v>0</v>
      </c>
      <c r="Q54">
        <f>IF(Charts!$B$3="none",E981,IF(K981="",NA(),K981))</f>
        <v>0</v>
      </c>
      <c r="R54">
        <f>IF(Charts!$B$3="none",F981,IF(L981="",NA(),L981))</f>
        <v>0</v>
      </c>
      <c r="S54">
        <f>IF(Charts!$B$3="none",G981,IF(M981="",NA(),M981))</f>
        <v>0</v>
      </c>
      <c r="T54">
        <f>IF(Charts!$B$3="none",H981,IF(N981="",NA(),N981))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IFERROR(SMALL(E5:E188,ROW()-ROW($F$5)+1),"")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IFERROR(SMALL(K5:K188,ROW()-ROW($L$5)+1),"")</f>
        <v>0</v>
      </c>
      <c r="N55">
        <f>IFERROR(SUM(L5:L55),"")</f>
        <v>0</v>
      </c>
      <c r="Q55">
        <f>IF(Charts!$B$3="none",E982,IF(K982="",NA(),K982))</f>
        <v>0</v>
      </c>
      <c r="R55">
        <f>IF(Charts!$B$3="none",F982,IF(L982="",NA(),L982))</f>
        <v>0</v>
      </c>
      <c r="S55">
        <f>IF(Charts!$B$3="none",G982,IF(M982="",NA(),M982))</f>
        <v>0</v>
      </c>
      <c r="T55">
        <f>IF(Charts!$B$3="none",H982,IF(N982="",NA(),N982))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IFERROR(SMALL(E5:E188,ROW()-ROW($F$5)+1),"")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IFERROR(SMALL(K5:K188,ROW()-ROW($L$5)+1),"")</f>
        <v>0</v>
      </c>
      <c r="N56">
        <f>IFERROR(SUM(L5:L56),"")</f>
        <v>0</v>
      </c>
      <c r="Q56">
        <f>IF(Charts!$B$3="none",E983,IF(K983="",NA(),K983))</f>
        <v>0</v>
      </c>
      <c r="R56">
        <f>IF(Charts!$B$3="none",F983,IF(L983="",NA(),L983))</f>
        <v>0</v>
      </c>
      <c r="S56">
        <f>IF(Charts!$B$3="none",G983,IF(M983="",NA(),M983))</f>
        <v>0</v>
      </c>
      <c r="T56">
        <f>IF(Charts!$B$3="none",H983,IF(N983="",NA(),N983))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IFERROR(SMALL(E5:E188,ROW()-ROW($F$5)+1),"")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IFERROR(SMALL(K5:K188,ROW()-ROW($L$5)+1),"")</f>
        <v>0</v>
      </c>
      <c r="N57">
        <f>IFERROR(SUM(L5:L57),"")</f>
        <v>0</v>
      </c>
      <c r="Q57">
        <f>IF(Charts!$B$3="none",E984,IF(K984="",NA(),K984))</f>
        <v>0</v>
      </c>
      <c r="R57">
        <f>IF(Charts!$B$3="none",F984,IF(L984="",NA(),L984))</f>
        <v>0</v>
      </c>
      <c r="S57">
        <f>IF(Charts!$B$3="none",G984,IF(M984="",NA(),M984))</f>
        <v>0</v>
      </c>
      <c r="T57">
        <f>IF(Charts!$B$3="none",H984,IF(N984="",NA(),N984))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IFERROR(SMALL(E5:E188,ROW()-ROW($F$5)+1),"")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IFERROR(SMALL(K5:K188,ROW()-ROW($L$5)+1),"")</f>
        <v>0</v>
      </c>
      <c r="N58">
        <f>IFERROR(SUM(L5:L58),"")</f>
        <v>0</v>
      </c>
      <c r="Q58">
        <f>IF(Charts!$B$3="none",E985,IF(K985="",NA(),K985))</f>
        <v>0</v>
      </c>
      <c r="R58">
        <f>IF(Charts!$B$3="none",F985,IF(L985="",NA(),L985))</f>
        <v>0</v>
      </c>
      <c r="S58">
        <f>IF(Charts!$B$3="none",G985,IF(M985="",NA(),M985))</f>
        <v>0</v>
      </c>
      <c r="T58">
        <f>IF(Charts!$B$3="none",H985,IF(N985="",NA(),N985))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IFERROR(SMALL(E5:E188,ROW()-ROW($F$5)+1),"")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IFERROR(SMALL(K5:K188,ROW()-ROW($L$5)+1),"")</f>
        <v>0</v>
      </c>
      <c r="N59">
        <f>IFERROR(SUM(L5:L59),"")</f>
        <v>0</v>
      </c>
      <c r="Q59">
        <f>IF(Charts!$B$3="none",E986,IF(K986="",NA(),K986))</f>
        <v>0</v>
      </c>
      <c r="R59">
        <f>IF(Charts!$B$3="none",F986,IF(L986="",NA(),L986))</f>
        <v>0</v>
      </c>
      <c r="S59">
        <f>IF(Charts!$B$3="none",G986,IF(M986="",NA(),M986))</f>
        <v>0</v>
      </c>
      <c r="T59">
        <f>IF(Charts!$B$3="none",H986,IF(N986="",NA(),N986))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IFERROR(SMALL(E5:E188,ROW()-ROW($F$5)+1),"")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IFERROR(SMALL(K5:K188,ROW()-ROW($L$5)+1),"")</f>
        <v>0</v>
      </c>
      <c r="N60">
        <f>IFERROR(SUM(L5:L60),"")</f>
        <v>0</v>
      </c>
      <c r="Q60">
        <f>IF(Charts!$B$3="none",E987,IF(K987="",NA(),K987))</f>
        <v>0</v>
      </c>
      <c r="R60">
        <f>IF(Charts!$B$3="none",F987,IF(L987="",NA(),L987))</f>
        <v>0</v>
      </c>
      <c r="S60">
        <f>IF(Charts!$B$3="none",G987,IF(M987="",NA(),M987))</f>
        <v>0</v>
      </c>
      <c r="T60">
        <f>IF(Charts!$B$3="none",H987,IF(N987="",NA(),N987))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IFERROR(SMALL(E5:E188,ROW()-ROW($F$5)+1),"")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IFERROR(SMALL(K5:K188,ROW()-ROW($L$5)+1),"")</f>
        <v>0</v>
      </c>
      <c r="N61">
        <f>IFERROR(SUM(L5:L61),"")</f>
        <v>0</v>
      </c>
      <c r="Q61">
        <f>IF(Charts!$B$3="none",E988,IF(K988="",NA(),K988))</f>
        <v>0</v>
      </c>
      <c r="R61">
        <f>IF(Charts!$B$3="none",F988,IF(L988="",NA(),L988))</f>
        <v>0</v>
      </c>
      <c r="S61">
        <f>IF(Charts!$B$3="none",G988,IF(M988="",NA(),M988))</f>
        <v>0</v>
      </c>
      <c r="T61">
        <f>IF(Charts!$B$3="none",H988,IF(N988="",NA(),N988))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IFERROR(SMALL(E5:E188,ROW()-ROW($F$5)+1),"")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IFERROR(SMALL(K5:K188,ROW()-ROW($L$5)+1),"")</f>
        <v>0</v>
      </c>
      <c r="N62">
        <f>IFERROR(SUM(L5:L62),"")</f>
        <v>0</v>
      </c>
      <c r="Q62">
        <f>IF(Charts!$B$3="none",E989,IF(K989="",NA(),K989))</f>
        <v>0</v>
      </c>
      <c r="R62">
        <f>IF(Charts!$B$3="none",F989,IF(L989="",NA(),L989))</f>
        <v>0</v>
      </c>
      <c r="S62">
        <f>IF(Charts!$B$3="none",G989,IF(M989="",NA(),M989))</f>
        <v>0</v>
      </c>
      <c r="T62">
        <f>IF(Charts!$B$3="none",H989,IF(N989="",NA(),N989))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IFERROR(SMALL(E5:E188,ROW()-ROW($F$5)+1),"")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IFERROR(SMALL(K5:K188,ROW()-ROW($L$5)+1),"")</f>
        <v>0</v>
      </c>
      <c r="N63">
        <f>IFERROR(SUM(L5:L63),"")</f>
        <v>0</v>
      </c>
      <c r="Q63">
        <f>IF(Charts!$B$3="none",E990,IF(K990="",NA(),K990))</f>
        <v>0</v>
      </c>
      <c r="R63">
        <f>IF(Charts!$B$3="none",F990,IF(L990="",NA(),L990))</f>
        <v>0</v>
      </c>
      <c r="S63">
        <f>IF(Charts!$B$3="none",G990,IF(M990="",NA(),M990))</f>
        <v>0</v>
      </c>
      <c r="T63">
        <f>IF(Charts!$B$3="none",H990,IF(N990="",NA(),N990))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IFERROR(SMALL(E5:E188,ROW()-ROW($F$5)+1),"")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IFERROR(SMALL(K5:K188,ROW()-ROW($L$5)+1),"")</f>
        <v>0</v>
      </c>
      <c r="N64">
        <f>IFERROR(SUM(L5:L64),"")</f>
        <v>0</v>
      </c>
      <c r="Q64">
        <f>IF(Charts!$B$3="none",E991,IF(K991="",NA(),K991))</f>
        <v>0</v>
      </c>
      <c r="R64">
        <f>IF(Charts!$B$3="none",F991,IF(L991="",NA(),L991))</f>
        <v>0</v>
      </c>
      <c r="S64">
        <f>IF(Charts!$B$3="none",G991,IF(M991="",NA(),M991))</f>
        <v>0</v>
      </c>
      <c r="T64">
        <f>IF(Charts!$B$3="none",H991,IF(N991="",NA(),N991))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IFERROR(SMALL(E5:E188,ROW()-ROW($F$5)+1),"")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IFERROR(SMALL(K5:K188,ROW()-ROW($L$5)+1),"")</f>
        <v>0</v>
      </c>
      <c r="N65">
        <f>IFERROR(SUM(L5:L65),"")</f>
        <v>0</v>
      </c>
      <c r="Q65">
        <f>IF(Charts!$B$3="none",E992,IF(K992="",NA(),K992))</f>
        <v>0</v>
      </c>
      <c r="R65">
        <f>IF(Charts!$B$3="none",F992,IF(L992="",NA(),L992))</f>
        <v>0</v>
      </c>
      <c r="S65">
        <f>IF(Charts!$B$3="none",G992,IF(M992="",NA(),M992))</f>
        <v>0</v>
      </c>
      <c r="T65">
        <f>IF(Charts!$B$3="none",H992,IF(N992="",NA(),N992))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IFERROR(SMALL(E5:E188,ROW()-ROW($F$5)+1),"")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IFERROR(SMALL(K5:K188,ROW()-ROW($L$5)+1),"")</f>
        <v>0</v>
      </c>
      <c r="N66">
        <f>IFERROR(SUM(L5:L66),"")</f>
        <v>0</v>
      </c>
      <c r="Q66">
        <f>IF(Charts!$B$3="none",E993,IF(K993="",NA(),K993))</f>
        <v>0</v>
      </c>
      <c r="R66">
        <f>IF(Charts!$B$3="none",F993,IF(L993="",NA(),L993))</f>
        <v>0</v>
      </c>
      <c r="S66">
        <f>IF(Charts!$B$3="none",G993,IF(M993="",NA(),M993))</f>
        <v>0</v>
      </c>
      <c r="T66">
        <f>IF(Charts!$B$3="none",H993,IF(N993="",NA(),N993))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IFERROR(SMALL(E5:E188,ROW()-ROW($F$5)+1),"")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IFERROR(SMALL(K5:K188,ROW()-ROW($L$5)+1),"")</f>
        <v>0</v>
      </c>
      <c r="N67">
        <f>IFERROR(SUM(L5:L67),"")</f>
        <v>0</v>
      </c>
      <c r="Q67">
        <f>IF(Charts!$B$3="none",E994,IF(K994="",NA(),K994))</f>
        <v>0</v>
      </c>
      <c r="R67">
        <f>IF(Charts!$B$3="none",F994,IF(L994="",NA(),L994))</f>
        <v>0</v>
      </c>
      <c r="S67">
        <f>IF(Charts!$B$3="none",G994,IF(M994="",NA(),M994))</f>
        <v>0</v>
      </c>
      <c r="T67">
        <f>IF(Charts!$B$3="none",H994,IF(N994="",NA(),N994))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IFERROR(SMALL(E5:E188,ROW()-ROW($F$5)+1),"")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IFERROR(SMALL(K5:K188,ROW()-ROW($L$5)+1),"")</f>
        <v>0</v>
      </c>
      <c r="N68">
        <f>IFERROR(SUM(L5:L68),"")</f>
        <v>0</v>
      </c>
      <c r="Q68">
        <f>IF(Charts!$B$3="none",E995,IF(K995="",NA(),K995))</f>
        <v>0</v>
      </c>
      <c r="R68">
        <f>IF(Charts!$B$3="none",F995,IF(L995="",NA(),L995))</f>
        <v>0</v>
      </c>
      <c r="S68">
        <f>IF(Charts!$B$3="none",G995,IF(M995="",NA(),M995))</f>
        <v>0</v>
      </c>
      <c r="T68">
        <f>IF(Charts!$B$3="none",H995,IF(N995="",NA(),N995))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IFERROR(SMALL(E5:E188,ROW()-ROW($F$5)+1),"")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IFERROR(SMALL(K5:K188,ROW()-ROW($L$5)+1),"")</f>
        <v>0</v>
      </c>
      <c r="N69">
        <f>IFERROR(SUM(L5:L69),"")</f>
        <v>0</v>
      </c>
      <c r="Q69">
        <f>IF(Charts!$B$3="none",E996,IF(K996="",NA(),K996))</f>
        <v>0</v>
      </c>
      <c r="R69">
        <f>IF(Charts!$B$3="none",F996,IF(L996="",NA(),L996))</f>
        <v>0</v>
      </c>
      <c r="S69">
        <f>IF(Charts!$B$3="none",G996,IF(M996="",NA(),M996))</f>
        <v>0</v>
      </c>
      <c r="T69">
        <f>IF(Charts!$B$3="none",H996,IF(N996="",NA(),N996))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IFERROR(SMALL(E5:E188,ROW()-ROW($F$5)+1),"")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IFERROR(SMALL(K5:K188,ROW()-ROW($L$5)+1),"")</f>
        <v>0</v>
      </c>
      <c r="N70">
        <f>IFERROR(SUM(L5:L70),"")</f>
        <v>0</v>
      </c>
      <c r="Q70">
        <f>IF(Charts!$B$3="none",E997,IF(K997="",NA(),K997))</f>
        <v>0</v>
      </c>
      <c r="R70">
        <f>IF(Charts!$B$3="none",F997,IF(L997="",NA(),L997))</f>
        <v>0</v>
      </c>
      <c r="S70">
        <f>IF(Charts!$B$3="none",G997,IF(M997="",NA(),M997))</f>
        <v>0</v>
      </c>
      <c r="T70">
        <f>IF(Charts!$B$3="none",H997,IF(N997="",NA(),N997))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IFERROR(SMALL(E5:E188,ROW()-ROW($F$5)+1),"")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IFERROR(SMALL(K5:K188,ROW()-ROW($L$5)+1),"")</f>
        <v>0</v>
      </c>
      <c r="N71">
        <f>IFERROR(SUM(L5:L71),"")</f>
        <v>0</v>
      </c>
      <c r="Q71">
        <f>IF(Charts!$B$3="none",E998,IF(K998="",NA(),K998))</f>
        <v>0</v>
      </c>
      <c r="R71">
        <f>IF(Charts!$B$3="none",F998,IF(L998="",NA(),L998))</f>
        <v>0</v>
      </c>
      <c r="S71">
        <f>IF(Charts!$B$3="none",G998,IF(M998="",NA(),M998))</f>
        <v>0</v>
      </c>
      <c r="T71">
        <f>IF(Charts!$B$3="none",H998,IF(N998="",NA(),N998))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IFERROR(SMALL(E5:E188,ROW()-ROW($F$5)+1),"")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IFERROR(SMALL(K5:K188,ROW()-ROW($L$5)+1),"")</f>
        <v>0</v>
      </c>
      <c r="N72">
        <f>IFERROR(SUM(L5:L72),"")</f>
        <v>0</v>
      </c>
      <c r="Q72">
        <f>IF(Charts!$B$3="none",E999,IF(K999="",NA(),K999))</f>
        <v>0</v>
      </c>
      <c r="R72">
        <f>IF(Charts!$B$3="none",F999,IF(L999="",NA(),L999))</f>
        <v>0</v>
      </c>
      <c r="S72">
        <f>IF(Charts!$B$3="none",G999,IF(M999="",NA(),M999))</f>
        <v>0</v>
      </c>
      <c r="T72">
        <f>IF(Charts!$B$3="none",H999,IF(N999="",NA(),N999))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IFERROR(SMALL(E5:E188,ROW()-ROW($F$5)+1),"")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IFERROR(SMALL(K5:K188,ROW()-ROW($L$5)+1),"")</f>
        <v>0</v>
      </c>
      <c r="N73">
        <f>IFERROR(SUM(L5:L73),"")</f>
        <v>0</v>
      </c>
      <c r="Q73">
        <f>IF(Charts!$B$3="none",E1000,IF(K1000="",NA(),K1000))</f>
        <v>0</v>
      </c>
      <c r="R73">
        <f>IF(Charts!$B$3="none",F1000,IF(L1000="",NA(),L1000))</f>
        <v>0</v>
      </c>
      <c r="S73">
        <f>IF(Charts!$B$3="none",G1000,IF(M1000="",NA(),M1000))</f>
        <v>0</v>
      </c>
      <c r="T73">
        <f>IF(Charts!$B$3="none",H1000,IF(N1000="",NA(),N1000))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IFERROR(SMALL(E5:E188,ROW()-ROW($F$5)+1),"")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IFERROR(SMALL(K5:K188,ROW()-ROW($L$5)+1),"")</f>
        <v>0</v>
      </c>
      <c r="N74">
        <f>IFERROR(SUM(L5:L74),"")</f>
        <v>0</v>
      </c>
      <c r="Q74">
        <f>IF(Charts!$B$3="none",E1001,IF(K1001="",NA(),K1001))</f>
        <v>0</v>
      </c>
      <c r="R74">
        <f>IF(Charts!$B$3="none",F1001,IF(L1001="",NA(),L1001))</f>
        <v>0</v>
      </c>
      <c r="S74">
        <f>IF(Charts!$B$3="none",G1001,IF(M1001="",NA(),M1001))</f>
        <v>0</v>
      </c>
      <c r="T74">
        <f>IF(Charts!$B$3="none",H1001,IF(N1001="",NA(),N1001))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IFERROR(SMALL(E5:E188,ROW()-ROW($F$5)+1),"")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IFERROR(SMALL(K5:K188,ROW()-ROW($L$5)+1),"")</f>
        <v>0</v>
      </c>
      <c r="N75">
        <f>IFERROR(SUM(L5:L75),"")</f>
        <v>0</v>
      </c>
      <c r="Q75">
        <f>IF(Charts!$B$3="none",E1002,IF(K1002="",NA(),K1002))</f>
        <v>0</v>
      </c>
      <c r="R75">
        <f>IF(Charts!$B$3="none",F1002,IF(L1002="",NA(),L1002))</f>
        <v>0</v>
      </c>
      <c r="S75">
        <f>IF(Charts!$B$3="none",G1002,IF(M1002="",NA(),M1002))</f>
        <v>0</v>
      </c>
      <c r="T75">
        <f>IF(Charts!$B$3="none",H1002,IF(N1002="",NA(),N1002))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IFERROR(SMALL(E5:E188,ROW()-ROW($F$5)+1),"")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IFERROR(SMALL(K5:K188,ROW()-ROW($L$5)+1),"")</f>
        <v>0</v>
      </c>
      <c r="N76">
        <f>IFERROR(SUM(L5:L76),"")</f>
        <v>0</v>
      </c>
      <c r="Q76">
        <f>IF(Charts!$B$3="none",E1003,IF(K1003="",NA(),K1003))</f>
        <v>0</v>
      </c>
      <c r="R76">
        <f>IF(Charts!$B$3="none",F1003,IF(L1003="",NA(),L1003))</f>
        <v>0</v>
      </c>
      <c r="S76">
        <f>IF(Charts!$B$3="none",G1003,IF(M1003="",NA(),M1003))</f>
        <v>0</v>
      </c>
      <c r="T76">
        <f>IF(Charts!$B$3="none",H1003,IF(N1003="",NA(),N1003))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IFERROR(SMALL(E5:E188,ROW()-ROW($F$5)+1),"")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IFERROR(SMALL(K5:K188,ROW()-ROW($L$5)+1),"")</f>
        <v>0</v>
      </c>
      <c r="N77">
        <f>IFERROR(SUM(L5:L77),"")</f>
        <v>0</v>
      </c>
      <c r="Q77">
        <f>IF(Charts!$B$3="none",E1004,IF(K1004="",NA(),K1004))</f>
        <v>0</v>
      </c>
      <c r="R77">
        <f>IF(Charts!$B$3="none",F1004,IF(L1004="",NA(),L1004))</f>
        <v>0</v>
      </c>
      <c r="S77">
        <f>IF(Charts!$B$3="none",G1004,IF(M1004="",NA(),M1004))</f>
        <v>0</v>
      </c>
      <c r="T77">
        <f>IF(Charts!$B$3="none",H1004,IF(N1004="",NA(),N1004))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IFERROR(SMALL(E5:E188,ROW()-ROW($F$5)+1),"")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IFERROR(SMALL(K5:K188,ROW()-ROW($L$5)+1),"")</f>
        <v>0</v>
      </c>
      <c r="N78">
        <f>IFERROR(SUM(L5:L78),"")</f>
        <v>0</v>
      </c>
      <c r="Q78">
        <f>IF(Charts!$B$3="none",E1005,IF(K1005="",NA(),K1005))</f>
        <v>0</v>
      </c>
      <c r="R78">
        <f>IF(Charts!$B$3="none",F1005,IF(L1005="",NA(),L1005))</f>
        <v>0</v>
      </c>
      <c r="S78">
        <f>IF(Charts!$B$3="none",G1005,IF(M1005="",NA(),M1005))</f>
        <v>0</v>
      </c>
      <c r="T78">
        <f>IF(Charts!$B$3="none",H1005,IF(N1005="",NA(),N1005))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IFERROR(SMALL(E5:E188,ROW()-ROW($F$5)+1),"")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IFERROR(SMALL(K5:K188,ROW()-ROW($L$5)+1),"")</f>
        <v>0</v>
      </c>
      <c r="N79">
        <f>IFERROR(SUM(L5:L79),"")</f>
        <v>0</v>
      </c>
      <c r="Q79">
        <f>IF(Charts!$B$3="none",E1006,IF(K1006="",NA(),K1006))</f>
        <v>0</v>
      </c>
      <c r="R79">
        <f>IF(Charts!$B$3="none",F1006,IF(L1006="",NA(),L1006))</f>
        <v>0</v>
      </c>
      <c r="S79">
        <f>IF(Charts!$B$3="none",G1006,IF(M1006="",NA(),M1006))</f>
        <v>0</v>
      </c>
      <c r="T79">
        <f>IF(Charts!$B$3="none",H1006,IF(N1006="",NA(),N1006))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IFERROR(SMALL(E5:E188,ROW()-ROW($F$5)+1),"")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IFERROR(SMALL(K5:K188,ROW()-ROW($L$5)+1),"")</f>
        <v>0</v>
      </c>
      <c r="N80">
        <f>IFERROR(SUM(L5:L80),"")</f>
        <v>0</v>
      </c>
      <c r="Q80">
        <f>IF(Charts!$B$3="none",E1007,IF(K1007="",NA(),K1007))</f>
        <v>0</v>
      </c>
      <c r="R80">
        <f>IF(Charts!$B$3="none",F1007,IF(L1007="",NA(),L1007))</f>
        <v>0</v>
      </c>
      <c r="S80">
        <f>IF(Charts!$B$3="none",G1007,IF(M1007="",NA(),M1007))</f>
        <v>0</v>
      </c>
      <c r="T80">
        <f>IF(Charts!$B$3="none",H1007,IF(N1007="",NA(),N1007))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IFERROR(SMALL(E5:E188,ROW()-ROW($F$5)+1),"")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IFERROR(SMALL(K5:K188,ROW()-ROW($L$5)+1),"")</f>
        <v>0</v>
      </c>
      <c r="N81">
        <f>IFERROR(SUM(L5:L81),"")</f>
        <v>0</v>
      </c>
      <c r="Q81">
        <f>IF(Charts!$B$3="none",E1008,IF(K1008="",NA(),K1008))</f>
        <v>0</v>
      </c>
      <c r="R81">
        <f>IF(Charts!$B$3="none",F1008,IF(L1008="",NA(),L1008))</f>
        <v>0</v>
      </c>
      <c r="S81">
        <f>IF(Charts!$B$3="none",G1008,IF(M1008="",NA(),M1008))</f>
        <v>0</v>
      </c>
      <c r="T81">
        <f>IF(Charts!$B$3="none",H1008,IF(N1008="",NA(),N1008))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IFERROR(SMALL(E5:E188,ROW()-ROW($F$5)+1),"")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IFERROR(SMALL(K5:K188,ROW()-ROW($L$5)+1),"")</f>
        <v>0</v>
      </c>
      <c r="N82">
        <f>IFERROR(SUM(L5:L82),"")</f>
        <v>0</v>
      </c>
      <c r="Q82">
        <f>IF(Charts!$B$3="none",E1009,IF(K1009="",NA(),K1009))</f>
        <v>0</v>
      </c>
      <c r="R82">
        <f>IF(Charts!$B$3="none",F1009,IF(L1009="",NA(),L1009))</f>
        <v>0</v>
      </c>
      <c r="S82">
        <f>IF(Charts!$B$3="none",G1009,IF(M1009="",NA(),M1009))</f>
        <v>0</v>
      </c>
      <c r="T82">
        <f>IF(Charts!$B$3="none",H1009,IF(N1009="",NA(),N1009))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IFERROR(SMALL(E5:E188,ROW()-ROW($F$5)+1),"")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IFERROR(SMALL(K5:K188,ROW()-ROW($L$5)+1),"")</f>
        <v>0</v>
      </c>
      <c r="N83">
        <f>IFERROR(SUM(L5:L83),"")</f>
        <v>0</v>
      </c>
      <c r="Q83">
        <f>IF(Charts!$B$3="none",E1010,IF(K1010="",NA(),K1010))</f>
        <v>0</v>
      </c>
      <c r="R83">
        <f>IF(Charts!$B$3="none",F1010,IF(L1010="",NA(),L1010))</f>
        <v>0</v>
      </c>
      <c r="S83">
        <f>IF(Charts!$B$3="none",G1010,IF(M1010="",NA(),M1010))</f>
        <v>0</v>
      </c>
      <c r="T83">
        <f>IF(Charts!$B$3="none",H1010,IF(N1010="",NA(),N1010))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IFERROR(SMALL(E5:E188,ROW()-ROW($F$5)+1),"")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IFERROR(SMALL(K5:K188,ROW()-ROW($L$5)+1),"")</f>
        <v>0</v>
      </c>
      <c r="N84">
        <f>IFERROR(SUM(L5:L84),"")</f>
        <v>0</v>
      </c>
      <c r="Q84">
        <f>IF(Charts!$B$3="none",E1011,IF(K1011="",NA(),K1011))</f>
        <v>0</v>
      </c>
      <c r="R84">
        <f>IF(Charts!$B$3="none",F1011,IF(L1011="",NA(),L1011))</f>
        <v>0</v>
      </c>
      <c r="S84">
        <f>IF(Charts!$B$3="none",G1011,IF(M1011="",NA(),M1011))</f>
        <v>0</v>
      </c>
      <c r="T84">
        <f>IF(Charts!$B$3="none",H1011,IF(N1011="",NA(),N1011))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IFERROR(SMALL(E5:E188,ROW()-ROW($F$5)+1),"")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IFERROR(SMALL(K5:K188,ROW()-ROW($L$5)+1),"")</f>
        <v>0</v>
      </c>
      <c r="N85">
        <f>IFERROR(SUM(L5:L85),"")</f>
        <v>0</v>
      </c>
      <c r="Q85">
        <f>IF(Charts!$B$3="none",E1012,IF(K1012="",NA(),K1012))</f>
        <v>0</v>
      </c>
      <c r="R85">
        <f>IF(Charts!$B$3="none",F1012,IF(L1012="",NA(),L1012))</f>
        <v>0</v>
      </c>
      <c r="S85">
        <f>IF(Charts!$B$3="none",G1012,IF(M1012="",NA(),M1012))</f>
        <v>0</v>
      </c>
      <c r="T85">
        <f>IF(Charts!$B$3="none",H1012,IF(N1012="",NA(),N1012))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IFERROR(SMALL(E5:E188,ROW()-ROW($F$5)+1),"")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IFERROR(SMALL(K5:K188,ROW()-ROW($L$5)+1),"")</f>
        <v>0</v>
      </c>
      <c r="N86">
        <f>IFERROR(SUM(L5:L86),"")</f>
        <v>0</v>
      </c>
      <c r="Q86">
        <f>IF(Charts!$B$3="none",E1013,IF(K1013="",NA(),K1013))</f>
        <v>0</v>
      </c>
      <c r="R86">
        <f>IF(Charts!$B$3="none",F1013,IF(L1013="",NA(),L1013))</f>
        <v>0</v>
      </c>
      <c r="S86">
        <f>IF(Charts!$B$3="none",G1013,IF(M1013="",NA(),M1013))</f>
        <v>0</v>
      </c>
      <c r="T86">
        <f>IF(Charts!$B$3="none",H1013,IF(N1013="",NA(),N1013))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IFERROR(SMALL(E5:E188,ROW()-ROW($F$5)+1),"")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IFERROR(SMALL(K5:K188,ROW()-ROW($L$5)+1),"")</f>
        <v>0</v>
      </c>
      <c r="N87">
        <f>IFERROR(SUM(L5:L87),"")</f>
        <v>0</v>
      </c>
      <c r="Q87">
        <f>IF(Charts!$B$3="none",E1014,IF(K1014="",NA(),K1014))</f>
        <v>0</v>
      </c>
      <c r="R87">
        <f>IF(Charts!$B$3="none",F1014,IF(L1014="",NA(),L1014))</f>
        <v>0</v>
      </c>
      <c r="S87">
        <f>IF(Charts!$B$3="none",G1014,IF(M1014="",NA(),M1014))</f>
        <v>0</v>
      </c>
      <c r="T87">
        <f>IF(Charts!$B$3="none",H1014,IF(N1014="",NA(),N1014))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IFERROR(SMALL(E5:E188,ROW()-ROW($F$5)+1),"")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IFERROR(SMALL(K5:K188,ROW()-ROW($L$5)+1),"")</f>
        <v>0</v>
      </c>
      <c r="N88">
        <f>IFERROR(SUM(L5:L88),"")</f>
        <v>0</v>
      </c>
      <c r="Q88">
        <f>IF(Charts!$B$3="none",E1015,IF(K1015="",NA(),K1015))</f>
        <v>0</v>
      </c>
      <c r="R88">
        <f>IF(Charts!$B$3="none",F1015,IF(L1015="",NA(),L1015))</f>
        <v>0</v>
      </c>
      <c r="S88">
        <f>IF(Charts!$B$3="none",G1015,IF(M1015="",NA(),M1015))</f>
        <v>0</v>
      </c>
      <c r="T88">
        <f>IF(Charts!$B$3="none",H1015,IF(N1015="",NA(),N1015))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IFERROR(SMALL(E5:E188,ROW()-ROW($F$5)+1),"")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IFERROR(SMALL(K5:K188,ROW()-ROW($L$5)+1),"")</f>
        <v>0</v>
      </c>
      <c r="N89">
        <f>IFERROR(SUM(L5:L89),"")</f>
        <v>0</v>
      </c>
      <c r="Q89">
        <f>IF(Charts!$B$3="none",E1016,IF(K1016="",NA(),K1016))</f>
        <v>0</v>
      </c>
      <c r="R89">
        <f>IF(Charts!$B$3="none",F1016,IF(L1016="",NA(),L1016))</f>
        <v>0</v>
      </c>
      <c r="S89">
        <f>IF(Charts!$B$3="none",G1016,IF(M1016="",NA(),M1016))</f>
        <v>0</v>
      </c>
      <c r="T89">
        <f>IF(Charts!$B$3="none",H1016,IF(N1016="",NA(),N1016))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IFERROR(SMALL(E5:E188,ROW()-ROW($F$5)+1),"")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IFERROR(SMALL(K5:K188,ROW()-ROW($L$5)+1),"")</f>
        <v>0</v>
      </c>
      <c r="N90">
        <f>IFERROR(SUM(L5:L90),"")</f>
        <v>0</v>
      </c>
      <c r="Q90">
        <f>IF(Charts!$B$3="none",E1017,IF(K1017="",NA(),K1017))</f>
        <v>0</v>
      </c>
      <c r="R90">
        <f>IF(Charts!$B$3="none",F1017,IF(L1017="",NA(),L1017))</f>
        <v>0</v>
      </c>
      <c r="S90">
        <f>IF(Charts!$B$3="none",G1017,IF(M1017="",NA(),M1017))</f>
        <v>0</v>
      </c>
      <c r="T90">
        <f>IF(Charts!$B$3="none",H1017,IF(N1017="",NA(),N1017))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IFERROR(SMALL(E5:E188,ROW()-ROW($F$5)+1),"")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IFERROR(SMALL(K5:K188,ROW()-ROW($L$5)+1),"")</f>
        <v>0</v>
      </c>
      <c r="N91">
        <f>IFERROR(SUM(L5:L91),"")</f>
        <v>0</v>
      </c>
      <c r="Q91">
        <f>IF(Charts!$B$3="none",E1018,IF(K1018="",NA(),K1018))</f>
        <v>0</v>
      </c>
      <c r="R91">
        <f>IF(Charts!$B$3="none",F1018,IF(L1018="",NA(),L1018))</f>
        <v>0</v>
      </c>
      <c r="S91">
        <f>IF(Charts!$B$3="none",G1018,IF(M1018="",NA(),M1018))</f>
        <v>0</v>
      </c>
      <c r="T91">
        <f>IF(Charts!$B$3="none",H1018,IF(N1018="",NA(),N1018))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IFERROR(SMALL(E5:E188,ROW()-ROW($F$5)+1),"")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IFERROR(SMALL(K5:K188,ROW()-ROW($L$5)+1),"")</f>
        <v>0</v>
      </c>
      <c r="N92">
        <f>IFERROR(SUM(L5:L92),"")</f>
        <v>0</v>
      </c>
      <c r="Q92">
        <f>IF(Charts!$B$3="none",E1019,IF(K1019="",NA(),K1019))</f>
        <v>0</v>
      </c>
      <c r="R92">
        <f>IF(Charts!$B$3="none",F1019,IF(L1019="",NA(),L1019))</f>
        <v>0</v>
      </c>
      <c r="S92">
        <f>IF(Charts!$B$3="none",G1019,IF(M1019="",NA(),M1019))</f>
        <v>0</v>
      </c>
      <c r="T92">
        <f>IF(Charts!$B$3="none",H1019,IF(N1019="",NA(),N1019))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IFERROR(SMALL(E5:E188,ROW()-ROW($F$5)+1),"")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IFERROR(SMALL(K5:K188,ROW()-ROW($L$5)+1),"")</f>
        <v>0</v>
      </c>
      <c r="N93">
        <f>IFERROR(SUM(L5:L93),"")</f>
        <v>0</v>
      </c>
      <c r="Q93">
        <f>IF(Charts!$B$3="none",E1020,IF(K1020="",NA(),K1020))</f>
        <v>0</v>
      </c>
      <c r="R93">
        <f>IF(Charts!$B$3="none",F1020,IF(L1020="",NA(),L1020))</f>
        <v>0</v>
      </c>
      <c r="S93">
        <f>IF(Charts!$B$3="none",G1020,IF(M1020="",NA(),M1020))</f>
        <v>0</v>
      </c>
      <c r="T93">
        <f>IF(Charts!$B$3="none",H1020,IF(N1020="",NA(),N1020))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IFERROR(SMALL(E5:E188,ROW()-ROW($F$5)+1),"")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IFERROR(SMALL(K5:K188,ROW()-ROW($L$5)+1),"")</f>
        <v>0</v>
      </c>
      <c r="N94">
        <f>IFERROR(SUM(L5:L94),"")</f>
        <v>0</v>
      </c>
      <c r="Q94">
        <f>IF(Charts!$B$3="none",E1021,IF(K1021="",NA(),K1021))</f>
        <v>0</v>
      </c>
      <c r="R94">
        <f>IF(Charts!$B$3="none",F1021,IF(L1021="",NA(),L1021))</f>
        <v>0</v>
      </c>
      <c r="S94">
        <f>IF(Charts!$B$3="none",G1021,IF(M1021="",NA(),M1021))</f>
        <v>0</v>
      </c>
      <c r="T94">
        <f>IF(Charts!$B$3="none",H1021,IF(N1021="",NA(),N1021))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IFERROR(SMALL(E5:E188,ROW()-ROW($F$5)+1),"")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IFERROR(SMALL(K5:K188,ROW()-ROW($L$5)+1),"")</f>
        <v>0</v>
      </c>
      <c r="N95">
        <f>IFERROR(SUM(L5:L95),"")</f>
        <v>0</v>
      </c>
      <c r="Q95">
        <f>IF(Charts!$B$3="none",E1022,IF(K1022="",NA(),K1022))</f>
        <v>0</v>
      </c>
      <c r="R95">
        <f>IF(Charts!$B$3="none",F1022,IF(L1022="",NA(),L1022))</f>
        <v>0</v>
      </c>
      <c r="S95">
        <f>IF(Charts!$B$3="none",G1022,IF(M1022="",NA(),M1022))</f>
        <v>0</v>
      </c>
      <c r="T95">
        <f>IF(Charts!$B$3="none",H1022,IF(N1022="",NA(),N1022))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IFERROR(SMALL(E5:E188,ROW()-ROW($F$5)+1),"")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IFERROR(SMALL(K5:K188,ROW()-ROW($L$5)+1),"")</f>
        <v>0</v>
      </c>
      <c r="N96">
        <f>IFERROR(SUM(L5:L96),"")</f>
        <v>0</v>
      </c>
      <c r="Q96">
        <f>IF(Charts!$B$3="none",E1023,IF(K1023="",NA(),K1023))</f>
        <v>0</v>
      </c>
      <c r="R96">
        <f>IF(Charts!$B$3="none",F1023,IF(L1023="",NA(),L1023))</f>
        <v>0</v>
      </c>
      <c r="S96">
        <f>IF(Charts!$B$3="none",G1023,IF(M1023="",NA(),M1023))</f>
        <v>0</v>
      </c>
      <c r="T96">
        <f>IF(Charts!$B$3="none",H1023,IF(N1023="",NA(),N1023))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IFERROR(SMALL(E5:E188,ROW()-ROW($F$5)+1),"")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IFERROR(SMALL(K5:K188,ROW()-ROW($L$5)+1),"")</f>
        <v>0</v>
      </c>
      <c r="N97">
        <f>IFERROR(SUM(L5:L97),"")</f>
        <v>0</v>
      </c>
      <c r="Q97">
        <f>IF(Charts!$B$3="none",E1024,IF(K1024="",NA(),K1024))</f>
        <v>0</v>
      </c>
      <c r="R97">
        <f>IF(Charts!$B$3="none",F1024,IF(L1024="",NA(),L1024))</f>
        <v>0</v>
      </c>
      <c r="S97">
        <f>IF(Charts!$B$3="none",G1024,IF(M1024="",NA(),M1024))</f>
        <v>0</v>
      </c>
      <c r="T97">
        <f>IF(Charts!$B$3="none",H1024,IF(N1024="",NA(),N1024))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IFERROR(SMALL(E5:E188,ROW()-ROW($F$5)+1),"")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IFERROR(SMALL(K5:K188,ROW()-ROW($L$5)+1),"")</f>
        <v>0</v>
      </c>
      <c r="N98">
        <f>IFERROR(SUM(L5:L98),"")</f>
        <v>0</v>
      </c>
      <c r="Q98">
        <f>IF(Charts!$B$3="none",E1025,IF(K1025="",NA(),K1025))</f>
        <v>0</v>
      </c>
      <c r="R98">
        <f>IF(Charts!$B$3="none",F1025,IF(L1025="",NA(),L1025))</f>
        <v>0</v>
      </c>
      <c r="S98">
        <f>IF(Charts!$B$3="none",G1025,IF(M1025="",NA(),M1025))</f>
        <v>0</v>
      </c>
      <c r="T98">
        <f>IF(Charts!$B$3="none",H1025,IF(N1025="",NA(),N1025))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IFERROR(SMALL(E5:E188,ROW()-ROW($F$5)+1),"")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IFERROR(SMALL(K5:K188,ROW()-ROW($L$5)+1),"")</f>
        <v>0</v>
      </c>
      <c r="N99">
        <f>IFERROR(SUM(L5:L99),"")</f>
        <v>0</v>
      </c>
      <c r="Q99">
        <f>IF(Charts!$B$3="none",E1026,IF(K1026="",NA(),K1026))</f>
        <v>0</v>
      </c>
      <c r="R99">
        <f>IF(Charts!$B$3="none",F1026,IF(L1026="",NA(),L1026))</f>
        <v>0</v>
      </c>
      <c r="S99">
        <f>IF(Charts!$B$3="none",G1026,IF(M1026="",NA(),M1026))</f>
        <v>0</v>
      </c>
      <c r="T99">
        <f>IF(Charts!$B$3="none",H1026,IF(N1026="",NA(),N1026))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IFERROR(SMALL(E5:E188,ROW()-ROW($F$5)+1),"")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IFERROR(SMALL(K5:K188,ROW()-ROW($L$5)+1),"")</f>
        <v>0</v>
      </c>
      <c r="N100">
        <f>IFERROR(SUM(L5:L100),"")</f>
        <v>0</v>
      </c>
      <c r="Q100">
        <f>IF(Charts!$B$3="none",E1027,IF(K1027="",NA(),K1027))</f>
        <v>0</v>
      </c>
      <c r="R100">
        <f>IF(Charts!$B$3="none",F1027,IF(L1027="",NA(),L1027))</f>
        <v>0</v>
      </c>
      <c r="S100">
        <f>IF(Charts!$B$3="none",G1027,IF(M1027="",NA(),M1027))</f>
        <v>0</v>
      </c>
      <c r="T100">
        <f>IF(Charts!$B$3="none",H1027,IF(N1027="",NA(),N1027))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IFERROR(SMALL(E5:E188,ROW()-ROW($F$5)+1),"")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IFERROR(SMALL(K5:K188,ROW()-ROW($L$5)+1),"")</f>
        <v>0</v>
      </c>
      <c r="N101">
        <f>IFERROR(SUM(L5:L101),"")</f>
        <v>0</v>
      </c>
      <c r="Q101">
        <f>IF(Charts!$B$3="none",E1028,IF(K1028="",NA(),K1028))</f>
        <v>0</v>
      </c>
      <c r="R101">
        <f>IF(Charts!$B$3="none",F1028,IF(L1028="",NA(),L1028))</f>
        <v>0</v>
      </c>
      <c r="S101">
        <f>IF(Charts!$B$3="none",G1028,IF(M1028="",NA(),M1028))</f>
        <v>0</v>
      </c>
      <c r="T101">
        <f>IF(Charts!$B$3="none",H1028,IF(N1028="",NA(),N1028))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IFERROR(SMALL(E5:E188,ROW()-ROW($F$5)+1),"")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IFERROR(SMALL(K5:K188,ROW()-ROW($L$5)+1),"")</f>
        <v>0</v>
      </c>
      <c r="N102">
        <f>IFERROR(SUM(L5:L102),"")</f>
        <v>0</v>
      </c>
      <c r="Q102">
        <f>IF(Charts!$B$3="none",E1029,IF(K1029="",NA(),K1029))</f>
        <v>0</v>
      </c>
      <c r="R102">
        <f>IF(Charts!$B$3="none",F1029,IF(L1029="",NA(),L1029))</f>
        <v>0</v>
      </c>
      <c r="S102">
        <f>IF(Charts!$B$3="none",G1029,IF(M1029="",NA(),M1029))</f>
        <v>0</v>
      </c>
      <c r="T102">
        <f>IF(Charts!$B$3="none",H1029,IF(N1029="",NA(),N1029))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IFERROR(SMALL(E5:E188,ROW()-ROW($F$5)+1),"")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IFERROR(SMALL(K5:K188,ROW()-ROW($L$5)+1),"")</f>
        <v>0</v>
      </c>
      <c r="N103">
        <f>IFERROR(SUM(L5:L103),"")</f>
        <v>0</v>
      </c>
      <c r="Q103">
        <f>IF(Charts!$B$3="none",E1030,IF(K1030="",NA(),K1030))</f>
        <v>0</v>
      </c>
      <c r="R103">
        <f>IF(Charts!$B$3="none",F1030,IF(L1030="",NA(),L1030))</f>
        <v>0</v>
      </c>
      <c r="S103">
        <f>IF(Charts!$B$3="none",G1030,IF(M1030="",NA(),M1030))</f>
        <v>0</v>
      </c>
      <c r="T103">
        <f>IF(Charts!$B$3="none",H1030,IF(N1030="",NA(),N1030))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IFERROR(SMALL(E5:E188,ROW()-ROW($F$5)+1),"")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IFERROR(SMALL(K5:K188,ROW()-ROW($L$5)+1),"")</f>
        <v>0</v>
      </c>
      <c r="N104">
        <f>IFERROR(SUM(L5:L104),"")</f>
        <v>0</v>
      </c>
      <c r="Q104">
        <f>IF(Charts!$B$3="none",E1031,IF(K1031="",NA(),K1031))</f>
        <v>0</v>
      </c>
      <c r="R104">
        <f>IF(Charts!$B$3="none",F1031,IF(L1031="",NA(),L1031))</f>
        <v>0</v>
      </c>
      <c r="S104">
        <f>IF(Charts!$B$3="none",G1031,IF(M1031="",NA(),M1031))</f>
        <v>0</v>
      </c>
      <c r="T104">
        <f>IF(Charts!$B$3="none",H1031,IF(N1031="",NA(),N1031))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IFERROR(SMALL(E5:E188,ROW()-ROW($F$5)+1),"")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IFERROR(SMALL(K5:K188,ROW()-ROW($L$5)+1),"")</f>
        <v>0</v>
      </c>
      <c r="N105">
        <f>IFERROR(SUM(L5:L105),"")</f>
        <v>0</v>
      </c>
      <c r="Q105">
        <f>IF(Charts!$B$3="none",E1032,IF(K1032="",NA(),K1032))</f>
        <v>0</v>
      </c>
      <c r="R105">
        <f>IF(Charts!$B$3="none",F1032,IF(L1032="",NA(),L1032))</f>
        <v>0</v>
      </c>
      <c r="S105">
        <f>IF(Charts!$B$3="none",G1032,IF(M1032="",NA(),M1032))</f>
        <v>0</v>
      </c>
      <c r="T105">
        <f>IF(Charts!$B$3="none",H1032,IF(N1032="",NA(),N1032))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IFERROR(SMALL(E5:E188,ROW()-ROW($F$5)+1),"")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IFERROR(SMALL(K5:K188,ROW()-ROW($L$5)+1),"")</f>
        <v>0</v>
      </c>
      <c r="N106">
        <f>IFERROR(SUM(L5:L106),"")</f>
        <v>0</v>
      </c>
      <c r="Q106">
        <f>IF(Charts!$B$3="none",E1033,IF(K1033="",NA(),K1033))</f>
        <v>0</v>
      </c>
      <c r="R106">
        <f>IF(Charts!$B$3="none",F1033,IF(L1033="",NA(),L1033))</f>
        <v>0</v>
      </c>
      <c r="S106">
        <f>IF(Charts!$B$3="none",G1033,IF(M1033="",NA(),M1033))</f>
        <v>0</v>
      </c>
      <c r="T106">
        <f>IF(Charts!$B$3="none",H1033,IF(N1033="",NA(),N1033))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IFERROR(SMALL(E5:E188,ROW()-ROW($F$5)+1),"")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IFERROR(SMALL(K5:K188,ROW()-ROW($L$5)+1),"")</f>
        <v>0</v>
      </c>
      <c r="N107">
        <f>IFERROR(SUM(L5:L107),"")</f>
        <v>0</v>
      </c>
      <c r="Q107">
        <f>IF(Charts!$B$3="none",E1034,IF(K1034="",NA(),K1034))</f>
        <v>0</v>
      </c>
      <c r="R107">
        <f>IF(Charts!$B$3="none",F1034,IF(L1034="",NA(),L1034))</f>
        <v>0</v>
      </c>
      <c r="S107">
        <f>IF(Charts!$B$3="none",G1034,IF(M1034="",NA(),M1034))</f>
        <v>0</v>
      </c>
      <c r="T107">
        <f>IF(Charts!$B$3="none",H1034,IF(N1034="",NA(),N1034))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IFERROR(SMALL(E5:E188,ROW()-ROW($F$5)+1),"")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IFERROR(SMALL(K5:K188,ROW()-ROW($L$5)+1),"")</f>
        <v>0</v>
      </c>
      <c r="N108">
        <f>IFERROR(SUM(L5:L108),"")</f>
        <v>0</v>
      </c>
      <c r="Q108">
        <f>IF(Charts!$B$3="none",E1035,IF(K1035="",NA(),K1035))</f>
        <v>0</v>
      </c>
      <c r="R108">
        <f>IF(Charts!$B$3="none",F1035,IF(L1035="",NA(),L1035))</f>
        <v>0</v>
      </c>
      <c r="S108">
        <f>IF(Charts!$B$3="none",G1035,IF(M1035="",NA(),M1035))</f>
        <v>0</v>
      </c>
      <c r="T108">
        <f>IF(Charts!$B$3="none",H1035,IF(N1035="",NA(),N1035))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IFERROR(SMALL(E5:E188,ROW()-ROW($F$5)+1),"")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IFERROR(SMALL(K5:K188,ROW()-ROW($L$5)+1),"")</f>
        <v>0</v>
      </c>
      <c r="N109">
        <f>IFERROR(SUM(L5:L109),"")</f>
        <v>0</v>
      </c>
      <c r="Q109">
        <f>IF(Charts!$B$3="none",E1036,IF(K1036="",NA(),K1036))</f>
        <v>0</v>
      </c>
      <c r="R109">
        <f>IF(Charts!$B$3="none",F1036,IF(L1036="",NA(),L1036))</f>
        <v>0</v>
      </c>
      <c r="S109">
        <f>IF(Charts!$B$3="none",G1036,IF(M1036="",NA(),M1036))</f>
        <v>0</v>
      </c>
      <c r="T109">
        <f>IF(Charts!$B$3="none",H1036,IF(N1036="",NA(),N1036))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IFERROR(SMALL(E5:E188,ROW()-ROW($F$5)+1),"")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IFERROR(SMALL(K5:K188,ROW()-ROW($L$5)+1),"")</f>
        <v>0</v>
      </c>
      <c r="N110">
        <f>IFERROR(SUM(L5:L110),"")</f>
        <v>0</v>
      </c>
      <c r="Q110">
        <f>IF(Charts!$B$3="none",E1037,IF(K1037="",NA(),K1037))</f>
        <v>0</v>
      </c>
      <c r="R110">
        <f>IF(Charts!$B$3="none",F1037,IF(L1037="",NA(),L1037))</f>
        <v>0</v>
      </c>
      <c r="S110">
        <f>IF(Charts!$B$3="none",G1037,IF(M1037="",NA(),M1037))</f>
        <v>0</v>
      </c>
      <c r="T110">
        <f>IF(Charts!$B$3="none",H1037,IF(N1037="",NA(),N1037))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IFERROR(SMALL(E5:E188,ROW()-ROW($F$5)+1),"")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IFERROR(SMALL(K5:K188,ROW()-ROW($L$5)+1),"")</f>
        <v>0</v>
      </c>
      <c r="N111">
        <f>IFERROR(SUM(L5:L111),"")</f>
        <v>0</v>
      </c>
      <c r="Q111">
        <f>IF(Charts!$B$3="none",E1038,IF(K1038="",NA(),K1038))</f>
        <v>0</v>
      </c>
      <c r="R111">
        <f>IF(Charts!$B$3="none",F1038,IF(L1038="",NA(),L1038))</f>
        <v>0</v>
      </c>
      <c r="S111">
        <f>IF(Charts!$B$3="none",G1038,IF(M1038="",NA(),M1038))</f>
        <v>0</v>
      </c>
      <c r="T111">
        <f>IF(Charts!$B$3="none",H1038,IF(N1038="",NA(),N1038))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IFERROR(SMALL(E5:E188,ROW()-ROW($F$5)+1),"")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IFERROR(SMALL(K5:K188,ROW()-ROW($L$5)+1),"")</f>
        <v>0</v>
      </c>
      <c r="N112">
        <f>IFERROR(SUM(L5:L112),"")</f>
        <v>0</v>
      </c>
      <c r="Q112">
        <f>IF(Charts!$B$3="none",E1039,IF(K1039="",NA(),K1039))</f>
        <v>0</v>
      </c>
      <c r="R112">
        <f>IF(Charts!$B$3="none",F1039,IF(L1039="",NA(),L1039))</f>
        <v>0</v>
      </c>
      <c r="S112">
        <f>IF(Charts!$B$3="none",G1039,IF(M1039="",NA(),M1039))</f>
        <v>0</v>
      </c>
      <c r="T112">
        <f>IF(Charts!$B$3="none",H1039,IF(N1039="",NA(),N1039))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IFERROR(SMALL(E5:E188,ROW()-ROW($F$5)+1),"")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IFERROR(SMALL(K5:K188,ROW()-ROW($L$5)+1),"")</f>
        <v>0</v>
      </c>
      <c r="N113">
        <f>IFERROR(SUM(L5:L113),"")</f>
        <v>0</v>
      </c>
      <c r="Q113">
        <f>IF(Charts!$B$3="none",E1040,IF(K1040="",NA(),K1040))</f>
        <v>0</v>
      </c>
      <c r="R113">
        <f>IF(Charts!$B$3="none",F1040,IF(L1040="",NA(),L1040))</f>
        <v>0</v>
      </c>
      <c r="S113">
        <f>IF(Charts!$B$3="none",G1040,IF(M1040="",NA(),M1040))</f>
        <v>0</v>
      </c>
      <c r="T113">
        <f>IF(Charts!$B$3="none",H1040,IF(N1040="",NA(),N1040))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IFERROR(SMALL(E5:E188,ROW()-ROW($F$5)+1),"")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IFERROR(SMALL(K5:K188,ROW()-ROW($L$5)+1),"")</f>
        <v>0</v>
      </c>
      <c r="N114">
        <f>IFERROR(SUM(L5:L114),"")</f>
        <v>0</v>
      </c>
      <c r="Q114">
        <f>IF(Charts!$B$3="none",E1041,IF(K1041="",NA(),K1041))</f>
        <v>0</v>
      </c>
      <c r="R114">
        <f>IF(Charts!$B$3="none",F1041,IF(L1041="",NA(),L1041))</f>
        <v>0</v>
      </c>
      <c r="S114">
        <f>IF(Charts!$B$3="none",G1041,IF(M1041="",NA(),M1041))</f>
        <v>0</v>
      </c>
      <c r="T114">
        <f>IF(Charts!$B$3="none",H1041,IF(N1041="",NA(),N1041))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IFERROR(SMALL(E5:E188,ROW()-ROW($F$5)+1),"")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IFERROR(SMALL(K5:K188,ROW()-ROW($L$5)+1),"")</f>
        <v>0</v>
      </c>
      <c r="N115">
        <f>IFERROR(SUM(L5:L115),"")</f>
        <v>0</v>
      </c>
      <c r="Q115">
        <f>IF(Charts!$B$3="none",E1042,IF(K1042="",NA(),K1042))</f>
        <v>0</v>
      </c>
      <c r="R115">
        <f>IF(Charts!$B$3="none",F1042,IF(L1042="",NA(),L1042))</f>
        <v>0</v>
      </c>
      <c r="S115">
        <f>IF(Charts!$B$3="none",G1042,IF(M1042="",NA(),M1042))</f>
        <v>0</v>
      </c>
      <c r="T115">
        <f>IF(Charts!$B$3="none",H1042,IF(N1042="",NA(),N1042))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IFERROR(SMALL(E5:E188,ROW()-ROW($F$5)+1),"")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IFERROR(SMALL(K5:K188,ROW()-ROW($L$5)+1),"")</f>
        <v>0</v>
      </c>
      <c r="N116">
        <f>IFERROR(SUM(L5:L116),"")</f>
        <v>0</v>
      </c>
      <c r="Q116">
        <f>IF(Charts!$B$3="none",E1043,IF(K1043="",NA(),K1043))</f>
        <v>0</v>
      </c>
      <c r="R116">
        <f>IF(Charts!$B$3="none",F1043,IF(L1043="",NA(),L1043))</f>
        <v>0</v>
      </c>
      <c r="S116">
        <f>IF(Charts!$B$3="none",G1043,IF(M1043="",NA(),M1043))</f>
        <v>0</v>
      </c>
      <c r="T116">
        <f>IF(Charts!$B$3="none",H1043,IF(N1043="",NA(),N1043))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IFERROR(SMALL(E5:E188,ROW()-ROW($F$5)+1),"")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IFERROR(SMALL(K5:K188,ROW()-ROW($L$5)+1),"")</f>
        <v>0</v>
      </c>
      <c r="N117">
        <f>IFERROR(SUM(L5:L117),"")</f>
        <v>0</v>
      </c>
      <c r="Q117">
        <f>IF(Charts!$B$3="none",E1044,IF(K1044="",NA(),K1044))</f>
        <v>0</v>
      </c>
      <c r="R117">
        <f>IF(Charts!$B$3="none",F1044,IF(L1044="",NA(),L1044))</f>
        <v>0</v>
      </c>
      <c r="S117">
        <f>IF(Charts!$B$3="none",G1044,IF(M1044="",NA(),M1044))</f>
        <v>0</v>
      </c>
      <c r="T117">
        <f>IF(Charts!$B$3="none",H1044,IF(N1044="",NA(),N1044))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IFERROR(SMALL(E5:E188,ROW()-ROW($F$5)+1),"")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IFERROR(SMALL(K5:K188,ROW()-ROW($L$5)+1),"")</f>
        <v>0</v>
      </c>
      <c r="N118">
        <f>IFERROR(SUM(L5:L118),"")</f>
        <v>0</v>
      </c>
      <c r="Q118">
        <f>IF(Charts!$B$3="none",E1045,IF(K1045="",NA(),K1045))</f>
        <v>0</v>
      </c>
      <c r="R118">
        <f>IF(Charts!$B$3="none",F1045,IF(L1045="",NA(),L1045))</f>
        <v>0</v>
      </c>
      <c r="S118">
        <f>IF(Charts!$B$3="none",G1045,IF(M1045="",NA(),M1045))</f>
        <v>0</v>
      </c>
      <c r="T118">
        <f>IF(Charts!$B$3="none",H1045,IF(N1045="",NA(),N1045))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IFERROR(SMALL(E5:E188,ROW()-ROW($F$5)+1),"")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IFERROR(SMALL(K5:K188,ROW()-ROW($L$5)+1),"")</f>
        <v>0</v>
      </c>
      <c r="N119">
        <f>IFERROR(SUM(L5:L119),"")</f>
        <v>0</v>
      </c>
      <c r="Q119">
        <f>IF(Charts!$B$3="none",E1046,IF(K1046="",NA(),K1046))</f>
        <v>0</v>
      </c>
      <c r="R119">
        <f>IF(Charts!$B$3="none",F1046,IF(L1046="",NA(),L1046))</f>
        <v>0</v>
      </c>
      <c r="S119">
        <f>IF(Charts!$B$3="none",G1046,IF(M1046="",NA(),M1046))</f>
        <v>0</v>
      </c>
      <c r="T119">
        <f>IF(Charts!$B$3="none",H1046,IF(N1046="",NA(),N1046))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IFERROR(SMALL(E5:E188,ROW()-ROW($F$5)+1),"")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IFERROR(SMALL(K5:K188,ROW()-ROW($L$5)+1),"")</f>
        <v>0</v>
      </c>
      <c r="N120">
        <f>IFERROR(SUM(L5:L120),"")</f>
        <v>0</v>
      </c>
      <c r="Q120">
        <f>IF(Charts!$B$3="none",E1047,IF(K1047="",NA(),K1047))</f>
        <v>0</v>
      </c>
      <c r="R120">
        <f>IF(Charts!$B$3="none",F1047,IF(L1047="",NA(),L1047))</f>
        <v>0</v>
      </c>
      <c r="S120">
        <f>IF(Charts!$B$3="none",G1047,IF(M1047="",NA(),M1047))</f>
        <v>0</v>
      </c>
      <c r="T120">
        <f>IF(Charts!$B$3="none",H1047,IF(N1047="",NA(),N1047))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IFERROR(SMALL(E5:E188,ROW()-ROW($F$5)+1),"")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IFERROR(SMALL(K5:K188,ROW()-ROW($L$5)+1),"")</f>
        <v>0</v>
      </c>
      <c r="N121">
        <f>IFERROR(SUM(L5:L121),"")</f>
        <v>0</v>
      </c>
      <c r="Q121">
        <f>IF(Charts!$B$3="none",E1048,IF(K1048="",NA(),K1048))</f>
        <v>0</v>
      </c>
      <c r="R121">
        <f>IF(Charts!$B$3="none",F1048,IF(L1048="",NA(),L1048))</f>
        <v>0</v>
      </c>
      <c r="S121">
        <f>IF(Charts!$B$3="none",G1048,IF(M1048="",NA(),M1048))</f>
        <v>0</v>
      </c>
      <c r="T121">
        <f>IF(Charts!$B$3="none",H1048,IF(N1048="",NA(),N1048))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IFERROR(SMALL(E5:E188,ROW()-ROW($F$5)+1),"")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IFERROR(SMALL(K5:K188,ROW()-ROW($L$5)+1),"")</f>
        <v>0</v>
      </c>
      <c r="N122">
        <f>IFERROR(SUM(L5:L122),"")</f>
        <v>0</v>
      </c>
      <c r="Q122">
        <f>IF(Charts!$B$3="none",E1049,IF(K1049="",NA(),K1049))</f>
        <v>0</v>
      </c>
      <c r="R122">
        <f>IF(Charts!$B$3="none",F1049,IF(L1049="",NA(),L1049))</f>
        <v>0</v>
      </c>
      <c r="S122">
        <f>IF(Charts!$B$3="none",G1049,IF(M1049="",NA(),M1049))</f>
        <v>0</v>
      </c>
      <c r="T122">
        <f>IF(Charts!$B$3="none",H1049,IF(N1049="",NA(),N1049))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IFERROR(SMALL(E5:E188,ROW()-ROW($F$5)+1),"")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IFERROR(SMALL(K5:K188,ROW()-ROW($L$5)+1),"")</f>
        <v>0</v>
      </c>
      <c r="N123">
        <f>IFERROR(SUM(L5:L123),"")</f>
        <v>0</v>
      </c>
      <c r="Q123">
        <f>IF(Charts!$B$3="none",E1050,IF(K1050="",NA(),K1050))</f>
        <v>0</v>
      </c>
      <c r="R123">
        <f>IF(Charts!$B$3="none",F1050,IF(L1050="",NA(),L1050))</f>
        <v>0</v>
      </c>
      <c r="S123">
        <f>IF(Charts!$B$3="none",G1050,IF(M1050="",NA(),M1050))</f>
        <v>0</v>
      </c>
      <c r="T123">
        <f>IF(Charts!$B$3="none",H1050,IF(N1050="",NA(),N1050))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IFERROR(SMALL(E5:E188,ROW()-ROW($F$5)+1),"")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IFERROR(SMALL(K5:K188,ROW()-ROW($L$5)+1),"")</f>
        <v>0</v>
      </c>
      <c r="N124">
        <f>IFERROR(SUM(L5:L124),"")</f>
        <v>0</v>
      </c>
      <c r="Q124">
        <f>IF(Charts!$B$3="none",E1051,IF(K1051="",NA(),K1051))</f>
        <v>0</v>
      </c>
      <c r="R124">
        <f>IF(Charts!$B$3="none",F1051,IF(L1051="",NA(),L1051))</f>
        <v>0</v>
      </c>
      <c r="S124">
        <f>IF(Charts!$B$3="none",G1051,IF(M1051="",NA(),M1051))</f>
        <v>0</v>
      </c>
      <c r="T124">
        <f>IF(Charts!$B$3="none",H1051,IF(N1051="",NA(),N1051))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IFERROR(SMALL(E5:E188,ROW()-ROW($F$5)+1),"")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IFERROR(SMALL(K5:K188,ROW()-ROW($L$5)+1),"")</f>
        <v>0</v>
      </c>
      <c r="N125">
        <f>IFERROR(SUM(L5:L125),"")</f>
        <v>0</v>
      </c>
      <c r="Q125">
        <f>IF(Charts!$B$3="none",E1052,IF(K1052="",NA(),K1052))</f>
        <v>0</v>
      </c>
      <c r="R125">
        <f>IF(Charts!$B$3="none",F1052,IF(L1052="",NA(),L1052))</f>
        <v>0</v>
      </c>
      <c r="S125">
        <f>IF(Charts!$B$3="none",G1052,IF(M1052="",NA(),M1052))</f>
        <v>0</v>
      </c>
      <c r="T125">
        <f>IF(Charts!$B$3="none",H1052,IF(N1052="",NA(),N1052))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IFERROR(SMALL(E5:E188,ROW()-ROW($F$5)+1),"")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IFERROR(SMALL(K5:K188,ROW()-ROW($L$5)+1),"")</f>
        <v>0</v>
      </c>
      <c r="N126">
        <f>IFERROR(SUM(L5:L126),"")</f>
        <v>0</v>
      </c>
      <c r="Q126">
        <f>IF(Charts!$B$3="none",E1053,IF(K1053="",NA(),K1053))</f>
        <v>0</v>
      </c>
      <c r="R126">
        <f>IF(Charts!$B$3="none",F1053,IF(L1053="",NA(),L1053))</f>
        <v>0</v>
      </c>
      <c r="S126">
        <f>IF(Charts!$B$3="none",G1053,IF(M1053="",NA(),M1053))</f>
        <v>0</v>
      </c>
      <c r="T126">
        <f>IF(Charts!$B$3="none",H1053,IF(N1053="",NA(),N1053))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IFERROR(SMALL(E5:E188,ROW()-ROW($F$5)+1),"")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IFERROR(SMALL(K5:K188,ROW()-ROW($L$5)+1),"")</f>
        <v>0</v>
      </c>
      <c r="N127">
        <f>IFERROR(SUM(L5:L127),"")</f>
        <v>0</v>
      </c>
      <c r="Q127">
        <f>IF(Charts!$B$3="none",E1054,IF(K1054="",NA(),K1054))</f>
        <v>0</v>
      </c>
      <c r="R127">
        <f>IF(Charts!$B$3="none",F1054,IF(L1054="",NA(),L1054))</f>
        <v>0</v>
      </c>
      <c r="S127">
        <f>IF(Charts!$B$3="none",G1054,IF(M1054="",NA(),M1054))</f>
        <v>0</v>
      </c>
      <c r="T127">
        <f>IF(Charts!$B$3="none",H1054,IF(N1054="",NA(),N1054))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IFERROR(SMALL(E5:E188,ROW()-ROW($F$5)+1),"")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IFERROR(SMALL(K5:K188,ROW()-ROW($L$5)+1),"")</f>
        <v>0</v>
      </c>
      <c r="N128">
        <f>IFERROR(SUM(L5:L128),"")</f>
        <v>0</v>
      </c>
      <c r="Q128">
        <f>IF(Charts!$B$3="none",E1055,IF(K1055="",NA(),K1055))</f>
        <v>0</v>
      </c>
      <c r="R128">
        <f>IF(Charts!$B$3="none",F1055,IF(L1055="",NA(),L1055))</f>
        <v>0</v>
      </c>
      <c r="S128">
        <f>IF(Charts!$B$3="none",G1055,IF(M1055="",NA(),M1055))</f>
        <v>0</v>
      </c>
      <c r="T128">
        <f>IF(Charts!$B$3="none",H1055,IF(N1055="",NA(),N1055))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IFERROR(SMALL(E5:E188,ROW()-ROW($F$5)+1),"")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IFERROR(SMALL(K5:K188,ROW()-ROW($L$5)+1),"")</f>
        <v>0</v>
      </c>
      <c r="N129">
        <f>IFERROR(SUM(L5:L129),"")</f>
        <v>0</v>
      </c>
      <c r="Q129">
        <f>IF(Charts!$B$3="none",E1056,IF(K1056="",NA(),K1056))</f>
        <v>0</v>
      </c>
      <c r="R129">
        <f>IF(Charts!$B$3="none",F1056,IF(L1056="",NA(),L1056))</f>
        <v>0</v>
      </c>
      <c r="S129">
        <f>IF(Charts!$B$3="none",G1056,IF(M1056="",NA(),M1056))</f>
        <v>0</v>
      </c>
      <c r="T129">
        <f>IF(Charts!$B$3="none",H1056,IF(N1056="",NA(),N1056))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IFERROR(SMALL(E5:E188,ROW()-ROW($F$5)+1),"")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IFERROR(SMALL(K5:K188,ROW()-ROW($L$5)+1),"")</f>
        <v>0</v>
      </c>
      <c r="N130">
        <f>IFERROR(SUM(L5:L130),"")</f>
        <v>0</v>
      </c>
      <c r="Q130">
        <f>IF(Charts!$B$3="none",E1057,IF(K1057="",NA(),K1057))</f>
        <v>0</v>
      </c>
      <c r="R130">
        <f>IF(Charts!$B$3="none",F1057,IF(L1057="",NA(),L1057))</f>
        <v>0</v>
      </c>
      <c r="S130">
        <f>IF(Charts!$B$3="none",G1057,IF(M1057="",NA(),M1057))</f>
        <v>0</v>
      </c>
      <c r="T130">
        <f>IF(Charts!$B$3="none",H1057,IF(N1057="",NA(),N1057))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IFERROR(SMALL(E5:E188,ROW()-ROW($F$5)+1),"")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IFERROR(SMALL(K5:K188,ROW()-ROW($L$5)+1),"")</f>
        <v>0</v>
      </c>
      <c r="N131">
        <f>IFERROR(SUM(L5:L131),"")</f>
        <v>0</v>
      </c>
      <c r="Q131">
        <f>IF(Charts!$B$3="none",E1058,IF(K1058="",NA(),K1058))</f>
        <v>0</v>
      </c>
      <c r="R131">
        <f>IF(Charts!$B$3="none",F1058,IF(L1058="",NA(),L1058))</f>
        <v>0</v>
      </c>
      <c r="S131">
        <f>IF(Charts!$B$3="none",G1058,IF(M1058="",NA(),M1058))</f>
        <v>0</v>
      </c>
      <c r="T131">
        <f>IF(Charts!$B$3="none",H1058,IF(N1058="",NA(),N1058))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IFERROR(SMALL(E5:E188,ROW()-ROW($F$5)+1),"")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IFERROR(SMALL(K5:K188,ROW()-ROW($L$5)+1),"")</f>
        <v>0</v>
      </c>
      <c r="N132">
        <f>IFERROR(SUM(L5:L132),"")</f>
        <v>0</v>
      </c>
      <c r="Q132">
        <f>IF(Charts!$B$3="none",E1059,IF(K1059="",NA(),K1059))</f>
        <v>0</v>
      </c>
      <c r="R132">
        <f>IF(Charts!$B$3="none",F1059,IF(L1059="",NA(),L1059))</f>
        <v>0</v>
      </c>
      <c r="S132">
        <f>IF(Charts!$B$3="none",G1059,IF(M1059="",NA(),M1059))</f>
        <v>0</v>
      </c>
      <c r="T132">
        <f>IF(Charts!$B$3="none",H1059,IF(N1059="",NA(),N1059))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IFERROR(SMALL(E5:E188,ROW()-ROW($F$5)+1),"")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IFERROR(SMALL(K5:K188,ROW()-ROW($L$5)+1),"")</f>
        <v>0</v>
      </c>
      <c r="N133">
        <f>IFERROR(SUM(L5:L133),"")</f>
        <v>0</v>
      </c>
      <c r="Q133">
        <f>IF(Charts!$B$3="none",E1060,IF(K1060="",NA(),K1060))</f>
        <v>0</v>
      </c>
      <c r="R133">
        <f>IF(Charts!$B$3="none",F1060,IF(L1060="",NA(),L1060))</f>
        <v>0</v>
      </c>
      <c r="S133">
        <f>IF(Charts!$B$3="none",G1060,IF(M1060="",NA(),M1060))</f>
        <v>0</v>
      </c>
      <c r="T133">
        <f>IF(Charts!$B$3="none",H1060,IF(N1060="",NA(),N1060))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IFERROR(SMALL(E5:E188,ROW()-ROW($F$5)+1),"")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IFERROR(SMALL(K5:K188,ROW()-ROW($L$5)+1),"")</f>
        <v>0</v>
      </c>
      <c r="N134">
        <f>IFERROR(SUM(L5:L134),"")</f>
        <v>0</v>
      </c>
      <c r="Q134">
        <f>IF(Charts!$B$3="none",E1061,IF(K1061="",NA(),K1061))</f>
        <v>0</v>
      </c>
      <c r="R134">
        <f>IF(Charts!$B$3="none",F1061,IF(L1061="",NA(),L1061))</f>
        <v>0</v>
      </c>
      <c r="S134">
        <f>IF(Charts!$B$3="none",G1061,IF(M1061="",NA(),M1061))</f>
        <v>0</v>
      </c>
      <c r="T134">
        <f>IF(Charts!$B$3="none",H1061,IF(N1061="",NA(),N1061))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IFERROR(SMALL(E5:E188,ROW()-ROW($F$5)+1),"")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IFERROR(SMALL(K5:K188,ROW()-ROW($L$5)+1),"")</f>
        <v>0</v>
      </c>
      <c r="N135">
        <f>IFERROR(SUM(L5:L135),"")</f>
        <v>0</v>
      </c>
      <c r="Q135">
        <f>IF(Charts!$B$3="none",E1062,IF(K1062="",NA(),K1062))</f>
        <v>0</v>
      </c>
      <c r="R135">
        <f>IF(Charts!$B$3="none",F1062,IF(L1062="",NA(),L1062))</f>
        <v>0</v>
      </c>
      <c r="S135">
        <f>IF(Charts!$B$3="none",G1062,IF(M1062="",NA(),M1062))</f>
        <v>0</v>
      </c>
      <c r="T135">
        <f>IF(Charts!$B$3="none",H1062,IF(N1062="",NA(),N1062))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IFERROR(SMALL(E5:E188,ROW()-ROW($F$5)+1),"")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IFERROR(SMALL(K5:K188,ROW()-ROW($L$5)+1),"")</f>
        <v>0</v>
      </c>
      <c r="N136">
        <f>IFERROR(SUM(L5:L136),"")</f>
        <v>0</v>
      </c>
      <c r="Q136">
        <f>IF(Charts!$B$3="none",E1063,IF(K1063="",NA(),K1063))</f>
        <v>0</v>
      </c>
      <c r="R136">
        <f>IF(Charts!$B$3="none",F1063,IF(L1063="",NA(),L1063))</f>
        <v>0</v>
      </c>
      <c r="S136">
        <f>IF(Charts!$B$3="none",G1063,IF(M1063="",NA(),M1063))</f>
        <v>0</v>
      </c>
      <c r="T136">
        <f>IF(Charts!$B$3="none",H1063,IF(N1063="",NA(),N1063))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IFERROR(SMALL(E5:E188,ROW()-ROW($F$5)+1),"")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IFERROR(SMALL(K5:K188,ROW()-ROW($L$5)+1),"")</f>
        <v>0</v>
      </c>
      <c r="N137">
        <f>IFERROR(SUM(L5:L137),"")</f>
        <v>0</v>
      </c>
      <c r="Q137">
        <f>IF(Charts!$B$3="none",E1064,IF(K1064="",NA(),K1064))</f>
        <v>0</v>
      </c>
      <c r="R137">
        <f>IF(Charts!$B$3="none",F1064,IF(L1064="",NA(),L1064))</f>
        <v>0</v>
      </c>
      <c r="S137">
        <f>IF(Charts!$B$3="none",G1064,IF(M1064="",NA(),M1064))</f>
        <v>0</v>
      </c>
      <c r="T137">
        <f>IF(Charts!$B$3="none",H1064,IF(N1064="",NA(),N1064))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IFERROR(SMALL(E5:E188,ROW()-ROW($F$5)+1),"")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IFERROR(SMALL(K5:K188,ROW()-ROW($L$5)+1),"")</f>
        <v>0</v>
      </c>
      <c r="N138">
        <f>IFERROR(SUM(L5:L138),"")</f>
        <v>0</v>
      </c>
      <c r="Q138">
        <f>IF(Charts!$B$3="none",E1065,IF(K1065="",NA(),K1065))</f>
        <v>0</v>
      </c>
      <c r="R138">
        <f>IF(Charts!$B$3="none",F1065,IF(L1065="",NA(),L1065))</f>
        <v>0</v>
      </c>
      <c r="S138">
        <f>IF(Charts!$B$3="none",G1065,IF(M1065="",NA(),M1065))</f>
        <v>0</v>
      </c>
      <c r="T138">
        <f>IF(Charts!$B$3="none",H1065,IF(N1065="",NA(),N1065))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IFERROR(SMALL(E5:E188,ROW()-ROW($F$5)+1),"")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IFERROR(SMALL(K5:K188,ROW()-ROW($L$5)+1),"")</f>
        <v>0</v>
      </c>
      <c r="N139">
        <f>IFERROR(SUM(L5:L139),"")</f>
        <v>0</v>
      </c>
      <c r="Q139">
        <f>IF(Charts!$B$3="none",E1066,IF(K1066="",NA(),K1066))</f>
        <v>0</v>
      </c>
      <c r="R139">
        <f>IF(Charts!$B$3="none",F1066,IF(L1066="",NA(),L1066))</f>
        <v>0</v>
      </c>
      <c r="S139">
        <f>IF(Charts!$B$3="none",G1066,IF(M1066="",NA(),M1066))</f>
        <v>0</v>
      </c>
      <c r="T139">
        <f>IF(Charts!$B$3="none",H1066,IF(N1066="",NA(),N1066))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IFERROR(SMALL(E5:E188,ROW()-ROW($F$5)+1),"")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IFERROR(SMALL(K5:K188,ROW()-ROW($L$5)+1),"")</f>
        <v>0</v>
      </c>
      <c r="N140">
        <f>IFERROR(SUM(L5:L140),"")</f>
        <v>0</v>
      </c>
      <c r="Q140">
        <f>IF(Charts!$B$3="none",E1067,IF(K1067="",NA(),K1067))</f>
        <v>0</v>
      </c>
      <c r="R140">
        <f>IF(Charts!$B$3="none",F1067,IF(L1067="",NA(),L1067))</f>
        <v>0</v>
      </c>
      <c r="S140">
        <f>IF(Charts!$B$3="none",G1067,IF(M1067="",NA(),M1067))</f>
        <v>0</v>
      </c>
      <c r="T140">
        <f>IF(Charts!$B$3="none",H1067,IF(N1067="",NA(),N1067))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IFERROR(SMALL(E5:E188,ROW()-ROW($F$5)+1),"")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IFERROR(SMALL(K5:K188,ROW()-ROW($L$5)+1),"")</f>
        <v>0</v>
      </c>
      <c r="N141">
        <f>IFERROR(SUM(L5:L141),"")</f>
        <v>0</v>
      </c>
      <c r="Q141">
        <f>IF(Charts!$B$3="none",E1068,IF(K1068="",NA(),K1068))</f>
        <v>0</v>
      </c>
      <c r="R141">
        <f>IF(Charts!$B$3="none",F1068,IF(L1068="",NA(),L1068))</f>
        <v>0</v>
      </c>
      <c r="S141">
        <f>IF(Charts!$B$3="none",G1068,IF(M1068="",NA(),M1068))</f>
        <v>0</v>
      </c>
      <c r="T141">
        <f>IF(Charts!$B$3="none",H1068,IF(N1068="",NA(),N1068))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IFERROR(SMALL(E5:E188,ROW()-ROW($F$5)+1),"")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IFERROR(SMALL(K5:K188,ROW()-ROW($L$5)+1),"")</f>
        <v>0</v>
      </c>
      <c r="N142">
        <f>IFERROR(SUM(L5:L142),"")</f>
        <v>0</v>
      </c>
      <c r="Q142">
        <f>IF(Charts!$B$3="none",E1069,IF(K1069="",NA(),K1069))</f>
        <v>0</v>
      </c>
      <c r="R142">
        <f>IF(Charts!$B$3="none",F1069,IF(L1069="",NA(),L1069))</f>
        <v>0</v>
      </c>
      <c r="S142">
        <f>IF(Charts!$B$3="none",G1069,IF(M1069="",NA(),M1069))</f>
        <v>0</v>
      </c>
      <c r="T142">
        <f>IF(Charts!$B$3="none",H1069,IF(N1069="",NA(),N1069))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IFERROR(SMALL(E5:E188,ROW()-ROW($F$5)+1),"")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IFERROR(SMALL(K5:K188,ROW()-ROW($L$5)+1),"")</f>
        <v>0</v>
      </c>
      <c r="N143">
        <f>IFERROR(SUM(L5:L143),"")</f>
        <v>0</v>
      </c>
      <c r="Q143">
        <f>IF(Charts!$B$3="none",E1070,IF(K1070="",NA(),K1070))</f>
        <v>0</v>
      </c>
      <c r="R143">
        <f>IF(Charts!$B$3="none",F1070,IF(L1070="",NA(),L1070))</f>
        <v>0</v>
      </c>
      <c r="S143">
        <f>IF(Charts!$B$3="none",G1070,IF(M1070="",NA(),M1070))</f>
        <v>0</v>
      </c>
      <c r="T143">
        <f>IF(Charts!$B$3="none",H1070,IF(N1070="",NA(),N1070))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IFERROR(SMALL(E5:E188,ROW()-ROW($F$5)+1),"")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IFERROR(SMALL(K5:K188,ROW()-ROW($L$5)+1),"")</f>
        <v>0</v>
      </c>
      <c r="N144">
        <f>IFERROR(SUM(L5:L144),"")</f>
        <v>0</v>
      </c>
      <c r="Q144">
        <f>IF(Charts!$B$3="none",E1071,IF(K1071="",NA(),K1071))</f>
        <v>0</v>
      </c>
      <c r="R144">
        <f>IF(Charts!$B$3="none",F1071,IF(L1071="",NA(),L1071))</f>
        <v>0</v>
      </c>
      <c r="S144">
        <f>IF(Charts!$B$3="none",G1071,IF(M1071="",NA(),M1071))</f>
        <v>0</v>
      </c>
      <c r="T144">
        <f>IF(Charts!$B$3="none",H1071,IF(N1071="",NA(),N1071))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IFERROR(SMALL(E5:E188,ROW()-ROW($F$5)+1),"")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IFERROR(SMALL(K5:K188,ROW()-ROW($L$5)+1),"")</f>
        <v>0</v>
      </c>
      <c r="N145">
        <f>IFERROR(SUM(L5:L145),"")</f>
        <v>0</v>
      </c>
      <c r="Q145">
        <f>IF(Charts!$B$3="none",E1072,IF(K1072="",NA(),K1072))</f>
        <v>0</v>
      </c>
      <c r="R145">
        <f>IF(Charts!$B$3="none",F1072,IF(L1072="",NA(),L1072))</f>
        <v>0</v>
      </c>
      <c r="S145">
        <f>IF(Charts!$B$3="none",G1072,IF(M1072="",NA(),M1072))</f>
        <v>0</v>
      </c>
      <c r="T145">
        <f>IF(Charts!$B$3="none",H1072,IF(N1072="",NA(),N1072))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IFERROR(SMALL(E5:E188,ROW()-ROW($F$5)+1),"")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IFERROR(SMALL(K5:K188,ROW()-ROW($L$5)+1),"")</f>
        <v>0</v>
      </c>
      <c r="N146">
        <f>IFERROR(SUM(L5:L146),"")</f>
        <v>0</v>
      </c>
      <c r="Q146">
        <f>IF(Charts!$B$3="none",E1073,IF(K1073="",NA(),K1073))</f>
        <v>0</v>
      </c>
      <c r="R146">
        <f>IF(Charts!$B$3="none",F1073,IF(L1073="",NA(),L1073))</f>
        <v>0</v>
      </c>
      <c r="S146">
        <f>IF(Charts!$B$3="none",G1073,IF(M1073="",NA(),M1073))</f>
        <v>0</v>
      </c>
      <c r="T146">
        <f>IF(Charts!$B$3="none",H1073,IF(N1073="",NA(),N1073))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IFERROR(SMALL(E5:E188,ROW()-ROW($F$5)+1),"")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IFERROR(SMALL(K5:K188,ROW()-ROW($L$5)+1),"")</f>
        <v>0</v>
      </c>
      <c r="N147">
        <f>IFERROR(SUM(L5:L147),"")</f>
        <v>0</v>
      </c>
      <c r="Q147">
        <f>IF(Charts!$B$3="none",E1074,IF(K1074="",NA(),K1074))</f>
        <v>0</v>
      </c>
      <c r="R147">
        <f>IF(Charts!$B$3="none",F1074,IF(L1074="",NA(),L1074))</f>
        <v>0</v>
      </c>
      <c r="S147">
        <f>IF(Charts!$B$3="none",G1074,IF(M1074="",NA(),M1074))</f>
        <v>0</v>
      </c>
      <c r="T147">
        <f>IF(Charts!$B$3="none",H1074,IF(N1074="",NA(),N1074))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IFERROR(SMALL(E5:E188,ROW()-ROW($F$5)+1),"")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IFERROR(SMALL(K5:K188,ROW()-ROW($L$5)+1),"")</f>
        <v>0</v>
      </c>
      <c r="N148">
        <f>IFERROR(SUM(L5:L148),"")</f>
        <v>0</v>
      </c>
      <c r="Q148">
        <f>IF(Charts!$B$3="none",E1075,IF(K1075="",NA(),K1075))</f>
        <v>0</v>
      </c>
      <c r="R148">
        <f>IF(Charts!$B$3="none",F1075,IF(L1075="",NA(),L1075))</f>
        <v>0</v>
      </c>
      <c r="S148">
        <f>IF(Charts!$B$3="none",G1075,IF(M1075="",NA(),M1075))</f>
        <v>0</v>
      </c>
      <c r="T148">
        <f>IF(Charts!$B$3="none",H1075,IF(N1075="",NA(),N1075))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IFERROR(SMALL(E5:E188,ROW()-ROW($F$5)+1),"")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IFERROR(SMALL(K5:K188,ROW()-ROW($L$5)+1),"")</f>
        <v>0</v>
      </c>
      <c r="N149">
        <f>IFERROR(SUM(L5:L149),"")</f>
        <v>0</v>
      </c>
      <c r="Q149">
        <f>IF(Charts!$B$3="none",E1076,IF(K1076="",NA(),K1076))</f>
        <v>0</v>
      </c>
      <c r="R149">
        <f>IF(Charts!$B$3="none",F1076,IF(L1076="",NA(),L1076))</f>
        <v>0</v>
      </c>
      <c r="S149">
        <f>IF(Charts!$B$3="none",G1076,IF(M1076="",NA(),M1076))</f>
        <v>0</v>
      </c>
      <c r="T149">
        <f>IF(Charts!$B$3="none",H1076,IF(N1076="",NA(),N1076))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IFERROR(SMALL(E5:E188,ROW()-ROW($F$5)+1),"")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IFERROR(SMALL(K5:K188,ROW()-ROW($L$5)+1),"")</f>
        <v>0</v>
      </c>
      <c r="N150">
        <f>IFERROR(SUM(L5:L150),"")</f>
        <v>0</v>
      </c>
      <c r="Q150">
        <f>IF(Charts!$B$3="none",E1077,IF(K1077="",NA(),K1077))</f>
        <v>0</v>
      </c>
      <c r="R150">
        <f>IF(Charts!$B$3="none",F1077,IF(L1077="",NA(),L1077))</f>
        <v>0</v>
      </c>
      <c r="S150">
        <f>IF(Charts!$B$3="none",G1077,IF(M1077="",NA(),M1077))</f>
        <v>0</v>
      </c>
      <c r="T150">
        <f>IF(Charts!$B$3="none",H1077,IF(N1077="",NA(),N1077))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IFERROR(SMALL(E5:E188,ROW()-ROW($F$5)+1),"")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IFERROR(SMALL(K5:K188,ROW()-ROW($L$5)+1),"")</f>
        <v>0</v>
      </c>
      <c r="N151">
        <f>IFERROR(SUM(L5:L151),"")</f>
        <v>0</v>
      </c>
      <c r="Q151">
        <f>IF(Charts!$B$3="none",E1078,IF(K1078="",NA(),K1078))</f>
        <v>0</v>
      </c>
      <c r="R151">
        <f>IF(Charts!$B$3="none",F1078,IF(L1078="",NA(),L1078))</f>
        <v>0</v>
      </c>
      <c r="S151">
        <f>IF(Charts!$B$3="none",G1078,IF(M1078="",NA(),M1078))</f>
        <v>0</v>
      </c>
      <c r="T151">
        <f>IF(Charts!$B$3="none",H1078,IF(N1078="",NA(),N1078))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IFERROR(SMALL(E5:E188,ROW()-ROW($F$5)+1),"")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IFERROR(SMALL(K5:K188,ROW()-ROW($L$5)+1),"")</f>
        <v>0</v>
      </c>
      <c r="N152">
        <f>IFERROR(SUM(L5:L152),"")</f>
        <v>0</v>
      </c>
      <c r="Q152">
        <f>IF(Charts!$B$3="none",E1079,IF(K1079="",NA(),K1079))</f>
        <v>0</v>
      </c>
      <c r="R152">
        <f>IF(Charts!$B$3="none",F1079,IF(L1079="",NA(),L1079))</f>
        <v>0</v>
      </c>
      <c r="S152">
        <f>IF(Charts!$B$3="none",G1079,IF(M1079="",NA(),M1079))</f>
        <v>0</v>
      </c>
      <c r="T152">
        <f>IF(Charts!$B$3="none",H1079,IF(N1079="",NA(),N1079))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IFERROR(SMALL(E5:E188,ROW()-ROW($F$5)+1),"")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IFERROR(SMALL(K5:K188,ROW()-ROW($L$5)+1),"")</f>
        <v>0</v>
      </c>
      <c r="N153">
        <f>IFERROR(SUM(L5:L153),"")</f>
        <v>0</v>
      </c>
      <c r="Q153">
        <f>IF(Charts!$B$3="none",E1080,IF(K1080="",NA(),K1080))</f>
        <v>0</v>
      </c>
      <c r="R153">
        <f>IF(Charts!$B$3="none",F1080,IF(L1080="",NA(),L1080))</f>
        <v>0</v>
      </c>
      <c r="S153">
        <f>IF(Charts!$B$3="none",G1080,IF(M1080="",NA(),M1080))</f>
        <v>0</v>
      </c>
      <c r="T153">
        <f>IF(Charts!$B$3="none",H1080,IF(N1080="",NA(),N1080))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IFERROR(SMALL(E5:E188,ROW()-ROW($F$5)+1),"")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IFERROR(SMALL(K5:K188,ROW()-ROW($L$5)+1),"")</f>
        <v>0</v>
      </c>
      <c r="N154">
        <f>IFERROR(SUM(L5:L154),"")</f>
        <v>0</v>
      </c>
      <c r="Q154">
        <f>IF(Charts!$B$3="none",E1081,IF(K1081="",NA(),K1081))</f>
        <v>0</v>
      </c>
      <c r="R154">
        <f>IF(Charts!$B$3="none",F1081,IF(L1081="",NA(),L1081))</f>
        <v>0</v>
      </c>
      <c r="S154">
        <f>IF(Charts!$B$3="none",G1081,IF(M1081="",NA(),M1081))</f>
        <v>0</v>
      </c>
      <c r="T154">
        <f>IF(Charts!$B$3="none",H1081,IF(N1081="",NA(),N1081))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IFERROR(SMALL(E5:E188,ROW()-ROW($F$5)+1),"")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IFERROR(SMALL(K5:K188,ROW()-ROW($L$5)+1),"")</f>
        <v>0</v>
      </c>
      <c r="N155">
        <f>IFERROR(SUM(L5:L155),"")</f>
        <v>0</v>
      </c>
      <c r="Q155">
        <f>IF(Charts!$B$3="none",E1082,IF(K1082="",NA(),K1082))</f>
        <v>0</v>
      </c>
      <c r="R155">
        <f>IF(Charts!$B$3="none",F1082,IF(L1082="",NA(),L1082))</f>
        <v>0</v>
      </c>
      <c r="S155">
        <f>IF(Charts!$B$3="none",G1082,IF(M1082="",NA(),M1082))</f>
        <v>0</v>
      </c>
      <c r="T155">
        <f>IF(Charts!$B$3="none",H1082,IF(N1082="",NA(),N1082))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IFERROR(SMALL(E5:E188,ROW()-ROW($F$5)+1),"")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IFERROR(SMALL(K5:K188,ROW()-ROW($L$5)+1),"")</f>
        <v>0</v>
      </c>
      <c r="N156">
        <f>IFERROR(SUM(L5:L156),"")</f>
        <v>0</v>
      </c>
      <c r="Q156">
        <f>IF(Charts!$B$3="none",E1083,IF(K1083="",NA(),K1083))</f>
        <v>0</v>
      </c>
      <c r="R156">
        <f>IF(Charts!$B$3="none",F1083,IF(L1083="",NA(),L1083))</f>
        <v>0</v>
      </c>
      <c r="S156">
        <f>IF(Charts!$B$3="none",G1083,IF(M1083="",NA(),M1083))</f>
        <v>0</v>
      </c>
      <c r="T156">
        <f>IF(Charts!$B$3="none",H1083,IF(N1083="",NA(),N1083))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IFERROR(SMALL(E5:E188,ROW()-ROW($F$5)+1),"")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IFERROR(SMALL(K5:K188,ROW()-ROW($L$5)+1),"")</f>
        <v>0</v>
      </c>
      <c r="N157">
        <f>IFERROR(SUM(L5:L157),"")</f>
        <v>0</v>
      </c>
      <c r="Q157">
        <f>IF(Charts!$B$3="none",E1084,IF(K1084="",NA(),K1084))</f>
        <v>0</v>
      </c>
      <c r="R157">
        <f>IF(Charts!$B$3="none",F1084,IF(L1084="",NA(),L1084))</f>
        <v>0</v>
      </c>
      <c r="S157">
        <f>IF(Charts!$B$3="none",G1084,IF(M1084="",NA(),M1084))</f>
        <v>0</v>
      </c>
      <c r="T157">
        <f>IF(Charts!$B$3="none",H1084,IF(N1084="",NA(),N1084))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IFERROR(SMALL(E5:E188,ROW()-ROW($F$5)+1),"")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IFERROR(SMALL(K5:K188,ROW()-ROW($L$5)+1),"")</f>
        <v>0</v>
      </c>
      <c r="N158">
        <f>IFERROR(SUM(L5:L158),"")</f>
        <v>0</v>
      </c>
      <c r="Q158">
        <f>IF(Charts!$B$3="none",E1085,IF(K1085="",NA(),K1085))</f>
        <v>0</v>
      </c>
      <c r="R158">
        <f>IF(Charts!$B$3="none",F1085,IF(L1085="",NA(),L1085))</f>
        <v>0</v>
      </c>
      <c r="S158">
        <f>IF(Charts!$B$3="none",G1085,IF(M1085="",NA(),M1085))</f>
        <v>0</v>
      </c>
      <c r="T158">
        <f>IF(Charts!$B$3="none",H1085,IF(N1085="",NA(),N1085))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IFERROR(SMALL(E5:E188,ROW()-ROW($F$5)+1),"")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IFERROR(SMALL(K5:K188,ROW()-ROW($L$5)+1),"")</f>
        <v>0</v>
      </c>
      <c r="N159">
        <f>IFERROR(SUM(L5:L159),"")</f>
        <v>0</v>
      </c>
      <c r="Q159">
        <f>IF(Charts!$B$3="none",E1086,IF(K1086="",NA(),K1086))</f>
        <v>0</v>
      </c>
      <c r="R159">
        <f>IF(Charts!$B$3="none",F1086,IF(L1086="",NA(),L1086))</f>
        <v>0</v>
      </c>
      <c r="S159">
        <f>IF(Charts!$B$3="none",G1086,IF(M1086="",NA(),M1086))</f>
        <v>0</v>
      </c>
      <c r="T159">
        <f>IF(Charts!$B$3="none",H1086,IF(N1086="",NA(),N1086))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IFERROR(SMALL(E5:E188,ROW()-ROW($F$5)+1),"")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IFERROR(SMALL(K5:K188,ROW()-ROW($L$5)+1),"")</f>
        <v>0</v>
      </c>
      <c r="N160">
        <f>IFERROR(SUM(L5:L160),"")</f>
        <v>0</v>
      </c>
      <c r="Q160">
        <f>IF(Charts!$B$3="none",E1087,IF(K1087="",NA(),K1087))</f>
        <v>0</v>
      </c>
      <c r="R160">
        <f>IF(Charts!$B$3="none",F1087,IF(L1087="",NA(),L1087))</f>
        <v>0</v>
      </c>
      <c r="S160">
        <f>IF(Charts!$B$3="none",G1087,IF(M1087="",NA(),M1087))</f>
        <v>0</v>
      </c>
      <c r="T160">
        <f>IF(Charts!$B$3="none",H1087,IF(N1087="",NA(),N1087))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IFERROR(SMALL(E5:E188,ROW()-ROW($F$5)+1),"")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IFERROR(SMALL(K5:K188,ROW()-ROW($L$5)+1),"")</f>
        <v>0</v>
      </c>
      <c r="N161">
        <f>IFERROR(SUM(L5:L161),"")</f>
        <v>0</v>
      </c>
      <c r="Q161">
        <f>IF(Charts!$B$3="none",E1088,IF(K1088="",NA(),K1088))</f>
        <v>0</v>
      </c>
      <c r="R161">
        <f>IF(Charts!$B$3="none",F1088,IF(L1088="",NA(),L1088))</f>
        <v>0</v>
      </c>
      <c r="S161">
        <f>IF(Charts!$B$3="none",G1088,IF(M1088="",NA(),M1088))</f>
        <v>0</v>
      </c>
      <c r="T161">
        <f>IF(Charts!$B$3="none",H1088,IF(N1088="",NA(),N1088))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IFERROR(SMALL(E5:E188,ROW()-ROW($F$5)+1),"")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IFERROR(SMALL(K5:K188,ROW()-ROW($L$5)+1),"")</f>
        <v>0</v>
      </c>
      <c r="N162">
        <f>IFERROR(SUM(L5:L162),"")</f>
        <v>0</v>
      </c>
      <c r="Q162">
        <f>IF(Charts!$B$3="none",E1089,IF(K1089="",NA(),K1089))</f>
        <v>0</v>
      </c>
      <c r="R162">
        <f>IF(Charts!$B$3="none",F1089,IF(L1089="",NA(),L1089))</f>
        <v>0</v>
      </c>
      <c r="S162">
        <f>IF(Charts!$B$3="none",G1089,IF(M1089="",NA(),M1089))</f>
        <v>0</v>
      </c>
      <c r="T162">
        <f>IF(Charts!$B$3="none",H1089,IF(N1089="",NA(),N1089))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IFERROR(SMALL(E5:E188,ROW()-ROW($F$5)+1),"")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IFERROR(SMALL(K5:K188,ROW()-ROW($L$5)+1),"")</f>
        <v>0</v>
      </c>
      <c r="N163">
        <f>IFERROR(SUM(L5:L163),"")</f>
        <v>0</v>
      </c>
      <c r="Q163">
        <f>IF(Charts!$B$3="none",E1090,IF(K1090="",NA(),K1090))</f>
        <v>0</v>
      </c>
      <c r="R163">
        <f>IF(Charts!$B$3="none",F1090,IF(L1090="",NA(),L1090))</f>
        <v>0</v>
      </c>
      <c r="S163">
        <f>IF(Charts!$B$3="none",G1090,IF(M1090="",NA(),M1090))</f>
        <v>0</v>
      </c>
      <c r="T163">
        <f>IF(Charts!$B$3="none",H1090,IF(N1090="",NA(),N1090))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IFERROR(SMALL(E5:E188,ROW()-ROW($F$5)+1),"")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IFERROR(SMALL(K5:K188,ROW()-ROW($L$5)+1),"")</f>
        <v>0</v>
      </c>
      <c r="N164">
        <f>IFERROR(SUM(L5:L164),"")</f>
        <v>0</v>
      </c>
      <c r="Q164">
        <f>IF(Charts!$B$3="none",E1091,IF(K1091="",NA(),K1091))</f>
        <v>0</v>
      </c>
      <c r="R164">
        <f>IF(Charts!$B$3="none",F1091,IF(L1091="",NA(),L1091))</f>
        <v>0</v>
      </c>
      <c r="S164">
        <f>IF(Charts!$B$3="none",G1091,IF(M1091="",NA(),M1091))</f>
        <v>0</v>
      </c>
      <c r="T164">
        <f>IF(Charts!$B$3="none",H1091,IF(N1091="",NA(),N1091))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IFERROR(SMALL(E5:E188,ROW()-ROW($F$5)+1),"")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IFERROR(SMALL(K5:K188,ROW()-ROW($L$5)+1),"")</f>
        <v>0</v>
      </c>
      <c r="N165">
        <f>IFERROR(SUM(L5:L165),"")</f>
        <v>0</v>
      </c>
      <c r="Q165">
        <f>IF(Charts!$B$3="none",E1092,IF(K1092="",NA(),K1092))</f>
        <v>0</v>
      </c>
      <c r="R165">
        <f>IF(Charts!$B$3="none",F1092,IF(L1092="",NA(),L1092))</f>
        <v>0</v>
      </c>
      <c r="S165">
        <f>IF(Charts!$B$3="none",G1092,IF(M1092="",NA(),M1092))</f>
        <v>0</v>
      </c>
      <c r="T165">
        <f>IF(Charts!$B$3="none",H1092,IF(N1092="",NA(),N1092))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IFERROR(SMALL(E5:E188,ROW()-ROW($F$5)+1),"")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IFERROR(SMALL(K5:K188,ROW()-ROW($L$5)+1),"")</f>
        <v>0</v>
      </c>
      <c r="N166">
        <f>IFERROR(SUM(L5:L166),"")</f>
        <v>0</v>
      </c>
      <c r="Q166">
        <f>IF(Charts!$B$3="none",E1093,IF(K1093="",NA(),K1093))</f>
        <v>0</v>
      </c>
      <c r="R166">
        <f>IF(Charts!$B$3="none",F1093,IF(L1093="",NA(),L1093))</f>
        <v>0</v>
      </c>
      <c r="S166">
        <f>IF(Charts!$B$3="none",G1093,IF(M1093="",NA(),M1093))</f>
        <v>0</v>
      </c>
      <c r="T166">
        <f>IF(Charts!$B$3="none",H1093,IF(N1093="",NA(),N1093))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IFERROR(SMALL(E5:E188,ROW()-ROW($F$5)+1),"")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IFERROR(SMALL(K5:K188,ROW()-ROW($L$5)+1),"")</f>
        <v>0</v>
      </c>
      <c r="N167">
        <f>IFERROR(SUM(L5:L167),"")</f>
        <v>0</v>
      </c>
      <c r="Q167">
        <f>IF(Charts!$B$3="none",E1094,IF(K1094="",NA(),K1094))</f>
        <v>0</v>
      </c>
      <c r="R167">
        <f>IF(Charts!$B$3="none",F1094,IF(L1094="",NA(),L1094))</f>
        <v>0</v>
      </c>
      <c r="S167">
        <f>IF(Charts!$B$3="none",G1094,IF(M1094="",NA(),M1094))</f>
        <v>0</v>
      </c>
      <c r="T167">
        <f>IF(Charts!$B$3="none",H1094,IF(N1094="",NA(),N1094))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IFERROR(SMALL(E5:E188,ROW()-ROW($F$5)+1),"")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IFERROR(SMALL(K5:K188,ROW()-ROW($L$5)+1),"")</f>
        <v>0</v>
      </c>
      <c r="N168">
        <f>IFERROR(SUM(L5:L168),"")</f>
        <v>0</v>
      </c>
      <c r="Q168">
        <f>IF(Charts!$B$3="none",E1095,IF(K1095="",NA(),K1095))</f>
        <v>0</v>
      </c>
      <c r="R168">
        <f>IF(Charts!$B$3="none",F1095,IF(L1095="",NA(),L1095))</f>
        <v>0</v>
      </c>
      <c r="S168">
        <f>IF(Charts!$B$3="none",G1095,IF(M1095="",NA(),M1095))</f>
        <v>0</v>
      </c>
      <c r="T168">
        <f>IF(Charts!$B$3="none",H1095,IF(N1095="",NA(),N1095))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IFERROR(SMALL(E5:E188,ROW()-ROW($F$5)+1),"")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IFERROR(SMALL(K5:K188,ROW()-ROW($L$5)+1),"")</f>
        <v>0</v>
      </c>
      <c r="N169">
        <f>IFERROR(SUM(L5:L169),"")</f>
        <v>0</v>
      </c>
      <c r="Q169">
        <f>IF(Charts!$B$3="none",E1096,IF(K1096="",NA(),K1096))</f>
        <v>0</v>
      </c>
      <c r="R169">
        <f>IF(Charts!$B$3="none",F1096,IF(L1096="",NA(),L1096))</f>
        <v>0</v>
      </c>
      <c r="S169">
        <f>IF(Charts!$B$3="none",G1096,IF(M1096="",NA(),M1096))</f>
        <v>0</v>
      </c>
      <c r="T169">
        <f>IF(Charts!$B$3="none",H1096,IF(N1096="",NA(),N1096))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IFERROR(SMALL(E5:E188,ROW()-ROW($F$5)+1),"")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IFERROR(SMALL(K5:K188,ROW()-ROW($L$5)+1),"")</f>
        <v>0</v>
      </c>
      <c r="N170">
        <f>IFERROR(SUM(L5:L170),"")</f>
        <v>0</v>
      </c>
      <c r="Q170">
        <f>IF(Charts!$B$3="none",E1097,IF(K1097="",NA(),K1097))</f>
        <v>0</v>
      </c>
      <c r="R170">
        <f>IF(Charts!$B$3="none",F1097,IF(L1097="",NA(),L1097))</f>
        <v>0</v>
      </c>
      <c r="S170">
        <f>IF(Charts!$B$3="none",G1097,IF(M1097="",NA(),M1097))</f>
        <v>0</v>
      </c>
      <c r="T170">
        <f>IF(Charts!$B$3="none",H1097,IF(N1097="",NA(),N1097))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IFERROR(SMALL(E5:E188,ROW()-ROW($F$5)+1),"")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IFERROR(SMALL(K5:K188,ROW()-ROW($L$5)+1),"")</f>
        <v>0</v>
      </c>
      <c r="N171">
        <f>IFERROR(SUM(L5:L171),"")</f>
        <v>0</v>
      </c>
      <c r="Q171">
        <f>IF(Charts!$B$3="none",E1098,IF(K1098="",NA(),K1098))</f>
        <v>0</v>
      </c>
      <c r="R171">
        <f>IF(Charts!$B$3="none",F1098,IF(L1098="",NA(),L1098))</f>
        <v>0</v>
      </c>
      <c r="S171">
        <f>IF(Charts!$B$3="none",G1098,IF(M1098="",NA(),M1098))</f>
        <v>0</v>
      </c>
      <c r="T171">
        <f>IF(Charts!$B$3="none",H1098,IF(N1098="",NA(),N1098))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IFERROR(SMALL(E5:E188,ROW()-ROW($F$5)+1),"")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IFERROR(SMALL(K5:K188,ROW()-ROW($L$5)+1),"")</f>
        <v>0</v>
      </c>
      <c r="N172">
        <f>IFERROR(SUM(L5:L172),"")</f>
        <v>0</v>
      </c>
      <c r="Q172">
        <f>IF(Charts!$B$3="none",E1099,IF(K1099="",NA(),K1099))</f>
        <v>0</v>
      </c>
      <c r="R172">
        <f>IF(Charts!$B$3="none",F1099,IF(L1099="",NA(),L1099))</f>
        <v>0</v>
      </c>
      <c r="S172">
        <f>IF(Charts!$B$3="none",G1099,IF(M1099="",NA(),M1099))</f>
        <v>0</v>
      </c>
      <c r="T172">
        <f>IF(Charts!$B$3="none",H1099,IF(N1099="",NA(),N1099))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IFERROR(SMALL(E5:E188,ROW()-ROW($F$5)+1),"")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IFERROR(SMALL(K5:K188,ROW()-ROW($L$5)+1),"")</f>
        <v>0</v>
      </c>
      <c r="N173">
        <f>IFERROR(SUM(L5:L173),"")</f>
        <v>0</v>
      </c>
      <c r="Q173">
        <f>IF(Charts!$B$3="none",E1100,IF(K1100="",NA(),K1100))</f>
        <v>0</v>
      </c>
      <c r="R173">
        <f>IF(Charts!$B$3="none",F1100,IF(L1100="",NA(),L1100))</f>
        <v>0</v>
      </c>
      <c r="S173">
        <f>IF(Charts!$B$3="none",G1100,IF(M1100="",NA(),M1100))</f>
        <v>0</v>
      </c>
      <c r="T173">
        <f>IF(Charts!$B$3="none",H1100,IF(N1100="",NA(),N1100))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IFERROR(SMALL(E5:E188,ROW()-ROW($F$5)+1),"")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IFERROR(SMALL(K5:K188,ROW()-ROW($L$5)+1),"")</f>
        <v>0</v>
      </c>
      <c r="N174">
        <f>IFERROR(SUM(L5:L174),"")</f>
        <v>0</v>
      </c>
      <c r="Q174">
        <f>IF(Charts!$B$3="none",E1101,IF(K1101="",NA(),K1101))</f>
        <v>0</v>
      </c>
      <c r="R174">
        <f>IF(Charts!$B$3="none",F1101,IF(L1101="",NA(),L1101))</f>
        <v>0</v>
      </c>
      <c r="S174">
        <f>IF(Charts!$B$3="none",G1101,IF(M1101="",NA(),M1101))</f>
        <v>0</v>
      </c>
      <c r="T174">
        <f>IF(Charts!$B$3="none",H1101,IF(N1101="",NA(),N1101))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IFERROR(SMALL(E5:E188,ROW()-ROW($F$5)+1),"")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IFERROR(SMALL(K5:K188,ROW()-ROW($L$5)+1),"")</f>
        <v>0</v>
      </c>
      <c r="N175">
        <f>IFERROR(SUM(L5:L175),"")</f>
        <v>0</v>
      </c>
      <c r="Q175">
        <f>IF(Charts!$B$3="none",E1102,IF(K1102="",NA(),K1102))</f>
        <v>0</v>
      </c>
      <c r="R175">
        <f>IF(Charts!$B$3="none",F1102,IF(L1102="",NA(),L1102))</f>
        <v>0</v>
      </c>
      <c r="S175">
        <f>IF(Charts!$B$3="none",G1102,IF(M1102="",NA(),M1102))</f>
        <v>0</v>
      </c>
      <c r="T175">
        <f>IF(Charts!$B$3="none",H1102,IF(N1102="",NA(),N1102))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IFERROR(SMALL(E5:E188,ROW()-ROW($F$5)+1),"")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IFERROR(SMALL(K5:K188,ROW()-ROW($L$5)+1),"")</f>
        <v>0</v>
      </c>
      <c r="N176">
        <f>IFERROR(SUM(L5:L176),"")</f>
        <v>0</v>
      </c>
      <c r="Q176">
        <f>IF(Charts!$B$3="none",E1103,IF(K1103="",NA(),K1103))</f>
        <v>0</v>
      </c>
      <c r="R176">
        <f>IF(Charts!$B$3="none",F1103,IF(L1103="",NA(),L1103))</f>
        <v>0</v>
      </c>
      <c r="S176">
        <f>IF(Charts!$B$3="none",G1103,IF(M1103="",NA(),M1103))</f>
        <v>0</v>
      </c>
      <c r="T176">
        <f>IF(Charts!$B$3="none",H1103,IF(N1103="",NA(),N1103))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IFERROR(SMALL(E5:E188,ROW()-ROW($F$5)+1),"")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IFERROR(SMALL(K5:K188,ROW()-ROW($L$5)+1),"")</f>
        <v>0</v>
      </c>
      <c r="N177">
        <f>IFERROR(SUM(L5:L177),"")</f>
        <v>0</v>
      </c>
      <c r="Q177">
        <f>IF(Charts!$B$3="none",E1104,IF(K1104="",NA(),K1104))</f>
        <v>0</v>
      </c>
      <c r="R177">
        <f>IF(Charts!$B$3="none",F1104,IF(L1104="",NA(),L1104))</f>
        <v>0</v>
      </c>
      <c r="S177">
        <f>IF(Charts!$B$3="none",G1104,IF(M1104="",NA(),M1104))</f>
        <v>0</v>
      </c>
      <c r="T177">
        <f>IF(Charts!$B$3="none",H1104,IF(N1104="",NA(),N1104))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IFERROR(SMALL(E5:E188,ROW()-ROW($F$5)+1),"")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IFERROR(SMALL(K5:K188,ROW()-ROW($L$5)+1),"")</f>
        <v>0</v>
      </c>
      <c r="N178">
        <f>IFERROR(SUM(L5:L178),"")</f>
        <v>0</v>
      </c>
      <c r="Q178">
        <f>IF(Charts!$B$3="none",E1105,IF(K1105="",NA(),K1105))</f>
        <v>0</v>
      </c>
      <c r="R178">
        <f>IF(Charts!$B$3="none",F1105,IF(L1105="",NA(),L1105))</f>
        <v>0</v>
      </c>
      <c r="S178">
        <f>IF(Charts!$B$3="none",G1105,IF(M1105="",NA(),M1105))</f>
        <v>0</v>
      </c>
      <c r="T178">
        <f>IF(Charts!$B$3="none",H1105,IF(N1105="",NA(),N1105))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IFERROR(SMALL(E5:E188,ROW()-ROW($F$5)+1),"")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IFERROR(SMALL(K5:K188,ROW()-ROW($L$5)+1),"")</f>
        <v>0</v>
      </c>
      <c r="N179">
        <f>IFERROR(SUM(L5:L179),"")</f>
        <v>0</v>
      </c>
      <c r="Q179">
        <f>IF(Charts!$B$3="none",E1106,IF(K1106="",NA(),K1106))</f>
        <v>0</v>
      </c>
      <c r="R179">
        <f>IF(Charts!$B$3="none",F1106,IF(L1106="",NA(),L1106))</f>
        <v>0</v>
      </c>
      <c r="S179">
        <f>IF(Charts!$B$3="none",G1106,IF(M1106="",NA(),M1106))</f>
        <v>0</v>
      </c>
      <c r="T179">
        <f>IF(Charts!$B$3="none",H1106,IF(N1106="",NA(),N1106))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IFERROR(SMALL(E5:E188,ROW()-ROW($F$5)+1),"")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IFERROR(SMALL(K5:K188,ROW()-ROW($L$5)+1),"")</f>
        <v>0</v>
      </c>
      <c r="N180">
        <f>IFERROR(SUM(L5:L180),"")</f>
        <v>0</v>
      </c>
      <c r="Q180">
        <f>IF(Charts!$B$3="none",E1107,IF(K1107="",NA(),K1107))</f>
        <v>0</v>
      </c>
      <c r="R180">
        <f>IF(Charts!$B$3="none",F1107,IF(L1107="",NA(),L1107))</f>
        <v>0</v>
      </c>
      <c r="S180">
        <f>IF(Charts!$B$3="none",G1107,IF(M1107="",NA(),M1107))</f>
        <v>0</v>
      </c>
      <c r="T180">
        <f>IF(Charts!$B$3="none",H1107,IF(N1107="",NA(),N1107))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IFERROR(SMALL(E5:E188,ROW()-ROW($F$5)+1),"")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IFERROR(SMALL(K5:K188,ROW()-ROW($L$5)+1),"")</f>
        <v>0</v>
      </c>
      <c r="N181">
        <f>IFERROR(SUM(L5:L181),"")</f>
        <v>0</v>
      </c>
      <c r="Q181">
        <f>IF(Charts!$B$3="none",E1108,IF(K1108="",NA(),K1108))</f>
        <v>0</v>
      </c>
      <c r="R181">
        <f>IF(Charts!$B$3="none",F1108,IF(L1108="",NA(),L1108))</f>
        <v>0</v>
      </c>
      <c r="S181">
        <f>IF(Charts!$B$3="none",G1108,IF(M1108="",NA(),M1108))</f>
        <v>0</v>
      </c>
      <c r="T181">
        <f>IF(Charts!$B$3="none",H1108,IF(N1108="",NA(),N1108))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IFERROR(SMALL(E5:E188,ROW()-ROW($F$5)+1),"")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IFERROR(SMALL(K5:K188,ROW()-ROW($L$5)+1),"")</f>
        <v>0</v>
      </c>
      <c r="N182">
        <f>IFERROR(SUM(L5:L182),"")</f>
        <v>0</v>
      </c>
      <c r="Q182">
        <f>IF(Charts!$B$3="none",E1109,IF(K1109="",NA(),K1109))</f>
        <v>0</v>
      </c>
      <c r="R182">
        <f>IF(Charts!$B$3="none",F1109,IF(L1109="",NA(),L1109))</f>
        <v>0</v>
      </c>
      <c r="S182">
        <f>IF(Charts!$B$3="none",G1109,IF(M1109="",NA(),M1109))</f>
        <v>0</v>
      </c>
      <c r="T182">
        <f>IF(Charts!$B$3="none",H1109,IF(N1109="",NA(),N1109))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IFERROR(SMALL(E5:E188,ROW()-ROW($F$5)+1),"")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IFERROR(SMALL(K5:K188,ROW()-ROW($L$5)+1),"")</f>
        <v>0</v>
      </c>
      <c r="N183">
        <f>IFERROR(SUM(L5:L183),"")</f>
        <v>0</v>
      </c>
      <c r="Q183">
        <f>IF(Charts!$B$3="none",E1110,IF(K1110="",NA(),K1110))</f>
        <v>0</v>
      </c>
      <c r="R183">
        <f>IF(Charts!$B$3="none",F1110,IF(L1110="",NA(),L1110))</f>
        <v>0</v>
      </c>
      <c r="S183">
        <f>IF(Charts!$B$3="none",G1110,IF(M1110="",NA(),M1110))</f>
        <v>0</v>
      </c>
      <c r="T183">
        <f>IF(Charts!$B$3="none",H1110,IF(N1110="",NA(),N1110))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IFERROR(SMALL(E5:E188,ROW()-ROW($F$5)+1),"")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IFERROR(SMALL(K5:K188,ROW()-ROW($L$5)+1),"")</f>
        <v>0</v>
      </c>
      <c r="N184">
        <f>IFERROR(SUM(L5:L184),"")</f>
        <v>0</v>
      </c>
      <c r="Q184">
        <f>IF(Charts!$B$3="none",E1111,IF(K1111="",NA(),K1111))</f>
        <v>0</v>
      </c>
      <c r="R184">
        <f>IF(Charts!$B$3="none",F1111,IF(L1111="",NA(),L1111))</f>
        <v>0</v>
      </c>
      <c r="S184">
        <f>IF(Charts!$B$3="none",G1111,IF(M1111="",NA(),M1111))</f>
        <v>0</v>
      </c>
      <c r="T184">
        <f>IF(Charts!$B$3="none",H1111,IF(N1111="",NA(),N1111))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IFERROR(SMALL(E5:E188,ROW()-ROW($F$5)+1),"")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IFERROR(SMALL(K5:K188,ROW()-ROW($L$5)+1),"")</f>
        <v>0</v>
      </c>
      <c r="N185">
        <f>IFERROR(SUM(L5:L185),"")</f>
        <v>0</v>
      </c>
      <c r="Q185">
        <f>IF(Charts!$B$3="none",E1112,IF(K1112="",NA(),K1112))</f>
        <v>0</v>
      </c>
      <c r="R185">
        <f>IF(Charts!$B$3="none",F1112,IF(L1112="",NA(),L1112))</f>
        <v>0</v>
      </c>
      <c r="S185">
        <f>IF(Charts!$B$3="none",G1112,IF(M1112="",NA(),M1112))</f>
        <v>0</v>
      </c>
      <c r="T185">
        <f>IF(Charts!$B$3="none",H1112,IF(N1112="",NA(),N1112))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IFERROR(SMALL(E5:E188,ROW()-ROW($F$5)+1),"")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IFERROR(SMALL(K5:K188,ROW()-ROW($L$5)+1),"")</f>
        <v>0</v>
      </c>
      <c r="N186">
        <f>IFERROR(SUM(L5:L186),"")</f>
        <v>0</v>
      </c>
      <c r="Q186">
        <f>IF(Charts!$B$3="none",E1113,IF(K1113="",NA(),K1113))</f>
        <v>0</v>
      </c>
      <c r="R186">
        <f>IF(Charts!$B$3="none",F1113,IF(L1113="",NA(),L1113))</f>
        <v>0</v>
      </c>
      <c r="S186">
        <f>IF(Charts!$B$3="none",G1113,IF(M1113="",NA(),M1113))</f>
        <v>0</v>
      </c>
      <c r="T186">
        <f>IF(Charts!$B$3="none",H1113,IF(N1113="",NA(),N1113))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IFERROR(SMALL(E5:E188,ROW()-ROW($F$5)+1),"")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IFERROR(SMALL(K5:K188,ROW()-ROW($L$5)+1),"")</f>
        <v>0</v>
      </c>
      <c r="N187">
        <f>IFERROR(SUM(L5:L187),"")</f>
        <v>0</v>
      </c>
      <c r="Q187">
        <f>IF(Charts!$B$3="none",E1114,IF(K1114="",NA(),K1114))</f>
        <v>0</v>
      </c>
      <c r="R187">
        <f>IF(Charts!$B$3="none",F1114,IF(L1114="",NA(),L1114))</f>
        <v>0</v>
      </c>
      <c r="S187">
        <f>IF(Charts!$B$3="none",G1114,IF(M1114="",NA(),M1114))</f>
        <v>0</v>
      </c>
      <c r="T187">
        <f>IF(Charts!$B$3="none",H1114,IF(N1114="",NA(),N1114))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IFERROR(SMALL(E5:E188,ROW()-ROW($F$5)+1),"")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IFERROR(SMALL(K5:K188,ROW()-ROW($L$5)+1),"")</f>
        <v>0</v>
      </c>
      <c r="N188">
        <f>IFERROR(SUM(L5:L188),"")</f>
        <v>0</v>
      </c>
      <c r="Q188">
        <f>IF(Charts!$B$3="none",E1115,IF(K1115="",NA(),K1115))</f>
        <v>0</v>
      </c>
      <c r="R188">
        <f>IF(Charts!$B$3="none",F1115,IF(L1115="",NA(),L1115))</f>
        <v>0</v>
      </c>
      <c r="S188">
        <f>IF(Charts!$B$3="none",G1115,IF(M1115="",NA(),M1115))</f>
        <v>0</v>
      </c>
      <c r="T188">
        <f>IF(Charts!$B$3="none",H1115,IF(N1115="",NA(),N1115))</f>
        <v>0</v>
      </c>
    </row>
    <row r="189" spans="4:20">
      <c r="Q189">
        <f>IF(Charts!$B$3="none",E1116,IF(K1116="",NA(),K1116))</f>
        <v>0</v>
      </c>
      <c r="R189">
        <f>IF(Charts!$B$3="none",F1116,IF(L1116="",NA(),L1116))</f>
        <v>0</v>
      </c>
      <c r="S189">
        <f>IF(Charts!$B$3="none",G1116,IF(M1116="",NA(),M1116))</f>
        <v>0</v>
      </c>
      <c r="T189">
        <f>IF(Charts!$B$3="none",H1116,IF(N1116="",NA(),N1116))</f>
        <v>0</v>
      </c>
    </row>
    <row r="190" spans="4:20">
      <c r="D190" t="s">
        <v>207</v>
      </c>
      <c r="E190" t="s">
        <v>206</v>
      </c>
      <c r="F190" t="s">
        <v>211</v>
      </c>
      <c r="G190" t="s">
        <v>206</v>
      </c>
      <c r="H190" t="s">
        <v>212</v>
      </c>
      <c r="J190" t="s">
        <v>207</v>
      </c>
      <c r="K190" t="s">
        <v>206</v>
      </c>
      <c r="L190" t="s">
        <v>211</v>
      </c>
      <c r="M190" t="s">
        <v>206</v>
      </c>
      <c r="N190" t="s">
        <v>212</v>
      </c>
      <c r="Q190">
        <f>IF(Charts!$B$3="none",E1117,IF(K1117="",NA(),K1117))</f>
        <v>0</v>
      </c>
      <c r="R190">
        <f>IF(Charts!$B$3="none",F1117,IF(L1117="",NA(),L1117))</f>
        <v>0</v>
      </c>
      <c r="S190">
        <f>IF(Charts!$B$3="none",G1117,IF(M1117="",NA(),M1117))</f>
        <v>0</v>
      </c>
      <c r="T190">
        <f>IF(Charts!$B$3="none",H1117,IF(N1117="",NA(),N1117))</f>
        <v>0</v>
      </c>
    </row>
    <row r="191" spans="4:20">
      <c r="E191">
        <v>1</v>
      </c>
      <c r="F191">
        <f>F5</f>
        <v>0</v>
      </c>
      <c r="G191">
        <v>1</v>
      </c>
      <c r="H191">
        <f>H5</f>
        <v>0</v>
      </c>
      <c r="K191">
        <v>1</v>
      </c>
      <c r="L191">
        <f>L5</f>
        <v>0</v>
      </c>
      <c r="M191">
        <v>1</v>
      </c>
      <c r="N191">
        <f>N5</f>
        <v>0</v>
      </c>
      <c r="Q191">
        <f>IF(Charts!$B$3="none",E1118,IF(K1118="",NA(),K1118))</f>
        <v>0</v>
      </c>
      <c r="R191">
        <f>IF(Charts!$B$3="none",F1118,IF(L1118="",NA(),L1118))</f>
        <v>0</v>
      </c>
      <c r="S191">
        <f>IF(Charts!$B$3="none",G1118,IF(M1118="",NA(),M1118))</f>
        <v>0</v>
      </c>
      <c r="T191">
        <f>IF(Charts!$B$3="none",H1118,IF(N1118="",NA(),N1118))</f>
        <v>0</v>
      </c>
    </row>
    <row r="192" spans="4:20">
      <c r="E192">
        <v>2</v>
      </c>
      <c r="F192">
        <f>F6</f>
        <v>0</v>
      </c>
      <c r="G192">
        <v>2</v>
      </c>
      <c r="H192">
        <f>H6</f>
        <v>0</v>
      </c>
      <c r="K192">
        <v>2</v>
      </c>
      <c r="L192">
        <f>L6</f>
        <v>0</v>
      </c>
      <c r="M192">
        <v>2</v>
      </c>
      <c r="N192">
        <f>N6</f>
        <v>0</v>
      </c>
      <c r="Q192">
        <f>IF(Charts!$B$3="none",E1119,IF(K1119="",NA(),K1119))</f>
        <v>0</v>
      </c>
      <c r="R192">
        <f>IF(Charts!$B$3="none",F1119,IF(L1119="",NA(),L1119))</f>
        <v>0</v>
      </c>
      <c r="S192">
        <f>IF(Charts!$B$3="none",G1119,IF(M1119="",NA(),M1119))</f>
        <v>0</v>
      </c>
      <c r="T192">
        <f>IF(Charts!$B$3="none",H1119,IF(N1119="",NA(),N1119))</f>
        <v>0</v>
      </c>
    </row>
    <row r="193" spans="5:20">
      <c r="E193">
        <v>3</v>
      </c>
      <c r="F193">
        <f>F7</f>
        <v>0</v>
      </c>
      <c r="G193">
        <v>3</v>
      </c>
      <c r="H193">
        <f>H7</f>
        <v>0</v>
      </c>
      <c r="K193">
        <v>3</v>
      </c>
      <c r="L193">
        <f>L7</f>
        <v>0</v>
      </c>
      <c r="M193">
        <v>3</v>
      </c>
      <c r="N193">
        <f>N7</f>
        <v>0</v>
      </c>
      <c r="Q193">
        <f>IF(Charts!$B$3="none",E1120,IF(K1120="",NA(),K1120))</f>
        <v>0</v>
      </c>
      <c r="R193">
        <f>IF(Charts!$B$3="none",F1120,IF(L1120="",NA(),L1120))</f>
        <v>0</v>
      </c>
      <c r="S193">
        <f>IF(Charts!$B$3="none",G1120,IF(M1120="",NA(),M1120))</f>
        <v>0</v>
      </c>
      <c r="T193">
        <f>IF(Charts!$B$3="none",H1120,IF(N1120="",NA(),N1120))</f>
        <v>0</v>
      </c>
    </row>
    <row r="194" spans="5:20">
      <c r="E194">
        <v>4</v>
      </c>
      <c r="F194">
        <f>F8</f>
        <v>0</v>
      </c>
      <c r="G194">
        <v>4</v>
      </c>
      <c r="H194">
        <f>H8</f>
        <v>0</v>
      </c>
      <c r="K194">
        <v>4</v>
      </c>
      <c r="L194">
        <f>L8</f>
        <v>0</v>
      </c>
      <c r="M194">
        <v>4</v>
      </c>
      <c r="N194">
        <f>N8</f>
        <v>0</v>
      </c>
      <c r="Q194">
        <f>IF(Charts!$B$3="none",E1121,IF(K1121="",NA(),K1121))</f>
        <v>0</v>
      </c>
      <c r="R194">
        <f>IF(Charts!$B$3="none",F1121,IF(L1121="",NA(),L1121))</f>
        <v>0</v>
      </c>
      <c r="S194">
        <f>IF(Charts!$B$3="none",G1121,IF(M1121="",NA(),M1121))</f>
        <v>0</v>
      </c>
      <c r="T194">
        <f>IF(Charts!$B$3="none",H1121,IF(N1121="",NA(),N1121))</f>
        <v>0</v>
      </c>
    </row>
    <row r="195" spans="5:20">
      <c r="E195">
        <v>5</v>
      </c>
      <c r="F195">
        <f>F9</f>
        <v>0</v>
      </c>
      <c r="G195">
        <v>5</v>
      </c>
      <c r="H195">
        <f>H9</f>
        <v>0</v>
      </c>
      <c r="K195">
        <v>5</v>
      </c>
      <c r="L195">
        <f>L9</f>
        <v>0</v>
      </c>
      <c r="M195">
        <v>5</v>
      </c>
      <c r="N195">
        <f>N9</f>
        <v>0</v>
      </c>
      <c r="Q195">
        <f>IF(Charts!$B$3="none",E1122,IF(K1122="",NA(),K1122))</f>
        <v>0</v>
      </c>
      <c r="R195">
        <f>IF(Charts!$B$3="none",F1122,IF(L1122="",NA(),L1122))</f>
        <v>0</v>
      </c>
      <c r="S195">
        <f>IF(Charts!$B$3="none",G1122,IF(M1122="",NA(),M1122))</f>
        <v>0</v>
      </c>
      <c r="T195">
        <f>IF(Charts!$B$3="none",H1122,IF(N1122="",NA(),N1122))</f>
        <v>0</v>
      </c>
    </row>
    <row r="196" spans="5:20">
      <c r="E196">
        <v>6</v>
      </c>
      <c r="F196">
        <f>F10</f>
        <v>0</v>
      </c>
      <c r="G196">
        <v>6</v>
      </c>
      <c r="H196">
        <f>H10</f>
        <v>0</v>
      </c>
      <c r="K196">
        <v>6</v>
      </c>
      <c r="L196">
        <f>L10</f>
        <v>0</v>
      </c>
      <c r="M196">
        <v>6</v>
      </c>
      <c r="N196">
        <f>N10</f>
        <v>0</v>
      </c>
      <c r="Q196">
        <f>IF(Charts!$B$3="none",E1123,IF(K1123="",NA(),K1123))</f>
        <v>0</v>
      </c>
      <c r="R196">
        <f>IF(Charts!$B$3="none",F1123,IF(L1123="",NA(),L1123))</f>
        <v>0</v>
      </c>
      <c r="S196">
        <f>IF(Charts!$B$3="none",G1123,IF(M1123="",NA(),M1123))</f>
        <v>0</v>
      </c>
      <c r="T196">
        <f>IF(Charts!$B$3="none",H1123,IF(N1123="",NA(),N1123))</f>
        <v>0</v>
      </c>
    </row>
    <row r="197" spans="5:20">
      <c r="E197">
        <v>7</v>
      </c>
      <c r="F197">
        <f>F11</f>
        <v>0</v>
      </c>
      <c r="G197">
        <v>7</v>
      </c>
      <c r="H197">
        <f>H11</f>
        <v>0</v>
      </c>
      <c r="K197">
        <v>7</v>
      </c>
      <c r="L197">
        <f>L11</f>
        <v>0</v>
      </c>
      <c r="M197">
        <v>7</v>
      </c>
      <c r="N197">
        <f>N11</f>
        <v>0</v>
      </c>
      <c r="Q197">
        <f>IF(Charts!$B$3="none",E1124,IF(K1124="",NA(),K1124))</f>
        <v>0</v>
      </c>
      <c r="R197">
        <f>IF(Charts!$B$3="none",F1124,IF(L1124="",NA(),L1124))</f>
        <v>0</v>
      </c>
      <c r="S197">
        <f>IF(Charts!$B$3="none",G1124,IF(M1124="",NA(),M1124))</f>
        <v>0</v>
      </c>
      <c r="T197">
        <f>IF(Charts!$B$3="none",H1124,IF(N1124="",NA(),N1124))</f>
        <v>0</v>
      </c>
    </row>
    <row r="198" spans="5:20">
      <c r="E198">
        <v>8</v>
      </c>
      <c r="F198">
        <f>F12</f>
        <v>0</v>
      </c>
      <c r="G198">
        <v>8</v>
      </c>
      <c r="H198">
        <f>H12</f>
        <v>0</v>
      </c>
      <c r="K198">
        <v>8</v>
      </c>
      <c r="L198">
        <f>L12</f>
        <v>0</v>
      </c>
      <c r="M198">
        <v>8</v>
      </c>
      <c r="N198">
        <f>N12</f>
        <v>0</v>
      </c>
      <c r="Q198">
        <f>IF(Charts!$B$3="none",E1125,IF(K1125="",NA(),K1125))</f>
        <v>0</v>
      </c>
      <c r="R198">
        <f>IF(Charts!$B$3="none",F1125,IF(L1125="",NA(),L1125))</f>
        <v>0</v>
      </c>
      <c r="S198">
        <f>IF(Charts!$B$3="none",G1125,IF(M1125="",NA(),M1125))</f>
        <v>0</v>
      </c>
      <c r="T198">
        <f>IF(Charts!$B$3="none",H1125,IF(N1125="",NA(),N1125))</f>
        <v>0</v>
      </c>
    </row>
    <row r="199" spans="5:20">
      <c r="E199">
        <v>9</v>
      </c>
      <c r="F199">
        <f>F13</f>
        <v>0</v>
      </c>
      <c r="G199">
        <v>9</v>
      </c>
      <c r="H199">
        <f>H13</f>
        <v>0</v>
      </c>
      <c r="K199">
        <v>9</v>
      </c>
      <c r="L199">
        <f>L13</f>
        <v>0</v>
      </c>
      <c r="M199">
        <v>9</v>
      </c>
      <c r="N199">
        <f>N13</f>
        <v>0</v>
      </c>
      <c r="Q199">
        <f>IF(Charts!$B$3="none",E1126,IF(K1126="",NA(),K1126))</f>
        <v>0</v>
      </c>
      <c r="R199">
        <f>IF(Charts!$B$3="none",F1126,IF(L1126="",NA(),L1126))</f>
        <v>0</v>
      </c>
      <c r="S199">
        <f>IF(Charts!$B$3="none",G1126,IF(M1126="",NA(),M1126))</f>
        <v>0</v>
      </c>
      <c r="T199">
        <f>IF(Charts!$B$3="none",H1126,IF(N1126="",NA(),N1126))</f>
        <v>0</v>
      </c>
    </row>
    <row r="200" spans="5:20">
      <c r="E200">
        <v>10</v>
      </c>
      <c r="F200">
        <f>F14</f>
        <v>0</v>
      </c>
      <c r="G200">
        <v>10</v>
      </c>
      <c r="H200">
        <f>H14</f>
        <v>0</v>
      </c>
      <c r="K200">
        <v>10</v>
      </c>
      <c r="L200">
        <f>L14</f>
        <v>0</v>
      </c>
      <c r="M200">
        <v>10</v>
      </c>
      <c r="N200">
        <f>N14</f>
        <v>0</v>
      </c>
      <c r="Q200">
        <f>IF(Charts!$B$3="none",E1127,IF(K1127="",NA(),K1127))</f>
        <v>0</v>
      </c>
      <c r="R200">
        <f>IF(Charts!$B$3="none",F1127,IF(L1127="",NA(),L1127))</f>
        <v>0</v>
      </c>
      <c r="S200">
        <f>IF(Charts!$B$3="none",G1127,IF(M1127="",NA(),M1127))</f>
        <v>0</v>
      </c>
      <c r="T200">
        <f>IF(Charts!$B$3="none",H1127,IF(N1127="",NA(),N1127))</f>
        <v>0</v>
      </c>
    </row>
    <row r="201" spans="5:20">
      <c r="E201">
        <v>11</v>
      </c>
      <c r="F201">
        <f>F15</f>
        <v>0</v>
      </c>
      <c r="G201">
        <v>11</v>
      </c>
      <c r="H201">
        <f>H15</f>
        <v>0</v>
      </c>
      <c r="K201">
        <v>11</v>
      </c>
      <c r="L201">
        <f>L15</f>
        <v>0</v>
      </c>
      <c r="M201">
        <v>11</v>
      </c>
      <c r="N201">
        <f>N15</f>
        <v>0</v>
      </c>
      <c r="Q201">
        <f>IF(Charts!$B$3="none",E1128,IF(K1128="",NA(),K1128))</f>
        <v>0</v>
      </c>
      <c r="R201">
        <f>IF(Charts!$B$3="none",F1128,IF(L1128="",NA(),L1128))</f>
        <v>0</v>
      </c>
      <c r="S201">
        <f>IF(Charts!$B$3="none",G1128,IF(M1128="",NA(),M1128))</f>
        <v>0</v>
      </c>
      <c r="T201">
        <f>IF(Charts!$B$3="none",H1128,IF(N1128="",NA(),N1128))</f>
        <v>0</v>
      </c>
    </row>
    <row r="202" spans="5:20">
      <c r="E202">
        <v>12</v>
      </c>
      <c r="F202">
        <f>F16</f>
        <v>0</v>
      </c>
      <c r="G202">
        <v>12</v>
      </c>
      <c r="H202">
        <f>H16</f>
        <v>0</v>
      </c>
      <c r="K202">
        <v>12</v>
      </c>
      <c r="L202">
        <f>L16</f>
        <v>0</v>
      </c>
      <c r="M202">
        <v>12</v>
      </c>
      <c r="N202">
        <f>N16</f>
        <v>0</v>
      </c>
      <c r="Q202">
        <f>IF(Charts!$B$3="none",E1129,IF(K1129="",NA(),K1129))</f>
        <v>0</v>
      </c>
      <c r="R202">
        <f>IF(Charts!$B$3="none",F1129,IF(L1129="",NA(),L1129))</f>
        <v>0</v>
      </c>
      <c r="S202">
        <f>IF(Charts!$B$3="none",G1129,IF(M1129="",NA(),M1129))</f>
        <v>0</v>
      </c>
      <c r="T202">
        <f>IF(Charts!$B$3="none",H1129,IF(N1129="",NA(),N1129))</f>
        <v>0</v>
      </c>
    </row>
    <row r="203" spans="5:20">
      <c r="E203">
        <v>13</v>
      </c>
      <c r="F203">
        <f>F17</f>
        <v>0</v>
      </c>
      <c r="G203">
        <v>13</v>
      </c>
      <c r="H203">
        <f>H17</f>
        <v>0</v>
      </c>
      <c r="K203">
        <v>13</v>
      </c>
      <c r="L203">
        <f>L17</f>
        <v>0</v>
      </c>
      <c r="M203">
        <v>13</v>
      </c>
      <c r="N203">
        <f>N17</f>
        <v>0</v>
      </c>
      <c r="Q203">
        <f>IF(Charts!$B$3="none",E1130,IF(K1130="",NA(),K1130))</f>
        <v>0</v>
      </c>
      <c r="R203">
        <f>IF(Charts!$B$3="none",F1130,IF(L1130="",NA(),L1130))</f>
        <v>0</v>
      </c>
      <c r="S203">
        <f>IF(Charts!$B$3="none",G1130,IF(M1130="",NA(),M1130))</f>
        <v>0</v>
      </c>
      <c r="T203">
        <f>IF(Charts!$B$3="none",H1130,IF(N1130="",NA(),N1130))</f>
        <v>0</v>
      </c>
    </row>
    <row r="204" spans="5:20">
      <c r="E204">
        <v>14</v>
      </c>
      <c r="F204">
        <f>F18</f>
        <v>0</v>
      </c>
      <c r="G204">
        <v>14</v>
      </c>
      <c r="H204">
        <f>H18</f>
        <v>0</v>
      </c>
      <c r="K204">
        <v>14</v>
      </c>
      <c r="L204">
        <f>L18</f>
        <v>0</v>
      </c>
      <c r="M204">
        <v>14</v>
      </c>
      <c r="N204">
        <f>N18</f>
        <v>0</v>
      </c>
      <c r="Q204">
        <f>IF(Charts!$B$3="none",E1131,IF(K1131="",NA(),K1131))</f>
        <v>0</v>
      </c>
      <c r="R204">
        <f>IF(Charts!$B$3="none",F1131,IF(L1131="",NA(),L1131))</f>
        <v>0</v>
      </c>
      <c r="S204">
        <f>IF(Charts!$B$3="none",G1131,IF(M1131="",NA(),M1131))</f>
        <v>0</v>
      </c>
      <c r="T204">
        <f>IF(Charts!$B$3="none",H1131,IF(N1131="",NA(),N1131))</f>
        <v>0</v>
      </c>
    </row>
    <row r="205" spans="5:20">
      <c r="E205">
        <v>15</v>
      </c>
      <c r="F205">
        <f>F19</f>
        <v>0</v>
      </c>
      <c r="G205">
        <v>15</v>
      </c>
      <c r="H205">
        <f>H19</f>
        <v>0</v>
      </c>
      <c r="K205">
        <v>15</v>
      </c>
      <c r="L205">
        <f>L19</f>
        <v>0</v>
      </c>
      <c r="M205">
        <v>15</v>
      </c>
      <c r="N205">
        <f>N19</f>
        <v>0</v>
      </c>
      <c r="Q205">
        <f>IF(Charts!$B$3="none",E1132,IF(K1132="",NA(),K1132))</f>
        <v>0</v>
      </c>
      <c r="R205">
        <f>IF(Charts!$B$3="none",F1132,IF(L1132="",NA(),L1132))</f>
        <v>0</v>
      </c>
      <c r="S205">
        <f>IF(Charts!$B$3="none",G1132,IF(M1132="",NA(),M1132))</f>
        <v>0</v>
      </c>
      <c r="T205">
        <f>IF(Charts!$B$3="none",H1132,IF(N1132="",NA(),N1132))</f>
        <v>0</v>
      </c>
    </row>
    <row r="206" spans="5:20">
      <c r="E206">
        <v>16</v>
      </c>
      <c r="F206">
        <f>F20</f>
        <v>0</v>
      </c>
      <c r="G206">
        <v>16</v>
      </c>
      <c r="H206">
        <f>H20</f>
        <v>0</v>
      </c>
      <c r="K206">
        <v>16</v>
      </c>
      <c r="L206">
        <f>L20</f>
        <v>0</v>
      </c>
      <c r="M206">
        <v>16</v>
      </c>
      <c r="N206">
        <f>N20</f>
        <v>0</v>
      </c>
      <c r="Q206">
        <f>IF(Charts!$B$3="none",E1133,IF(K1133="",NA(),K1133))</f>
        <v>0</v>
      </c>
      <c r="R206">
        <f>IF(Charts!$B$3="none",F1133,IF(L1133="",NA(),L1133))</f>
        <v>0</v>
      </c>
      <c r="S206">
        <f>IF(Charts!$B$3="none",G1133,IF(M1133="",NA(),M1133))</f>
        <v>0</v>
      </c>
      <c r="T206">
        <f>IF(Charts!$B$3="none",H1133,IF(N1133="",NA(),N1133))</f>
        <v>0</v>
      </c>
    </row>
    <row r="207" spans="5:20">
      <c r="E207">
        <v>17</v>
      </c>
      <c r="F207">
        <f>F21</f>
        <v>0</v>
      </c>
      <c r="G207">
        <v>17</v>
      </c>
      <c r="H207">
        <f>H21</f>
        <v>0</v>
      </c>
      <c r="K207">
        <v>17</v>
      </c>
      <c r="L207">
        <f>L21</f>
        <v>0</v>
      </c>
      <c r="M207">
        <v>17</v>
      </c>
      <c r="N207">
        <f>N21</f>
        <v>0</v>
      </c>
      <c r="Q207">
        <f>IF(Charts!$B$3="none",E1134,IF(K1134="",NA(),K1134))</f>
        <v>0</v>
      </c>
      <c r="R207">
        <f>IF(Charts!$B$3="none",F1134,IF(L1134="",NA(),L1134))</f>
        <v>0</v>
      </c>
      <c r="S207">
        <f>IF(Charts!$B$3="none",G1134,IF(M1134="",NA(),M1134))</f>
        <v>0</v>
      </c>
      <c r="T207">
        <f>IF(Charts!$B$3="none",H1134,IF(N1134="",NA(),N1134))</f>
        <v>0</v>
      </c>
    </row>
    <row r="208" spans="5:20">
      <c r="E208">
        <v>18</v>
      </c>
      <c r="F208">
        <f>F22</f>
        <v>0</v>
      </c>
      <c r="G208">
        <v>18</v>
      </c>
      <c r="H208">
        <f>H22</f>
        <v>0</v>
      </c>
      <c r="K208">
        <v>18</v>
      </c>
      <c r="L208">
        <f>L22</f>
        <v>0</v>
      </c>
      <c r="M208">
        <v>18</v>
      </c>
      <c r="N208">
        <f>N22</f>
        <v>0</v>
      </c>
      <c r="Q208">
        <f>IF(Charts!$B$3="none",E1135,IF(K1135="",NA(),K1135))</f>
        <v>0</v>
      </c>
      <c r="R208">
        <f>IF(Charts!$B$3="none",F1135,IF(L1135="",NA(),L1135))</f>
        <v>0</v>
      </c>
      <c r="S208">
        <f>IF(Charts!$B$3="none",G1135,IF(M1135="",NA(),M1135))</f>
        <v>0</v>
      </c>
      <c r="T208">
        <f>IF(Charts!$B$3="none",H1135,IF(N1135="",NA(),N1135))</f>
        <v>0</v>
      </c>
    </row>
    <row r="209" spans="5:20">
      <c r="E209">
        <v>19</v>
      </c>
      <c r="F209">
        <f>F23</f>
        <v>0</v>
      </c>
      <c r="G209">
        <v>19</v>
      </c>
      <c r="H209">
        <f>H23</f>
        <v>0</v>
      </c>
      <c r="K209">
        <v>19</v>
      </c>
      <c r="L209">
        <f>L23</f>
        <v>0</v>
      </c>
      <c r="M209">
        <v>19</v>
      </c>
      <c r="N209">
        <f>N23</f>
        <v>0</v>
      </c>
      <c r="Q209">
        <f>IF(Charts!$B$3="none",E1136,IF(K1136="",NA(),K1136))</f>
        <v>0</v>
      </c>
      <c r="R209">
        <f>IF(Charts!$B$3="none",F1136,IF(L1136="",NA(),L1136))</f>
        <v>0</v>
      </c>
      <c r="S209">
        <f>IF(Charts!$B$3="none",G1136,IF(M1136="",NA(),M1136))</f>
        <v>0</v>
      </c>
      <c r="T209">
        <f>IF(Charts!$B$3="none",H1136,IF(N1136="",NA(),N1136))</f>
        <v>0</v>
      </c>
    </row>
    <row r="210" spans="5:20">
      <c r="E210">
        <v>20</v>
      </c>
      <c r="F210">
        <f>F24</f>
        <v>0</v>
      </c>
      <c r="G210">
        <v>20</v>
      </c>
      <c r="H210">
        <f>H24</f>
        <v>0</v>
      </c>
      <c r="K210">
        <v>20</v>
      </c>
      <c r="L210">
        <f>L24</f>
        <v>0</v>
      </c>
      <c r="M210">
        <v>20</v>
      </c>
      <c r="N210">
        <f>N24</f>
        <v>0</v>
      </c>
      <c r="Q210">
        <f>IF(Charts!$B$3="none",E1137,IF(K1137="",NA(),K1137))</f>
        <v>0</v>
      </c>
      <c r="R210">
        <f>IF(Charts!$B$3="none",F1137,IF(L1137="",NA(),L1137))</f>
        <v>0</v>
      </c>
      <c r="S210">
        <f>IF(Charts!$B$3="none",G1137,IF(M1137="",NA(),M1137))</f>
        <v>0</v>
      </c>
      <c r="T210">
        <f>IF(Charts!$B$3="none",H1137,IF(N1137="",NA(),N1137))</f>
        <v>0</v>
      </c>
    </row>
    <row r="211" spans="5:20">
      <c r="E211">
        <v>21</v>
      </c>
      <c r="F211">
        <f>F25</f>
        <v>0</v>
      </c>
      <c r="G211">
        <v>21</v>
      </c>
      <c r="H211">
        <f>H25</f>
        <v>0</v>
      </c>
      <c r="K211">
        <v>21</v>
      </c>
      <c r="L211">
        <f>L25</f>
        <v>0</v>
      </c>
      <c r="M211">
        <v>21</v>
      </c>
      <c r="N211">
        <f>N25</f>
        <v>0</v>
      </c>
      <c r="Q211">
        <f>IF(Charts!$B$3="none",E1138,IF(K1138="",NA(),K1138))</f>
        <v>0</v>
      </c>
      <c r="R211">
        <f>IF(Charts!$B$3="none",F1138,IF(L1138="",NA(),L1138))</f>
        <v>0</v>
      </c>
      <c r="S211">
        <f>IF(Charts!$B$3="none",G1138,IF(M1138="",NA(),M1138))</f>
        <v>0</v>
      </c>
      <c r="T211">
        <f>IF(Charts!$B$3="none",H1138,IF(N1138="",NA(),N1138))</f>
        <v>0</v>
      </c>
    </row>
    <row r="212" spans="5:20">
      <c r="E212">
        <v>22</v>
      </c>
      <c r="F212">
        <f>F26</f>
        <v>0</v>
      </c>
      <c r="G212">
        <v>22</v>
      </c>
      <c r="H212">
        <f>H26</f>
        <v>0</v>
      </c>
      <c r="K212">
        <v>22</v>
      </c>
      <c r="L212">
        <f>L26</f>
        <v>0</v>
      </c>
      <c r="M212">
        <v>22</v>
      </c>
      <c r="N212">
        <f>N26</f>
        <v>0</v>
      </c>
      <c r="Q212">
        <f>IF(Charts!$B$3="none",E1139,IF(K1139="",NA(),K1139))</f>
        <v>0</v>
      </c>
      <c r="R212">
        <f>IF(Charts!$B$3="none",F1139,IF(L1139="",NA(),L1139))</f>
        <v>0</v>
      </c>
      <c r="S212">
        <f>IF(Charts!$B$3="none",G1139,IF(M1139="",NA(),M1139))</f>
        <v>0</v>
      </c>
      <c r="T212">
        <f>IF(Charts!$B$3="none",H1139,IF(N1139="",NA(),N1139))</f>
        <v>0</v>
      </c>
    </row>
    <row r="213" spans="5:20">
      <c r="E213">
        <v>23</v>
      </c>
      <c r="F213">
        <f>F27</f>
        <v>0</v>
      </c>
      <c r="G213">
        <v>23</v>
      </c>
      <c r="H213">
        <f>H27</f>
        <v>0</v>
      </c>
      <c r="K213">
        <v>23</v>
      </c>
      <c r="L213">
        <f>L27</f>
        <v>0</v>
      </c>
      <c r="M213">
        <v>23</v>
      </c>
      <c r="N213">
        <f>N27</f>
        <v>0</v>
      </c>
      <c r="Q213">
        <f>IF(Charts!$B$3="none",E1140,IF(K1140="",NA(),K1140))</f>
        <v>0</v>
      </c>
      <c r="R213">
        <f>IF(Charts!$B$3="none",F1140,IF(L1140="",NA(),L1140))</f>
        <v>0</v>
      </c>
      <c r="S213">
        <f>IF(Charts!$B$3="none",G1140,IF(M1140="",NA(),M1140))</f>
        <v>0</v>
      </c>
      <c r="T213">
        <f>IF(Charts!$B$3="none",H1140,IF(N1140="",NA(),N1140))</f>
        <v>0</v>
      </c>
    </row>
    <row r="214" spans="5:20">
      <c r="E214">
        <v>24</v>
      </c>
      <c r="F214">
        <f>F28</f>
        <v>0</v>
      </c>
      <c r="G214">
        <v>24</v>
      </c>
      <c r="H214">
        <f>H28</f>
        <v>0</v>
      </c>
      <c r="K214">
        <v>24</v>
      </c>
      <c r="L214">
        <f>L28</f>
        <v>0</v>
      </c>
      <c r="M214">
        <v>24</v>
      </c>
      <c r="N214">
        <f>N28</f>
        <v>0</v>
      </c>
      <c r="Q214">
        <f>IF(Charts!$B$3="none",E1141,IF(K1141="",NA(),K1141))</f>
        <v>0</v>
      </c>
      <c r="R214">
        <f>IF(Charts!$B$3="none",F1141,IF(L1141="",NA(),L1141))</f>
        <v>0</v>
      </c>
      <c r="S214">
        <f>IF(Charts!$B$3="none",G1141,IF(M1141="",NA(),M1141))</f>
        <v>0</v>
      </c>
      <c r="T214">
        <f>IF(Charts!$B$3="none",H1141,IF(N1141="",NA(),N1141))</f>
        <v>0</v>
      </c>
    </row>
    <row r="215" spans="5:20">
      <c r="E215">
        <v>25</v>
      </c>
      <c r="F215">
        <f>F29</f>
        <v>0</v>
      </c>
      <c r="G215">
        <v>25</v>
      </c>
      <c r="H215">
        <f>H29</f>
        <v>0</v>
      </c>
      <c r="K215">
        <v>25</v>
      </c>
      <c r="L215">
        <f>L29</f>
        <v>0</v>
      </c>
      <c r="M215">
        <v>25</v>
      </c>
      <c r="N215">
        <f>N29</f>
        <v>0</v>
      </c>
      <c r="Q215">
        <f>IF(Charts!$B$3="none",E1142,IF(K1142="",NA(),K1142))</f>
        <v>0</v>
      </c>
      <c r="R215">
        <f>IF(Charts!$B$3="none",F1142,IF(L1142="",NA(),L1142))</f>
        <v>0</v>
      </c>
      <c r="S215">
        <f>IF(Charts!$B$3="none",G1142,IF(M1142="",NA(),M1142))</f>
        <v>0</v>
      </c>
      <c r="T215">
        <f>IF(Charts!$B$3="none",H1142,IF(N1142="",NA(),N1142))</f>
        <v>0</v>
      </c>
    </row>
    <row r="216" spans="5:20">
      <c r="E216">
        <v>26</v>
      </c>
      <c r="F216">
        <f>F30</f>
        <v>0</v>
      </c>
      <c r="G216">
        <v>26</v>
      </c>
      <c r="H216">
        <f>H30</f>
        <v>0</v>
      </c>
      <c r="K216">
        <v>26</v>
      </c>
      <c r="L216">
        <f>L30</f>
        <v>0</v>
      </c>
      <c r="M216">
        <v>26</v>
      </c>
      <c r="N216">
        <f>N30</f>
        <v>0</v>
      </c>
      <c r="Q216">
        <f>IF(Charts!$B$3="none",E1143,IF(K1143="",NA(),K1143))</f>
        <v>0</v>
      </c>
      <c r="R216">
        <f>IF(Charts!$B$3="none",F1143,IF(L1143="",NA(),L1143))</f>
        <v>0</v>
      </c>
      <c r="S216">
        <f>IF(Charts!$B$3="none",G1143,IF(M1143="",NA(),M1143))</f>
        <v>0</v>
      </c>
      <c r="T216">
        <f>IF(Charts!$B$3="none",H1143,IF(N1143="",NA(),N1143))</f>
        <v>0</v>
      </c>
    </row>
    <row r="217" spans="5:20">
      <c r="E217">
        <v>27</v>
      </c>
      <c r="F217">
        <f>F31</f>
        <v>0</v>
      </c>
      <c r="G217">
        <v>27</v>
      </c>
      <c r="H217">
        <f>H31</f>
        <v>0</v>
      </c>
      <c r="K217">
        <v>27</v>
      </c>
      <c r="L217">
        <f>L31</f>
        <v>0</v>
      </c>
      <c r="M217">
        <v>27</v>
      </c>
      <c r="N217">
        <f>N31</f>
        <v>0</v>
      </c>
      <c r="Q217">
        <f>IF(Charts!$B$3="none",E1144,IF(K1144="",NA(),K1144))</f>
        <v>0</v>
      </c>
      <c r="R217">
        <f>IF(Charts!$B$3="none",F1144,IF(L1144="",NA(),L1144))</f>
        <v>0</v>
      </c>
      <c r="S217">
        <f>IF(Charts!$B$3="none",G1144,IF(M1144="",NA(),M1144))</f>
        <v>0</v>
      </c>
      <c r="T217">
        <f>IF(Charts!$B$3="none",H1144,IF(N1144="",NA(),N1144))</f>
        <v>0</v>
      </c>
    </row>
    <row r="218" spans="5:20">
      <c r="E218">
        <v>28</v>
      </c>
      <c r="F218">
        <f>F32</f>
        <v>0</v>
      </c>
      <c r="G218">
        <v>28</v>
      </c>
      <c r="H218">
        <f>H32</f>
        <v>0</v>
      </c>
      <c r="K218">
        <v>28</v>
      </c>
      <c r="L218">
        <f>L32</f>
        <v>0</v>
      </c>
      <c r="M218">
        <v>28</v>
      </c>
      <c r="N218">
        <f>N32</f>
        <v>0</v>
      </c>
      <c r="Q218">
        <f>IF(Charts!$B$3="none",E1145,IF(K1145="",NA(),K1145))</f>
        <v>0</v>
      </c>
      <c r="R218">
        <f>IF(Charts!$B$3="none",F1145,IF(L1145="",NA(),L1145))</f>
        <v>0</v>
      </c>
      <c r="S218">
        <f>IF(Charts!$B$3="none",G1145,IF(M1145="",NA(),M1145))</f>
        <v>0</v>
      </c>
      <c r="T218">
        <f>IF(Charts!$B$3="none",H1145,IF(N1145="",NA(),N1145))</f>
        <v>0</v>
      </c>
    </row>
    <row r="219" spans="5:20">
      <c r="E219">
        <v>29</v>
      </c>
      <c r="F219">
        <f>F33</f>
        <v>0</v>
      </c>
      <c r="G219">
        <v>29</v>
      </c>
      <c r="H219">
        <f>H33</f>
        <v>0</v>
      </c>
      <c r="K219">
        <v>29</v>
      </c>
      <c r="L219">
        <f>L33</f>
        <v>0</v>
      </c>
      <c r="M219">
        <v>29</v>
      </c>
      <c r="N219">
        <f>N33</f>
        <v>0</v>
      </c>
      <c r="Q219">
        <f>IF(Charts!$B$3="none",E1146,IF(K1146="",NA(),K1146))</f>
        <v>0</v>
      </c>
      <c r="R219">
        <f>IF(Charts!$B$3="none",F1146,IF(L1146="",NA(),L1146))</f>
        <v>0</v>
      </c>
      <c r="S219">
        <f>IF(Charts!$B$3="none",G1146,IF(M1146="",NA(),M1146))</f>
        <v>0</v>
      </c>
      <c r="T219">
        <f>IF(Charts!$B$3="none",H1146,IF(N1146="",NA(),N1146))</f>
        <v>0</v>
      </c>
    </row>
    <row r="220" spans="5:20">
      <c r="E220">
        <v>30</v>
      </c>
      <c r="F220">
        <f>F34</f>
        <v>0</v>
      </c>
      <c r="G220">
        <v>30</v>
      </c>
      <c r="H220">
        <f>H34</f>
        <v>0</v>
      </c>
      <c r="K220">
        <v>30</v>
      </c>
      <c r="L220">
        <f>L34</f>
        <v>0</v>
      </c>
      <c r="M220">
        <v>30</v>
      </c>
      <c r="N220">
        <f>N34</f>
        <v>0</v>
      </c>
      <c r="Q220">
        <f>IF(Charts!$B$3="none",E1147,IF(K1147="",NA(),K1147))</f>
        <v>0</v>
      </c>
      <c r="R220">
        <f>IF(Charts!$B$3="none",F1147,IF(L1147="",NA(),L1147))</f>
        <v>0</v>
      </c>
      <c r="S220">
        <f>IF(Charts!$B$3="none",G1147,IF(M1147="",NA(),M1147))</f>
        <v>0</v>
      </c>
      <c r="T220">
        <f>IF(Charts!$B$3="none",H1147,IF(N1147="",NA(),N1147))</f>
        <v>0</v>
      </c>
    </row>
    <row r="221" spans="5:20">
      <c r="E221">
        <v>31</v>
      </c>
      <c r="F221">
        <f>F35</f>
        <v>0</v>
      </c>
      <c r="G221">
        <v>31</v>
      </c>
      <c r="H221">
        <f>H35</f>
        <v>0</v>
      </c>
      <c r="K221">
        <v>31</v>
      </c>
      <c r="L221">
        <f>L35</f>
        <v>0</v>
      </c>
      <c r="M221">
        <v>31</v>
      </c>
      <c r="N221">
        <f>N35</f>
        <v>0</v>
      </c>
      <c r="Q221">
        <f>IF(Charts!$B$3="none",E1148,IF(K1148="",NA(),K1148))</f>
        <v>0</v>
      </c>
      <c r="R221">
        <f>IF(Charts!$B$3="none",F1148,IF(L1148="",NA(),L1148))</f>
        <v>0</v>
      </c>
      <c r="S221">
        <f>IF(Charts!$B$3="none",G1148,IF(M1148="",NA(),M1148))</f>
        <v>0</v>
      </c>
      <c r="T221">
        <f>IF(Charts!$B$3="none",H1148,IF(N1148="",NA(),N1148))</f>
        <v>0</v>
      </c>
    </row>
    <row r="222" spans="5:20">
      <c r="E222">
        <v>32</v>
      </c>
      <c r="F222">
        <f>F36</f>
        <v>0</v>
      </c>
      <c r="G222">
        <v>32</v>
      </c>
      <c r="H222">
        <f>H36</f>
        <v>0</v>
      </c>
      <c r="K222">
        <v>32</v>
      </c>
      <c r="L222">
        <f>L36</f>
        <v>0</v>
      </c>
      <c r="M222">
        <v>32</v>
      </c>
      <c r="N222">
        <f>N36</f>
        <v>0</v>
      </c>
      <c r="Q222">
        <f>IF(Charts!$B$3="none",E1149,IF(K1149="",NA(),K1149))</f>
        <v>0</v>
      </c>
      <c r="R222">
        <f>IF(Charts!$B$3="none",F1149,IF(L1149="",NA(),L1149))</f>
        <v>0</v>
      </c>
      <c r="S222">
        <f>IF(Charts!$B$3="none",G1149,IF(M1149="",NA(),M1149))</f>
        <v>0</v>
      </c>
      <c r="T222">
        <f>IF(Charts!$B$3="none",H1149,IF(N1149="",NA(),N1149))</f>
        <v>0</v>
      </c>
    </row>
    <row r="223" spans="5:20">
      <c r="E223">
        <v>33</v>
      </c>
      <c r="F223">
        <f>F37</f>
        <v>0</v>
      </c>
      <c r="G223">
        <v>33</v>
      </c>
      <c r="H223">
        <f>H37</f>
        <v>0</v>
      </c>
      <c r="K223">
        <v>33</v>
      </c>
      <c r="L223">
        <f>L37</f>
        <v>0</v>
      </c>
      <c r="M223">
        <v>33</v>
      </c>
      <c r="N223">
        <f>N37</f>
        <v>0</v>
      </c>
      <c r="Q223">
        <f>IF(Charts!$B$3="none",E1150,IF(K1150="",NA(),K1150))</f>
        <v>0</v>
      </c>
      <c r="R223">
        <f>IF(Charts!$B$3="none",F1150,IF(L1150="",NA(),L1150))</f>
        <v>0</v>
      </c>
      <c r="S223">
        <f>IF(Charts!$B$3="none",G1150,IF(M1150="",NA(),M1150))</f>
        <v>0</v>
      </c>
      <c r="T223">
        <f>IF(Charts!$B$3="none",H1150,IF(N1150="",NA(),N1150))</f>
        <v>0</v>
      </c>
    </row>
    <row r="224" spans="5:20">
      <c r="E224">
        <v>34</v>
      </c>
      <c r="F224">
        <f>F38</f>
        <v>0</v>
      </c>
      <c r="G224">
        <v>34</v>
      </c>
      <c r="H224">
        <f>H38</f>
        <v>0</v>
      </c>
      <c r="K224">
        <v>34</v>
      </c>
      <c r="L224">
        <f>L38</f>
        <v>0</v>
      </c>
      <c r="M224">
        <v>34</v>
      </c>
      <c r="N224">
        <f>N38</f>
        <v>0</v>
      </c>
      <c r="Q224">
        <f>IF(Charts!$B$3="none",E1151,IF(K1151="",NA(),K1151))</f>
        <v>0</v>
      </c>
      <c r="R224">
        <f>IF(Charts!$B$3="none",F1151,IF(L1151="",NA(),L1151))</f>
        <v>0</v>
      </c>
      <c r="S224">
        <f>IF(Charts!$B$3="none",G1151,IF(M1151="",NA(),M1151))</f>
        <v>0</v>
      </c>
      <c r="T224">
        <f>IF(Charts!$B$3="none",H1151,IF(N1151="",NA(),N1151))</f>
        <v>0</v>
      </c>
    </row>
    <row r="225" spans="5:20">
      <c r="E225">
        <v>35</v>
      </c>
      <c r="F225">
        <f>F39</f>
        <v>0</v>
      </c>
      <c r="G225">
        <v>35</v>
      </c>
      <c r="H225">
        <f>H39</f>
        <v>0</v>
      </c>
      <c r="K225">
        <v>35</v>
      </c>
      <c r="L225">
        <f>L39</f>
        <v>0</v>
      </c>
      <c r="M225">
        <v>35</v>
      </c>
      <c r="N225">
        <f>N39</f>
        <v>0</v>
      </c>
      <c r="Q225">
        <f>IF(Charts!$B$3="none",E1152,IF(K1152="",NA(),K1152))</f>
        <v>0</v>
      </c>
      <c r="R225">
        <f>IF(Charts!$B$3="none",F1152,IF(L1152="",NA(),L1152))</f>
        <v>0</v>
      </c>
      <c r="S225">
        <f>IF(Charts!$B$3="none",G1152,IF(M1152="",NA(),M1152))</f>
        <v>0</v>
      </c>
      <c r="T225">
        <f>IF(Charts!$B$3="none",H1152,IF(N1152="",NA(),N1152))</f>
        <v>0</v>
      </c>
    </row>
    <row r="226" spans="5:20">
      <c r="E226">
        <v>36</v>
      </c>
      <c r="F226">
        <f>F40</f>
        <v>0</v>
      </c>
      <c r="G226">
        <v>36</v>
      </c>
      <c r="H226">
        <f>H40</f>
        <v>0</v>
      </c>
      <c r="K226">
        <v>36</v>
      </c>
      <c r="L226">
        <f>L40</f>
        <v>0</v>
      </c>
      <c r="M226">
        <v>36</v>
      </c>
      <c r="N226">
        <f>N40</f>
        <v>0</v>
      </c>
      <c r="Q226">
        <f>IF(Charts!$B$3="none",E1153,IF(K1153="",NA(),K1153))</f>
        <v>0</v>
      </c>
      <c r="R226">
        <f>IF(Charts!$B$3="none",F1153,IF(L1153="",NA(),L1153))</f>
        <v>0</v>
      </c>
      <c r="S226">
        <f>IF(Charts!$B$3="none",G1153,IF(M1153="",NA(),M1153))</f>
        <v>0</v>
      </c>
      <c r="T226">
        <f>IF(Charts!$B$3="none",H1153,IF(N1153="",NA(),N1153))</f>
        <v>0</v>
      </c>
    </row>
    <row r="227" spans="5:20">
      <c r="E227">
        <v>37</v>
      </c>
      <c r="F227">
        <f>F41</f>
        <v>0</v>
      </c>
      <c r="G227">
        <v>37</v>
      </c>
      <c r="H227">
        <f>H41</f>
        <v>0</v>
      </c>
      <c r="K227">
        <v>37</v>
      </c>
      <c r="L227">
        <f>L41</f>
        <v>0</v>
      </c>
      <c r="M227">
        <v>37</v>
      </c>
      <c r="N227">
        <f>N41</f>
        <v>0</v>
      </c>
      <c r="Q227">
        <f>IF(Charts!$B$3="none",E1154,IF(K1154="",NA(),K1154))</f>
        <v>0</v>
      </c>
      <c r="R227">
        <f>IF(Charts!$B$3="none",F1154,IF(L1154="",NA(),L1154))</f>
        <v>0</v>
      </c>
      <c r="S227">
        <f>IF(Charts!$B$3="none",G1154,IF(M1154="",NA(),M1154))</f>
        <v>0</v>
      </c>
      <c r="T227">
        <f>IF(Charts!$B$3="none",H1154,IF(N1154="",NA(),N1154))</f>
        <v>0</v>
      </c>
    </row>
    <row r="228" spans="5:20">
      <c r="E228">
        <v>38</v>
      </c>
      <c r="F228">
        <f>F42</f>
        <v>0</v>
      </c>
      <c r="G228">
        <v>38</v>
      </c>
      <c r="H228">
        <f>H42</f>
        <v>0</v>
      </c>
      <c r="K228">
        <v>38</v>
      </c>
      <c r="L228">
        <f>L42</f>
        <v>0</v>
      </c>
      <c r="M228">
        <v>38</v>
      </c>
      <c r="N228">
        <f>N42</f>
        <v>0</v>
      </c>
      <c r="Q228">
        <f>IF(Charts!$B$3="none",E1155,IF(K1155="",NA(),K1155))</f>
        <v>0</v>
      </c>
      <c r="R228">
        <f>IF(Charts!$B$3="none",F1155,IF(L1155="",NA(),L1155))</f>
        <v>0</v>
      </c>
      <c r="S228">
        <f>IF(Charts!$B$3="none",G1155,IF(M1155="",NA(),M1155))</f>
        <v>0</v>
      </c>
      <c r="T228">
        <f>IF(Charts!$B$3="none",H1155,IF(N1155="",NA(),N1155))</f>
        <v>0</v>
      </c>
    </row>
    <row r="229" spans="5:20">
      <c r="E229">
        <v>39</v>
      </c>
      <c r="F229">
        <f>F43</f>
        <v>0</v>
      </c>
      <c r="G229">
        <v>39</v>
      </c>
      <c r="H229">
        <f>H43</f>
        <v>0</v>
      </c>
      <c r="K229">
        <v>39</v>
      </c>
      <c r="L229">
        <f>L43</f>
        <v>0</v>
      </c>
      <c r="M229">
        <v>39</v>
      </c>
      <c r="N229">
        <f>N43</f>
        <v>0</v>
      </c>
      <c r="Q229">
        <f>IF(Charts!$B$3="none",E1156,IF(K1156="",NA(),K1156))</f>
        <v>0</v>
      </c>
      <c r="R229">
        <f>IF(Charts!$B$3="none",F1156,IF(L1156="",NA(),L1156))</f>
        <v>0</v>
      </c>
      <c r="S229">
        <f>IF(Charts!$B$3="none",G1156,IF(M1156="",NA(),M1156))</f>
        <v>0</v>
      </c>
      <c r="T229">
        <f>IF(Charts!$B$3="none",H1156,IF(N1156="",NA(),N1156))</f>
        <v>0</v>
      </c>
    </row>
    <row r="230" spans="5:20">
      <c r="E230">
        <v>40</v>
      </c>
      <c r="F230">
        <f>F44</f>
        <v>0</v>
      </c>
      <c r="G230">
        <v>40</v>
      </c>
      <c r="H230">
        <f>H44</f>
        <v>0</v>
      </c>
      <c r="K230">
        <v>40</v>
      </c>
      <c r="L230">
        <f>L44</f>
        <v>0</v>
      </c>
      <c r="M230">
        <v>40</v>
      </c>
      <c r="N230">
        <f>N44</f>
        <v>0</v>
      </c>
      <c r="Q230">
        <f>IF(Charts!$B$3="none",E1157,IF(K1157="",NA(),K1157))</f>
        <v>0</v>
      </c>
      <c r="R230">
        <f>IF(Charts!$B$3="none",F1157,IF(L1157="",NA(),L1157))</f>
        <v>0</v>
      </c>
      <c r="S230">
        <f>IF(Charts!$B$3="none",G1157,IF(M1157="",NA(),M1157))</f>
        <v>0</v>
      </c>
      <c r="T230">
        <f>IF(Charts!$B$3="none",H1157,IF(N1157="",NA(),N1157))</f>
        <v>0</v>
      </c>
    </row>
    <row r="231" spans="5:20">
      <c r="E231">
        <v>41</v>
      </c>
      <c r="F231">
        <f>F45</f>
        <v>0</v>
      </c>
      <c r="G231">
        <v>41</v>
      </c>
      <c r="H231">
        <f>H45</f>
        <v>0</v>
      </c>
      <c r="K231">
        <v>41</v>
      </c>
      <c r="L231">
        <f>L45</f>
        <v>0</v>
      </c>
      <c r="M231">
        <v>41</v>
      </c>
      <c r="N231">
        <f>N45</f>
        <v>0</v>
      </c>
      <c r="Q231">
        <f>IF(Charts!$B$3="none",E1158,IF(K1158="",NA(),K1158))</f>
        <v>0</v>
      </c>
      <c r="R231">
        <f>IF(Charts!$B$3="none",F1158,IF(L1158="",NA(),L1158))</f>
        <v>0</v>
      </c>
      <c r="S231">
        <f>IF(Charts!$B$3="none",G1158,IF(M1158="",NA(),M1158))</f>
        <v>0</v>
      </c>
      <c r="T231">
        <f>IF(Charts!$B$3="none",H1158,IF(N1158="",NA(),N1158))</f>
        <v>0</v>
      </c>
    </row>
    <row r="232" spans="5:20">
      <c r="E232">
        <v>42</v>
      </c>
      <c r="F232">
        <f>F46</f>
        <v>0</v>
      </c>
      <c r="G232">
        <v>42</v>
      </c>
      <c r="H232">
        <f>H46</f>
        <v>0</v>
      </c>
      <c r="K232">
        <v>42</v>
      </c>
      <c r="L232">
        <f>L46</f>
        <v>0</v>
      </c>
      <c r="M232">
        <v>42</v>
      </c>
      <c r="N232">
        <f>N46</f>
        <v>0</v>
      </c>
      <c r="Q232">
        <f>IF(Charts!$B$3="none",E1159,IF(K1159="",NA(),K1159))</f>
        <v>0</v>
      </c>
      <c r="R232">
        <f>IF(Charts!$B$3="none",F1159,IF(L1159="",NA(),L1159))</f>
        <v>0</v>
      </c>
      <c r="S232">
        <f>IF(Charts!$B$3="none",G1159,IF(M1159="",NA(),M1159))</f>
        <v>0</v>
      </c>
      <c r="T232">
        <f>IF(Charts!$B$3="none",H1159,IF(N1159="",NA(),N1159))</f>
        <v>0</v>
      </c>
    </row>
    <row r="233" spans="5:20">
      <c r="E233">
        <v>43</v>
      </c>
      <c r="F233">
        <f>F47</f>
        <v>0</v>
      </c>
      <c r="G233">
        <v>43</v>
      </c>
      <c r="H233">
        <f>H47</f>
        <v>0</v>
      </c>
      <c r="K233">
        <v>43</v>
      </c>
      <c r="L233">
        <f>L47</f>
        <v>0</v>
      </c>
      <c r="M233">
        <v>43</v>
      </c>
      <c r="N233">
        <f>N47</f>
        <v>0</v>
      </c>
      <c r="Q233">
        <f>IF(Charts!$B$3="none",E1160,IF(K1160="",NA(),K1160))</f>
        <v>0</v>
      </c>
      <c r="R233">
        <f>IF(Charts!$B$3="none",F1160,IF(L1160="",NA(),L1160))</f>
        <v>0</v>
      </c>
      <c r="S233">
        <f>IF(Charts!$B$3="none",G1160,IF(M1160="",NA(),M1160))</f>
        <v>0</v>
      </c>
      <c r="T233">
        <f>IF(Charts!$B$3="none",H1160,IF(N1160="",NA(),N1160))</f>
        <v>0</v>
      </c>
    </row>
    <row r="234" spans="5:20">
      <c r="E234">
        <v>44</v>
      </c>
      <c r="F234">
        <f>F48</f>
        <v>0</v>
      </c>
      <c r="G234">
        <v>44</v>
      </c>
      <c r="H234">
        <f>H48</f>
        <v>0</v>
      </c>
      <c r="K234">
        <v>44</v>
      </c>
      <c r="L234">
        <f>L48</f>
        <v>0</v>
      </c>
      <c r="M234">
        <v>44</v>
      </c>
      <c r="N234">
        <f>N48</f>
        <v>0</v>
      </c>
      <c r="Q234">
        <f>IF(Charts!$B$3="none",E1161,IF(K1161="",NA(),K1161))</f>
        <v>0</v>
      </c>
      <c r="R234">
        <f>IF(Charts!$B$3="none",F1161,IF(L1161="",NA(),L1161))</f>
        <v>0</v>
      </c>
      <c r="S234">
        <f>IF(Charts!$B$3="none",G1161,IF(M1161="",NA(),M1161))</f>
        <v>0</v>
      </c>
      <c r="T234">
        <f>IF(Charts!$B$3="none",H1161,IF(N1161="",NA(),N1161))</f>
        <v>0</v>
      </c>
    </row>
    <row r="235" spans="5:20">
      <c r="E235">
        <v>45</v>
      </c>
      <c r="F235">
        <f>F49</f>
        <v>0</v>
      </c>
      <c r="G235">
        <v>45</v>
      </c>
      <c r="H235">
        <f>H49</f>
        <v>0</v>
      </c>
      <c r="K235">
        <v>45</v>
      </c>
      <c r="L235">
        <f>L49</f>
        <v>0</v>
      </c>
      <c r="M235">
        <v>45</v>
      </c>
      <c r="N235">
        <f>N49</f>
        <v>0</v>
      </c>
      <c r="Q235">
        <f>IF(Charts!$B$3="none",E1162,IF(K1162="",NA(),K1162))</f>
        <v>0</v>
      </c>
      <c r="R235">
        <f>IF(Charts!$B$3="none",F1162,IF(L1162="",NA(),L1162))</f>
        <v>0</v>
      </c>
      <c r="S235">
        <f>IF(Charts!$B$3="none",G1162,IF(M1162="",NA(),M1162))</f>
        <v>0</v>
      </c>
      <c r="T235">
        <f>IF(Charts!$B$3="none",H1162,IF(N1162="",NA(),N1162))</f>
        <v>0</v>
      </c>
    </row>
    <row r="236" spans="5:20">
      <c r="E236">
        <v>46</v>
      </c>
      <c r="F236">
        <f>F50</f>
        <v>0</v>
      </c>
      <c r="G236">
        <v>46</v>
      </c>
      <c r="H236">
        <f>H50</f>
        <v>0</v>
      </c>
      <c r="K236">
        <v>46</v>
      </c>
      <c r="L236">
        <f>L50</f>
        <v>0</v>
      </c>
      <c r="M236">
        <v>46</v>
      </c>
      <c r="N236">
        <f>N50</f>
        <v>0</v>
      </c>
      <c r="Q236">
        <f>IF(Charts!$B$3="none",E1163,IF(K1163="",NA(),K1163))</f>
        <v>0</v>
      </c>
      <c r="R236">
        <f>IF(Charts!$B$3="none",F1163,IF(L1163="",NA(),L1163))</f>
        <v>0</v>
      </c>
      <c r="S236">
        <f>IF(Charts!$B$3="none",G1163,IF(M1163="",NA(),M1163))</f>
        <v>0</v>
      </c>
      <c r="T236">
        <f>IF(Charts!$B$3="none",H1163,IF(N1163="",NA(),N1163))</f>
        <v>0</v>
      </c>
    </row>
    <row r="237" spans="5:20">
      <c r="E237">
        <v>47</v>
      </c>
      <c r="F237">
        <f>F51</f>
        <v>0</v>
      </c>
      <c r="G237">
        <v>47</v>
      </c>
      <c r="H237">
        <f>H51</f>
        <v>0</v>
      </c>
      <c r="K237">
        <v>47</v>
      </c>
      <c r="L237">
        <f>L51</f>
        <v>0</v>
      </c>
      <c r="M237">
        <v>47</v>
      </c>
      <c r="N237">
        <f>N51</f>
        <v>0</v>
      </c>
      <c r="Q237">
        <f>IF(Charts!$B$3="none",E1164,IF(K1164="",NA(),K1164))</f>
        <v>0</v>
      </c>
      <c r="R237">
        <f>IF(Charts!$B$3="none",F1164,IF(L1164="",NA(),L1164))</f>
        <v>0</v>
      </c>
      <c r="S237">
        <f>IF(Charts!$B$3="none",G1164,IF(M1164="",NA(),M1164))</f>
        <v>0</v>
      </c>
      <c r="T237">
        <f>IF(Charts!$B$3="none",H1164,IF(N1164="",NA(),N1164))</f>
        <v>0</v>
      </c>
    </row>
    <row r="238" spans="5:20">
      <c r="E238">
        <v>48</v>
      </c>
      <c r="F238">
        <f>F52</f>
        <v>0</v>
      </c>
      <c r="G238">
        <v>48</v>
      </c>
      <c r="H238">
        <f>H52</f>
        <v>0</v>
      </c>
      <c r="K238">
        <v>48</v>
      </c>
      <c r="L238">
        <f>L52</f>
        <v>0</v>
      </c>
      <c r="M238">
        <v>48</v>
      </c>
      <c r="N238">
        <f>N52</f>
        <v>0</v>
      </c>
      <c r="Q238">
        <f>IF(Charts!$B$3="none",E1165,IF(K1165="",NA(),K1165))</f>
        <v>0</v>
      </c>
      <c r="R238">
        <f>IF(Charts!$B$3="none",F1165,IF(L1165="",NA(),L1165))</f>
        <v>0</v>
      </c>
      <c r="S238">
        <f>IF(Charts!$B$3="none",G1165,IF(M1165="",NA(),M1165))</f>
        <v>0</v>
      </c>
      <c r="T238">
        <f>IF(Charts!$B$3="none",H1165,IF(N1165="",NA(),N1165))</f>
        <v>0</v>
      </c>
    </row>
    <row r="239" spans="5:20">
      <c r="E239">
        <v>49</v>
      </c>
      <c r="F239">
        <f>F53</f>
        <v>0</v>
      </c>
      <c r="G239">
        <v>49</v>
      </c>
      <c r="H239">
        <f>H53</f>
        <v>0</v>
      </c>
      <c r="K239">
        <v>49</v>
      </c>
      <c r="L239">
        <f>L53</f>
        <v>0</v>
      </c>
      <c r="M239">
        <v>49</v>
      </c>
      <c r="N239">
        <f>N53</f>
        <v>0</v>
      </c>
      <c r="Q239">
        <f>IF(Charts!$B$3="none",E1166,IF(K1166="",NA(),K1166))</f>
        <v>0</v>
      </c>
      <c r="R239">
        <f>IF(Charts!$B$3="none",F1166,IF(L1166="",NA(),L1166))</f>
        <v>0</v>
      </c>
      <c r="S239">
        <f>IF(Charts!$B$3="none",G1166,IF(M1166="",NA(),M1166))</f>
        <v>0</v>
      </c>
      <c r="T239">
        <f>IF(Charts!$B$3="none",H1166,IF(N1166="",NA(),N1166))</f>
        <v>0</v>
      </c>
    </row>
    <row r="240" spans="5:20">
      <c r="E240">
        <v>50</v>
      </c>
      <c r="F240">
        <f>F54</f>
        <v>0</v>
      </c>
      <c r="G240">
        <v>50</v>
      </c>
      <c r="H240">
        <f>H54</f>
        <v>0</v>
      </c>
      <c r="K240">
        <v>50</v>
      </c>
      <c r="L240">
        <f>L54</f>
        <v>0</v>
      </c>
      <c r="M240">
        <v>50</v>
      </c>
      <c r="N240">
        <f>N54</f>
        <v>0</v>
      </c>
      <c r="Q240">
        <f>IF(Charts!$B$3="none",E1167,IF(K1167="",NA(),K1167))</f>
        <v>0</v>
      </c>
      <c r="R240">
        <f>IF(Charts!$B$3="none",F1167,IF(L1167="",NA(),L1167))</f>
        <v>0</v>
      </c>
      <c r="S240">
        <f>IF(Charts!$B$3="none",G1167,IF(M1167="",NA(),M1167))</f>
        <v>0</v>
      </c>
      <c r="T240">
        <f>IF(Charts!$B$3="none",H1167,IF(N1167="",NA(),N1167))</f>
        <v>0</v>
      </c>
    </row>
    <row r="241" spans="5:20">
      <c r="E241">
        <v>51</v>
      </c>
      <c r="F241">
        <f>F55</f>
        <v>0</v>
      </c>
      <c r="G241">
        <v>51</v>
      </c>
      <c r="H241">
        <f>H55</f>
        <v>0</v>
      </c>
      <c r="K241">
        <v>51</v>
      </c>
      <c r="L241">
        <f>L55</f>
        <v>0</v>
      </c>
      <c r="M241">
        <v>51</v>
      </c>
      <c r="N241">
        <f>N55</f>
        <v>0</v>
      </c>
      <c r="Q241">
        <f>IF(Charts!$B$3="none",E1168,IF(K1168="",NA(),K1168))</f>
        <v>0</v>
      </c>
      <c r="R241">
        <f>IF(Charts!$B$3="none",F1168,IF(L1168="",NA(),L1168))</f>
        <v>0</v>
      </c>
      <c r="S241">
        <f>IF(Charts!$B$3="none",G1168,IF(M1168="",NA(),M1168))</f>
        <v>0</v>
      </c>
      <c r="T241">
        <f>IF(Charts!$B$3="none",H1168,IF(N1168="",NA(),N1168))</f>
        <v>0</v>
      </c>
    </row>
    <row r="242" spans="5:20">
      <c r="E242">
        <v>52</v>
      </c>
      <c r="F242">
        <f>F56</f>
        <v>0</v>
      </c>
      <c r="G242">
        <v>52</v>
      </c>
      <c r="H242">
        <f>H56</f>
        <v>0</v>
      </c>
      <c r="K242">
        <v>52</v>
      </c>
      <c r="L242">
        <f>L56</f>
        <v>0</v>
      </c>
      <c r="M242">
        <v>52</v>
      </c>
      <c r="N242">
        <f>N56</f>
        <v>0</v>
      </c>
      <c r="Q242">
        <f>IF(Charts!$B$3="none",E1169,IF(K1169="",NA(),K1169))</f>
        <v>0</v>
      </c>
      <c r="R242">
        <f>IF(Charts!$B$3="none",F1169,IF(L1169="",NA(),L1169))</f>
        <v>0</v>
      </c>
      <c r="S242">
        <f>IF(Charts!$B$3="none",G1169,IF(M1169="",NA(),M1169))</f>
        <v>0</v>
      </c>
      <c r="T242">
        <f>IF(Charts!$B$3="none",H1169,IF(N1169="",NA(),N1169))</f>
        <v>0</v>
      </c>
    </row>
    <row r="243" spans="5:20">
      <c r="E243">
        <v>53</v>
      </c>
      <c r="F243">
        <f>F57</f>
        <v>0</v>
      </c>
      <c r="G243">
        <v>53</v>
      </c>
      <c r="H243">
        <f>H57</f>
        <v>0</v>
      </c>
      <c r="K243">
        <v>53</v>
      </c>
      <c r="L243">
        <f>L57</f>
        <v>0</v>
      </c>
      <c r="M243">
        <v>53</v>
      </c>
      <c r="N243">
        <f>N57</f>
        <v>0</v>
      </c>
      <c r="Q243">
        <f>IF(Charts!$B$3="none",E1170,IF(K1170="",NA(),K1170))</f>
        <v>0</v>
      </c>
      <c r="R243">
        <f>IF(Charts!$B$3="none",F1170,IF(L1170="",NA(),L1170))</f>
        <v>0</v>
      </c>
      <c r="S243">
        <f>IF(Charts!$B$3="none",G1170,IF(M1170="",NA(),M1170))</f>
        <v>0</v>
      </c>
      <c r="T243">
        <f>IF(Charts!$B$3="none",H1170,IF(N1170="",NA(),N1170))</f>
        <v>0</v>
      </c>
    </row>
    <row r="244" spans="5:20">
      <c r="E244">
        <v>54</v>
      </c>
      <c r="F244">
        <f>F58</f>
        <v>0</v>
      </c>
      <c r="G244">
        <v>54</v>
      </c>
      <c r="H244">
        <f>H58</f>
        <v>0</v>
      </c>
      <c r="K244">
        <v>54</v>
      </c>
      <c r="L244">
        <f>L58</f>
        <v>0</v>
      </c>
      <c r="M244">
        <v>54</v>
      </c>
      <c r="N244">
        <f>N58</f>
        <v>0</v>
      </c>
      <c r="Q244">
        <f>IF(Charts!$B$3="none",E1171,IF(K1171="",NA(),K1171))</f>
        <v>0</v>
      </c>
      <c r="R244">
        <f>IF(Charts!$B$3="none",F1171,IF(L1171="",NA(),L1171))</f>
        <v>0</v>
      </c>
      <c r="S244">
        <f>IF(Charts!$B$3="none",G1171,IF(M1171="",NA(),M1171))</f>
        <v>0</v>
      </c>
      <c r="T244">
        <f>IF(Charts!$B$3="none",H1171,IF(N1171="",NA(),N1171))</f>
        <v>0</v>
      </c>
    </row>
    <row r="245" spans="5:20">
      <c r="E245">
        <v>55</v>
      </c>
      <c r="F245">
        <f>F59</f>
        <v>0</v>
      </c>
      <c r="G245">
        <v>55</v>
      </c>
      <c r="H245">
        <f>H59</f>
        <v>0</v>
      </c>
      <c r="K245">
        <v>55</v>
      </c>
      <c r="L245">
        <f>L59</f>
        <v>0</v>
      </c>
      <c r="M245">
        <v>55</v>
      </c>
      <c r="N245">
        <f>N59</f>
        <v>0</v>
      </c>
      <c r="Q245">
        <f>IF(Charts!$B$3="none",E1172,IF(K1172="",NA(),K1172))</f>
        <v>0</v>
      </c>
      <c r="R245">
        <f>IF(Charts!$B$3="none",F1172,IF(L1172="",NA(),L1172))</f>
        <v>0</v>
      </c>
      <c r="S245">
        <f>IF(Charts!$B$3="none",G1172,IF(M1172="",NA(),M1172))</f>
        <v>0</v>
      </c>
      <c r="T245">
        <f>IF(Charts!$B$3="none",H1172,IF(N1172="",NA(),N1172))</f>
        <v>0</v>
      </c>
    </row>
    <row r="246" spans="5:20">
      <c r="E246">
        <v>56</v>
      </c>
      <c r="F246">
        <f>F60</f>
        <v>0</v>
      </c>
      <c r="G246">
        <v>56</v>
      </c>
      <c r="H246">
        <f>H60</f>
        <v>0</v>
      </c>
      <c r="K246">
        <v>56</v>
      </c>
      <c r="L246">
        <f>L60</f>
        <v>0</v>
      </c>
      <c r="M246">
        <v>56</v>
      </c>
      <c r="N246">
        <f>N60</f>
        <v>0</v>
      </c>
      <c r="Q246">
        <f>IF(Charts!$B$3="none",E1173,IF(K1173="",NA(),K1173))</f>
        <v>0</v>
      </c>
      <c r="R246">
        <f>IF(Charts!$B$3="none",F1173,IF(L1173="",NA(),L1173))</f>
        <v>0</v>
      </c>
      <c r="S246">
        <f>IF(Charts!$B$3="none",G1173,IF(M1173="",NA(),M1173))</f>
        <v>0</v>
      </c>
      <c r="T246">
        <f>IF(Charts!$B$3="none",H1173,IF(N1173="",NA(),N1173))</f>
        <v>0</v>
      </c>
    </row>
    <row r="247" spans="5:20">
      <c r="E247">
        <v>57</v>
      </c>
      <c r="F247">
        <f>F61</f>
        <v>0</v>
      </c>
      <c r="G247">
        <v>57</v>
      </c>
      <c r="H247">
        <f>H61</f>
        <v>0</v>
      </c>
      <c r="K247">
        <v>57</v>
      </c>
      <c r="L247">
        <f>L61</f>
        <v>0</v>
      </c>
      <c r="M247">
        <v>57</v>
      </c>
      <c r="N247">
        <f>N61</f>
        <v>0</v>
      </c>
      <c r="Q247">
        <f>IF(Charts!$B$3="none",E1174,IF(K1174="",NA(),K1174))</f>
        <v>0</v>
      </c>
      <c r="R247">
        <f>IF(Charts!$B$3="none",F1174,IF(L1174="",NA(),L1174))</f>
        <v>0</v>
      </c>
      <c r="S247">
        <f>IF(Charts!$B$3="none",G1174,IF(M1174="",NA(),M1174))</f>
        <v>0</v>
      </c>
      <c r="T247">
        <f>IF(Charts!$B$3="none",H1174,IF(N1174="",NA(),N1174))</f>
        <v>0</v>
      </c>
    </row>
    <row r="248" spans="5:20">
      <c r="E248">
        <v>58</v>
      </c>
      <c r="F248">
        <f>F62</f>
        <v>0</v>
      </c>
      <c r="G248">
        <v>58</v>
      </c>
      <c r="H248">
        <f>H62</f>
        <v>0</v>
      </c>
      <c r="K248">
        <v>58</v>
      </c>
      <c r="L248">
        <f>L62</f>
        <v>0</v>
      </c>
      <c r="M248">
        <v>58</v>
      </c>
      <c r="N248">
        <f>N62</f>
        <v>0</v>
      </c>
      <c r="Q248">
        <f>IF(Charts!$B$3="none",E1175,IF(K1175="",NA(),K1175))</f>
        <v>0</v>
      </c>
      <c r="R248">
        <f>IF(Charts!$B$3="none",F1175,IF(L1175="",NA(),L1175))</f>
        <v>0</v>
      </c>
      <c r="S248">
        <f>IF(Charts!$B$3="none",G1175,IF(M1175="",NA(),M1175))</f>
        <v>0</v>
      </c>
      <c r="T248">
        <f>IF(Charts!$B$3="none",H1175,IF(N1175="",NA(),N1175))</f>
        <v>0</v>
      </c>
    </row>
    <row r="249" spans="5:20">
      <c r="E249">
        <v>59</v>
      </c>
      <c r="F249">
        <f>F63</f>
        <v>0</v>
      </c>
      <c r="G249">
        <v>59</v>
      </c>
      <c r="H249">
        <f>H63</f>
        <v>0</v>
      </c>
      <c r="K249">
        <v>59</v>
      </c>
      <c r="L249">
        <f>L63</f>
        <v>0</v>
      </c>
      <c r="M249">
        <v>59</v>
      </c>
      <c r="N249">
        <f>N63</f>
        <v>0</v>
      </c>
      <c r="Q249">
        <f>IF(Charts!$B$3="none",E1176,IF(K1176="",NA(),K1176))</f>
        <v>0</v>
      </c>
      <c r="R249">
        <f>IF(Charts!$B$3="none",F1176,IF(L1176="",NA(),L1176))</f>
        <v>0</v>
      </c>
      <c r="S249">
        <f>IF(Charts!$B$3="none",G1176,IF(M1176="",NA(),M1176))</f>
        <v>0</v>
      </c>
      <c r="T249">
        <f>IF(Charts!$B$3="none",H1176,IF(N1176="",NA(),N1176))</f>
        <v>0</v>
      </c>
    </row>
    <row r="250" spans="5:20">
      <c r="E250">
        <v>60</v>
      </c>
      <c r="F250">
        <f>F64</f>
        <v>0</v>
      </c>
      <c r="G250">
        <v>60</v>
      </c>
      <c r="H250">
        <f>H64</f>
        <v>0</v>
      </c>
      <c r="K250">
        <v>60</v>
      </c>
      <c r="L250">
        <f>L64</f>
        <v>0</v>
      </c>
      <c r="M250">
        <v>60</v>
      </c>
      <c r="N250">
        <f>N64</f>
        <v>0</v>
      </c>
      <c r="Q250">
        <f>IF(Charts!$B$3="none",E1177,IF(K1177="",NA(),K1177))</f>
        <v>0</v>
      </c>
      <c r="R250">
        <f>IF(Charts!$B$3="none",F1177,IF(L1177="",NA(),L1177))</f>
        <v>0</v>
      </c>
      <c r="S250">
        <f>IF(Charts!$B$3="none",G1177,IF(M1177="",NA(),M1177))</f>
        <v>0</v>
      </c>
      <c r="T250">
        <f>IF(Charts!$B$3="none",H1177,IF(N1177="",NA(),N1177))</f>
        <v>0</v>
      </c>
    </row>
    <row r="251" spans="5:20">
      <c r="E251">
        <v>61</v>
      </c>
      <c r="F251">
        <f>F65</f>
        <v>0</v>
      </c>
      <c r="G251">
        <v>61</v>
      </c>
      <c r="H251">
        <f>H65</f>
        <v>0</v>
      </c>
      <c r="K251">
        <v>61</v>
      </c>
      <c r="L251">
        <f>L65</f>
        <v>0</v>
      </c>
      <c r="M251">
        <v>61</v>
      </c>
      <c r="N251">
        <f>N65</f>
        <v>0</v>
      </c>
      <c r="Q251">
        <f>IF(Charts!$B$3="none",E1178,IF(K1178="",NA(),K1178))</f>
        <v>0</v>
      </c>
      <c r="R251">
        <f>IF(Charts!$B$3="none",F1178,IF(L1178="",NA(),L1178))</f>
        <v>0</v>
      </c>
      <c r="S251">
        <f>IF(Charts!$B$3="none",G1178,IF(M1178="",NA(),M1178))</f>
        <v>0</v>
      </c>
      <c r="T251">
        <f>IF(Charts!$B$3="none",H1178,IF(N1178="",NA(),N1178))</f>
        <v>0</v>
      </c>
    </row>
    <row r="252" spans="5:20">
      <c r="E252">
        <v>62</v>
      </c>
      <c r="F252">
        <f>F66</f>
        <v>0</v>
      </c>
      <c r="G252">
        <v>62</v>
      </c>
      <c r="H252">
        <f>H66</f>
        <v>0</v>
      </c>
      <c r="K252">
        <v>62</v>
      </c>
      <c r="L252">
        <f>L66</f>
        <v>0</v>
      </c>
      <c r="M252">
        <v>62</v>
      </c>
      <c r="N252">
        <f>N66</f>
        <v>0</v>
      </c>
      <c r="Q252">
        <f>IF(Charts!$B$3="none",E1179,IF(K1179="",NA(),K1179))</f>
        <v>0</v>
      </c>
      <c r="R252">
        <f>IF(Charts!$B$3="none",F1179,IF(L1179="",NA(),L1179))</f>
        <v>0</v>
      </c>
      <c r="S252">
        <f>IF(Charts!$B$3="none",G1179,IF(M1179="",NA(),M1179))</f>
        <v>0</v>
      </c>
      <c r="T252">
        <f>IF(Charts!$B$3="none",H1179,IF(N1179="",NA(),N1179))</f>
        <v>0</v>
      </c>
    </row>
    <row r="253" spans="5:20">
      <c r="E253">
        <v>63</v>
      </c>
      <c r="F253">
        <f>F67</f>
        <v>0</v>
      </c>
      <c r="G253">
        <v>63</v>
      </c>
      <c r="H253">
        <f>H67</f>
        <v>0</v>
      </c>
      <c r="K253">
        <v>63</v>
      </c>
      <c r="L253">
        <f>L67</f>
        <v>0</v>
      </c>
      <c r="M253">
        <v>63</v>
      </c>
      <c r="N253">
        <f>N67</f>
        <v>0</v>
      </c>
      <c r="Q253">
        <f>IF(Charts!$B$3="none",E1180,IF(K1180="",NA(),K1180))</f>
        <v>0</v>
      </c>
      <c r="R253">
        <f>IF(Charts!$B$3="none",F1180,IF(L1180="",NA(),L1180))</f>
        <v>0</v>
      </c>
      <c r="S253">
        <f>IF(Charts!$B$3="none",G1180,IF(M1180="",NA(),M1180))</f>
        <v>0</v>
      </c>
      <c r="T253">
        <f>IF(Charts!$B$3="none",H1180,IF(N1180="",NA(),N1180))</f>
        <v>0</v>
      </c>
    </row>
    <row r="254" spans="5:20">
      <c r="E254">
        <v>64</v>
      </c>
      <c r="F254">
        <f>F68</f>
        <v>0</v>
      </c>
      <c r="G254">
        <v>64</v>
      </c>
      <c r="H254">
        <f>H68</f>
        <v>0</v>
      </c>
      <c r="K254">
        <v>64</v>
      </c>
      <c r="L254">
        <f>L68</f>
        <v>0</v>
      </c>
      <c r="M254">
        <v>64</v>
      </c>
      <c r="N254">
        <f>N68</f>
        <v>0</v>
      </c>
      <c r="Q254">
        <f>IF(Charts!$B$3="none",E1181,IF(K1181="",NA(),K1181))</f>
        <v>0</v>
      </c>
      <c r="R254">
        <f>IF(Charts!$B$3="none",F1181,IF(L1181="",NA(),L1181))</f>
        <v>0</v>
      </c>
      <c r="S254">
        <f>IF(Charts!$B$3="none",G1181,IF(M1181="",NA(),M1181))</f>
        <v>0</v>
      </c>
      <c r="T254">
        <f>IF(Charts!$B$3="none",H1181,IF(N1181="",NA(),N1181))</f>
        <v>0</v>
      </c>
    </row>
    <row r="255" spans="5:20">
      <c r="E255">
        <v>65</v>
      </c>
      <c r="F255">
        <f>F69</f>
        <v>0</v>
      </c>
      <c r="G255">
        <v>65</v>
      </c>
      <c r="H255">
        <f>H69</f>
        <v>0</v>
      </c>
      <c r="K255">
        <v>65</v>
      </c>
      <c r="L255">
        <f>L69</f>
        <v>0</v>
      </c>
      <c r="M255">
        <v>65</v>
      </c>
      <c r="N255">
        <f>N69</f>
        <v>0</v>
      </c>
      <c r="Q255">
        <f>IF(Charts!$B$3="none",E1182,IF(K1182="",NA(),K1182))</f>
        <v>0</v>
      </c>
      <c r="R255">
        <f>IF(Charts!$B$3="none",F1182,IF(L1182="",NA(),L1182))</f>
        <v>0</v>
      </c>
      <c r="S255">
        <f>IF(Charts!$B$3="none",G1182,IF(M1182="",NA(),M1182))</f>
        <v>0</v>
      </c>
      <c r="T255">
        <f>IF(Charts!$B$3="none",H1182,IF(N1182="",NA(),N1182))</f>
        <v>0</v>
      </c>
    </row>
    <row r="256" spans="5:20">
      <c r="E256">
        <v>66</v>
      </c>
      <c r="F256">
        <f>F70</f>
        <v>0</v>
      </c>
      <c r="G256">
        <v>66</v>
      </c>
      <c r="H256">
        <f>H70</f>
        <v>0</v>
      </c>
      <c r="K256">
        <v>66</v>
      </c>
      <c r="L256">
        <f>L70</f>
        <v>0</v>
      </c>
      <c r="M256">
        <v>66</v>
      </c>
      <c r="N256">
        <f>N70</f>
        <v>0</v>
      </c>
      <c r="Q256">
        <f>IF(Charts!$B$3="none",E1183,IF(K1183="",NA(),K1183))</f>
        <v>0</v>
      </c>
      <c r="R256">
        <f>IF(Charts!$B$3="none",F1183,IF(L1183="",NA(),L1183))</f>
        <v>0</v>
      </c>
      <c r="S256">
        <f>IF(Charts!$B$3="none",G1183,IF(M1183="",NA(),M1183))</f>
        <v>0</v>
      </c>
      <c r="T256">
        <f>IF(Charts!$B$3="none",H1183,IF(N1183="",NA(),N1183))</f>
        <v>0</v>
      </c>
    </row>
    <row r="257" spans="5:20">
      <c r="E257">
        <v>67</v>
      </c>
      <c r="F257">
        <f>F71</f>
        <v>0</v>
      </c>
      <c r="G257">
        <v>67</v>
      </c>
      <c r="H257">
        <f>H71</f>
        <v>0</v>
      </c>
      <c r="K257">
        <v>67</v>
      </c>
      <c r="L257">
        <f>L71</f>
        <v>0</v>
      </c>
      <c r="M257">
        <v>67</v>
      </c>
      <c r="N257">
        <f>N71</f>
        <v>0</v>
      </c>
      <c r="Q257">
        <f>IF(Charts!$B$3="none",E1184,IF(K1184="",NA(),K1184))</f>
        <v>0</v>
      </c>
      <c r="R257">
        <f>IF(Charts!$B$3="none",F1184,IF(L1184="",NA(),L1184))</f>
        <v>0</v>
      </c>
      <c r="S257">
        <f>IF(Charts!$B$3="none",G1184,IF(M1184="",NA(),M1184))</f>
        <v>0</v>
      </c>
      <c r="T257">
        <f>IF(Charts!$B$3="none",H1184,IF(N1184="",NA(),N1184))</f>
        <v>0</v>
      </c>
    </row>
    <row r="258" spans="5:20">
      <c r="E258">
        <v>68</v>
      </c>
      <c r="F258">
        <f>F72</f>
        <v>0</v>
      </c>
      <c r="G258">
        <v>68</v>
      </c>
      <c r="H258">
        <f>H72</f>
        <v>0</v>
      </c>
      <c r="K258">
        <v>68</v>
      </c>
      <c r="L258">
        <f>L72</f>
        <v>0</v>
      </c>
      <c r="M258">
        <v>68</v>
      </c>
      <c r="N258">
        <f>N72</f>
        <v>0</v>
      </c>
      <c r="Q258">
        <f>IF(Charts!$B$3="none",E1185,IF(K1185="",NA(),K1185))</f>
        <v>0</v>
      </c>
      <c r="R258">
        <f>IF(Charts!$B$3="none",F1185,IF(L1185="",NA(),L1185))</f>
        <v>0</v>
      </c>
      <c r="S258">
        <f>IF(Charts!$B$3="none",G1185,IF(M1185="",NA(),M1185))</f>
        <v>0</v>
      </c>
      <c r="T258">
        <f>IF(Charts!$B$3="none",H1185,IF(N1185="",NA(),N1185))</f>
        <v>0</v>
      </c>
    </row>
    <row r="259" spans="5:20">
      <c r="E259">
        <v>69</v>
      </c>
      <c r="F259">
        <f>F73</f>
        <v>0</v>
      </c>
      <c r="G259">
        <v>69</v>
      </c>
      <c r="H259">
        <f>H73</f>
        <v>0</v>
      </c>
      <c r="K259">
        <v>69</v>
      </c>
      <c r="L259">
        <f>L73</f>
        <v>0</v>
      </c>
      <c r="M259">
        <v>69</v>
      </c>
      <c r="N259">
        <f>N73</f>
        <v>0</v>
      </c>
      <c r="Q259">
        <f>IF(Charts!$B$3="none",E1186,IF(K1186="",NA(),K1186))</f>
        <v>0</v>
      </c>
      <c r="R259">
        <f>IF(Charts!$B$3="none",F1186,IF(L1186="",NA(),L1186))</f>
        <v>0</v>
      </c>
      <c r="S259">
        <f>IF(Charts!$B$3="none",G1186,IF(M1186="",NA(),M1186))</f>
        <v>0</v>
      </c>
      <c r="T259">
        <f>IF(Charts!$B$3="none",H1186,IF(N1186="",NA(),N1186))</f>
        <v>0</v>
      </c>
    </row>
    <row r="260" spans="5:20">
      <c r="E260">
        <v>70</v>
      </c>
      <c r="F260">
        <f>F74</f>
        <v>0</v>
      </c>
      <c r="G260">
        <v>70</v>
      </c>
      <c r="H260">
        <f>H74</f>
        <v>0</v>
      </c>
      <c r="K260">
        <v>70</v>
      </c>
      <c r="L260">
        <f>L74</f>
        <v>0</v>
      </c>
      <c r="M260">
        <v>70</v>
      </c>
      <c r="N260">
        <f>N74</f>
        <v>0</v>
      </c>
      <c r="Q260">
        <f>IF(Charts!$B$3="none",E1187,IF(K1187="",NA(),K1187))</f>
        <v>0</v>
      </c>
      <c r="R260">
        <f>IF(Charts!$B$3="none",F1187,IF(L1187="",NA(),L1187))</f>
        <v>0</v>
      </c>
      <c r="S260">
        <f>IF(Charts!$B$3="none",G1187,IF(M1187="",NA(),M1187))</f>
        <v>0</v>
      </c>
      <c r="T260">
        <f>IF(Charts!$B$3="none",H1187,IF(N1187="",NA(),N1187))</f>
        <v>0</v>
      </c>
    </row>
    <row r="261" spans="5:20">
      <c r="E261">
        <v>71</v>
      </c>
      <c r="F261">
        <f>F75</f>
        <v>0</v>
      </c>
      <c r="G261">
        <v>71</v>
      </c>
      <c r="H261">
        <f>H75</f>
        <v>0</v>
      </c>
      <c r="K261">
        <v>71</v>
      </c>
      <c r="L261">
        <f>L75</f>
        <v>0</v>
      </c>
      <c r="M261">
        <v>71</v>
      </c>
      <c r="N261">
        <f>N75</f>
        <v>0</v>
      </c>
      <c r="Q261">
        <f>IF(Charts!$B$3="none",E1188,IF(K1188="",NA(),K1188))</f>
        <v>0</v>
      </c>
      <c r="R261">
        <f>IF(Charts!$B$3="none",F1188,IF(L1188="",NA(),L1188))</f>
        <v>0</v>
      </c>
      <c r="S261">
        <f>IF(Charts!$B$3="none",G1188,IF(M1188="",NA(),M1188))</f>
        <v>0</v>
      </c>
      <c r="T261">
        <f>IF(Charts!$B$3="none",H1188,IF(N1188="",NA(),N1188))</f>
        <v>0</v>
      </c>
    </row>
    <row r="262" spans="5:20">
      <c r="E262">
        <v>72</v>
      </c>
      <c r="F262">
        <f>F76</f>
        <v>0</v>
      </c>
      <c r="G262">
        <v>72</v>
      </c>
      <c r="H262">
        <f>H76</f>
        <v>0</v>
      </c>
      <c r="K262">
        <v>72</v>
      </c>
      <c r="L262">
        <f>L76</f>
        <v>0</v>
      </c>
      <c r="M262">
        <v>72</v>
      </c>
      <c r="N262">
        <f>N76</f>
        <v>0</v>
      </c>
      <c r="Q262">
        <f>IF(Charts!$B$3="none",E1189,IF(K1189="",NA(),K1189))</f>
        <v>0</v>
      </c>
      <c r="R262">
        <f>IF(Charts!$B$3="none",F1189,IF(L1189="",NA(),L1189))</f>
        <v>0</v>
      </c>
      <c r="S262">
        <f>IF(Charts!$B$3="none",G1189,IF(M1189="",NA(),M1189))</f>
        <v>0</v>
      </c>
      <c r="T262">
        <f>IF(Charts!$B$3="none",H1189,IF(N1189="",NA(),N1189))</f>
        <v>0</v>
      </c>
    </row>
    <row r="263" spans="5:20">
      <c r="E263">
        <v>73</v>
      </c>
      <c r="F263">
        <f>F77</f>
        <v>0</v>
      </c>
      <c r="G263">
        <v>73</v>
      </c>
      <c r="H263">
        <f>H77</f>
        <v>0</v>
      </c>
      <c r="K263">
        <v>73</v>
      </c>
      <c r="L263">
        <f>L77</f>
        <v>0</v>
      </c>
      <c r="M263">
        <v>73</v>
      </c>
      <c r="N263">
        <f>N77</f>
        <v>0</v>
      </c>
      <c r="Q263">
        <f>IF(Charts!$B$3="none",E1190,IF(K1190="",NA(),K1190))</f>
        <v>0</v>
      </c>
      <c r="R263">
        <f>IF(Charts!$B$3="none",F1190,IF(L1190="",NA(),L1190))</f>
        <v>0</v>
      </c>
      <c r="S263">
        <f>IF(Charts!$B$3="none",G1190,IF(M1190="",NA(),M1190))</f>
        <v>0</v>
      </c>
      <c r="T263">
        <f>IF(Charts!$B$3="none",H1190,IF(N1190="",NA(),N1190))</f>
        <v>0</v>
      </c>
    </row>
    <row r="264" spans="5:20">
      <c r="E264">
        <v>74</v>
      </c>
      <c r="F264">
        <f>F78</f>
        <v>0</v>
      </c>
      <c r="G264">
        <v>74</v>
      </c>
      <c r="H264">
        <f>H78</f>
        <v>0</v>
      </c>
      <c r="K264">
        <v>74</v>
      </c>
      <c r="L264">
        <f>L78</f>
        <v>0</v>
      </c>
      <c r="M264">
        <v>74</v>
      </c>
      <c r="N264">
        <f>N78</f>
        <v>0</v>
      </c>
      <c r="Q264">
        <f>IF(Charts!$B$3="none",E1191,IF(K1191="",NA(),K1191))</f>
        <v>0</v>
      </c>
      <c r="R264">
        <f>IF(Charts!$B$3="none",F1191,IF(L1191="",NA(),L1191))</f>
        <v>0</v>
      </c>
      <c r="S264">
        <f>IF(Charts!$B$3="none",G1191,IF(M1191="",NA(),M1191))</f>
        <v>0</v>
      </c>
      <c r="T264">
        <f>IF(Charts!$B$3="none",H1191,IF(N1191="",NA(),N1191))</f>
        <v>0</v>
      </c>
    </row>
    <row r="265" spans="5:20">
      <c r="E265">
        <v>75</v>
      </c>
      <c r="F265">
        <f>F79</f>
        <v>0</v>
      </c>
      <c r="G265">
        <v>75</v>
      </c>
      <c r="H265">
        <f>H79</f>
        <v>0</v>
      </c>
      <c r="K265">
        <v>75</v>
      </c>
      <c r="L265">
        <f>L79</f>
        <v>0</v>
      </c>
      <c r="M265">
        <v>75</v>
      </c>
      <c r="N265">
        <f>N79</f>
        <v>0</v>
      </c>
      <c r="Q265">
        <f>IF(Charts!$B$3="none",E1192,IF(K1192="",NA(),K1192))</f>
        <v>0</v>
      </c>
      <c r="R265">
        <f>IF(Charts!$B$3="none",F1192,IF(L1192="",NA(),L1192))</f>
        <v>0</v>
      </c>
      <c r="S265">
        <f>IF(Charts!$B$3="none",G1192,IF(M1192="",NA(),M1192))</f>
        <v>0</v>
      </c>
      <c r="T265">
        <f>IF(Charts!$B$3="none",H1192,IF(N1192="",NA(),N1192))</f>
        <v>0</v>
      </c>
    </row>
    <row r="266" spans="5:20">
      <c r="E266">
        <v>76</v>
      </c>
      <c r="F266">
        <f>F80</f>
        <v>0</v>
      </c>
      <c r="G266">
        <v>76</v>
      </c>
      <c r="H266">
        <f>H80</f>
        <v>0</v>
      </c>
      <c r="K266">
        <v>76</v>
      </c>
      <c r="L266">
        <f>L80</f>
        <v>0</v>
      </c>
      <c r="M266">
        <v>76</v>
      </c>
      <c r="N266">
        <f>N80</f>
        <v>0</v>
      </c>
      <c r="Q266">
        <f>IF(Charts!$B$3="none",E1193,IF(K1193="",NA(),K1193))</f>
        <v>0</v>
      </c>
      <c r="R266">
        <f>IF(Charts!$B$3="none",F1193,IF(L1193="",NA(),L1193))</f>
        <v>0</v>
      </c>
      <c r="S266">
        <f>IF(Charts!$B$3="none",G1193,IF(M1193="",NA(),M1193))</f>
        <v>0</v>
      </c>
      <c r="T266">
        <f>IF(Charts!$B$3="none",H1193,IF(N1193="",NA(),N1193))</f>
        <v>0</v>
      </c>
    </row>
    <row r="267" spans="5:20">
      <c r="E267">
        <v>77</v>
      </c>
      <c r="F267">
        <f>F81</f>
        <v>0</v>
      </c>
      <c r="G267">
        <v>77</v>
      </c>
      <c r="H267">
        <f>H81</f>
        <v>0</v>
      </c>
      <c r="K267">
        <v>77</v>
      </c>
      <c r="L267">
        <f>L81</f>
        <v>0</v>
      </c>
      <c r="M267">
        <v>77</v>
      </c>
      <c r="N267">
        <f>N81</f>
        <v>0</v>
      </c>
      <c r="Q267">
        <f>IF(Charts!$B$3="none",E1194,IF(K1194="",NA(),K1194))</f>
        <v>0</v>
      </c>
      <c r="R267">
        <f>IF(Charts!$B$3="none",F1194,IF(L1194="",NA(),L1194))</f>
        <v>0</v>
      </c>
      <c r="S267">
        <f>IF(Charts!$B$3="none",G1194,IF(M1194="",NA(),M1194))</f>
        <v>0</v>
      </c>
      <c r="T267">
        <f>IF(Charts!$B$3="none",H1194,IF(N1194="",NA(),N1194))</f>
        <v>0</v>
      </c>
    </row>
    <row r="268" spans="5:20">
      <c r="E268">
        <v>78</v>
      </c>
      <c r="F268">
        <f>F82</f>
        <v>0</v>
      </c>
      <c r="G268">
        <v>78</v>
      </c>
      <c r="H268">
        <f>H82</f>
        <v>0</v>
      </c>
      <c r="K268">
        <v>78</v>
      </c>
      <c r="L268">
        <f>L82</f>
        <v>0</v>
      </c>
      <c r="M268">
        <v>78</v>
      </c>
      <c r="N268">
        <f>N82</f>
        <v>0</v>
      </c>
      <c r="Q268">
        <f>IF(Charts!$B$3="none",E1195,IF(K1195="",NA(),K1195))</f>
        <v>0</v>
      </c>
      <c r="R268">
        <f>IF(Charts!$B$3="none",F1195,IF(L1195="",NA(),L1195))</f>
        <v>0</v>
      </c>
      <c r="S268">
        <f>IF(Charts!$B$3="none",G1195,IF(M1195="",NA(),M1195))</f>
        <v>0</v>
      </c>
      <c r="T268">
        <f>IF(Charts!$B$3="none",H1195,IF(N1195="",NA(),N1195))</f>
        <v>0</v>
      </c>
    </row>
    <row r="269" spans="5:20">
      <c r="E269">
        <v>79</v>
      </c>
      <c r="F269">
        <f>F83</f>
        <v>0</v>
      </c>
      <c r="G269">
        <v>79</v>
      </c>
      <c r="H269">
        <f>H83</f>
        <v>0</v>
      </c>
      <c r="K269">
        <v>79</v>
      </c>
      <c r="L269">
        <f>L83</f>
        <v>0</v>
      </c>
      <c r="M269">
        <v>79</v>
      </c>
      <c r="N269">
        <f>N83</f>
        <v>0</v>
      </c>
      <c r="Q269">
        <f>IF(Charts!$B$3="none",E1196,IF(K1196="",NA(),K1196))</f>
        <v>0</v>
      </c>
      <c r="R269">
        <f>IF(Charts!$B$3="none",F1196,IF(L1196="",NA(),L1196))</f>
        <v>0</v>
      </c>
      <c r="S269">
        <f>IF(Charts!$B$3="none",G1196,IF(M1196="",NA(),M1196))</f>
        <v>0</v>
      </c>
      <c r="T269">
        <f>IF(Charts!$B$3="none",H1196,IF(N1196="",NA(),N1196))</f>
        <v>0</v>
      </c>
    </row>
    <row r="270" spans="5:20">
      <c r="E270">
        <v>80</v>
      </c>
      <c r="F270">
        <f>F84</f>
        <v>0</v>
      </c>
      <c r="G270">
        <v>80</v>
      </c>
      <c r="H270">
        <f>H84</f>
        <v>0</v>
      </c>
      <c r="K270">
        <v>80</v>
      </c>
      <c r="L270">
        <f>L84</f>
        <v>0</v>
      </c>
      <c r="M270">
        <v>80</v>
      </c>
      <c r="N270">
        <f>N84</f>
        <v>0</v>
      </c>
      <c r="Q270">
        <f>IF(Charts!$B$3="none",E1197,IF(K1197="",NA(),K1197))</f>
        <v>0</v>
      </c>
      <c r="R270">
        <f>IF(Charts!$B$3="none",F1197,IF(L1197="",NA(),L1197))</f>
        <v>0</v>
      </c>
      <c r="S270">
        <f>IF(Charts!$B$3="none",G1197,IF(M1197="",NA(),M1197))</f>
        <v>0</v>
      </c>
      <c r="T270">
        <f>IF(Charts!$B$3="none",H1197,IF(N1197="",NA(),N1197))</f>
        <v>0</v>
      </c>
    </row>
    <row r="271" spans="5:20">
      <c r="E271">
        <v>81</v>
      </c>
      <c r="F271">
        <f>F85</f>
        <v>0</v>
      </c>
      <c r="G271">
        <v>81</v>
      </c>
      <c r="H271">
        <f>H85</f>
        <v>0</v>
      </c>
      <c r="K271">
        <v>81</v>
      </c>
      <c r="L271">
        <f>L85</f>
        <v>0</v>
      </c>
      <c r="M271">
        <v>81</v>
      </c>
      <c r="N271">
        <f>N85</f>
        <v>0</v>
      </c>
      <c r="Q271">
        <f>IF(Charts!$B$3="none",E1198,IF(K1198="",NA(),K1198))</f>
        <v>0</v>
      </c>
      <c r="R271">
        <f>IF(Charts!$B$3="none",F1198,IF(L1198="",NA(),L1198))</f>
        <v>0</v>
      </c>
      <c r="S271">
        <f>IF(Charts!$B$3="none",G1198,IF(M1198="",NA(),M1198))</f>
        <v>0</v>
      </c>
      <c r="T271">
        <f>IF(Charts!$B$3="none",H1198,IF(N1198="",NA(),N1198))</f>
        <v>0</v>
      </c>
    </row>
    <row r="272" spans="5:20">
      <c r="E272">
        <v>82</v>
      </c>
      <c r="F272">
        <f>F86</f>
        <v>0</v>
      </c>
      <c r="G272">
        <v>82</v>
      </c>
      <c r="H272">
        <f>H86</f>
        <v>0</v>
      </c>
      <c r="K272">
        <v>82</v>
      </c>
      <c r="L272">
        <f>L86</f>
        <v>0</v>
      </c>
      <c r="M272">
        <v>82</v>
      </c>
      <c r="N272">
        <f>N86</f>
        <v>0</v>
      </c>
      <c r="Q272">
        <f>IF(Charts!$B$3="none",E1199,IF(K1199="",NA(),K1199))</f>
        <v>0</v>
      </c>
      <c r="R272">
        <f>IF(Charts!$B$3="none",F1199,IF(L1199="",NA(),L1199))</f>
        <v>0</v>
      </c>
      <c r="S272">
        <f>IF(Charts!$B$3="none",G1199,IF(M1199="",NA(),M1199))</f>
        <v>0</v>
      </c>
      <c r="T272">
        <f>IF(Charts!$B$3="none",H1199,IF(N1199="",NA(),N1199))</f>
        <v>0</v>
      </c>
    </row>
    <row r="273" spans="5:20">
      <c r="E273">
        <v>83</v>
      </c>
      <c r="F273">
        <f>F87</f>
        <v>0</v>
      </c>
      <c r="G273">
        <v>83</v>
      </c>
      <c r="H273">
        <f>H87</f>
        <v>0</v>
      </c>
      <c r="K273">
        <v>83</v>
      </c>
      <c r="L273">
        <f>L87</f>
        <v>0</v>
      </c>
      <c r="M273">
        <v>83</v>
      </c>
      <c r="N273">
        <f>N87</f>
        <v>0</v>
      </c>
      <c r="Q273">
        <f>IF(Charts!$B$3="none",E1200,IF(K1200="",NA(),K1200))</f>
        <v>0</v>
      </c>
      <c r="R273">
        <f>IF(Charts!$B$3="none",F1200,IF(L1200="",NA(),L1200))</f>
        <v>0</v>
      </c>
      <c r="S273">
        <f>IF(Charts!$B$3="none",G1200,IF(M1200="",NA(),M1200))</f>
        <v>0</v>
      </c>
      <c r="T273">
        <f>IF(Charts!$B$3="none",H1200,IF(N1200="",NA(),N1200))</f>
        <v>0</v>
      </c>
    </row>
    <row r="274" spans="5:20">
      <c r="E274">
        <v>84</v>
      </c>
      <c r="F274">
        <f>F88</f>
        <v>0</v>
      </c>
      <c r="G274">
        <v>84</v>
      </c>
      <c r="H274">
        <f>H88</f>
        <v>0</v>
      </c>
      <c r="K274">
        <v>84</v>
      </c>
      <c r="L274">
        <f>L88</f>
        <v>0</v>
      </c>
      <c r="M274">
        <v>84</v>
      </c>
      <c r="N274">
        <f>N88</f>
        <v>0</v>
      </c>
      <c r="Q274">
        <f>IF(Charts!$B$3="none",E1201,IF(K1201="",NA(),K1201))</f>
        <v>0</v>
      </c>
      <c r="R274">
        <f>IF(Charts!$B$3="none",F1201,IF(L1201="",NA(),L1201))</f>
        <v>0</v>
      </c>
      <c r="S274">
        <f>IF(Charts!$B$3="none",G1201,IF(M1201="",NA(),M1201))</f>
        <v>0</v>
      </c>
      <c r="T274">
        <f>IF(Charts!$B$3="none",H1201,IF(N1201="",NA(),N1201))</f>
        <v>0</v>
      </c>
    </row>
    <row r="275" spans="5:20">
      <c r="E275">
        <v>85</v>
      </c>
      <c r="F275">
        <f>F89</f>
        <v>0</v>
      </c>
      <c r="G275">
        <v>85</v>
      </c>
      <c r="H275">
        <f>H89</f>
        <v>0</v>
      </c>
      <c r="K275">
        <v>85</v>
      </c>
      <c r="L275">
        <f>L89</f>
        <v>0</v>
      </c>
      <c r="M275">
        <v>85</v>
      </c>
      <c r="N275">
        <f>N89</f>
        <v>0</v>
      </c>
      <c r="Q275">
        <f>IF(Charts!$B$3="none",E1202,IF(K1202="",NA(),K1202))</f>
        <v>0</v>
      </c>
      <c r="R275">
        <f>IF(Charts!$B$3="none",F1202,IF(L1202="",NA(),L1202))</f>
        <v>0</v>
      </c>
      <c r="S275">
        <f>IF(Charts!$B$3="none",G1202,IF(M1202="",NA(),M1202))</f>
        <v>0</v>
      </c>
      <c r="T275">
        <f>IF(Charts!$B$3="none",H1202,IF(N1202="",NA(),N1202))</f>
        <v>0</v>
      </c>
    </row>
    <row r="276" spans="5:20">
      <c r="E276">
        <v>86</v>
      </c>
      <c r="F276">
        <f>F90</f>
        <v>0</v>
      </c>
      <c r="G276">
        <v>86</v>
      </c>
      <c r="H276">
        <f>H90</f>
        <v>0</v>
      </c>
      <c r="K276">
        <v>86</v>
      </c>
      <c r="L276">
        <f>L90</f>
        <v>0</v>
      </c>
      <c r="M276">
        <v>86</v>
      </c>
      <c r="N276">
        <f>N90</f>
        <v>0</v>
      </c>
      <c r="Q276">
        <f>IF(Charts!$B$3="none",E1203,IF(K1203="",NA(),K1203))</f>
        <v>0</v>
      </c>
      <c r="R276">
        <f>IF(Charts!$B$3="none",F1203,IF(L1203="",NA(),L1203))</f>
        <v>0</v>
      </c>
      <c r="S276">
        <f>IF(Charts!$B$3="none",G1203,IF(M1203="",NA(),M1203))</f>
        <v>0</v>
      </c>
      <c r="T276">
        <f>IF(Charts!$B$3="none",H1203,IF(N1203="",NA(),N1203))</f>
        <v>0</v>
      </c>
    </row>
    <row r="277" spans="5:20">
      <c r="E277">
        <v>87</v>
      </c>
      <c r="F277">
        <f>F91</f>
        <v>0</v>
      </c>
      <c r="G277">
        <v>87</v>
      </c>
      <c r="H277">
        <f>H91</f>
        <v>0</v>
      </c>
      <c r="K277">
        <v>87</v>
      </c>
      <c r="L277">
        <f>L91</f>
        <v>0</v>
      </c>
      <c r="M277">
        <v>87</v>
      </c>
      <c r="N277">
        <f>N91</f>
        <v>0</v>
      </c>
      <c r="Q277">
        <f>IF(Charts!$B$3="none",E1204,IF(K1204="",NA(),K1204))</f>
        <v>0</v>
      </c>
      <c r="R277">
        <f>IF(Charts!$B$3="none",F1204,IF(L1204="",NA(),L1204))</f>
        <v>0</v>
      </c>
      <c r="S277">
        <f>IF(Charts!$B$3="none",G1204,IF(M1204="",NA(),M1204))</f>
        <v>0</v>
      </c>
      <c r="T277">
        <f>IF(Charts!$B$3="none",H1204,IF(N1204="",NA(),N1204))</f>
        <v>0</v>
      </c>
    </row>
    <row r="278" spans="5:20">
      <c r="E278">
        <v>88</v>
      </c>
      <c r="F278">
        <f>F92</f>
        <v>0</v>
      </c>
      <c r="G278">
        <v>88</v>
      </c>
      <c r="H278">
        <f>H92</f>
        <v>0</v>
      </c>
      <c r="K278">
        <v>88</v>
      </c>
      <c r="L278">
        <f>L92</f>
        <v>0</v>
      </c>
      <c r="M278">
        <v>88</v>
      </c>
      <c r="N278">
        <f>N92</f>
        <v>0</v>
      </c>
      <c r="Q278">
        <f>IF(Charts!$B$3="none",E1205,IF(K1205="",NA(),K1205))</f>
        <v>0</v>
      </c>
      <c r="R278">
        <f>IF(Charts!$B$3="none",F1205,IF(L1205="",NA(),L1205))</f>
        <v>0</v>
      </c>
      <c r="S278">
        <f>IF(Charts!$B$3="none",G1205,IF(M1205="",NA(),M1205))</f>
        <v>0</v>
      </c>
      <c r="T278">
        <f>IF(Charts!$B$3="none",H1205,IF(N1205="",NA(),N1205))</f>
        <v>0</v>
      </c>
    </row>
    <row r="279" spans="5:20">
      <c r="E279">
        <v>89</v>
      </c>
      <c r="F279">
        <f>F93</f>
        <v>0</v>
      </c>
      <c r="G279">
        <v>89</v>
      </c>
      <c r="H279">
        <f>H93</f>
        <v>0</v>
      </c>
      <c r="K279">
        <v>89</v>
      </c>
      <c r="L279">
        <f>L93</f>
        <v>0</v>
      </c>
      <c r="M279">
        <v>89</v>
      </c>
      <c r="N279">
        <f>N93</f>
        <v>0</v>
      </c>
      <c r="Q279">
        <f>IF(Charts!$B$3="none",E1206,IF(K1206="",NA(),K1206))</f>
        <v>0</v>
      </c>
      <c r="R279">
        <f>IF(Charts!$B$3="none",F1206,IF(L1206="",NA(),L1206))</f>
        <v>0</v>
      </c>
      <c r="S279">
        <f>IF(Charts!$B$3="none",G1206,IF(M1206="",NA(),M1206))</f>
        <v>0</v>
      </c>
      <c r="T279">
        <f>IF(Charts!$B$3="none",H1206,IF(N1206="",NA(),N1206))</f>
        <v>0</v>
      </c>
    </row>
    <row r="280" spans="5:20">
      <c r="E280">
        <v>90</v>
      </c>
      <c r="F280">
        <f>F94</f>
        <v>0</v>
      </c>
      <c r="G280">
        <v>90</v>
      </c>
      <c r="H280">
        <f>H94</f>
        <v>0</v>
      </c>
      <c r="K280">
        <v>90</v>
      </c>
      <c r="L280">
        <f>L94</f>
        <v>0</v>
      </c>
      <c r="M280">
        <v>90</v>
      </c>
      <c r="N280">
        <f>N94</f>
        <v>0</v>
      </c>
      <c r="Q280">
        <f>IF(Charts!$B$3="none",E1207,IF(K1207="",NA(),K1207))</f>
        <v>0</v>
      </c>
      <c r="R280">
        <f>IF(Charts!$B$3="none",F1207,IF(L1207="",NA(),L1207))</f>
        <v>0</v>
      </c>
      <c r="S280">
        <f>IF(Charts!$B$3="none",G1207,IF(M1207="",NA(),M1207))</f>
        <v>0</v>
      </c>
      <c r="T280">
        <f>IF(Charts!$B$3="none",H1207,IF(N1207="",NA(),N1207))</f>
        <v>0</v>
      </c>
    </row>
    <row r="281" spans="5:20">
      <c r="E281">
        <v>91</v>
      </c>
      <c r="F281">
        <f>F95</f>
        <v>0</v>
      </c>
      <c r="G281">
        <v>91</v>
      </c>
      <c r="H281">
        <f>H95</f>
        <v>0</v>
      </c>
      <c r="K281">
        <v>91</v>
      </c>
      <c r="L281">
        <f>L95</f>
        <v>0</v>
      </c>
      <c r="M281">
        <v>91</v>
      </c>
      <c r="N281">
        <f>N95</f>
        <v>0</v>
      </c>
      <c r="Q281">
        <f>IF(Charts!$B$3="none",E1208,IF(K1208="",NA(),K1208))</f>
        <v>0</v>
      </c>
      <c r="R281">
        <f>IF(Charts!$B$3="none",F1208,IF(L1208="",NA(),L1208))</f>
        <v>0</v>
      </c>
      <c r="S281">
        <f>IF(Charts!$B$3="none",G1208,IF(M1208="",NA(),M1208))</f>
        <v>0</v>
      </c>
      <c r="T281">
        <f>IF(Charts!$B$3="none",H1208,IF(N1208="",NA(),N1208))</f>
        <v>0</v>
      </c>
    </row>
    <row r="282" spans="5:20">
      <c r="E282">
        <v>92</v>
      </c>
      <c r="F282">
        <f>F96</f>
        <v>0</v>
      </c>
      <c r="G282">
        <v>92</v>
      </c>
      <c r="H282">
        <f>H96</f>
        <v>0</v>
      </c>
      <c r="K282">
        <v>92</v>
      </c>
      <c r="L282">
        <f>L96</f>
        <v>0</v>
      </c>
      <c r="M282">
        <v>92</v>
      </c>
      <c r="N282">
        <f>N96</f>
        <v>0</v>
      </c>
      <c r="Q282">
        <f>IF(Charts!$B$3="none",E1209,IF(K1209="",NA(),K1209))</f>
        <v>0</v>
      </c>
      <c r="R282">
        <f>IF(Charts!$B$3="none",F1209,IF(L1209="",NA(),L1209))</f>
        <v>0</v>
      </c>
      <c r="S282">
        <f>IF(Charts!$B$3="none",G1209,IF(M1209="",NA(),M1209))</f>
        <v>0</v>
      </c>
      <c r="T282">
        <f>IF(Charts!$B$3="none",H1209,IF(N1209="",NA(),N1209))</f>
        <v>0</v>
      </c>
    </row>
    <row r="283" spans="5:20">
      <c r="E283">
        <v>93</v>
      </c>
      <c r="F283">
        <f>F97</f>
        <v>0</v>
      </c>
      <c r="G283">
        <v>93</v>
      </c>
      <c r="H283">
        <f>H97</f>
        <v>0</v>
      </c>
      <c r="K283">
        <v>93</v>
      </c>
      <c r="L283">
        <f>L97</f>
        <v>0</v>
      </c>
      <c r="M283">
        <v>93</v>
      </c>
      <c r="N283">
        <f>N97</f>
        <v>0</v>
      </c>
      <c r="Q283">
        <f>IF(Charts!$B$3="none",E1210,IF(K1210="",NA(),K1210))</f>
        <v>0</v>
      </c>
      <c r="R283">
        <f>IF(Charts!$B$3="none",F1210,IF(L1210="",NA(),L1210))</f>
        <v>0</v>
      </c>
      <c r="S283">
        <f>IF(Charts!$B$3="none",G1210,IF(M1210="",NA(),M1210))</f>
        <v>0</v>
      </c>
      <c r="T283">
        <f>IF(Charts!$B$3="none",H1210,IF(N1210="",NA(),N1210))</f>
        <v>0</v>
      </c>
    </row>
    <row r="284" spans="5:20">
      <c r="E284">
        <v>94</v>
      </c>
      <c r="F284">
        <f>F98</f>
        <v>0</v>
      </c>
      <c r="G284">
        <v>94</v>
      </c>
      <c r="H284">
        <f>H98</f>
        <v>0</v>
      </c>
      <c r="K284">
        <v>94</v>
      </c>
      <c r="L284">
        <f>L98</f>
        <v>0</v>
      </c>
      <c r="M284">
        <v>94</v>
      </c>
      <c r="N284">
        <f>N98</f>
        <v>0</v>
      </c>
      <c r="Q284">
        <f>IF(Charts!$B$3="none",E1211,IF(K1211="",NA(),K1211))</f>
        <v>0</v>
      </c>
      <c r="R284">
        <f>IF(Charts!$B$3="none",F1211,IF(L1211="",NA(),L1211))</f>
        <v>0</v>
      </c>
      <c r="S284">
        <f>IF(Charts!$B$3="none",G1211,IF(M1211="",NA(),M1211))</f>
        <v>0</v>
      </c>
      <c r="T284">
        <f>IF(Charts!$B$3="none",H1211,IF(N1211="",NA(),N1211))</f>
        <v>0</v>
      </c>
    </row>
    <row r="285" spans="5:20">
      <c r="E285">
        <v>95</v>
      </c>
      <c r="F285">
        <f>F99</f>
        <v>0</v>
      </c>
      <c r="G285">
        <v>95</v>
      </c>
      <c r="H285">
        <f>H99</f>
        <v>0</v>
      </c>
      <c r="K285">
        <v>95</v>
      </c>
      <c r="L285">
        <f>L99</f>
        <v>0</v>
      </c>
      <c r="M285">
        <v>95</v>
      </c>
      <c r="N285">
        <f>N99</f>
        <v>0</v>
      </c>
      <c r="Q285">
        <f>IF(Charts!$B$3="none",E1212,IF(K1212="",NA(),K1212))</f>
        <v>0</v>
      </c>
      <c r="R285">
        <f>IF(Charts!$B$3="none",F1212,IF(L1212="",NA(),L1212))</f>
        <v>0</v>
      </c>
      <c r="S285">
        <f>IF(Charts!$B$3="none",G1212,IF(M1212="",NA(),M1212))</f>
        <v>0</v>
      </c>
      <c r="T285">
        <f>IF(Charts!$B$3="none",H1212,IF(N1212="",NA(),N1212))</f>
        <v>0</v>
      </c>
    </row>
    <row r="286" spans="5:20">
      <c r="E286">
        <v>96</v>
      </c>
      <c r="F286">
        <f>F100</f>
        <v>0</v>
      </c>
      <c r="G286">
        <v>96</v>
      </c>
      <c r="H286">
        <f>H100</f>
        <v>0</v>
      </c>
      <c r="K286">
        <v>96</v>
      </c>
      <c r="L286">
        <f>L100</f>
        <v>0</v>
      </c>
      <c r="M286">
        <v>96</v>
      </c>
      <c r="N286">
        <f>N100</f>
        <v>0</v>
      </c>
      <c r="Q286">
        <f>IF(Charts!$B$3="none",E1213,IF(K1213="",NA(),K1213))</f>
        <v>0</v>
      </c>
      <c r="R286">
        <f>IF(Charts!$B$3="none",F1213,IF(L1213="",NA(),L1213))</f>
        <v>0</v>
      </c>
      <c r="S286">
        <f>IF(Charts!$B$3="none",G1213,IF(M1213="",NA(),M1213))</f>
        <v>0</v>
      </c>
      <c r="T286">
        <f>IF(Charts!$B$3="none",H1213,IF(N1213="",NA(),N1213))</f>
        <v>0</v>
      </c>
    </row>
    <row r="287" spans="5:20">
      <c r="E287">
        <v>97</v>
      </c>
      <c r="F287">
        <f>F101</f>
        <v>0</v>
      </c>
      <c r="G287">
        <v>97</v>
      </c>
      <c r="H287">
        <f>H101</f>
        <v>0</v>
      </c>
      <c r="K287">
        <v>97</v>
      </c>
      <c r="L287">
        <f>L101</f>
        <v>0</v>
      </c>
      <c r="M287">
        <v>97</v>
      </c>
      <c r="N287">
        <f>N101</f>
        <v>0</v>
      </c>
      <c r="Q287">
        <f>IF(Charts!$B$3="none",E1214,IF(K1214="",NA(),K1214))</f>
        <v>0</v>
      </c>
      <c r="R287">
        <f>IF(Charts!$B$3="none",F1214,IF(L1214="",NA(),L1214))</f>
        <v>0</v>
      </c>
      <c r="S287">
        <f>IF(Charts!$B$3="none",G1214,IF(M1214="",NA(),M1214))</f>
        <v>0</v>
      </c>
      <c r="T287">
        <f>IF(Charts!$B$3="none",H1214,IF(N1214="",NA(),N1214))</f>
        <v>0</v>
      </c>
    </row>
    <row r="288" spans="5:20">
      <c r="E288">
        <v>98</v>
      </c>
      <c r="F288">
        <f>F102</f>
        <v>0</v>
      </c>
      <c r="G288">
        <v>98</v>
      </c>
      <c r="H288">
        <f>H102</f>
        <v>0</v>
      </c>
      <c r="K288">
        <v>98</v>
      </c>
      <c r="L288">
        <f>L102</f>
        <v>0</v>
      </c>
      <c r="M288">
        <v>98</v>
      </c>
      <c r="N288">
        <f>N102</f>
        <v>0</v>
      </c>
      <c r="Q288">
        <f>IF(Charts!$B$3="none",E1215,IF(K1215="",NA(),K1215))</f>
        <v>0</v>
      </c>
      <c r="R288">
        <f>IF(Charts!$B$3="none",F1215,IF(L1215="",NA(),L1215))</f>
        <v>0</v>
      </c>
      <c r="S288">
        <f>IF(Charts!$B$3="none",G1215,IF(M1215="",NA(),M1215))</f>
        <v>0</v>
      </c>
      <c r="T288">
        <f>IF(Charts!$B$3="none",H1215,IF(N1215="",NA(),N1215))</f>
        <v>0</v>
      </c>
    </row>
    <row r="289" spans="5:20">
      <c r="E289">
        <v>99</v>
      </c>
      <c r="F289">
        <f>F103</f>
        <v>0</v>
      </c>
      <c r="G289">
        <v>99</v>
      </c>
      <c r="H289">
        <f>H103</f>
        <v>0</v>
      </c>
      <c r="K289">
        <v>99</v>
      </c>
      <c r="L289">
        <f>L103</f>
        <v>0</v>
      </c>
      <c r="M289">
        <v>99</v>
      </c>
      <c r="N289">
        <f>N103</f>
        <v>0</v>
      </c>
      <c r="Q289">
        <f>IF(Charts!$B$3="none",E1216,IF(K1216="",NA(),K1216))</f>
        <v>0</v>
      </c>
      <c r="R289">
        <f>IF(Charts!$B$3="none",F1216,IF(L1216="",NA(),L1216))</f>
        <v>0</v>
      </c>
      <c r="S289">
        <f>IF(Charts!$B$3="none",G1216,IF(M1216="",NA(),M1216))</f>
        <v>0</v>
      </c>
      <c r="T289">
        <f>IF(Charts!$B$3="none",H1216,IF(N1216="",NA(),N1216))</f>
        <v>0</v>
      </c>
    </row>
    <row r="290" spans="5:20">
      <c r="E290">
        <v>100</v>
      </c>
      <c r="F290">
        <f>F104</f>
        <v>0</v>
      </c>
      <c r="G290">
        <v>100</v>
      </c>
      <c r="H290">
        <f>H104</f>
        <v>0</v>
      </c>
      <c r="K290">
        <v>100</v>
      </c>
      <c r="L290">
        <f>L104</f>
        <v>0</v>
      </c>
      <c r="M290">
        <v>100</v>
      </c>
      <c r="N290">
        <f>N104</f>
        <v>0</v>
      </c>
      <c r="Q290">
        <f>IF(Charts!$B$3="none",E1217,IF(K1217="",NA(),K1217))</f>
        <v>0</v>
      </c>
      <c r="R290">
        <f>IF(Charts!$B$3="none",F1217,IF(L1217="",NA(),L1217))</f>
        <v>0</v>
      </c>
      <c r="S290">
        <f>IF(Charts!$B$3="none",G1217,IF(M1217="",NA(),M1217))</f>
        <v>0</v>
      </c>
      <c r="T290">
        <f>IF(Charts!$B$3="none",H1217,IF(N1217="",NA(),N1217))</f>
        <v>0</v>
      </c>
    </row>
    <row r="291" spans="5:20">
      <c r="E291">
        <v>101</v>
      </c>
      <c r="F291">
        <f>F105</f>
        <v>0</v>
      </c>
      <c r="G291">
        <v>101</v>
      </c>
      <c r="H291">
        <f>H105</f>
        <v>0</v>
      </c>
      <c r="K291">
        <v>101</v>
      </c>
      <c r="L291">
        <f>L105</f>
        <v>0</v>
      </c>
      <c r="M291">
        <v>101</v>
      </c>
      <c r="N291">
        <f>N105</f>
        <v>0</v>
      </c>
      <c r="Q291">
        <f>IF(Charts!$B$3="none",E1218,IF(K1218="",NA(),K1218))</f>
        <v>0</v>
      </c>
      <c r="R291">
        <f>IF(Charts!$B$3="none",F1218,IF(L1218="",NA(),L1218))</f>
        <v>0</v>
      </c>
      <c r="S291">
        <f>IF(Charts!$B$3="none",G1218,IF(M1218="",NA(),M1218))</f>
        <v>0</v>
      </c>
      <c r="T291">
        <f>IF(Charts!$B$3="none",H1218,IF(N1218="",NA(),N1218))</f>
        <v>0</v>
      </c>
    </row>
    <row r="292" spans="5:20">
      <c r="E292">
        <v>102</v>
      </c>
      <c r="F292">
        <f>F106</f>
        <v>0</v>
      </c>
      <c r="G292">
        <v>102</v>
      </c>
      <c r="H292">
        <f>H106</f>
        <v>0</v>
      </c>
      <c r="K292">
        <v>102</v>
      </c>
      <c r="L292">
        <f>L106</f>
        <v>0</v>
      </c>
      <c r="M292">
        <v>102</v>
      </c>
      <c r="N292">
        <f>N106</f>
        <v>0</v>
      </c>
      <c r="Q292">
        <f>IF(Charts!$B$3="none",E1219,IF(K1219="",NA(),K1219))</f>
        <v>0</v>
      </c>
      <c r="R292">
        <f>IF(Charts!$B$3="none",F1219,IF(L1219="",NA(),L1219))</f>
        <v>0</v>
      </c>
      <c r="S292">
        <f>IF(Charts!$B$3="none",G1219,IF(M1219="",NA(),M1219))</f>
        <v>0</v>
      </c>
      <c r="T292">
        <f>IF(Charts!$B$3="none",H1219,IF(N1219="",NA(),N1219))</f>
        <v>0</v>
      </c>
    </row>
    <row r="293" spans="5:20">
      <c r="E293">
        <v>103</v>
      </c>
      <c r="F293">
        <f>F107</f>
        <v>0</v>
      </c>
      <c r="G293">
        <v>103</v>
      </c>
      <c r="H293">
        <f>H107</f>
        <v>0</v>
      </c>
      <c r="K293">
        <v>103</v>
      </c>
      <c r="L293">
        <f>L107</f>
        <v>0</v>
      </c>
      <c r="M293">
        <v>103</v>
      </c>
      <c r="N293">
        <f>N107</f>
        <v>0</v>
      </c>
      <c r="Q293">
        <f>IF(Charts!$B$3="none",E1220,IF(K1220="",NA(),K1220))</f>
        <v>0</v>
      </c>
      <c r="R293">
        <f>IF(Charts!$B$3="none",F1220,IF(L1220="",NA(),L1220))</f>
        <v>0</v>
      </c>
      <c r="S293">
        <f>IF(Charts!$B$3="none",G1220,IF(M1220="",NA(),M1220))</f>
        <v>0</v>
      </c>
      <c r="T293">
        <f>IF(Charts!$B$3="none",H1220,IF(N1220="",NA(),N1220))</f>
        <v>0</v>
      </c>
    </row>
    <row r="294" spans="5:20">
      <c r="E294">
        <v>104</v>
      </c>
      <c r="F294">
        <f>F108</f>
        <v>0</v>
      </c>
      <c r="G294">
        <v>104</v>
      </c>
      <c r="H294">
        <f>H108</f>
        <v>0</v>
      </c>
      <c r="K294">
        <v>104</v>
      </c>
      <c r="L294">
        <f>L108</f>
        <v>0</v>
      </c>
      <c r="M294">
        <v>104</v>
      </c>
      <c r="N294">
        <f>N108</f>
        <v>0</v>
      </c>
      <c r="Q294">
        <f>IF(Charts!$B$3="none",E1221,IF(K1221="",NA(),K1221))</f>
        <v>0</v>
      </c>
      <c r="R294">
        <f>IF(Charts!$B$3="none",F1221,IF(L1221="",NA(),L1221))</f>
        <v>0</v>
      </c>
      <c r="S294">
        <f>IF(Charts!$B$3="none",G1221,IF(M1221="",NA(),M1221))</f>
        <v>0</v>
      </c>
      <c r="T294">
        <f>IF(Charts!$B$3="none",H1221,IF(N1221="",NA(),N1221))</f>
        <v>0</v>
      </c>
    </row>
    <row r="295" spans="5:20">
      <c r="E295">
        <v>105</v>
      </c>
      <c r="F295">
        <f>F109</f>
        <v>0</v>
      </c>
      <c r="G295">
        <v>105</v>
      </c>
      <c r="H295">
        <f>H109</f>
        <v>0</v>
      </c>
      <c r="K295">
        <v>105</v>
      </c>
      <c r="L295">
        <f>L109</f>
        <v>0</v>
      </c>
      <c r="M295">
        <v>105</v>
      </c>
      <c r="N295">
        <f>N109</f>
        <v>0</v>
      </c>
      <c r="Q295">
        <f>IF(Charts!$B$3="none",E1222,IF(K1222="",NA(),K1222))</f>
        <v>0</v>
      </c>
      <c r="R295">
        <f>IF(Charts!$B$3="none",F1222,IF(L1222="",NA(),L1222))</f>
        <v>0</v>
      </c>
      <c r="S295">
        <f>IF(Charts!$B$3="none",G1222,IF(M1222="",NA(),M1222))</f>
        <v>0</v>
      </c>
      <c r="T295">
        <f>IF(Charts!$B$3="none",H1222,IF(N1222="",NA(),N1222))</f>
        <v>0</v>
      </c>
    </row>
    <row r="296" spans="5:20">
      <c r="E296">
        <v>106</v>
      </c>
      <c r="F296">
        <f>F110</f>
        <v>0</v>
      </c>
      <c r="G296">
        <v>106</v>
      </c>
      <c r="H296">
        <f>H110</f>
        <v>0</v>
      </c>
      <c r="K296">
        <v>106</v>
      </c>
      <c r="L296">
        <f>L110</f>
        <v>0</v>
      </c>
      <c r="M296">
        <v>106</v>
      </c>
      <c r="N296">
        <f>N110</f>
        <v>0</v>
      </c>
      <c r="Q296">
        <f>IF(Charts!$B$3="none",E1223,IF(K1223="",NA(),K1223))</f>
        <v>0</v>
      </c>
      <c r="R296">
        <f>IF(Charts!$B$3="none",F1223,IF(L1223="",NA(),L1223))</f>
        <v>0</v>
      </c>
      <c r="S296">
        <f>IF(Charts!$B$3="none",G1223,IF(M1223="",NA(),M1223))</f>
        <v>0</v>
      </c>
      <c r="T296">
        <f>IF(Charts!$B$3="none",H1223,IF(N1223="",NA(),N1223))</f>
        <v>0</v>
      </c>
    </row>
    <row r="297" spans="5:20">
      <c r="E297">
        <v>107</v>
      </c>
      <c r="F297">
        <f>F111</f>
        <v>0</v>
      </c>
      <c r="G297">
        <v>107</v>
      </c>
      <c r="H297">
        <f>H111</f>
        <v>0</v>
      </c>
      <c r="K297">
        <v>107</v>
      </c>
      <c r="L297">
        <f>L111</f>
        <v>0</v>
      </c>
      <c r="M297">
        <v>107</v>
      </c>
      <c r="N297">
        <f>N111</f>
        <v>0</v>
      </c>
      <c r="Q297">
        <f>IF(Charts!$B$3="none",E1224,IF(K1224="",NA(),K1224))</f>
        <v>0</v>
      </c>
      <c r="R297">
        <f>IF(Charts!$B$3="none",F1224,IF(L1224="",NA(),L1224))</f>
        <v>0</v>
      </c>
      <c r="S297">
        <f>IF(Charts!$B$3="none",G1224,IF(M1224="",NA(),M1224))</f>
        <v>0</v>
      </c>
      <c r="T297">
        <f>IF(Charts!$B$3="none",H1224,IF(N1224="",NA(),N1224))</f>
        <v>0</v>
      </c>
    </row>
    <row r="298" spans="5:20">
      <c r="E298">
        <v>108</v>
      </c>
      <c r="F298">
        <f>F112</f>
        <v>0</v>
      </c>
      <c r="G298">
        <v>108</v>
      </c>
      <c r="H298">
        <f>H112</f>
        <v>0</v>
      </c>
      <c r="K298">
        <v>108</v>
      </c>
      <c r="L298">
        <f>L112</f>
        <v>0</v>
      </c>
      <c r="M298">
        <v>108</v>
      </c>
      <c r="N298">
        <f>N112</f>
        <v>0</v>
      </c>
      <c r="Q298">
        <f>IF(Charts!$B$3="none",E1225,IF(K1225="",NA(),K1225))</f>
        <v>0</v>
      </c>
      <c r="R298">
        <f>IF(Charts!$B$3="none",F1225,IF(L1225="",NA(),L1225))</f>
        <v>0</v>
      </c>
      <c r="S298">
        <f>IF(Charts!$B$3="none",G1225,IF(M1225="",NA(),M1225))</f>
        <v>0</v>
      </c>
      <c r="T298">
        <f>IF(Charts!$B$3="none",H1225,IF(N1225="",NA(),N1225))</f>
        <v>0</v>
      </c>
    </row>
    <row r="299" spans="5:20">
      <c r="E299">
        <v>109</v>
      </c>
      <c r="F299">
        <f>F113</f>
        <v>0</v>
      </c>
      <c r="G299">
        <v>109</v>
      </c>
      <c r="H299">
        <f>H113</f>
        <v>0</v>
      </c>
      <c r="K299">
        <v>109</v>
      </c>
      <c r="L299">
        <f>L113</f>
        <v>0</v>
      </c>
      <c r="M299">
        <v>109</v>
      </c>
      <c r="N299">
        <f>N113</f>
        <v>0</v>
      </c>
      <c r="Q299">
        <f>IF(Charts!$B$3="none",E1226,IF(K1226="",NA(),K1226))</f>
        <v>0</v>
      </c>
      <c r="R299">
        <f>IF(Charts!$B$3="none",F1226,IF(L1226="",NA(),L1226))</f>
        <v>0</v>
      </c>
      <c r="S299">
        <f>IF(Charts!$B$3="none",G1226,IF(M1226="",NA(),M1226))</f>
        <v>0</v>
      </c>
      <c r="T299">
        <f>IF(Charts!$B$3="none",H1226,IF(N1226="",NA(),N1226))</f>
        <v>0</v>
      </c>
    </row>
    <row r="300" spans="5:20">
      <c r="E300">
        <v>110</v>
      </c>
      <c r="F300">
        <f>F114</f>
        <v>0</v>
      </c>
      <c r="G300">
        <v>110</v>
      </c>
      <c r="H300">
        <f>H114</f>
        <v>0</v>
      </c>
      <c r="K300">
        <v>110</v>
      </c>
      <c r="L300">
        <f>L114</f>
        <v>0</v>
      </c>
      <c r="M300">
        <v>110</v>
      </c>
      <c r="N300">
        <f>N114</f>
        <v>0</v>
      </c>
      <c r="Q300">
        <f>IF(Charts!$B$3="none",E1227,IF(K1227="",NA(),K1227))</f>
        <v>0</v>
      </c>
      <c r="R300">
        <f>IF(Charts!$B$3="none",F1227,IF(L1227="",NA(),L1227))</f>
        <v>0</v>
      </c>
      <c r="S300">
        <f>IF(Charts!$B$3="none",G1227,IF(M1227="",NA(),M1227))</f>
        <v>0</v>
      </c>
      <c r="T300">
        <f>IF(Charts!$B$3="none",H1227,IF(N1227="",NA(),N1227))</f>
        <v>0</v>
      </c>
    </row>
    <row r="301" spans="5:20">
      <c r="E301">
        <v>111</v>
      </c>
      <c r="F301">
        <f>F115</f>
        <v>0</v>
      </c>
      <c r="G301">
        <v>111</v>
      </c>
      <c r="H301">
        <f>H115</f>
        <v>0</v>
      </c>
      <c r="K301">
        <v>111</v>
      </c>
      <c r="L301">
        <f>L115</f>
        <v>0</v>
      </c>
      <c r="M301">
        <v>111</v>
      </c>
      <c r="N301">
        <f>N115</f>
        <v>0</v>
      </c>
      <c r="Q301">
        <f>IF(Charts!$B$3="none",E1228,IF(K1228="",NA(),K1228))</f>
        <v>0</v>
      </c>
      <c r="R301">
        <f>IF(Charts!$B$3="none",F1228,IF(L1228="",NA(),L1228))</f>
        <v>0</v>
      </c>
      <c r="S301">
        <f>IF(Charts!$B$3="none",G1228,IF(M1228="",NA(),M1228))</f>
        <v>0</v>
      </c>
      <c r="T301">
        <f>IF(Charts!$B$3="none",H1228,IF(N1228="",NA(),N1228))</f>
        <v>0</v>
      </c>
    </row>
    <row r="302" spans="5:20">
      <c r="E302">
        <v>112</v>
      </c>
      <c r="F302">
        <f>F116</f>
        <v>0</v>
      </c>
      <c r="G302">
        <v>112</v>
      </c>
      <c r="H302">
        <f>H116</f>
        <v>0</v>
      </c>
      <c r="K302">
        <v>112</v>
      </c>
      <c r="L302">
        <f>L116</f>
        <v>0</v>
      </c>
      <c r="M302">
        <v>112</v>
      </c>
      <c r="N302">
        <f>N116</f>
        <v>0</v>
      </c>
      <c r="Q302">
        <f>IF(Charts!$B$3="none",E1229,IF(K1229="",NA(),K1229))</f>
        <v>0</v>
      </c>
      <c r="R302">
        <f>IF(Charts!$B$3="none",F1229,IF(L1229="",NA(),L1229))</f>
        <v>0</v>
      </c>
      <c r="S302">
        <f>IF(Charts!$B$3="none",G1229,IF(M1229="",NA(),M1229))</f>
        <v>0</v>
      </c>
      <c r="T302">
        <f>IF(Charts!$B$3="none",H1229,IF(N1229="",NA(),N1229))</f>
        <v>0</v>
      </c>
    </row>
    <row r="303" spans="5:20">
      <c r="E303">
        <v>113</v>
      </c>
      <c r="F303">
        <f>F117</f>
        <v>0</v>
      </c>
      <c r="G303">
        <v>113</v>
      </c>
      <c r="H303">
        <f>H117</f>
        <v>0</v>
      </c>
      <c r="K303">
        <v>113</v>
      </c>
      <c r="L303">
        <f>L117</f>
        <v>0</v>
      </c>
      <c r="M303">
        <v>113</v>
      </c>
      <c r="N303">
        <f>N117</f>
        <v>0</v>
      </c>
      <c r="Q303">
        <f>IF(Charts!$B$3="none",E1230,IF(K1230="",NA(),K1230))</f>
        <v>0</v>
      </c>
      <c r="R303">
        <f>IF(Charts!$B$3="none",F1230,IF(L1230="",NA(),L1230))</f>
        <v>0</v>
      </c>
      <c r="S303">
        <f>IF(Charts!$B$3="none",G1230,IF(M1230="",NA(),M1230))</f>
        <v>0</v>
      </c>
      <c r="T303">
        <f>IF(Charts!$B$3="none",H1230,IF(N1230="",NA(),N1230))</f>
        <v>0</v>
      </c>
    </row>
    <row r="304" spans="5:20">
      <c r="E304">
        <v>114</v>
      </c>
      <c r="F304">
        <f>F118</f>
        <v>0</v>
      </c>
      <c r="G304">
        <v>114</v>
      </c>
      <c r="H304">
        <f>H118</f>
        <v>0</v>
      </c>
      <c r="K304">
        <v>114</v>
      </c>
      <c r="L304">
        <f>L118</f>
        <v>0</v>
      </c>
      <c r="M304">
        <v>114</v>
      </c>
      <c r="N304">
        <f>N118</f>
        <v>0</v>
      </c>
      <c r="Q304">
        <f>IF(Charts!$B$3="none",E1231,IF(K1231="",NA(),K1231))</f>
        <v>0</v>
      </c>
      <c r="R304">
        <f>IF(Charts!$B$3="none",F1231,IF(L1231="",NA(),L1231))</f>
        <v>0</v>
      </c>
      <c r="S304">
        <f>IF(Charts!$B$3="none",G1231,IF(M1231="",NA(),M1231))</f>
        <v>0</v>
      </c>
      <c r="T304">
        <f>IF(Charts!$B$3="none",H1231,IF(N1231="",NA(),N1231))</f>
        <v>0</v>
      </c>
    </row>
    <row r="305" spans="5:20">
      <c r="E305">
        <v>115</v>
      </c>
      <c r="F305">
        <f>F119</f>
        <v>0</v>
      </c>
      <c r="G305">
        <v>115</v>
      </c>
      <c r="H305">
        <f>H119</f>
        <v>0</v>
      </c>
      <c r="K305">
        <v>115</v>
      </c>
      <c r="L305">
        <f>L119</f>
        <v>0</v>
      </c>
      <c r="M305">
        <v>115</v>
      </c>
      <c r="N305">
        <f>N119</f>
        <v>0</v>
      </c>
      <c r="Q305">
        <f>IF(Charts!$B$3="none",E1232,IF(K1232="",NA(),K1232))</f>
        <v>0</v>
      </c>
      <c r="R305">
        <f>IF(Charts!$B$3="none",F1232,IF(L1232="",NA(),L1232))</f>
        <v>0</v>
      </c>
      <c r="S305">
        <f>IF(Charts!$B$3="none",G1232,IF(M1232="",NA(),M1232))</f>
        <v>0</v>
      </c>
      <c r="T305">
        <f>IF(Charts!$B$3="none",H1232,IF(N1232="",NA(),N1232))</f>
        <v>0</v>
      </c>
    </row>
    <row r="306" spans="5:20">
      <c r="E306">
        <v>116</v>
      </c>
      <c r="F306">
        <f>F120</f>
        <v>0</v>
      </c>
      <c r="G306">
        <v>116</v>
      </c>
      <c r="H306">
        <f>H120</f>
        <v>0</v>
      </c>
      <c r="K306">
        <v>116</v>
      </c>
      <c r="L306">
        <f>L120</f>
        <v>0</v>
      </c>
      <c r="M306">
        <v>116</v>
      </c>
      <c r="N306">
        <f>N120</f>
        <v>0</v>
      </c>
      <c r="Q306">
        <f>IF(Charts!$B$3="none",E1233,IF(K1233="",NA(),K1233))</f>
        <v>0</v>
      </c>
      <c r="R306">
        <f>IF(Charts!$B$3="none",F1233,IF(L1233="",NA(),L1233))</f>
        <v>0</v>
      </c>
      <c r="S306">
        <f>IF(Charts!$B$3="none",G1233,IF(M1233="",NA(),M1233))</f>
        <v>0</v>
      </c>
      <c r="T306">
        <f>IF(Charts!$B$3="none",H1233,IF(N1233="",NA(),N1233))</f>
        <v>0</v>
      </c>
    </row>
    <row r="307" spans="5:20">
      <c r="E307">
        <v>117</v>
      </c>
      <c r="F307">
        <f>F121</f>
        <v>0</v>
      </c>
      <c r="G307">
        <v>117</v>
      </c>
      <c r="H307">
        <f>H121</f>
        <v>0</v>
      </c>
      <c r="K307">
        <v>117</v>
      </c>
      <c r="L307">
        <f>L121</f>
        <v>0</v>
      </c>
      <c r="M307">
        <v>117</v>
      </c>
      <c r="N307">
        <f>N121</f>
        <v>0</v>
      </c>
      <c r="Q307">
        <f>IF(Charts!$B$3="none",E1234,IF(K1234="",NA(),K1234))</f>
        <v>0</v>
      </c>
      <c r="R307">
        <f>IF(Charts!$B$3="none",F1234,IF(L1234="",NA(),L1234))</f>
        <v>0</v>
      </c>
      <c r="S307">
        <f>IF(Charts!$B$3="none",G1234,IF(M1234="",NA(),M1234))</f>
        <v>0</v>
      </c>
      <c r="T307">
        <f>IF(Charts!$B$3="none",H1234,IF(N1234="",NA(),N1234))</f>
        <v>0</v>
      </c>
    </row>
    <row r="308" spans="5:20">
      <c r="E308">
        <v>118</v>
      </c>
      <c r="F308">
        <f>F122</f>
        <v>0</v>
      </c>
      <c r="G308">
        <v>118</v>
      </c>
      <c r="H308">
        <f>H122</f>
        <v>0</v>
      </c>
      <c r="K308">
        <v>118</v>
      </c>
      <c r="L308">
        <f>L122</f>
        <v>0</v>
      </c>
      <c r="M308">
        <v>118</v>
      </c>
      <c r="N308">
        <f>N122</f>
        <v>0</v>
      </c>
      <c r="Q308">
        <f>IF(Charts!$B$3="none",E1235,IF(K1235="",NA(),K1235))</f>
        <v>0</v>
      </c>
      <c r="R308">
        <f>IF(Charts!$B$3="none",F1235,IF(L1235="",NA(),L1235))</f>
        <v>0</v>
      </c>
      <c r="S308">
        <f>IF(Charts!$B$3="none",G1235,IF(M1235="",NA(),M1235))</f>
        <v>0</v>
      </c>
      <c r="T308">
        <f>IF(Charts!$B$3="none",H1235,IF(N1235="",NA(),N1235))</f>
        <v>0</v>
      </c>
    </row>
    <row r="309" spans="5:20">
      <c r="E309">
        <v>119</v>
      </c>
      <c r="F309">
        <f>F123</f>
        <v>0</v>
      </c>
      <c r="G309">
        <v>119</v>
      </c>
      <c r="H309">
        <f>H123</f>
        <v>0</v>
      </c>
      <c r="K309">
        <v>119</v>
      </c>
      <c r="L309">
        <f>L123</f>
        <v>0</v>
      </c>
      <c r="M309">
        <v>119</v>
      </c>
      <c r="N309">
        <f>N123</f>
        <v>0</v>
      </c>
      <c r="Q309">
        <f>IF(Charts!$B$3="none",E1236,IF(K1236="",NA(),K1236))</f>
        <v>0</v>
      </c>
      <c r="R309">
        <f>IF(Charts!$B$3="none",F1236,IF(L1236="",NA(),L1236))</f>
        <v>0</v>
      </c>
      <c r="S309">
        <f>IF(Charts!$B$3="none",G1236,IF(M1236="",NA(),M1236))</f>
        <v>0</v>
      </c>
      <c r="T309">
        <f>IF(Charts!$B$3="none",H1236,IF(N1236="",NA(),N1236))</f>
        <v>0</v>
      </c>
    </row>
    <row r="310" spans="5:20">
      <c r="E310">
        <v>120</v>
      </c>
      <c r="F310">
        <f>F124</f>
        <v>0</v>
      </c>
      <c r="G310">
        <v>120</v>
      </c>
      <c r="H310">
        <f>H124</f>
        <v>0</v>
      </c>
      <c r="K310">
        <v>120</v>
      </c>
      <c r="L310">
        <f>L124</f>
        <v>0</v>
      </c>
      <c r="M310">
        <v>120</v>
      </c>
      <c r="N310">
        <f>N124</f>
        <v>0</v>
      </c>
      <c r="Q310">
        <f>IF(Charts!$B$3="none",E1237,IF(K1237="",NA(),K1237))</f>
        <v>0</v>
      </c>
      <c r="R310">
        <f>IF(Charts!$B$3="none",F1237,IF(L1237="",NA(),L1237))</f>
        <v>0</v>
      </c>
      <c r="S310">
        <f>IF(Charts!$B$3="none",G1237,IF(M1237="",NA(),M1237))</f>
        <v>0</v>
      </c>
      <c r="T310">
        <f>IF(Charts!$B$3="none",H1237,IF(N1237="",NA(),N1237))</f>
        <v>0</v>
      </c>
    </row>
    <row r="311" spans="5:20">
      <c r="E311">
        <v>121</v>
      </c>
      <c r="F311">
        <f>F125</f>
        <v>0</v>
      </c>
      <c r="G311">
        <v>121</v>
      </c>
      <c r="H311">
        <f>H125</f>
        <v>0</v>
      </c>
      <c r="K311">
        <v>121</v>
      </c>
      <c r="L311">
        <f>L125</f>
        <v>0</v>
      </c>
      <c r="M311">
        <v>121</v>
      </c>
      <c r="N311">
        <f>N125</f>
        <v>0</v>
      </c>
      <c r="Q311">
        <f>IF(Charts!$B$3="none",E1238,IF(K1238="",NA(),K1238))</f>
        <v>0</v>
      </c>
      <c r="R311">
        <f>IF(Charts!$B$3="none",F1238,IF(L1238="",NA(),L1238))</f>
        <v>0</v>
      </c>
      <c r="S311">
        <f>IF(Charts!$B$3="none",G1238,IF(M1238="",NA(),M1238))</f>
        <v>0</v>
      </c>
      <c r="T311">
        <f>IF(Charts!$B$3="none",H1238,IF(N1238="",NA(),N1238))</f>
        <v>0</v>
      </c>
    </row>
    <row r="312" spans="5:20">
      <c r="E312">
        <v>122</v>
      </c>
      <c r="F312">
        <f>F126</f>
        <v>0</v>
      </c>
      <c r="G312">
        <v>122</v>
      </c>
      <c r="H312">
        <f>H126</f>
        <v>0</v>
      </c>
      <c r="K312">
        <v>122</v>
      </c>
      <c r="L312">
        <f>L126</f>
        <v>0</v>
      </c>
      <c r="M312">
        <v>122</v>
      </c>
      <c r="N312">
        <f>N126</f>
        <v>0</v>
      </c>
      <c r="Q312">
        <f>IF(Charts!$B$3="none",E1239,IF(K1239="",NA(),K1239))</f>
        <v>0</v>
      </c>
      <c r="R312">
        <f>IF(Charts!$B$3="none",F1239,IF(L1239="",NA(),L1239))</f>
        <v>0</v>
      </c>
      <c r="S312">
        <f>IF(Charts!$B$3="none",G1239,IF(M1239="",NA(),M1239))</f>
        <v>0</v>
      </c>
      <c r="T312">
        <f>IF(Charts!$B$3="none",H1239,IF(N1239="",NA(),N1239))</f>
        <v>0</v>
      </c>
    </row>
    <row r="313" spans="5:20">
      <c r="E313">
        <v>123</v>
      </c>
      <c r="F313">
        <f>F127</f>
        <v>0</v>
      </c>
      <c r="G313">
        <v>123</v>
      </c>
      <c r="H313">
        <f>H127</f>
        <v>0</v>
      </c>
      <c r="K313">
        <v>123</v>
      </c>
      <c r="L313">
        <f>L127</f>
        <v>0</v>
      </c>
      <c r="M313">
        <v>123</v>
      </c>
      <c r="N313">
        <f>N127</f>
        <v>0</v>
      </c>
      <c r="Q313">
        <f>IF(Charts!$B$3="none",E1240,IF(K1240="",NA(),K1240))</f>
        <v>0</v>
      </c>
      <c r="R313">
        <f>IF(Charts!$B$3="none",F1240,IF(L1240="",NA(),L1240))</f>
        <v>0</v>
      </c>
      <c r="S313">
        <f>IF(Charts!$B$3="none",G1240,IF(M1240="",NA(),M1240))</f>
        <v>0</v>
      </c>
      <c r="T313">
        <f>IF(Charts!$B$3="none",H1240,IF(N1240="",NA(),N1240))</f>
        <v>0</v>
      </c>
    </row>
    <row r="314" spans="5:20">
      <c r="E314">
        <v>124</v>
      </c>
      <c r="F314">
        <f>F128</f>
        <v>0</v>
      </c>
      <c r="G314">
        <v>124</v>
      </c>
      <c r="H314">
        <f>H128</f>
        <v>0</v>
      </c>
      <c r="K314">
        <v>124</v>
      </c>
      <c r="L314">
        <f>L128</f>
        <v>0</v>
      </c>
      <c r="M314">
        <v>124</v>
      </c>
      <c r="N314">
        <f>N128</f>
        <v>0</v>
      </c>
      <c r="Q314">
        <f>IF(Charts!$B$3="none",E1241,IF(K1241="",NA(),K1241))</f>
        <v>0</v>
      </c>
      <c r="R314">
        <f>IF(Charts!$B$3="none",F1241,IF(L1241="",NA(),L1241))</f>
        <v>0</v>
      </c>
      <c r="S314">
        <f>IF(Charts!$B$3="none",G1241,IF(M1241="",NA(),M1241))</f>
        <v>0</v>
      </c>
      <c r="T314">
        <f>IF(Charts!$B$3="none",H1241,IF(N1241="",NA(),N1241))</f>
        <v>0</v>
      </c>
    </row>
    <row r="315" spans="5:20">
      <c r="E315">
        <v>125</v>
      </c>
      <c r="F315">
        <f>F129</f>
        <v>0</v>
      </c>
      <c r="G315">
        <v>125</v>
      </c>
      <c r="H315">
        <f>H129</f>
        <v>0</v>
      </c>
      <c r="K315">
        <v>125</v>
      </c>
      <c r="L315">
        <f>L129</f>
        <v>0</v>
      </c>
      <c r="M315">
        <v>125</v>
      </c>
      <c r="N315">
        <f>N129</f>
        <v>0</v>
      </c>
      <c r="Q315">
        <f>IF(Charts!$B$3="none",E1242,IF(K1242="",NA(),K1242))</f>
        <v>0</v>
      </c>
      <c r="R315">
        <f>IF(Charts!$B$3="none",F1242,IF(L1242="",NA(),L1242))</f>
        <v>0</v>
      </c>
      <c r="S315">
        <f>IF(Charts!$B$3="none",G1242,IF(M1242="",NA(),M1242))</f>
        <v>0</v>
      </c>
      <c r="T315">
        <f>IF(Charts!$B$3="none",H1242,IF(N1242="",NA(),N1242))</f>
        <v>0</v>
      </c>
    </row>
    <row r="316" spans="5:20">
      <c r="E316">
        <v>126</v>
      </c>
      <c r="F316">
        <f>F130</f>
        <v>0</v>
      </c>
      <c r="G316">
        <v>126</v>
      </c>
      <c r="H316">
        <f>H130</f>
        <v>0</v>
      </c>
      <c r="K316">
        <v>126</v>
      </c>
      <c r="L316">
        <f>L130</f>
        <v>0</v>
      </c>
      <c r="M316">
        <v>126</v>
      </c>
      <c r="N316">
        <f>N130</f>
        <v>0</v>
      </c>
      <c r="Q316">
        <f>IF(Charts!$B$3="none",E1243,IF(K1243="",NA(),K1243))</f>
        <v>0</v>
      </c>
      <c r="R316">
        <f>IF(Charts!$B$3="none",F1243,IF(L1243="",NA(),L1243))</f>
        <v>0</v>
      </c>
      <c r="S316">
        <f>IF(Charts!$B$3="none",G1243,IF(M1243="",NA(),M1243))</f>
        <v>0</v>
      </c>
      <c r="T316">
        <f>IF(Charts!$B$3="none",H1243,IF(N1243="",NA(),N1243))</f>
        <v>0</v>
      </c>
    </row>
    <row r="317" spans="5:20">
      <c r="E317">
        <v>127</v>
      </c>
      <c r="F317">
        <f>F131</f>
        <v>0</v>
      </c>
      <c r="G317">
        <v>127</v>
      </c>
      <c r="H317">
        <f>H131</f>
        <v>0</v>
      </c>
      <c r="K317">
        <v>127</v>
      </c>
      <c r="L317">
        <f>L131</f>
        <v>0</v>
      </c>
      <c r="M317">
        <v>127</v>
      </c>
      <c r="N317">
        <f>N131</f>
        <v>0</v>
      </c>
      <c r="Q317">
        <f>IF(Charts!$B$3="none",E1244,IF(K1244="",NA(),K1244))</f>
        <v>0</v>
      </c>
      <c r="R317">
        <f>IF(Charts!$B$3="none",F1244,IF(L1244="",NA(),L1244))</f>
        <v>0</v>
      </c>
      <c r="S317">
        <f>IF(Charts!$B$3="none",G1244,IF(M1244="",NA(),M1244))</f>
        <v>0</v>
      </c>
      <c r="T317">
        <f>IF(Charts!$B$3="none",H1244,IF(N1244="",NA(),N1244))</f>
        <v>0</v>
      </c>
    </row>
    <row r="318" spans="5:20">
      <c r="E318">
        <v>128</v>
      </c>
      <c r="F318">
        <f>F132</f>
        <v>0</v>
      </c>
      <c r="G318">
        <v>128</v>
      </c>
      <c r="H318">
        <f>H132</f>
        <v>0</v>
      </c>
      <c r="K318">
        <v>128</v>
      </c>
      <c r="L318">
        <f>L132</f>
        <v>0</v>
      </c>
      <c r="M318">
        <v>128</v>
      </c>
      <c r="N318">
        <f>N132</f>
        <v>0</v>
      </c>
      <c r="Q318">
        <f>IF(Charts!$B$3="none",E1245,IF(K1245="",NA(),K1245))</f>
        <v>0</v>
      </c>
      <c r="R318">
        <f>IF(Charts!$B$3="none",F1245,IF(L1245="",NA(),L1245))</f>
        <v>0</v>
      </c>
      <c r="S318">
        <f>IF(Charts!$B$3="none",G1245,IF(M1245="",NA(),M1245))</f>
        <v>0</v>
      </c>
      <c r="T318">
        <f>IF(Charts!$B$3="none",H1245,IF(N1245="",NA(),N1245))</f>
        <v>0</v>
      </c>
    </row>
    <row r="319" spans="5:20">
      <c r="E319">
        <v>129</v>
      </c>
      <c r="F319">
        <f>F133</f>
        <v>0</v>
      </c>
      <c r="G319">
        <v>129</v>
      </c>
      <c r="H319">
        <f>H133</f>
        <v>0</v>
      </c>
      <c r="K319">
        <v>129</v>
      </c>
      <c r="L319">
        <f>L133</f>
        <v>0</v>
      </c>
      <c r="M319">
        <v>129</v>
      </c>
      <c r="N319">
        <f>N133</f>
        <v>0</v>
      </c>
      <c r="Q319">
        <f>IF(Charts!$B$3="none",E1246,IF(K1246="",NA(),K1246))</f>
        <v>0</v>
      </c>
      <c r="R319">
        <f>IF(Charts!$B$3="none",F1246,IF(L1246="",NA(),L1246))</f>
        <v>0</v>
      </c>
      <c r="S319">
        <f>IF(Charts!$B$3="none",G1246,IF(M1246="",NA(),M1246))</f>
        <v>0</v>
      </c>
      <c r="T319">
        <f>IF(Charts!$B$3="none",H1246,IF(N1246="",NA(),N1246))</f>
        <v>0</v>
      </c>
    </row>
    <row r="320" spans="5:20">
      <c r="E320">
        <v>130</v>
      </c>
      <c r="F320">
        <f>F134</f>
        <v>0</v>
      </c>
      <c r="G320">
        <v>130</v>
      </c>
      <c r="H320">
        <f>H134</f>
        <v>0</v>
      </c>
      <c r="K320">
        <v>130</v>
      </c>
      <c r="L320">
        <f>L134</f>
        <v>0</v>
      </c>
      <c r="M320">
        <v>130</v>
      </c>
      <c r="N320">
        <f>N134</f>
        <v>0</v>
      </c>
      <c r="Q320">
        <f>IF(Charts!$B$3="none",E1247,IF(K1247="",NA(),K1247))</f>
        <v>0</v>
      </c>
      <c r="R320">
        <f>IF(Charts!$B$3="none",F1247,IF(L1247="",NA(),L1247))</f>
        <v>0</v>
      </c>
      <c r="S320">
        <f>IF(Charts!$B$3="none",G1247,IF(M1247="",NA(),M1247))</f>
        <v>0</v>
      </c>
      <c r="T320">
        <f>IF(Charts!$B$3="none",H1247,IF(N1247="",NA(),N1247))</f>
        <v>0</v>
      </c>
    </row>
    <row r="321" spans="5:20">
      <c r="E321">
        <v>131</v>
      </c>
      <c r="F321">
        <f>F135</f>
        <v>0</v>
      </c>
      <c r="G321">
        <v>131</v>
      </c>
      <c r="H321">
        <f>H135</f>
        <v>0</v>
      </c>
      <c r="K321">
        <v>131</v>
      </c>
      <c r="L321">
        <f>L135</f>
        <v>0</v>
      </c>
      <c r="M321">
        <v>131</v>
      </c>
      <c r="N321">
        <f>N135</f>
        <v>0</v>
      </c>
      <c r="Q321">
        <f>IF(Charts!$B$3="none",E1248,IF(K1248="",NA(),K1248))</f>
        <v>0</v>
      </c>
      <c r="R321">
        <f>IF(Charts!$B$3="none",F1248,IF(L1248="",NA(),L1248))</f>
        <v>0</v>
      </c>
      <c r="S321">
        <f>IF(Charts!$B$3="none",G1248,IF(M1248="",NA(),M1248))</f>
        <v>0</v>
      </c>
      <c r="T321">
        <f>IF(Charts!$B$3="none",H1248,IF(N1248="",NA(),N1248))</f>
        <v>0</v>
      </c>
    </row>
    <row r="322" spans="5:20">
      <c r="E322">
        <v>132</v>
      </c>
      <c r="F322">
        <f>F136</f>
        <v>0</v>
      </c>
      <c r="G322">
        <v>132</v>
      </c>
      <c r="H322">
        <f>H136</f>
        <v>0</v>
      </c>
      <c r="K322">
        <v>132</v>
      </c>
      <c r="L322">
        <f>L136</f>
        <v>0</v>
      </c>
      <c r="M322">
        <v>132</v>
      </c>
      <c r="N322">
        <f>N136</f>
        <v>0</v>
      </c>
      <c r="Q322">
        <f>IF(Charts!$B$3="none",E1249,IF(K1249="",NA(),K1249))</f>
        <v>0</v>
      </c>
      <c r="R322">
        <f>IF(Charts!$B$3="none",F1249,IF(L1249="",NA(),L1249))</f>
        <v>0</v>
      </c>
      <c r="S322">
        <f>IF(Charts!$B$3="none",G1249,IF(M1249="",NA(),M1249))</f>
        <v>0</v>
      </c>
      <c r="T322">
        <f>IF(Charts!$B$3="none",H1249,IF(N1249="",NA(),N1249))</f>
        <v>0</v>
      </c>
    </row>
    <row r="323" spans="5:20">
      <c r="E323">
        <v>133</v>
      </c>
      <c r="F323">
        <f>F137</f>
        <v>0</v>
      </c>
      <c r="G323">
        <v>133</v>
      </c>
      <c r="H323">
        <f>H137</f>
        <v>0</v>
      </c>
      <c r="K323">
        <v>133</v>
      </c>
      <c r="L323">
        <f>L137</f>
        <v>0</v>
      </c>
      <c r="M323">
        <v>133</v>
      </c>
      <c r="N323">
        <f>N137</f>
        <v>0</v>
      </c>
      <c r="Q323">
        <f>IF(Charts!$B$3="none",E1250,IF(K1250="",NA(),K1250))</f>
        <v>0</v>
      </c>
      <c r="R323">
        <f>IF(Charts!$B$3="none",F1250,IF(L1250="",NA(),L1250))</f>
        <v>0</v>
      </c>
      <c r="S323">
        <f>IF(Charts!$B$3="none",G1250,IF(M1250="",NA(),M1250))</f>
        <v>0</v>
      </c>
      <c r="T323">
        <f>IF(Charts!$B$3="none",H1250,IF(N1250="",NA(),N1250))</f>
        <v>0</v>
      </c>
    </row>
    <row r="324" spans="5:20">
      <c r="E324">
        <v>134</v>
      </c>
      <c r="F324">
        <f>F138</f>
        <v>0</v>
      </c>
      <c r="G324">
        <v>134</v>
      </c>
      <c r="H324">
        <f>H138</f>
        <v>0</v>
      </c>
      <c r="K324">
        <v>134</v>
      </c>
      <c r="L324">
        <f>L138</f>
        <v>0</v>
      </c>
      <c r="M324">
        <v>134</v>
      </c>
      <c r="N324">
        <f>N138</f>
        <v>0</v>
      </c>
      <c r="Q324">
        <f>IF(Charts!$B$3="none",E1251,IF(K1251="",NA(),K1251))</f>
        <v>0</v>
      </c>
      <c r="R324">
        <f>IF(Charts!$B$3="none",F1251,IF(L1251="",NA(),L1251))</f>
        <v>0</v>
      </c>
      <c r="S324">
        <f>IF(Charts!$B$3="none",G1251,IF(M1251="",NA(),M1251))</f>
        <v>0</v>
      </c>
      <c r="T324">
        <f>IF(Charts!$B$3="none",H1251,IF(N1251="",NA(),N1251))</f>
        <v>0</v>
      </c>
    </row>
    <row r="325" spans="5:20">
      <c r="E325">
        <v>135</v>
      </c>
      <c r="F325">
        <f>F139</f>
        <v>0</v>
      </c>
      <c r="G325">
        <v>135</v>
      </c>
      <c r="H325">
        <f>H139</f>
        <v>0</v>
      </c>
      <c r="K325">
        <v>135</v>
      </c>
      <c r="L325">
        <f>L139</f>
        <v>0</v>
      </c>
      <c r="M325">
        <v>135</v>
      </c>
      <c r="N325">
        <f>N139</f>
        <v>0</v>
      </c>
      <c r="Q325">
        <f>IF(Charts!$B$3="none",E1252,IF(K1252="",NA(),K1252))</f>
        <v>0</v>
      </c>
      <c r="R325">
        <f>IF(Charts!$B$3="none",F1252,IF(L1252="",NA(),L1252))</f>
        <v>0</v>
      </c>
      <c r="S325">
        <f>IF(Charts!$B$3="none",G1252,IF(M1252="",NA(),M1252))</f>
        <v>0</v>
      </c>
      <c r="T325">
        <f>IF(Charts!$B$3="none",H1252,IF(N1252="",NA(),N1252))</f>
        <v>0</v>
      </c>
    </row>
    <row r="326" spans="5:20">
      <c r="E326">
        <v>136</v>
      </c>
      <c r="F326">
        <f>F140</f>
        <v>0</v>
      </c>
      <c r="G326">
        <v>136</v>
      </c>
      <c r="H326">
        <f>H140</f>
        <v>0</v>
      </c>
      <c r="K326">
        <v>136</v>
      </c>
      <c r="L326">
        <f>L140</f>
        <v>0</v>
      </c>
      <c r="M326">
        <v>136</v>
      </c>
      <c r="N326">
        <f>N140</f>
        <v>0</v>
      </c>
      <c r="Q326">
        <f>IF(Charts!$B$3="none",E1253,IF(K1253="",NA(),K1253))</f>
        <v>0</v>
      </c>
      <c r="R326">
        <f>IF(Charts!$B$3="none",F1253,IF(L1253="",NA(),L1253))</f>
        <v>0</v>
      </c>
      <c r="S326">
        <f>IF(Charts!$B$3="none",G1253,IF(M1253="",NA(),M1253))</f>
        <v>0</v>
      </c>
      <c r="T326">
        <f>IF(Charts!$B$3="none",H1253,IF(N1253="",NA(),N1253))</f>
        <v>0</v>
      </c>
    </row>
    <row r="327" spans="5:20">
      <c r="E327">
        <v>137</v>
      </c>
      <c r="F327">
        <f>F141</f>
        <v>0</v>
      </c>
      <c r="G327">
        <v>137</v>
      </c>
      <c r="H327">
        <f>H141</f>
        <v>0</v>
      </c>
      <c r="K327">
        <v>137</v>
      </c>
      <c r="L327">
        <f>L141</f>
        <v>0</v>
      </c>
      <c r="M327">
        <v>137</v>
      </c>
      <c r="N327">
        <f>N141</f>
        <v>0</v>
      </c>
      <c r="Q327">
        <f>IF(Charts!$B$3="none",E1254,IF(K1254="",NA(),K1254))</f>
        <v>0</v>
      </c>
      <c r="R327">
        <f>IF(Charts!$B$3="none",F1254,IF(L1254="",NA(),L1254))</f>
        <v>0</v>
      </c>
      <c r="S327">
        <f>IF(Charts!$B$3="none",G1254,IF(M1254="",NA(),M1254))</f>
        <v>0</v>
      </c>
      <c r="T327">
        <f>IF(Charts!$B$3="none",H1254,IF(N1254="",NA(),N1254))</f>
        <v>0</v>
      </c>
    </row>
    <row r="328" spans="5:20">
      <c r="E328">
        <v>138</v>
      </c>
      <c r="F328">
        <f>F142</f>
        <v>0</v>
      </c>
      <c r="G328">
        <v>138</v>
      </c>
      <c r="H328">
        <f>H142</f>
        <v>0</v>
      </c>
      <c r="K328">
        <v>138</v>
      </c>
      <c r="L328">
        <f>L142</f>
        <v>0</v>
      </c>
      <c r="M328">
        <v>138</v>
      </c>
      <c r="N328">
        <f>N142</f>
        <v>0</v>
      </c>
      <c r="Q328">
        <f>IF(Charts!$B$3="none",E1255,IF(K1255="",NA(),K1255))</f>
        <v>0</v>
      </c>
      <c r="R328">
        <f>IF(Charts!$B$3="none",F1255,IF(L1255="",NA(),L1255))</f>
        <v>0</v>
      </c>
      <c r="S328">
        <f>IF(Charts!$B$3="none",G1255,IF(M1255="",NA(),M1255))</f>
        <v>0</v>
      </c>
      <c r="T328">
        <f>IF(Charts!$B$3="none",H1255,IF(N1255="",NA(),N1255))</f>
        <v>0</v>
      </c>
    </row>
    <row r="329" spans="5:20">
      <c r="E329">
        <v>139</v>
      </c>
      <c r="F329">
        <f>F143</f>
        <v>0</v>
      </c>
      <c r="G329">
        <v>139</v>
      </c>
      <c r="H329">
        <f>H143</f>
        <v>0</v>
      </c>
      <c r="K329">
        <v>139</v>
      </c>
      <c r="L329">
        <f>L143</f>
        <v>0</v>
      </c>
      <c r="M329">
        <v>139</v>
      </c>
      <c r="N329">
        <f>N143</f>
        <v>0</v>
      </c>
      <c r="Q329">
        <f>IF(Charts!$B$3="none",E1256,IF(K1256="",NA(),K1256))</f>
        <v>0</v>
      </c>
      <c r="R329">
        <f>IF(Charts!$B$3="none",F1256,IF(L1256="",NA(),L1256))</f>
        <v>0</v>
      </c>
      <c r="S329">
        <f>IF(Charts!$B$3="none",G1256,IF(M1256="",NA(),M1256))</f>
        <v>0</v>
      </c>
      <c r="T329">
        <f>IF(Charts!$B$3="none",H1256,IF(N1256="",NA(),N1256))</f>
        <v>0</v>
      </c>
    </row>
    <row r="330" spans="5:20">
      <c r="E330">
        <v>140</v>
      </c>
      <c r="F330">
        <f>F144</f>
        <v>0</v>
      </c>
      <c r="G330">
        <v>140</v>
      </c>
      <c r="H330">
        <f>H144</f>
        <v>0</v>
      </c>
      <c r="K330">
        <v>140</v>
      </c>
      <c r="L330">
        <f>L144</f>
        <v>0</v>
      </c>
      <c r="M330">
        <v>140</v>
      </c>
      <c r="N330">
        <f>N144</f>
        <v>0</v>
      </c>
      <c r="Q330">
        <f>IF(Charts!$B$3="none",E1257,IF(K1257="",NA(),K1257))</f>
        <v>0</v>
      </c>
      <c r="R330">
        <f>IF(Charts!$B$3="none",F1257,IF(L1257="",NA(),L1257))</f>
        <v>0</v>
      </c>
      <c r="S330">
        <f>IF(Charts!$B$3="none",G1257,IF(M1257="",NA(),M1257))</f>
        <v>0</v>
      </c>
      <c r="T330">
        <f>IF(Charts!$B$3="none",H1257,IF(N1257="",NA(),N1257))</f>
        <v>0</v>
      </c>
    </row>
    <row r="331" spans="5:20">
      <c r="E331">
        <v>141</v>
      </c>
      <c r="F331">
        <f>F145</f>
        <v>0</v>
      </c>
      <c r="G331">
        <v>141</v>
      </c>
      <c r="H331">
        <f>H145</f>
        <v>0</v>
      </c>
      <c r="K331">
        <v>141</v>
      </c>
      <c r="L331">
        <f>L145</f>
        <v>0</v>
      </c>
      <c r="M331">
        <v>141</v>
      </c>
      <c r="N331">
        <f>N145</f>
        <v>0</v>
      </c>
      <c r="Q331">
        <f>IF(Charts!$B$3="none",E1258,IF(K1258="",NA(),K1258))</f>
        <v>0</v>
      </c>
      <c r="R331">
        <f>IF(Charts!$B$3="none",F1258,IF(L1258="",NA(),L1258))</f>
        <v>0</v>
      </c>
      <c r="S331">
        <f>IF(Charts!$B$3="none",G1258,IF(M1258="",NA(),M1258))</f>
        <v>0</v>
      </c>
      <c r="T331">
        <f>IF(Charts!$B$3="none",H1258,IF(N1258="",NA(),N1258))</f>
        <v>0</v>
      </c>
    </row>
    <row r="332" spans="5:20">
      <c r="E332">
        <v>142</v>
      </c>
      <c r="F332">
        <f>F146</f>
        <v>0</v>
      </c>
      <c r="G332">
        <v>142</v>
      </c>
      <c r="H332">
        <f>H146</f>
        <v>0</v>
      </c>
      <c r="K332">
        <v>142</v>
      </c>
      <c r="L332">
        <f>L146</f>
        <v>0</v>
      </c>
      <c r="M332">
        <v>142</v>
      </c>
      <c r="N332">
        <f>N146</f>
        <v>0</v>
      </c>
      <c r="Q332">
        <f>IF(Charts!$B$3="none",E1259,IF(K1259="",NA(),K1259))</f>
        <v>0</v>
      </c>
      <c r="R332">
        <f>IF(Charts!$B$3="none",F1259,IF(L1259="",NA(),L1259))</f>
        <v>0</v>
      </c>
      <c r="S332">
        <f>IF(Charts!$B$3="none",G1259,IF(M1259="",NA(),M1259))</f>
        <v>0</v>
      </c>
      <c r="T332">
        <f>IF(Charts!$B$3="none",H1259,IF(N1259="",NA(),N1259))</f>
        <v>0</v>
      </c>
    </row>
    <row r="333" spans="5:20">
      <c r="E333">
        <v>143</v>
      </c>
      <c r="F333">
        <f>F147</f>
        <v>0</v>
      </c>
      <c r="G333">
        <v>143</v>
      </c>
      <c r="H333">
        <f>H147</f>
        <v>0</v>
      </c>
      <c r="K333">
        <v>143</v>
      </c>
      <c r="L333">
        <f>L147</f>
        <v>0</v>
      </c>
      <c r="M333">
        <v>143</v>
      </c>
      <c r="N333">
        <f>N147</f>
        <v>0</v>
      </c>
      <c r="Q333">
        <f>IF(Charts!$B$3="none",E1260,IF(K1260="",NA(),K1260))</f>
        <v>0</v>
      </c>
      <c r="R333">
        <f>IF(Charts!$B$3="none",F1260,IF(L1260="",NA(),L1260))</f>
        <v>0</v>
      </c>
      <c r="S333">
        <f>IF(Charts!$B$3="none",G1260,IF(M1260="",NA(),M1260))</f>
        <v>0</v>
      </c>
      <c r="T333">
        <f>IF(Charts!$B$3="none",H1260,IF(N1260="",NA(),N1260))</f>
        <v>0</v>
      </c>
    </row>
    <row r="334" spans="5:20">
      <c r="E334">
        <v>144</v>
      </c>
      <c r="F334">
        <f>F148</f>
        <v>0</v>
      </c>
      <c r="G334">
        <v>144</v>
      </c>
      <c r="H334">
        <f>H148</f>
        <v>0</v>
      </c>
      <c r="K334">
        <v>144</v>
      </c>
      <c r="L334">
        <f>L148</f>
        <v>0</v>
      </c>
      <c r="M334">
        <v>144</v>
      </c>
      <c r="N334">
        <f>N148</f>
        <v>0</v>
      </c>
      <c r="Q334">
        <f>IF(Charts!$B$3="none",E1261,IF(K1261="",NA(),K1261))</f>
        <v>0</v>
      </c>
      <c r="R334">
        <f>IF(Charts!$B$3="none",F1261,IF(L1261="",NA(),L1261))</f>
        <v>0</v>
      </c>
      <c r="S334">
        <f>IF(Charts!$B$3="none",G1261,IF(M1261="",NA(),M1261))</f>
        <v>0</v>
      </c>
      <c r="T334">
        <f>IF(Charts!$B$3="none",H1261,IF(N1261="",NA(),N1261))</f>
        <v>0</v>
      </c>
    </row>
    <row r="335" spans="5:20">
      <c r="E335">
        <v>145</v>
      </c>
      <c r="F335">
        <f>F149</f>
        <v>0</v>
      </c>
      <c r="G335">
        <v>145</v>
      </c>
      <c r="H335">
        <f>H149</f>
        <v>0</v>
      </c>
      <c r="K335">
        <v>145</v>
      </c>
      <c r="L335">
        <f>L149</f>
        <v>0</v>
      </c>
      <c r="M335">
        <v>145</v>
      </c>
      <c r="N335">
        <f>N149</f>
        <v>0</v>
      </c>
      <c r="Q335">
        <f>IF(Charts!$B$3="none",E1262,IF(K1262="",NA(),K1262))</f>
        <v>0</v>
      </c>
      <c r="R335">
        <f>IF(Charts!$B$3="none",F1262,IF(L1262="",NA(),L1262))</f>
        <v>0</v>
      </c>
      <c r="S335">
        <f>IF(Charts!$B$3="none",G1262,IF(M1262="",NA(),M1262))</f>
        <v>0</v>
      </c>
      <c r="T335">
        <f>IF(Charts!$B$3="none",H1262,IF(N1262="",NA(),N1262))</f>
        <v>0</v>
      </c>
    </row>
    <row r="336" spans="5:20">
      <c r="E336">
        <v>146</v>
      </c>
      <c r="F336">
        <f>F150</f>
        <v>0</v>
      </c>
      <c r="G336">
        <v>146</v>
      </c>
      <c r="H336">
        <f>H150</f>
        <v>0</v>
      </c>
      <c r="K336">
        <v>146</v>
      </c>
      <c r="L336">
        <f>L150</f>
        <v>0</v>
      </c>
      <c r="M336">
        <v>146</v>
      </c>
      <c r="N336">
        <f>N150</f>
        <v>0</v>
      </c>
      <c r="Q336">
        <f>IF(Charts!$B$3="none",E1263,IF(K1263="",NA(),K1263))</f>
        <v>0</v>
      </c>
      <c r="R336">
        <f>IF(Charts!$B$3="none",F1263,IF(L1263="",NA(),L1263))</f>
        <v>0</v>
      </c>
      <c r="S336">
        <f>IF(Charts!$B$3="none",G1263,IF(M1263="",NA(),M1263))</f>
        <v>0</v>
      </c>
      <c r="T336">
        <f>IF(Charts!$B$3="none",H1263,IF(N1263="",NA(),N1263))</f>
        <v>0</v>
      </c>
    </row>
    <row r="337" spans="5:20">
      <c r="E337">
        <v>147</v>
      </c>
      <c r="F337">
        <f>F151</f>
        <v>0</v>
      </c>
      <c r="G337">
        <v>147</v>
      </c>
      <c r="H337">
        <f>H151</f>
        <v>0</v>
      </c>
      <c r="K337">
        <v>147</v>
      </c>
      <c r="L337">
        <f>L151</f>
        <v>0</v>
      </c>
      <c r="M337">
        <v>147</v>
      </c>
      <c r="N337">
        <f>N151</f>
        <v>0</v>
      </c>
      <c r="Q337">
        <f>IF(Charts!$B$3="none",E1264,IF(K1264="",NA(),K1264))</f>
        <v>0</v>
      </c>
      <c r="R337">
        <f>IF(Charts!$B$3="none",F1264,IF(L1264="",NA(),L1264))</f>
        <v>0</v>
      </c>
      <c r="S337">
        <f>IF(Charts!$B$3="none",G1264,IF(M1264="",NA(),M1264))</f>
        <v>0</v>
      </c>
      <c r="T337">
        <f>IF(Charts!$B$3="none",H1264,IF(N1264="",NA(),N1264))</f>
        <v>0</v>
      </c>
    </row>
    <row r="338" spans="5:20">
      <c r="E338">
        <v>148</v>
      </c>
      <c r="F338">
        <f>F152</f>
        <v>0</v>
      </c>
      <c r="G338">
        <v>148</v>
      </c>
      <c r="H338">
        <f>H152</f>
        <v>0</v>
      </c>
      <c r="K338">
        <v>148</v>
      </c>
      <c r="L338">
        <f>L152</f>
        <v>0</v>
      </c>
      <c r="M338">
        <v>148</v>
      </c>
      <c r="N338">
        <f>N152</f>
        <v>0</v>
      </c>
      <c r="Q338">
        <f>IF(Charts!$B$3="none",E1265,IF(K1265="",NA(),K1265))</f>
        <v>0</v>
      </c>
      <c r="R338">
        <f>IF(Charts!$B$3="none",F1265,IF(L1265="",NA(),L1265))</f>
        <v>0</v>
      </c>
      <c r="S338">
        <f>IF(Charts!$B$3="none",G1265,IF(M1265="",NA(),M1265))</f>
        <v>0</v>
      </c>
      <c r="T338">
        <f>IF(Charts!$B$3="none",H1265,IF(N1265="",NA(),N1265))</f>
        <v>0</v>
      </c>
    </row>
    <row r="339" spans="5:20">
      <c r="E339">
        <v>149</v>
      </c>
      <c r="F339">
        <f>F153</f>
        <v>0</v>
      </c>
      <c r="G339">
        <v>149</v>
      </c>
      <c r="H339">
        <f>H153</f>
        <v>0</v>
      </c>
      <c r="K339">
        <v>149</v>
      </c>
      <c r="L339">
        <f>L153</f>
        <v>0</v>
      </c>
      <c r="M339">
        <v>149</v>
      </c>
      <c r="N339">
        <f>N153</f>
        <v>0</v>
      </c>
      <c r="Q339">
        <f>IF(Charts!$B$3="none",E1266,IF(K1266="",NA(),K1266))</f>
        <v>0</v>
      </c>
      <c r="R339">
        <f>IF(Charts!$B$3="none",F1266,IF(L1266="",NA(),L1266))</f>
        <v>0</v>
      </c>
      <c r="S339">
        <f>IF(Charts!$B$3="none",G1266,IF(M1266="",NA(),M1266))</f>
        <v>0</v>
      </c>
      <c r="T339">
        <f>IF(Charts!$B$3="none",H1266,IF(N1266="",NA(),N1266))</f>
        <v>0</v>
      </c>
    </row>
    <row r="340" spans="5:20">
      <c r="E340">
        <v>150</v>
      </c>
      <c r="F340">
        <f>F154</f>
        <v>0</v>
      </c>
      <c r="G340">
        <v>150</v>
      </c>
      <c r="H340">
        <f>H154</f>
        <v>0</v>
      </c>
      <c r="K340">
        <v>150</v>
      </c>
      <c r="L340">
        <f>L154</f>
        <v>0</v>
      </c>
      <c r="M340">
        <v>150</v>
      </c>
      <c r="N340">
        <f>N154</f>
        <v>0</v>
      </c>
      <c r="Q340">
        <f>IF(Charts!$B$3="none",E1267,IF(K1267="",NA(),K1267))</f>
        <v>0</v>
      </c>
      <c r="R340">
        <f>IF(Charts!$B$3="none",F1267,IF(L1267="",NA(),L1267))</f>
        <v>0</v>
      </c>
      <c r="S340">
        <f>IF(Charts!$B$3="none",G1267,IF(M1267="",NA(),M1267))</f>
        <v>0</v>
      </c>
      <c r="T340">
        <f>IF(Charts!$B$3="none",H1267,IF(N1267="",NA(),N1267))</f>
        <v>0</v>
      </c>
    </row>
    <row r="341" spans="5:20">
      <c r="E341">
        <v>151</v>
      </c>
      <c r="F341">
        <f>F155</f>
        <v>0</v>
      </c>
      <c r="G341">
        <v>151</v>
      </c>
      <c r="H341">
        <f>H155</f>
        <v>0</v>
      </c>
      <c r="K341">
        <v>151</v>
      </c>
      <c r="L341">
        <f>L155</f>
        <v>0</v>
      </c>
      <c r="M341">
        <v>151</v>
      </c>
      <c r="N341">
        <f>N155</f>
        <v>0</v>
      </c>
      <c r="Q341">
        <f>IF(Charts!$B$3="none",E1268,IF(K1268="",NA(),K1268))</f>
        <v>0</v>
      </c>
      <c r="R341">
        <f>IF(Charts!$B$3="none",F1268,IF(L1268="",NA(),L1268))</f>
        <v>0</v>
      </c>
      <c r="S341">
        <f>IF(Charts!$B$3="none",G1268,IF(M1268="",NA(),M1268))</f>
        <v>0</v>
      </c>
      <c r="T341">
        <f>IF(Charts!$B$3="none",H1268,IF(N1268="",NA(),N1268))</f>
        <v>0</v>
      </c>
    </row>
    <row r="342" spans="5:20">
      <c r="E342">
        <v>152</v>
      </c>
      <c r="F342">
        <f>F156</f>
        <v>0</v>
      </c>
      <c r="G342">
        <v>152</v>
      </c>
      <c r="H342">
        <f>H156</f>
        <v>0</v>
      </c>
      <c r="K342">
        <v>152</v>
      </c>
      <c r="L342">
        <f>L156</f>
        <v>0</v>
      </c>
      <c r="M342">
        <v>152</v>
      </c>
      <c r="N342">
        <f>N156</f>
        <v>0</v>
      </c>
      <c r="Q342">
        <f>IF(Charts!$B$3="none",E1269,IF(K1269="",NA(),K1269))</f>
        <v>0</v>
      </c>
      <c r="R342">
        <f>IF(Charts!$B$3="none",F1269,IF(L1269="",NA(),L1269))</f>
        <v>0</v>
      </c>
      <c r="S342">
        <f>IF(Charts!$B$3="none",G1269,IF(M1269="",NA(),M1269))</f>
        <v>0</v>
      </c>
      <c r="T342">
        <f>IF(Charts!$B$3="none",H1269,IF(N1269="",NA(),N1269))</f>
        <v>0</v>
      </c>
    </row>
    <row r="343" spans="5:20">
      <c r="E343">
        <v>153</v>
      </c>
      <c r="F343">
        <f>F157</f>
        <v>0</v>
      </c>
      <c r="G343">
        <v>153</v>
      </c>
      <c r="H343">
        <f>H157</f>
        <v>0</v>
      </c>
      <c r="K343">
        <v>153</v>
      </c>
      <c r="L343">
        <f>L157</f>
        <v>0</v>
      </c>
      <c r="M343">
        <v>153</v>
      </c>
      <c r="N343">
        <f>N157</f>
        <v>0</v>
      </c>
      <c r="Q343">
        <f>IF(Charts!$B$3="none",E1270,IF(K1270="",NA(),K1270))</f>
        <v>0</v>
      </c>
      <c r="R343">
        <f>IF(Charts!$B$3="none",F1270,IF(L1270="",NA(),L1270))</f>
        <v>0</v>
      </c>
      <c r="S343">
        <f>IF(Charts!$B$3="none",G1270,IF(M1270="",NA(),M1270))</f>
        <v>0</v>
      </c>
      <c r="T343">
        <f>IF(Charts!$B$3="none",H1270,IF(N1270="",NA(),N1270))</f>
        <v>0</v>
      </c>
    </row>
    <row r="344" spans="5:20">
      <c r="E344">
        <v>154</v>
      </c>
      <c r="F344">
        <f>F158</f>
        <v>0</v>
      </c>
      <c r="G344">
        <v>154</v>
      </c>
      <c r="H344">
        <f>H158</f>
        <v>0</v>
      </c>
      <c r="K344">
        <v>154</v>
      </c>
      <c r="L344">
        <f>L158</f>
        <v>0</v>
      </c>
      <c r="M344">
        <v>154</v>
      </c>
      <c r="N344">
        <f>N158</f>
        <v>0</v>
      </c>
      <c r="Q344">
        <f>IF(Charts!$B$3="none",E1271,IF(K1271="",NA(),K1271))</f>
        <v>0</v>
      </c>
      <c r="R344">
        <f>IF(Charts!$B$3="none",F1271,IF(L1271="",NA(),L1271))</f>
        <v>0</v>
      </c>
      <c r="S344">
        <f>IF(Charts!$B$3="none",G1271,IF(M1271="",NA(),M1271))</f>
        <v>0</v>
      </c>
      <c r="T344">
        <f>IF(Charts!$B$3="none",H1271,IF(N1271="",NA(),N1271))</f>
        <v>0</v>
      </c>
    </row>
    <row r="345" spans="5:20">
      <c r="E345">
        <v>155</v>
      </c>
      <c r="F345">
        <f>F159</f>
        <v>0</v>
      </c>
      <c r="G345">
        <v>155</v>
      </c>
      <c r="H345">
        <f>H159</f>
        <v>0</v>
      </c>
      <c r="K345">
        <v>155</v>
      </c>
      <c r="L345">
        <f>L159</f>
        <v>0</v>
      </c>
      <c r="M345">
        <v>155</v>
      </c>
      <c r="N345">
        <f>N159</f>
        <v>0</v>
      </c>
      <c r="Q345">
        <f>IF(Charts!$B$3="none",E1272,IF(K1272="",NA(),K1272))</f>
        <v>0</v>
      </c>
      <c r="R345">
        <f>IF(Charts!$B$3="none",F1272,IF(L1272="",NA(),L1272))</f>
        <v>0</v>
      </c>
      <c r="S345">
        <f>IF(Charts!$B$3="none",G1272,IF(M1272="",NA(),M1272))</f>
        <v>0</v>
      </c>
      <c r="T345">
        <f>IF(Charts!$B$3="none",H1272,IF(N1272="",NA(),N1272))</f>
        <v>0</v>
      </c>
    </row>
    <row r="346" spans="5:20">
      <c r="E346">
        <v>156</v>
      </c>
      <c r="F346">
        <f>F160</f>
        <v>0</v>
      </c>
      <c r="G346">
        <v>156</v>
      </c>
      <c r="H346">
        <f>H160</f>
        <v>0</v>
      </c>
      <c r="K346">
        <v>156</v>
      </c>
      <c r="L346">
        <f>L160</f>
        <v>0</v>
      </c>
      <c r="M346">
        <v>156</v>
      </c>
      <c r="N346">
        <f>N160</f>
        <v>0</v>
      </c>
      <c r="Q346">
        <f>IF(Charts!$B$3="none",E1273,IF(K1273="",NA(),K1273))</f>
        <v>0</v>
      </c>
      <c r="R346">
        <f>IF(Charts!$B$3="none",F1273,IF(L1273="",NA(),L1273))</f>
        <v>0</v>
      </c>
      <c r="S346">
        <f>IF(Charts!$B$3="none",G1273,IF(M1273="",NA(),M1273))</f>
        <v>0</v>
      </c>
      <c r="T346">
        <f>IF(Charts!$B$3="none",H1273,IF(N1273="",NA(),N1273))</f>
        <v>0</v>
      </c>
    </row>
    <row r="347" spans="5:20">
      <c r="E347">
        <v>157</v>
      </c>
      <c r="F347">
        <f>F161</f>
        <v>0</v>
      </c>
      <c r="G347">
        <v>157</v>
      </c>
      <c r="H347">
        <f>H161</f>
        <v>0</v>
      </c>
      <c r="K347">
        <v>157</v>
      </c>
      <c r="L347">
        <f>L161</f>
        <v>0</v>
      </c>
      <c r="M347">
        <v>157</v>
      </c>
      <c r="N347">
        <f>N161</f>
        <v>0</v>
      </c>
      <c r="Q347">
        <f>IF(Charts!$B$3="none",E1274,IF(K1274="",NA(),K1274))</f>
        <v>0</v>
      </c>
      <c r="R347">
        <f>IF(Charts!$B$3="none",F1274,IF(L1274="",NA(),L1274))</f>
        <v>0</v>
      </c>
      <c r="S347">
        <f>IF(Charts!$B$3="none",G1274,IF(M1274="",NA(),M1274))</f>
        <v>0</v>
      </c>
      <c r="T347">
        <f>IF(Charts!$B$3="none",H1274,IF(N1274="",NA(),N1274))</f>
        <v>0</v>
      </c>
    </row>
    <row r="348" spans="5:20">
      <c r="E348">
        <v>158</v>
      </c>
      <c r="F348">
        <f>F162</f>
        <v>0</v>
      </c>
      <c r="G348">
        <v>158</v>
      </c>
      <c r="H348">
        <f>H162</f>
        <v>0</v>
      </c>
      <c r="K348">
        <v>158</v>
      </c>
      <c r="L348">
        <f>L162</f>
        <v>0</v>
      </c>
      <c r="M348">
        <v>158</v>
      </c>
      <c r="N348">
        <f>N162</f>
        <v>0</v>
      </c>
      <c r="Q348">
        <f>IF(Charts!$B$3="none",E1275,IF(K1275="",NA(),K1275))</f>
        <v>0</v>
      </c>
      <c r="R348">
        <f>IF(Charts!$B$3="none",F1275,IF(L1275="",NA(),L1275))</f>
        <v>0</v>
      </c>
      <c r="S348">
        <f>IF(Charts!$B$3="none",G1275,IF(M1275="",NA(),M1275))</f>
        <v>0</v>
      </c>
      <c r="T348">
        <f>IF(Charts!$B$3="none",H1275,IF(N1275="",NA(),N1275))</f>
        <v>0</v>
      </c>
    </row>
    <row r="349" spans="5:20">
      <c r="E349">
        <v>159</v>
      </c>
      <c r="F349">
        <f>F163</f>
        <v>0</v>
      </c>
      <c r="G349">
        <v>159</v>
      </c>
      <c r="H349">
        <f>H163</f>
        <v>0</v>
      </c>
      <c r="K349">
        <v>159</v>
      </c>
      <c r="L349">
        <f>L163</f>
        <v>0</v>
      </c>
      <c r="M349">
        <v>159</v>
      </c>
      <c r="N349">
        <f>N163</f>
        <v>0</v>
      </c>
      <c r="Q349">
        <f>IF(Charts!$B$3="none",E1276,IF(K1276="",NA(),K1276))</f>
        <v>0</v>
      </c>
      <c r="R349">
        <f>IF(Charts!$B$3="none",F1276,IF(L1276="",NA(),L1276))</f>
        <v>0</v>
      </c>
      <c r="S349">
        <f>IF(Charts!$B$3="none",G1276,IF(M1276="",NA(),M1276))</f>
        <v>0</v>
      </c>
      <c r="T349">
        <f>IF(Charts!$B$3="none",H1276,IF(N1276="",NA(),N1276))</f>
        <v>0</v>
      </c>
    </row>
    <row r="350" spans="5:20">
      <c r="E350">
        <v>160</v>
      </c>
      <c r="F350">
        <f>F164</f>
        <v>0</v>
      </c>
      <c r="G350">
        <v>160</v>
      </c>
      <c r="H350">
        <f>H164</f>
        <v>0</v>
      </c>
      <c r="K350">
        <v>160</v>
      </c>
      <c r="L350">
        <f>L164</f>
        <v>0</v>
      </c>
      <c r="M350">
        <v>160</v>
      </c>
      <c r="N350">
        <f>N164</f>
        <v>0</v>
      </c>
      <c r="Q350">
        <f>IF(Charts!$B$3="none",E1277,IF(K1277="",NA(),K1277))</f>
        <v>0</v>
      </c>
      <c r="R350">
        <f>IF(Charts!$B$3="none",F1277,IF(L1277="",NA(),L1277))</f>
        <v>0</v>
      </c>
      <c r="S350">
        <f>IF(Charts!$B$3="none",G1277,IF(M1277="",NA(),M1277))</f>
        <v>0</v>
      </c>
      <c r="T350">
        <f>IF(Charts!$B$3="none",H1277,IF(N1277="",NA(),N1277))</f>
        <v>0</v>
      </c>
    </row>
    <row r="351" spans="5:20">
      <c r="E351">
        <v>161</v>
      </c>
      <c r="F351">
        <f>F165</f>
        <v>0</v>
      </c>
      <c r="G351">
        <v>161</v>
      </c>
      <c r="H351">
        <f>H165</f>
        <v>0</v>
      </c>
      <c r="K351">
        <v>161</v>
      </c>
      <c r="L351">
        <f>L165</f>
        <v>0</v>
      </c>
      <c r="M351">
        <v>161</v>
      </c>
      <c r="N351">
        <f>N165</f>
        <v>0</v>
      </c>
      <c r="Q351">
        <f>IF(Charts!$B$3="none",E1278,IF(K1278="",NA(),K1278))</f>
        <v>0</v>
      </c>
      <c r="R351">
        <f>IF(Charts!$B$3="none",F1278,IF(L1278="",NA(),L1278))</f>
        <v>0</v>
      </c>
      <c r="S351">
        <f>IF(Charts!$B$3="none",G1278,IF(M1278="",NA(),M1278))</f>
        <v>0</v>
      </c>
      <c r="T351">
        <f>IF(Charts!$B$3="none",H1278,IF(N1278="",NA(),N1278))</f>
        <v>0</v>
      </c>
    </row>
    <row r="352" spans="5:20">
      <c r="E352">
        <v>162</v>
      </c>
      <c r="F352">
        <f>F166</f>
        <v>0</v>
      </c>
      <c r="G352">
        <v>162</v>
      </c>
      <c r="H352">
        <f>H166</f>
        <v>0</v>
      </c>
      <c r="K352">
        <v>162</v>
      </c>
      <c r="L352">
        <f>L166</f>
        <v>0</v>
      </c>
      <c r="M352">
        <v>162</v>
      </c>
      <c r="N352">
        <f>N166</f>
        <v>0</v>
      </c>
      <c r="Q352">
        <f>IF(Charts!$B$3="none",E1279,IF(K1279="",NA(),K1279))</f>
        <v>0</v>
      </c>
      <c r="R352">
        <f>IF(Charts!$B$3="none",F1279,IF(L1279="",NA(),L1279))</f>
        <v>0</v>
      </c>
      <c r="S352">
        <f>IF(Charts!$B$3="none",G1279,IF(M1279="",NA(),M1279))</f>
        <v>0</v>
      </c>
      <c r="T352">
        <f>IF(Charts!$B$3="none",H1279,IF(N1279="",NA(),N1279))</f>
        <v>0</v>
      </c>
    </row>
    <row r="353" spans="5:20">
      <c r="E353">
        <v>163</v>
      </c>
      <c r="F353">
        <f>F167</f>
        <v>0</v>
      </c>
      <c r="G353">
        <v>163</v>
      </c>
      <c r="H353">
        <f>H167</f>
        <v>0</v>
      </c>
      <c r="K353">
        <v>163</v>
      </c>
      <c r="L353">
        <f>L167</f>
        <v>0</v>
      </c>
      <c r="M353">
        <v>163</v>
      </c>
      <c r="N353">
        <f>N167</f>
        <v>0</v>
      </c>
      <c r="Q353">
        <f>IF(Charts!$B$3="none",E1280,IF(K1280="",NA(),K1280))</f>
        <v>0</v>
      </c>
      <c r="R353">
        <f>IF(Charts!$B$3="none",F1280,IF(L1280="",NA(),L1280))</f>
        <v>0</v>
      </c>
      <c r="S353">
        <f>IF(Charts!$B$3="none",G1280,IF(M1280="",NA(),M1280))</f>
        <v>0</v>
      </c>
      <c r="T353">
        <f>IF(Charts!$B$3="none",H1280,IF(N1280="",NA(),N1280))</f>
        <v>0</v>
      </c>
    </row>
    <row r="354" spans="5:20">
      <c r="E354">
        <v>164</v>
      </c>
      <c r="F354">
        <f>F168</f>
        <v>0</v>
      </c>
      <c r="G354">
        <v>164</v>
      </c>
      <c r="H354">
        <f>H168</f>
        <v>0</v>
      </c>
      <c r="K354">
        <v>164</v>
      </c>
      <c r="L354">
        <f>L168</f>
        <v>0</v>
      </c>
      <c r="M354">
        <v>164</v>
      </c>
      <c r="N354">
        <f>N168</f>
        <v>0</v>
      </c>
      <c r="Q354">
        <f>IF(Charts!$B$3="none",E1281,IF(K1281="",NA(),K1281))</f>
        <v>0</v>
      </c>
      <c r="R354">
        <f>IF(Charts!$B$3="none",F1281,IF(L1281="",NA(),L1281))</f>
        <v>0</v>
      </c>
      <c r="S354">
        <f>IF(Charts!$B$3="none",G1281,IF(M1281="",NA(),M1281))</f>
        <v>0</v>
      </c>
      <c r="T354">
        <f>IF(Charts!$B$3="none",H1281,IF(N1281="",NA(),N1281))</f>
        <v>0</v>
      </c>
    </row>
    <row r="355" spans="5:20">
      <c r="E355">
        <v>165</v>
      </c>
      <c r="F355">
        <f>F169</f>
        <v>0</v>
      </c>
      <c r="G355">
        <v>165</v>
      </c>
      <c r="H355">
        <f>H169</f>
        <v>0</v>
      </c>
      <c r="K355">
        <v>165</v>
      </c>
      <c r="L355">
        <f>L169</f>
        <v>0</v>
      </c>
      <c r="M355">
        <v>165</v>
      </c>
      <c r="N355">
        <f>N169</f>
        <v>0</v>
      </c>
      <c r="Q355">
        <f>IF(Charts!$B$3="none",E1282,IF(K1282="",NA(),K1282))</f>
        <v>0</v>
      </c>
      <c r="R355">
        <f>IF(Charts!$B$3="none",F1282,IF(L1282="",NA(),L1282))</f>
        <v>0</v>
      </c>
      <c r="S355">
        <f>IF(Charts!$B$3="none",G1282,IF(M1282="",NA(),M1282))</f>
        <v>0</v>
      </c>
      <c r="T355">
        <f>IF(Charts!$B$3="none",H1282,IF(N1282="",NA(),N1282))</f>
        <v>0</v>
      </c>
    </row>
    <row r="356" spans="5:20">
      <c r="E356">
        <v>166</v>
      </c>
      <c r="F356">
        <f>F170</f>
        <v>0</v>
      </c>
      <c r="G356">
        <v>166</v>
      </c>
      <c r="H356">
        <f>H170</f>
        <v>0</v>
      </c>
      <c r="K356">
        <v>166</v>
      </c>
      <c r="L356">
        <f>L170</f>
        <v>0</v>
      </c>
      <c r="M356">
        <v>166</v>
      </c>
      <c r="N356">
        <f>N170</f>
        <v>0</v>
      </c>
      <c r="Q356">
        <f>IF(Charts!$B$3="none",E1283,IF(K1283="",NA(),K1283))</f>
        <v>0</v>
      </c>
      <c r="R356">
        <f>IF(Charts!$B$3="none",F1283,IF(L1283="",NA(),L1283))</f>
        <v>0</v>
      </c>
      <c r="S356">
        <f>IF(Charts!$B$3="none",G1283,IF(M1283="",NA(),M1283))</f>
        <v>0</v>
      </c>
      <c r="T356">
        <f>IF(Charts!$B$3="none",H1283,IF(N1283="",NA(),N1283))</f>
        <v>0</v>
      </c>
    </row>
    <row r="357" spans="5:20">
      <c r="E357">
        <v>167</v>
      </c>
      <c r="F357">
        <f>F171</f>
        <v>0</v>
      </c>
      <c r="G357">
        <v>167</v>
      </c>
      <c r="H357">
        <f>H171</f>
        <v>0</v>
      </c>
      <c r="K357">
        <v>167</v>
      </c>
      <c r="L357">
        <f>L171</f>
        <v>0</v>
      </c>
      <c r="M357">
        <v>167</v>
      </c>
      <c r="N357">
        <f>N171</f>
        <v>0</v>
      </c>
      <c r="Q357">
        <f>IF(Charts!$B$3="none",E1284,IF(K1284="",NA(),K1284))</f>
        <v>0</v>
      </c>
      <c r="R357">
        <f>IF(Charts!$B$3="none",F1284,IF(L1284="",NA(),L1284))</f>
        <v>0</v>
      </c>
      <c r="S357">
        <f>IF(Charts!$B$3="none",G1284,IF(M1284="",NA(),M1284))</f>
        <v>0</v>
      </c>
      <c r="T357">
        <f>IF(Charts!$B$3="none",H1284,IF(N1284="",NA(),N1284))</f>
        <v>0</v>
      </c>
    </row>
    <row r="358" spans="5:20">
      <c r="E358">
        <v>168</v>
      </c>
      <c r="F358">
        <f>F172</f>
        <v>0</v>
      </c>
      <c r="G358">
        <v>168</v>
      </c>
      <c r="H358">
        <f>H172</f>
        <v>0</v>
      </c>
      <c r="K358">
        <v>168</v>
      </c>
      <c r="L358">
        <f>L172</f>
        <v>0</v>
      </c>
      <c r="M358">
        <v>168</v>
      </c>
      <c r="N358">
        <f>N172</f>
        <v>0</v>
      </c>
      <c r="Q358">
        <f>IF(Charts!$B$3="none",E1285,IF(K1285="",NA(),K1285))</f>
        <v>0</v>
      </c>
      <c r="R358">
        <f>IF(Charts!$B$3="none",F1285,IF(L1285="",NA(),L1285))</f>
        <v>0</v>
      </c>
      <c r="S358">
        <f>IF(Charts!$B$3="none",G1285,IF(M1285="",NA(),M1285))</f>
        <v>0</v>
      </c>
      <c r="T358">
        <f>IF(Charts!$B$3="none",H1285,IF(N1285="",NA(),N1285))</f>
        <v>0</v>
      </c>
    </row>
    <row r="359" spans="5:20">
      <c r="E359">
        <v>169</v>
      </c>
      <c r="F359">
        <f>F173</f>
        <v>0</v>
      </c>
      <c r="G359">
        <v>169</v>
      </c>
      <c r="H359">
        <f>H173</f>
        <v>0</v>
      </c>
      <c r="K359">
        <v>169</v>
      </c>
      <c r="L359">
        <f>L173</f>
        <v>0</v>
      </c>
      <c r="M359">
        <v>169</v>
      </c>
      <c r="N359">
        <f>N173</f>
        <v>0</v>
      </c>
      <c r="Q359">
        <f>IF(Charts!$B$3="none",E1286,IF(K1286="",NA(),K1286))</f>
        <v>0</v>
      </c>
      <c r="R359">
        <f>IF(Charts!$B$3="none",F1286,IF(L1286="",NA(),L1286))</f>
        <v>0</v>
      </c>
      <c r="S359">
        <f>IF(Charts!$B$3="none",G1286,IF(M1286="",NA(),M1286))</f>
        <v>0</v>
      </c>
      <c r="T359">
        <f>IF(Charts!$B$3="none",H1286,IF(N1286="",NA(),N1286))</f>
        <v>0</v>
      </c>
    </row>
    <row r="360" spans="5:20">
      <c r="E360">
        <v>170</v>
      </c>
      <c r="F360">
        <f>F174</f>
        <v>0</v>
      </c>
      <c r="G360">
        <v>170</v>
      </c>
      <c r="H360">
        <f>H174</f>
        <v>0</v>
      </c>
      <c r="K360">
        <v>170</v>
      </c>
      <c r="L360">
        <f>L174</f>
        <v>0</v>
      </c>
      <c r="M360">
        <v>170</v>
      </c>
      <c r="N360">
        <f>N174</f>
        <v>0</v>
      </c>
      <c r="Q360">
        <f>IF(Charts!$B$3="none",E1287,IF(K1287="",NA(),K1287))</f>
        <v>0</v>
      </c>
      <c r="R360">
        <f>IF(Charts!$B$3="none",F1287,IF(L1287="",NA(),L1287))</f>
        <v>0</v>
      </c>
      <c r="S360">
        <f>IF(Charts!$B$3="none",G1287,IF(M1287="",NA(),M1287))</f>
        <v>0</v>
      </c>
      <c r="T360">
        <f>IF(Charts!$B$3="none",H1287,IF(N1287="",NA(),N1287))</f>
        <v>0</v>
      </c>
    </row>
    <row r="361" spans="5:20">
      <c r="E361">
        <v>171</v>
      </c>
      <c r="F361">
        <f>F175</f>
        <v>0</v>
      </c>
      <c r="G361">
        <v>171</v>
      </c>
      <c r="H361">
        <f>H175</f>
        <v>0</v>
      </c>
      <c r="K361">
        <v>171</v>
      </c>
      <c r="L361">
        <f>L175</f>
        <v>0</v>
      </c>
      <c r="M361">
        <v>171</v>
      </c>
      <c r="N361">
        <f>N175</f>
        <v>0</v>
      </c>
      <c r="Q361">
        <f>IF(Charts!$B$3="none",E1288,IF(K1288="",NA(),K1288))</f>
        <v>0</v>
      </c>
      <c r="R361">
        <f>IF(Charts!$B$3="none",F1288,IF(L1288="",NA(),L1288))</f>
        <v>0</v>
      </c>
      <c r="S361">
        <f>IF(Charts!$B$3="none",G1288,IF(M1288="",NA(),M1288))</f>
        <v>0</v>
      </c>
      <c r="T361">
        <f>IF(Charts!$B$3="none",H1288,IF(N1288="",NA(),N1288))</f>
        <v>0</v>
      </c>
    </row>
    <row r="362" spans="5:20">
      <c r="E362">
        <v>172</v>
      </c>
      <c r="F362">
        <f>F176</f>
        <v>0</v>
      </c>
      <c r="G362">
        <v>172</v>
      </c>
      <c r="H362">
        <f>H176</f>
        <v>0</v>
      </c>
      <c r="K362">
        <v>172</v>
      </c>
      <c r="L362">
        <f>L176</f>
        <v>0</v>
      </c>
      <c r="M362">
        <v>172</v>
      </c>
      <c r="N362">
        <f>N176</f>
        <v>0</v>
      </c>
      <c r="Q362">
        <f>IF(Charts!$B$3="none",E1289,IF(K1289="",NA(),K1289))</f>
        <v>0</v>
      </c>
      <c r="R362">
        <f>IF(Charts!$B$3="none",F1289,IF(L1289="",NA(),L1289))</f>
        <v>0</v>
      </c>
      <c r="S362">
        <f>IF(Charts!$B$3="none",G1289,IF(M1289="",NA(),M1289))</f>
        <v>0</v>
      </c>
      <c r="T362">
        <f>IF(Charts!$B$3="none",H1289,IF(N1289="",NA(),N1289))</f>
        <v>0</v>
      </c>
    </row>
    <row r="363" spans="5:20">
      <c r="E363">
        <v>173</v>
      </c>
      <c r="F363">
        <f>F177</f>
        <v>0</v>
      </c>
      <c r="G363">
        <v>173</v>
      </c>
      <c r="H363">
        <f>H177</f>
        <v>0</v>
      </c>
      <c r="K363">
        <v>173</v>
      </c>
      <c r="L363">
        <f>L177</f>
        <v>0</v>
      </c>
      <c r="M363">
        <v>173</v>
      </c>
      <c r="N363">
        <f>N177</f>
        <v>0</v>
      </c>
      <c r="Q363">
        <f>IF(Charts!$B$3="none",E1290,IF(K1290="",NA(),K1290))</f>
        <v>0</v>
      </c>
      <c r="R363">
        <f>IF(Charts!$B$3="none",F1290,IF(L1290="",NA(),L1290))</f>
        <v>0</v>
      </c>
      <c r="S363">
        <f>IF(Charts!$B$3="none",G1290,IF(M1290="",NA(),M1290))</f>
        <v>0</v>
      </c>
      <c r="T363">
        <f>IF(Charts!$B$3="none",H1290,IF(N1290="",NA(),N1290))</f>
        <v>0</v>
      </c>
    </row>
    <row r="364" spans="5:20">
      <c r="E364">
        <v>174</v>
      </c>
      <c r="F364">
        <f>F178</f>
        <v>0</v>
      </c>
      <c r="G364">
        <v>174</v>
      </c>
      <c r="H364">
        <f>H178</f>
        <v>0</v>
      </c>
      <c r="K364">
        <v>174</v>
      </c>
      <c r="L364">
        <f>L178</f>
        <v>0</v>
      </c>
      <c r="M364">
        <v>174</v>
      </c>
      <c r="N364">
        <f>N178</f>
        <v>0</v>
      </c>
      <c r="Q364">
        <f>IF(Charts!$B$3="none",E1291,IF(K1291="",NA(),K1291))</f>
        <v>0</v>
      </c>
      <c r="R364">
        <f>IF(Charts!$B$3="none",F1291,IF(L1291="",NA(),L1291))</f>
        <v>0</v>
      </c>
      <c r="S364">
        <f>IF(Charts!$B$3="none",G1291,IF(M1291="",NA(),M1291))</f>
        <v>0</v>
      </c>
      <c r="T364">
        <f>IF(Charts!$B$3="none",H1291,IF(N1291="",NA(),N1291))</f>
        <v>0</v>
      </c>
    </row>
    <row r="365" spans="5:20">
      <c r="E365">
        <v>175</v>
      </c>
      <c r="F365">
        <f>F179</f>
        <v>0</v>
      </c>
      <c r="G365">
        <v>175</v>
      </c>
      <c r="H365">
        <f>H179</f>
        <v>0</v>
      </c>
      <c r="K365">
        <v>175</v>
      </c>
      <c r="L365">
        <f>L179</f>
        <v>0</v>
      </c>
      <c r="M365">
        <v>175</v>
      </c>
      <c r="N365">
        <f>N179</f>
        <v>0</v>
      </c>
      <c r="Q365">
        <f>IF(Charts!$B$3="none",E1292,IF(K1292="",NA(),K1292))</f>
        <v>0</v>
      </c>
      <c r="R365">
        <f>IF(Charts!$B$3="none",F1292,IF(L1292="",NA(),L1292))</f>
        <v>0</v>
      </c>
      <c r="S365">
        <f>IF(Charts!$B$3="none",G1292,IF(M1292="",NA(),M1292))</f>
        <v>0</v>
      </c>
      <c r="T365">
        <f>IF(Charts!$B$3="none",H1292,IF(N1292="",NA(),N1292))</f>
        <v>0</v>
      </c>
    </row>
    <row r="366" spans="5:20">
      <c r="E366">
        <v>176</v>
      </c>
      <c r="F366">
        <f>F180</f>
        <v>0</v>
      </c>
      <c r="G366">
        <v>176</v>
      </c>
      <c r="H366">
        <f>H180</f>
        <v>0</v>
      </c>
      <c r="K366">
        <v>176</v>
      </c>
      <c r="L366">
        <f>L180</f>
        <v>0</v>
      </c>
      <c r="M366">
        <v>176</v>
      </c>
      <c r="N366">
        <f>N180</f>
        <v>0</v>
      </c>
      <c r="Q366">
        <f>IF(Charts!$B$3="none",E1293,IF(K1293="",NA(),K1293))</f>
        <v>0</v>
      </c>
      <c r="R366">
        <f>IF(Charts!$B$3="none",F1293,IF(L1293="",NA(),L1293))</f>
        <v>0</v>
      </c>
      <c r="S366">
        <f>IF(Charts!$B$3="none",G1293,IF(M1293="",NA(),M1293))</f>
        <v>0</v>
      </c>
      <c r="T366">
        <f>IF(Charts!$B$3="none",H1293,IF(N1293="",NA(),N1293))</f>
        <v>0</v>
      </c>
    </row>
    <row r="367" spans="5:20">
      <c r="E367">
        <v>177</v>
      </c>
      <c r="F367">
        <f>F181</f>
        <v>0</v>
      </c>
      <c r="G367">
        <v>177</v>
      </c>
      <c r="H367">
        <f>H181</f>
        <v>0</v>
      </c>
      <c r="K367">
        <v>177</v>
      </c>
      <c r="L367">
        <f>L181</f>
        <v>0</v>
      </c>
      <c r="M367">
        <v>177</v>
      </c>
      <c r="N367">
        <f>N181</f>
        <v>0</v>
      </c>
      <c r="Q367">
        <f>IF(Charts!$B$3="none",E1294,IF(K1294="",NA(),K1294))</f>
        <v>0</v>
      </c>
      <c r="R367">
        <f>IF(Charts!$B$3="none",F1294,IF(L1294="",NA(),L1294))</f>
        <v>0</v>
      </c>
      <c r="S367">
        <f>IF(Charts!$B$3="none",G1294,IF(M1294="",NA(),M1294))</f>
        <v>0</v>
      </c>
      <c r="T367">
        <f>IF(Charts!$B$3="none",H1294,IF(N1294="",NA(),N1294))</f>
        <v>0</v>
      </c>
    </row>
    <row r="368" spans="5:20">
      <c r="E368">
        <v>178</v>
      </c>
      <c r="F368">
        <f>F182</f>
        <v>0</v>
      </c>
      <c r="G368">
        <v>178</v>
      </c>
      <c r="H368">
        <f>H182</f>
        <v>0</v>
      </c>
      <c r="K368">
        <v>178</v>
      </c>
      <c r="L368">
        <f>L182</f>
        <v>0</v>
      </c>
      <c r="M368">
        <v>178</v>
      </c>
      <c r="N368">
        <f>N182</f>
        <v>0</v>
      </c>
      <c r="Q368">
        <f>IF(Charts!$B$3="none",E1295,IF(K1295="",NA(),K1295))</f>
        <v>0</v>
      </c>
      <c r="R368">
        <f>IF(Charts!$B$3="none",F1295,IF(L1295="",NA(),L1295))</f>
        <v>0</v>
      </c>
      <c r="S368">
        <f>IF(Charts!$B$3="none",G1295,IF(M1295="",NA(),M1295))</f>
        <v>0</v>
      </c>
      <c r="T368">
        <f>IF(Charts!$B$3="none",H1295,IF(N1295="",NA(),N1295))</f>
        <v>0</v>
      </c>
    </row>
    <row r="369" spans="5:20">
      <c r="E369">
        <v>179</v>
      </c>
      <c r="F369">
        <f>F183</f>
        <v>0</v>
      </c>
      <c r="G369">
        <v>179</v>
      </c>
      <c r="H369">
        <f>H183</f>
        <v>0</v>
      </c>
      <c r="K369">
        <v>179</v>
      </c>
      <c r="L369">
        <f>L183</f>
        <v>0</v>
      </c>
      <c r="M369">
        <v>179</v>
      </c>
      <c r="N369">
        <f>N183</f>
        <v>0</v>
      </c>
      <c r="Q369">
        <f>IF(Charts!$B$3="none",E1296,IF(K1296="",NA(),K1296))</f>
        <v>0</v>
      </c>
      <c r="R369">
        <f>IF(Charts!$B$3="none",F1296,IF(L1296="",NA(),L1296))</f>
        <v>0</v>
      </c>
      <c r="S369">
        <f>IF(Charts!$B$3="none",G1296,IF(M1296="",NA(),M1296))</f>
        <v>0</v>
      </c>
      <c r="T369">
        <f>IF(Charts!$B$3="none",H1296,IF(N1296="",NA(),N1296))</f>
        <v>0</v>
      </c>
    </row>
    <row r="370" spans="5:20">
      <c r="E370">
        <v>180</v>
      </c>
      <c r="F370">
        <f>F184</f>
        <v>0</v>
      </c>
      <c r="G370">
        <v>180</v>
      </c>
      <c r="H370">
        <f>H184</f>
        <v>0</v>
      </c>
      <c r="K370">
        <v>180</v>
      </c>
      <c r="L370">
        <f>L184</f>
        <v>0</v>
      </c>
      <c r="M370">
        <v>180</v>
      </c>
      <c r="N370">
        <f>N184</f>
        <v>0</v>
      </c>
      <c r="Q370">
        <f>IF(Charts!$B$3="none",E1297,IF(K1297="",NA(),K1297))</f>
        <v>0</v>
      </c>
      <c r="R370">
        <f>IF(Charts!$B$3="none",F1297,IF(L1297="",NA(),L1297))</f>
        <v>0</v>
      </c>
      <c r="S370">
        <f>IF(Charts!$B$3="none",G1297,IF(M1297="",NA(),M1297))</f>
        <v>0</v>
      </c>
      <c r="T370">
        <f>IF(Charts!$B$3="none",H1297,IF(N1297="",NA(),N1297))</f>
        <v>0</v>
      </c>
    </row>
    <row r="371" spans="5:20">
      <c r="E371">
        <v>181</v>
      </c>
      <c r="F371">
        <f>F185</f>
        <v>0</v>
      </c>
      <c r="G371">
        <v>181</v>
      </c>
      <c r="H371">
        <f>H185</f>
        <v>0</v>
      </c>
      <c r="K371">
        <v>181</v>
      </c>
      <c r="L371">
        <f>L185</f>
        <v>0</v>
      </c>
      <c r="M371">
        <v>181</v>
      </c>
      <c r="N371">
        <f>N185</f>
        <v>0</v>
      </c>
      <c r="Q371">
        <f>IF(Charts!$B$3="none",E1298,IF(K1298="",NA(),K1298))</f>
        <v>0</v>
      </c>
      <c r="R371">
        <f>IF(Charts!$B$3="none",F1298,IF(L1298="",NA(),L1298))</f>
        <v>0</v>
      </c>
      <c r="S371">
        <f>IF(Charts!$B$3="none",G1298,IF(M1298="",NA(),M1298))</f>
        <v>0</v>
      </c>
      <c r="T371">
        <f>IF(Charts!$B$3="none",H1298,IF(N1298="",NA(),N1298))</f>
        <v>0</v>
      </c>
    </row>
    <row r="372" spans="5:20">
      <c r="E372">
        <v>182</v>
      </c>
      <c r="F372">
        <f>F186</f>
        <v>0</v>
      </c>
      <c r="G372">
        <v>182</v>
      </c>
      <c r="H372">
        <f>H186</f>
        <v>0</v>
      </c>
      <c r="K372">
        <v>182</v>
      </c>
      <c r="L372">
        <f>L186</f>
        <v>0</v>
      </c>
      <c r="M372">
        <v>182</v>
      </c>
      <c r="N372">
        <f>N186</f>
        <v>0</v>
      </c>
      <c r="Q372">
        <f>IF(Charts!$B$3="none",E1299,IF(K1299="",NA(),K1299))</f>
        <v>0</v>
      </c>
      <c r="R372">
        <f>IF(Charts!$B$3="none",F1299,IF(L1299="",NA(),L1299))</f>
        <v>0</v>
      </c>
      <c r="S372">
        <f>IF(Charts!$B$3="none",G1299,IF(M1299="",NA(),M1299))</f>
        <v>0</v>
      </c>
      <c r="T372">
        <f>IF(Charts!$B$3="none",H1299,IF(N1299="",NA(),N1299))</f>
        <v>0</v>
      </c>
    </row>
    <row r="373" spans="5:20">
      <c r="E373">
        <v>183</v>
      </c>
      <c r="F373">
        <f>F187</f>
        <v>0</v>
      </c>
      <c r="G373">
        <v>183</v>
      </c>
      <c r="H373">
        <f>H187</f>
        <v>0</v>
      </c>
      <c r="K373">
        <v>183</v>
      </c>
      <c r="L373">
        <f>L187</f>
        <v>0</v>
      </c>
      <c r="M373">
        <v>183</v>
      </c>
      <c r="N373">
        <f>N187</f>
        <v>0</v>
      </c>
    </row>
    <row r="374" spans="5:20">
      <c r="E374">
        <v>184</v>
      </c>
      <c r="F374">
        <f>F188</f>
        <v>0</v>
      </c>
      <c r="G374">
        <v>184</v>
      </c>
      <c r="H374">
        <f>H188</f>
        <v>0</v>
      </c>
      <c r="K374">
        <v>184</v>
      </c>
      <c r="L374">
        <f>L188</f>
        <v>0</v>
      </c>
      <c r="M374">
        <v>184</v>
      </c>
      <c r="N374">
        <f>N188</f>
        <v>0</v>
      </c>
    </row>
    <row r="375" spans="5:20">
      <c r="E375">
        <v>2</v>
      </c>
      <c r="F375">
        <f>IF(F6="","",F5)</f>
        <v>0</v>
      </c>
      <c r="G375">
        <v>2</v>
      </c>
      <c r="H375">
        <f>H5</f>
        <v>0</v>
      </c>
      <c r="K375">
        <v>2</v>
      </c>
      <c r="L375">
        <f>IF(L6="","",L5)</f>
        <v>0</v>
      </c>
      <c r="M375">
        <v>2</v>
      </c>
      <c r="N375">
        <f>N5</f>
        <v>0</v>
      </c>
    </row>
    <row r="376" spans="5:20">
      <c r="E376">
        <v>3</v>
      </c>
      <c r="F376">
        <f>IF(F7="","",F6)</f>
        <v>0</v>
      </c>
      <c r="G376">
        <v>3</v>
      </c>
      <c r="H376">
        <f>H6</f>
        <v>0</v>
      </c>
      <c r="K376">
        <v>3</v>
      </c>
      <c r="L376">
        <f>IF(L7="","",L6)</f>
        <v>0</v>
      </c>
      <c r="M376">
        <v>3</v>
      </c>
      <c r="N376">
        <f>N6</f>
        <v>0</v>
      </c>
    </row>
    <row r="377" spans="5:20">
      <c r="E377">
        <v>4</v>
      </c>
      <c r="F377">
        <f>IF(F8="","",F7)</f>
        <v>0</v>
      </c>
      <c r="G377">
        <v>4</v>
      </c>
      <c r="H377">
        <f>H7</f>
        <v>0</v>
      </c>
      <c r="K377">
        <v>4</v>
      </c>
      <c r="L377">
        <f>IF(L8="","",L7)</f>
        <v>0</v>
      </c>
      <c r="M377">
        <v>4</v>
      </c>
      <c r="N377">
        <f>N7</f>
        <v>0</v>
      </c>
    </row>
    <row r="378" spans="5:20">
      <c r="E378">
        <v>5</v>
      </c>
      <c r="F378">
        <f>IF(F9="","",F8)</f>
        <v>0</v>
      </c>
      <c r="G378">
        <v>5</v>
      </c>
      <c r="H378">
        <f>H8</f>
        <v>0</v>
      </c>
      <c r="K378">
        <v>5</v>
      </c>
      <c r="L378">
        <f>IF(L9="","",L8)</f>
        <v>0</v>
      </c>
      <c r="M378">
        <v>5</v>
      </c>
      <c r="N378">
        <f>N8</f>
        <v>0</v>
      </c>
    </row>
    <row r="379" spans="5:20">
      <c r="E379">
        <v>6</v>
      </c>
      <c r="F379">
        <f>IF(F10="","",F9)</f>
        <v>0</v>
      </c>
      <c r="G379">
        <v>6</v>
      </c>
      <c r="H379">
        <f>H9</f>
        <v>0</v>
      </c>
      <c r="K379">
        <v>6</v>
      </c>
      <c r="L379">
        <f>IF(L10="","",L9)</f>
        <v>0</v>
      </c>
      <c r="M379">
        <v>6</v>
      </c>
      <c r="N379">
        <f>N9</f>
        <v>0</v>
      </c>
    </row>
    <row r="380" spans="5:20">
      <c r="E380">
        <v>7</v>
      </c>
      <c r="F380">
        <f>IF(F11="","",F10)</f>
        <v>0</v>
      </c>
      <c r="G380">
        <v>7</v>
      </c>
      <c r="H380">
        <f>H10</f>
        <v>0</v>
      </c>
      <c r="K380">
        <v>7</v>
      </c>
      <c r="L380">
        <f>IF(L11="","",L10)</f>
        <v>0</v>
      </c>
      <c r="M380">
        <v>7</v>
      </c>
      <c r="N380">
        <f>N10</f>
        <v>0</v>
      </c>
    </row>
    <row r="381" spans="5:20">
      <c r="E381">
        <v>8</v>
      </c>
      <c r="F381">
        <f>IF(F12="","",F11)</f>
        <v>0</v>
      </c>
      <c r="G381">
        <v>8</v>
      </c>
      <c r="H381">
        <f>H11</f>
        <v>0</v>
      </c>
      <c r="K381">
        <v>8</v>
      </c>
      <c r="L381">
        <f>IF(L12="","",L11)</f>
        <v>0</v>
      </c>
      <c r="M381">
        <v>8</v>
      </c>
      <c r="N381">
        <f>N11</f>
        <v>0</v>
      </c>
    </row>
    <row r="382" spans="5:20">
      <c r="E382">
        <v>9</v>
      </c>
      <c r="F382">
        <f>IF(F13="","",F12)</f>
        <v>0</v>
      </c>
      <c r="G382">
        <v>9</v>
      </c>
      <c r="H382">
        <f>H12</f>
        <v>0</v>
      </c>
      <c r="K382">
        <v>9</v>
      </c>
      <c r="L382">
        <f>IF(L13="","",L12)</f>
        <v>0</v>
      </c>
      <c r="M382">
        <v>9</v>
      </c>
      <c r="N382">
        <f>N12</f>
        <v>0</v>
      </c>
    </row>
    <row r="383" spans="5:20">
      <c r="E383">
        <v>10</v>
      </c>
      <c r="F383">
        <f>IF(F14="","",F13)</f>
        <v>0</v>
      </c>
      <c r="G383">
        <v>10</v>
      </c>
      <c r="H383">
        <f>H13</f>
        <v>0</v>
      </c>
      <c r="K383">
        <v>10</v>
      </c>
      <c r="L383">
        <f>IF(L14="","",L13)</f>
        <v>0</v>
      </c>
      <c r="M383">
        <v>10</v>
      </c>
      <c r="N383">
        <f>N13</f>
        <v>0</v>
      </c>
    </row>
    <row r="384" spans="5:20">
      <c r="E384">
        <v>11</v>
      </c>
      <c r="F384">
        <f>IF(F15="","",F14)</f>
        <v>0</v>
      </c>
      <c r="G384">
        <v>11</v>
      </c>
      <c r="H384">
        <f>H14</f>
        <v>0</v>
      </c>
      <c r="K384">
        <v>11</v>
      </c>
      <c r="L384">
        <f>IF(L15="","",L14)</f>
        <v>0</v>
      </c>
      <c r="M384">
        <v>11</v>
      </c>
      <c r="N384">
        <f>N14</f>
        <v>0</v>
      </c>
    </row>
    <row r="385" spans="5:14">
      <c r="E385">
        <v>12</v>
      </c>
      <c r="F385">
        <f>IF(F16="","",F15)</f>
        <v>0</v>
      </c>
      <c r="G385">
        <v>12</v>
      </c>
      <c r="H385">
        <f>H15</f>
        <v>0</v>
      </c>
      <c r="K385">
        <v>12</v>
      </c>
      <c r="L385">
        <f>IF(L16="","",L15)</f>
        <v>0</v>
      </c>
      <c r="M385">
        <v>12</v>
      </c>
      <c r="N385">
        <f>N15</f>
        <v>0</v>
      </c>
    </row>
    <row r="386" spans="5:14">
      <c r="E386">
        <v>13</v>
      </c>
      <c r="F386">
        <f>IF(F17="","",F16)</f>
        <v>0</v>
      </c>
      <c r="G386">
        <v>13</v>
      </c>
      <c r="H386">
        <f>H16</f>
        <v>0</v>
      </c>
      <c r="K386">
        <v>13</v>
      </c>
      <c r="L386">
        <f>IF(L17="","",L16)</f>
        <v>0</v>
      </c>
      <c r="M386">
        <v>13</v>
      </c>
      <c r="N386">
        <f>N16</f>
        <v>0</v>
      </c>
    </row>
    <row r="387" spans="5:14">
      <c r="E387">
        <v>14</v>
      </c>
      <c r="F387">
        <f>IF(F18="","",F17)</f>
        <v>0</v>
      </c>
      <c r="G387">
        <v>14</v>
      </c>
      <c r="H387">
        <f>H17</f>
        <v>0</v>
      </c>
      <c r="K387">
        <v>14</v>
      </c>
      <c r="L387">
        <f>IF(L18="","",L17)</f>
        <v>0</v>
      </c>
      <c r="M387">
        <v>14</v>
      </c>
      <c r="N387">
        <f>N17</f>
        <v>0</v>
      </c>
    </row>
    <row r="388" spans="5:14">
      <c r="E388">
        <v>15</v>
      </c>
      <c r="F388">
        <f>IF(F19="","",F18)</f>
        <v>0</v>
      </c>
      <c r="G388">
        <v>15</v>
      </c>
      <c r="H388">
        <f>H18</f>
        <v>0</v>
      </c>
      <c r="K388">
        <v>15</v>
      </c>
      <c r="L388">
        <f>IF(L19="","",L18)</f>
        <v>0</v>
      </c>
      <c r="M388">
        <v>15</v>
      </c>
      <c r="N388">
        <f>N18</f>
        <v>0</v>
      </c>
    </row>
    <row r="389" spans="5:14">
      <c r="E389">
        <v>16</v>
      </c>
      <c r="F389">
        <f>IF(F20="","",F19)</f>
        <v>0</v>
      </c>
      <c r="G389">
        <v>16</v>
      </c>
      <c r="H389">
        <f>H19</f>
        <v>0</v>
      </c>
      <c r="K389">
        <v>16</v>
      </c>
      <c r="L389">
        <f>IF(L20="","",L19)</f>
        <v>0</v>
      </c>
      <c r="M389">
        <v>16</v>
      </c>
      <c r="N389">
        <f>N19</f>
        <v>0</v>
      </c>
    </row>
    <row r="390" spans="5:14">
      <c r="E390">
        <v>17</v>
      </c>
      <c r="F390">
        <f>IF(F21="","",F20)</f>
        <v>0</v>
      </c>
      <c r="G390">
        <v>17</v>
      </c>
      <c r="H390">
        <f>H20</f>
        <v>0</v>
      </c>
      <c r="K390">
        <v>17</v>
      </c>
      <c r="L390">
        <f>IF(L21="","",L20)</f>
        <v>0</v>
      </c>
      <c r="M390">
        <v>17</v>
      </c>
      <c r="N390">
        <f>N20</f>
        <v>0</v>
      </c>
    </row>
    <row r="391" spans="5:14">
      <c r="E391">
        <v>18</v>
      </c>
      <c r="F391">
        <f>IF(F22="","",F21)</f>
        <v>0</v>
      </c>
      <c r="G391">
        <v>18</v>
      </c>
      <c r="H391">
        <f>H21</f>
        <v>0</v>
      </c>
      <c r="K391">
        <v>18</v>
      </c>
      <c r="L391">
        <f>IF(L22="","",L21)</f>
        <v>0</v>
      </c>
      <c r="M391">
        <v>18</v>
      </c>
      <c r="N391">
        <f>N21</f>
        <v>0</v>
      </c>
    </row>
    <row r="392" spans="5:14">
      <c r="E392">
        <v>19</v>
      </c>
      <c r="F392">
        <f>IF(F23="","",F22)</f>
        <v>0</v>
      </c>
      <c r="G392">
        <v>19</v>
      </c>
      <c r="H392">
        <f>H22</f>
        <v>0</v>
      </c>
      <c r="K392">
        <v>19</v>
      </c>
      <c r="L392">
        <f>IF(L23="","",L22)</f>
        <v>0</v>
      </c>
      <c r="M392">
        <v>19</v>
      </c>
      <c r="N392">
        <f>N22</f>
        <v>0</v>
      </c>
    </row>
    <row r="393" spans="5:14">
      <c r="E393">
        <v>20</v>
      </c>
      <c r="F393">
        <f>IF(F24="","",F23)</f>
        <v>0</v>
      </c>
      <c r="G393">
        <v>20</v>
      </c>
      <c r="H393">
        <f>H23</f>
        <v>0</v>
      </c>
      <c r="K393">
        <v>20</v>
      </c>
      <c r="L393">
        <f>IF(L24="","",L23)</f>
        <v>0</v>
      </c>
      <c r="M393">
        <v>20</v>
      </c>
      <c r="N393">
        <f>N23</f>
        <v>0</v>
      </c>
    </row>
    <row r="394" spans="5:14">
      <c r="E394">
        <v>21</v>
      </c>
      <c r="F394">
        <f>IF(F25="","",F24)</f>
        <v>0</v>
      </c>
      <c r="G394">
        <v>21</v>
      </c>
      <c r="H394">
        <f>H24</f>
        <v>0</v>
      </c>
      <c r="K394">
        <v>21</v>
      </c>
      <c r="L394">
        <f>IF(L25="","",L24)</f>
        <v>0</v>
      </c>
      <c r="M394">
        <v>21</v>
      </c>
      <c r="N394">
        <f>N24</f>
        <v>0</v>
      </c>
    </row>
    <row r="395" spans="5:14">
      <c r="E395">
        <v>22</v>
      </c>
      <c r="F395">
        <f>IF(F26="","",F25)</f>
        <v>0</v>
      </c>
      <c r="G395">
        <v>22</v>
      </c>
      <c r="H395">
        <f>H25</f>
        <v>0</v>
      </c>
      <c r="K395">
        <v>22</v>
      </c>
      <c r="L395">
        <f>IF(L26="","",L25)</f>
        <v>0</v>
      </c>
      <c r="M395">
        <v>22</v>
      </c>
      <c r="N395">
        <f>N25</f>
        <v>0</v>
      </c>
    </row>
    <row r="396" spans="5:14">
      <c r="E396">
        <v>23</v>
      </c>
      <c r="F396">
        <f>IF(F27="","",F26)</f>
        <v>0</v>
      </c>
      <c r="G396">
        <v>23</v>
      </c>
      <c r="H396">
        <f>H26</f>
        <v>0</v>
      </c>
      <c r="K396">
        <v>23</v>
      </c>
      <c r="L396">
        <f>IF(L27="","",L26)</f>
        <v>0</v>
      </c>
      <c r="M396">
        <v>23</v>
      </c>
      <c r="N396">
        <f>N26</f>
        <v>0</v>
      </c>
    </row>
    <row r="397" spans="5:14">
      <c r="E397">
        <v>24</v>
      </c>
      <c r="F397">
        <f>IF(F28="","",F27)</f>
        <v>0</v>
      </c>
      <c r="G397">
        <v>24</v>
      </c>
      <c r="H397">
        <f>H27</f>
        <v>0</v>
      </c>
      <c r="K397">
        <v>24</v>
      </c>
      <c r="L397">
        <f>IF(L28="","",L27)</f>
        <v>0</v>
      </c>
      <c r="M397">
        <v>24</v>
      </c>
      <c r="N397">
        <f>N27</f>
        <v>0</v>
      </c>
    </row>
    <row r="398" spans="5:14">
      <c r="E398">
        <v>25</v>
      </c>
      <c r="F398">
        <f>IF(F29="","",F28)</f>
        <v>0</v>
      </c>
      <c r="G398">
        <v>25</v>
      </c>
      <c r="H398">
        <f>H28</f>
        <v>0</v>
      </c>
      <c r="K398">
        <v>25</v>
      </c>
      <c r="L398">
        <f>IF(L29="","",L28)</f>
        <v>0</v>
      </c>
      <c r="M398">
        <v>25</v>
      </c>
      <c r="N398">
        <f>N28</f>
        <v>0</v>
      </c>
    </row>
    <row r="399" spans="5:14">
      <c r="E399">
        <v>26</v>
      </c>
      <c r="F399">
        <f>IF(F30="","",F29)</f>
        <v>0</v>
      </c>
      <c r="G399">
        <v>26</v>
      </c>
      <c r="H399">
        <f>H29</f>
        <v>0</v>
      </c>
      <c r="K399">
        <v>26</v>
      </c>
      <c r="L399">
        <f>IF(L30="","",L29)</f>
        <v>0</v>
      </c>
      <c r="M399">
        <v>26</v>
      </c>
      <c r="N399">
        <f>N29</f>
        <v>0</v>
      </c>
    </row>
    <row r="400" spans="5:14">
      <c r="E400">
        <v>27</v>
      </c>
      <c r="F400">
        <f>IF(F31="","",F30)</f>
        <v>0</v>
      </c>
      <c r="G400">
        <v>27</v>
      </c>
      <c r="H400">
        <f>H30</f>
        <v>0</v>
      </c>
      <c r="K400">
        <v>27</v>
      </c>
      <c r="L400">
        <f>IF(L31="","",L30)</f>
        <v>0</v>
      </c>
      <c r="M400">
        <v>27</v>
      </c>
      <c r="N400">
        <f>N30</f>
        <v>0</v>
      </c>
    </row>
    <row r="401" spans="5:14">
      <c r="E401">
        <v>28</v>
      </c>
      <c r="F401">
        <f>IF(F32="","",F31)</f>
        <v>0</v>
      </c>
      <c r="G401">
        <v>28</v>
      </c>
      <c r="H401">
        <f>H31</f>
        <v>0</v>
      </c>
      <c r="K401">
        <v>28</v>
      </c>
      <c r="L401">
        <f>IF(L32="","",L31)</f>
        <v>0</v>
      </c>
      <c r="M401">
        <v>28</v>
      </c>
      <c r="N401">
        <f>N31</f>
        <v>0</v>
      </c>
    </row>
    <row r="402" spans="5:14">
      <c r="E402">
        <v>29</v>
      </c>
      <c r="F402">
        <f>IF(F33="","",F32)</f>
        <v>0</v>
      </c>
      <c r="G402">
        <v>29</v>
      </c>
      <c r="H402">
        <f>H32</f>
        <v>0</v>
      </c>
      <c r="K402">
        <v>29</v>
      </c>
      <c r="L402">
        <f>IF(L33="","",L32)</f>
        <v>0</v>
      </c>
      <c r="M402">
        <v>29</v>
      </c>
      <c r="N402">
        <f>N32</f>
        <v>0</v>
      </c>
    </row>
    <row r="403" spans="5:14">
      <c r="E403">
        <v>30</v>
      </c>
      <c r="F403">
        <f>IF(F34="","",F33)</f>
        <v>0</v>
      </c>
      <c r="G403">
        <v>30</v>
      </c>
      <c r="H403">
        <f>H33</f>
        <v>0</v>
      </c>
      <c r="K403">
        <v>30</v>
      </c>
      <c r="L403">
        <f>IF(L34="","",L33)</f>
        <v>0</v>
      </c>
      <c r="M403">
        <v>30</v>
      </c>
      <c r="N403">
        <f>N33</f>
        <v>0</v>
      </c>
    </row>
    <row r="404" spans="5:14">
      <c r="E404">
        <v>31</v>
      </c>
      <c r="F404">
        <f>IF(F35="","",F34)</f>
        <v>0</v>
      </c>
      <c r="G404">
        <v>31</v>
      </c>
      <c r="H404">
        <f>H34</f>
        <v>0</v>
      </c>
      <c r="K404">
        <v>31</v>
      </c>
      <c r="L404">
        <f>IF(L35="","",L34)</f>
        <v>0</v>
      </c>
      <c r="M404">
        <v>31</v>
      </c>
      <c r="N404">
        <f>N34</f>
        <v>0</v>
      </c>
    </row>
    <row r="405" spans="5:14">
      <c r="E405">
        <v>32</v>
      </c>
      <c r="F405">
        <f>IF(F36="","",F35)</f>
        <v>0</v>
      </c>
      <c r="G405">
        <v>32</v>
      </c>
      <c r="H405">
        <f>H35</f>
        <v>0</v>
      </c>
      <c r="K405">
        <v>32</v>
      </c>
      <c r="L405">
        <f>IF(L36="","",L35)</f>
        <v>0</v>
      </c>
      <c r="M405">
        <v>32</v>
      </c>
      <c r="N405">
        <f>N35</f>
        <v>0</v>
      </c>
    </row>
    <row r="406" spans="5:14">
      <c r="E406">
        <v>33</v>
      </c>
      <c r="F406">
        <f>IF(F37="","",F36)</f>
        <v>0</v>
      </c>
      <c r="G406">
        <v>33</v>
      </c>
      <c r="H406">
        <f>H36</f>
        <v>0</v>
      </c>
      <c r="K406">
        <v>33</v>
      </c>
      <c r="L406">
        <f>IF(L37="","",L36)</f>
        <v>0</v>
      </c>
      <c r="M406">
        <v>33</v>
      </c>
      <c r="N406">
        <f>N36</f>
        <v>0</v>
      </c>
    </row>
    <row r="407" spans="5:14">
      <c r="E407">
        <v>34</v>
      </c>
      <c r="F407">
        <f>IF(F38="","",F37)</f>
        <v>0</v>
      </c>
      <c r="G407">
        <v>34</v>
      </c>
      <c r="H407">
        <f>H37</f>
        <v>0</v>
      </c>
      <c r="K407">
        <v>34</v>
      </c>
      <c r="L407">
        <f>IF(L38="","",L37)</f>
        <v>0</v>
      </c>
      <c r="M407">
        <v>34</v>
      </c>
      <c r="N407">
        <f>N37</f>
        <v>0</v>
      </c>
    </row>
    <row r="408" spans="5:14">
      <c r="E408">
        <v>35</v>
      </c>
      <c r="F408">
        <f>IF(F39="","",F38)</f>
        <v>0</v>
      </c>
      <c r="G408">
        <v>35</v>
      </c>
      <c r="H408">
        <f>H38</f>
        <v>0</v>
      </c>
      <c r="K408">
        <v>35</v>
      </c>
      <c r="L408">
        <f>IF(L39="","",L38)</f>
        <v>0</v>
      </c>
      <c r="M408">
        <v>35</v>
      </c>
      <c r="N408">
        <f>N38</f>
        <v>0</v>
      </c>
    </row>
    <row r="409" spans="5:14">
      <c r="E409">
        <v>36</v>
      </c>
      <c r="F409">
        <f>IF(F40="","",F39)</f>
        <v>0</v>
      </c>
      <c r="G409">
        <v>36</v>
      </c>
      <c r="H409">
        <f>H39</f>
        <v>0</v>
      </c>
      <c r="K409">
        <v>36</v>
      </c>
      <c r="L409">
        <f>IF(L40="","",L39)</f>
        <v>0</v>
      </c>
      <c r="M409">
        <v>36</v>
      </c>
      <c r="N409">
        <f>N39</f>
        <v>0</v>
      </c>
    </row>
    <row r="410" spans="5:14">
      <c r="E410">
        <v>37</v>
      </c>
      <c r="F410">
        <f>IF(F41="","",F40)</f>
        <v>0</v>
      </c>
      <c r="G410">
        <v>37</v>
      </c>
      <c r="H410">
        <f>H40</f>
        <v>0</v>
      </c>
      <c r="K410">
        <v>37</v>
      </c>
      <c r="L410">
        <f>IF(L41="","",L40)</f>
        <v>0</v>
      </c>
      <c r="M410">
        <v>37</v>
      </c>
      <c r="N410">
        <f>N40</f>
        <v>0</v>
      </c>
    </row>
    <row r="411" spans="5:14">
      <c r="E411">
        <v>38</v>
      </c>
      <c r="F411">
        <f>IF(F42="","",F41)</f>
        <v>0</v>
      </c>
      <c r="G411">
        <v>38</v>
      </c>
      <c r="H411">
        <f>H41</f>
        <v>0</v>
      </c>
      <c r="K411">
        <v>38</v>
      </c>
      <c r="L411">
        <f>IF(L42="","",L41)</f>
        <v>0</v>
      </c>
      <c r="M411">
        <v>38</v>
      </c>
      <c r="N411">
        <f>N41</f>
        <v>0</v>
      </c>
    </row>
    <row r="412" spans="5:14">
      <c r="E412">
        <v>39</v>
      </c>
      <c r="F412">
        <f>IF(F43="","",F42)</f>
        <v>0</v>
      </c>
      <c r="G412">
        <v>39</v>
      </c>
      <c r="H412">
        <f>H42</f>
        <v>0</v>
      </c>
      <c r="K412">
        <v>39</v>
      </c>
      <c r="L412">
        <f>IF(L43="","",L42)</f>
        <v>0</v>
      </c>
      <c r="M412">
        <v>39</v>
      </c>
      <c r="N412">
        <f>N42</f>
        <v>0</v>
      </c>
    </row>
    <row r="413" spans="5:14">
      <c r="E413">
        <v>40</v>
      </c>
      <c r="F413">
        <f>IF(F44="","",F43)</f>
        <v>0</v>
      </c>
      <c r="G413">
        <v>40</v>
      </c>
      <c r="H413">
        <f>H43</f>
        <v>0</v>
      </c>
      <c r="K413">
        <v>40</v>
      </c>
      <c r="L413">
        <f>IF(L44="","",L43)</f>
        <v>0</v>
      </c>
      <c r="M413">
        <v>40</v>
      </c>
      <c r="N413">
        <f>N43</f>
        <v>0</v>
      </c>
    </row>
    <row r="414" spans="5:14">
      <c r="E414">
        <v>41</v>
      </c>
      <c r="F414">
        <f>IF(F45="","",F44)</f>
        <v>0</v>
      </c>
      <c r="G414">
        <v>41</v>
      </c>
      <c r="H414">
        <f>H44</f>
        <v>0</v>
      </c>
      <c r="K414">
        <v>41</v>
      </c>
      <c r="L414">
        <f>IF(L45="","",L44)</f>
        <v>0</v>
      </c>
      <c r="M414">
        <v>41</v>
      </c>
      <c r="N414">
        <f>N44</f>
        <v>0</v>
      </c>
    </row>
    <row r="415" spans="5:14">
      <c r="E415">
        <v>42</v>
      </c>
      <c r="F415">
        <f>IF(F46="","",F45)</f>
        <v>0</v>
      </c>
      <c r="G415">
        <v>42</v>
      </c>
      <c r="H415">
        <f>H45</f>
        <v>0</v>
      </c>
      <c r="K415">
        <v>42</v>
      </c>
      <c r="L415">
        <f>IF(L46="","",L45)</f>
        <v>0</v>
      </c>
      <c r="M415">
        <v>42</v>
      </c>
      <c r="N415">
        <f>N45</f>
        <v>0</v>
      </c>
    </row>
    <row r="416" spans="5:14">
      <c r="E416">
        <v>43</v>
      </c>
      <c r="F416">
        <f>IF(F47="","",F46)</f>
        <v>0</v>
      </c>
      <c r="G416">
        <v>43</v>
      </c>
      <c r="H416">
        <f>H46</f>
        <v>0</v>
      </c>
      <c r="K416">
        <v>43</v>
      </c>
      <c r="L416">
        <f>IF(L47="","",L46)</f>
        <v>0</v>
      </c>
      <c r="M416">
        <v>43</v>
      </c>
      <c r="N416">
        <f>N46</f>
        <v>0</v>
      </c>
    </row>
    <row r="417" spans="5:14">
      <c r="E417">
        <v>44</v>
      </c>
      <c r="F417">
        <f>IF(F48="","",F47)</f>
        <v>0</v>
      </c>
      <c r="G417">
        <v>44</v>
      </c>
      <c r="H417">
        <f>H47</f>
        <v>0</v>
      </c>
      <c r="K417">
        <v>44</v>
      </c>
      <c r="L417">
        <f>IF(L48="","",L47)</f>
        <v>0</v>
      </c>
      <c r="M417">
        <v>44</v>
      </c>
      <c r="N417">
        <f>N47</f>
        <v>0</v>
      </c>
    </row>
    <row r="418" spans="5:14">
      <c r="E418">
        <v>45</v>
      </c>
      <c r="F418">
        <f>IF(F49="","",F48)</f>
        <v>0</v>
      </c>
      <c r="G418">
        <v>45</v>
      </c>
      <c r="H418">
        <f>H48</f>
        <v>0</v>
      </c>
      <c r="K418">
        <v>45</v>
      </c>
      <c r="L418">
        <f>IF(L49="","",L48)</f>
        <v>0</v>
      </c>
      <c r="M418">
        <v>45</v>
      </c>
      <c r="N418">
        <f>N48</f>
        <v>0</v>
      </c>
    </row>
    <row r="419" spans="5:14">
      <c r="E419">
        <v>46</v>
      </c>
      <c r="F419">
        <f>IF(F50="","",F49)</f>
        <v>0</v>
      </c>
      <c r="G419">
        <v>46</v>
      </c>
      <c r="H419">
        <f>H49</f>
        <v>0</v>
      </c>
      <c r="K419">
        <v>46</v>
      </c>
      <c r="L419">
        <f>IF(L50="","",L49)</f>
        <v>0</v>
      </c>
      <c r="M419">
        <v>46</v>
      </c>
      <c r="N419">
        <f>N49</f>
        <v>0</v>
      </c>
    </row>
    <row r="420" spans="5:14">
      <c r="E420">
        <v>47</v>
      </c>
      <c r="F420">
        <f>IF(F51="","",F50)</f>
        <v>0</v>
      </c>
      <c r="G420">
        <v>47</v>
      </c>
      <c r="H420">
        <f>H50</f>
        <v>0</v>
      </c>
      <c r="K420">
        <v>47</v>
      </c>
      <c r="L420">
        <f>IF(L51="","",L50)</f>
        <v>0</v>
      </c>
      <c r="M420">
        <v>47</v>
      </c>
      <c r="N420">
        <f>N50</f>
        <v>0</v>
      </c>
    </row>
    <row r="421" spans="5:14">
      <c r="E421">
        <v>48</v>
      </c>
      <c r="F421">
        <f>IF(F52="","",F51)</f>
        <v>0</v>
      </c>
      <c r="G421">
        <v>48</v>
      </c>
      <c r="H421">
        <f>H51</f>
        <v>0</v>
      </c>
      <c r="K421">
        <v>48</v>
      </c>
      <c r="L421">
        <f>IF(L52="","",L51)</f>
        <v>0</v>
      </c>
      <c r="M421">
        <v>48</v>
      </c>
      <c r="N421">
        <f>N51</f>
        <v>0</v>
      </c>
    </row>
    <row r="422" spans="5:14">
      <c r="E422">
        <v>49</v>
      </c>
      <c r="F422">
        <f>IF(F53="","",F52)</f>
        <v>0</v>
      </c>
      <c r="G422">
        <v>49</v>
      </c>
      <c r="H422">
        <f>H52</f>
        <v>0</v>
      </c>
      <c r="K422">
        <v>49</v>
      </c>
      <c r="L422">
        <f>IF(L53="","",L52)</f>
        <v>0</v>
      </c>
      <c r="M422">
        <v>49</v>
      </c>
      <c r="N422">
        <f>N52</f>
        <v>0</v>
      </c>
    </row>
    <row r="423" spans="5:14">
      <c r="E423">
        <v>50</v>
      </c>
      <c r="F423">
        <f>IF(F54="","",F53)</f>
        <v>0</v>
      </c>
      <c r="G423">
        <v>50</v>
      </c>
      <c r="H423">
        <f>H53</f>
        <v>0</v>
      </c>
      <c r="K423">
        <v>50</v>
      </c>
      <c r="L423">
        <f>IF(L54="","",L53)</f>
        <v>0</v>
      </c>
      <c r="M423">
        <v>50</v>
      </c>
      <c r="N423">
        <f>N53</f>
        <v>0</v>
      </c>
    </row>
    <row r="424" spans="5:14">
      <c r="E424">
        <v>51</v>
      </c>
      <c r="F424">
        <f>IF(F55="","",F54)</f>
        <v>0</v>
      </c>
      <c r="G424">
        <v>51</v>
      </c>
      <c r="H424">
        <f>H54</f>
        <v>0</v>
      </c>
      <c r="K424">
        <v>51</v>
      </c>
      <c r="L424">
        <f>IF(L55="","",L54)</f>
        <v>0</v>
      </c>
      <c r="M424">
        <v>51</v>
      </c>
      <c r="N424">
        <f>N54</f>
        <v>0</v>
      </c>
    </row>
    <row r="425" spans="5:14">
      <c r="E425">
        <v>52</v>
      </c>
      <c r="F425">
        <f>IF(F56="","",F55)</f>
        <v>0</v>
      </c>
      <c r="G425">
        <v>52</v>
      </c>
      <c r="H425">
        <f>H55</f>
        <v>0</v>
      </c>
      <c r="K425">
        <v>52</v>
      </c>
      <c r="L425">
        <f>IF(L56="","",L55)</f>
        <v>0</v>
      </c>
      <c r="M425">
        <v>52</v>
      </c>
      <c r="N425">
        <f>N55</f>
        <v>0</v>
      </c>
    </row>
    <row r="426" spans="5:14">
      <c r="E426">
        <v>53</v>
      </c>
      <c r="F426">
        <f>IF(F57="","",F56)</f>
        <v>0</v>
      </c>
      <c r="G426">
        <v>53</v>
      </c>
      <c r="H426">
        <f>H56</f>
        <v>0</v>
      </c>
      <c r="K426">
        <v>53</v>
      </c>
      <c r="L426">
        <f>IF(L57="","",L56)</f>
        <v>0</v>
      </c>
      <c r="M426">
        <v>53</v>
      </c>
      <c r="N426">
        <f>N56</f>
        <v>0</v>
      </c>
    </row>
    <row r="427" spans="5:14">
      <c r="E427">
        <v>54</v>
      </c>
      <c r="F427">
        <f>IF(F58="","",F57)</f>
        <v>0</v>
      </c>
      <c r="G427">
        <v>54</v>
      </c>
      <c r="H427">
        <f>H57</f>
        <v>0</v>
      </c>
      <c r="K427">
        <v>54</v>
      </c>
      <c r="L427">
        <f>IF(L58="","",L57)</f>
        <v>0</v>
      </c>
      <c r="M427">
        <v>54</v>
      </c>
      <c r="N427">
        <f>N57</f>
        <v>0</v>
      </c>
    </row>
    <row r="428" spans="5:14">
      <c r="E428">
        <v>55</v>
      </c>
      <c r="F428">
        <f>IF(F59="","",F58)</f>
        <v>0</v>
      </c>
      <c r="G428">
        <v>55</v>
      </c>
      <c r="H428">
        <f>H58</f>
        <v>0</v>
      </c>
      <c r="K428">
        <v>55</v>
      </c>
      <c r="L428">
        <f>IF(L59="","",L58)</f>
        <v>0</v>
      </c>
      <c r="M428">
        <v>55</v>
      </c>
      <c r="N428">
        <f>N58</f>
        <v>0</v>
      </c>
    </row>
    <row r="429" spans="5:14">
      <c r="E429">
        <v>56</v>
      </c>
      <c r="F429">
        <f>IF(F60="","",F59)</f>
        <v>0</v>
      </c>
      <c r="G429">
        <v>56</v>
      </c>
      <c r="H429">
        <f>H59</f>
        <v>0</v>
      </c>
      <c r="K429">
        <v>56</v>
      </c>
      <c r="L429">
        <f>IF(L60="","",L59)</f>
        <v>0</v>
      </c>
      <c r="M429">
        <v>56</v>
      </c>
      <c r="N429">
        <f>N59</f>
        <v>0</v>
      </c>
    </row>
    <row r="430" spans="5:14">
      <c r="E430">
        <v>57</v>
      </c>
      <c r="F430">
        <f>IF(F61="","",F60)</f>
        <v>0</v>
      </c>
      <c r="G430">
        <v>57</v>
      </c>
      <c r="H430">
        <f>H60</f>
        <v>0</v>
      </c>
      <c r="K430">
        <v>57</v>
      </c>
      <c r="L430">
        <f>IF(L61="","",L60)</f>
        <v>0</v>
      </c>
      <c r="M430">
        <v>57</v>
      </c>
      <c r="N430">
        <f>N60</f>
        <v>0</v>
      </c>
    </row>
    <row r="431" spans="5:14">
      <c r="E431">
        <v>58</v>
      </c>
      <c r="F431">
        <f>IF(F62="","",F61)</f>
        <v>0</v>
      </c>
      <c r="G431">
        <v>58</v>
      </c>
      <c r="H431">
        <f>H61</f>
        <v>0</v>
      </c>
      <c r="K431">
        <v>58</v>
      </c>
      <c r="L431">
        <f>IF(L62="","",L61)</f>
        <v>0</v>
      </c>
      <c r="M431">
        <v>58</v>
      </c>
      <c r="N431">
        <f>N61</f>
        <v>0</v>
      </c>
    </row>
    <row r="432" spans="5:14">
      <c r="E432">
        <v>59</v>
      </c>
      <c r="F432">
        <f>IF(F63="","",F62)</f>
        <v>0</v>
      </c>
      <c r="G432">
        <v>59</v>
      </c>
      <c r="H432">
        <f>H62</f>
        <v>0</v>
      </c>
      <c r="K432">
        <v>59</v>
      </c>
      <c r="L432">
        <f>IF(L63="","",L62)</f>
        <v>0</v>
      </c>
      <c r="M432">
        <v>59</v>
      </c>
      <c r="N432">
        <f>N62</f>
        <v>0</v>
      </c>
    </row>
    <row r="433" spans="5:14">
      <c r="E433">
        <v>60</v>
      </c>
      <c r="F433">
        <f>IF(F64="","",F63)</f>
        <v>0</v>
      </c>
      <c r="G433">
        <v>60</v>
      </c>
      <c r="H433">
        <f>H63</f>
        <v>0</v>
      </c>
      <c r="K433">
        <v>60</v>
      </c>
      <c r="L433">
        <f>IF(L64="","",L63)</f>
        <v>0</v>
      </c>
      <c r="M433">
        <v>60</v>
      </c>
      <c r="N433">
        <f>N63</f>
        <v>0</v>
      </c>
    </row>
    <row r="434" spans="5:14">
      <c r="E434">
        <v>61</v>
      </c>
      <c r="F434">
        <f>IF(F65="","",F64)</f>
        <v>0</v>
      </c>
      <c r="G434">
        <v>61</v>
      </c>
      <c r="H434">
        <f>H64</f>
        <v>0</v>
      </c>
      <c r="K434">
        <v>61</v>
      </c>
      <c r="L434">
        <f>IF(L65="","",L64)</f>
        <v>0</v>
      </c>
      <c r="M434">
        <v>61</v>
      </c>
      <c r="N434">
        <f>N64</f>
        <v>0</v>
      </c>
    </row>
    <row r="435" spans="5:14">
      <c r="E435">
        <v>62</v>
      </c>
      <c r="F435">
        <f>IF(F66="","",F65)</f>
        <v>0</v>
      </c>
      <c r="G435">
        <v>62</v>
      </c>
      <c r="H435">
        <f>H65</f>
        <v>0</v>
      </c>
      <c r="K435">
        <v>62</v>
      </c>
      <c r="L435">
        <f>IF(L66="","",L65)</f>
        <v>0</v>
      </c>
      <c r="M435">
        <v>62</v>
      </c>
      <c r="N435">
        <f>N65</f>
        <v>0</v>
      </c>
    </row>
    <row r="436" spans="5:14">
      <c r="E436">
        <v>63</v>
      </c>
      <c r="F436">
        <f>IF(F67="","",F66)</f>
        <v>0</v>
      </c>
      <c r="G436">
        <v>63</v>
      </c>
      <c r="H436">
        <f>H66</f>
        <v>0</v>
      </c>
      <c r="K436">
        <v>63</v>
      </c>
      <c r="L436">
        <f>IF(L67="","",L66)</f>
        <v>0</v>
      </c>
      <c r="M436">
        <v>63</v>
      </c>
      <c r="N436">
        <f>N66</f>
        <v>0</v>
      </c>
    </row>
    <row r="437" spans="5:14">
      <c r="E437">
        <v>64</v>
      </c>
      <c r="F437">
        <f>IF(F68="","",F67)</f>
        <v>0</v>
      </c>
      <c r="G437">
        <v>64</v>
      </c>
      <c r="H437">
        <f>H67</f>
        <v>0</v>
      </c>
      <c r="K437">
        <v>64</v>
      </c>
      <c r="L437">
        <f>IF(L68="","",L67)</f>
        <v>0</v>
      </c>
      <c r="M437">
        <v>64</v>
      </c>
      <c r="N437">
        <f>N67</f>
        <v>0</v>
      </c>
    </row>
    <row r="438" spans="5:14">
      <c r="E438">
        <v>65</v>
      </c>
      <c r="F438">
        <f>IF(F69="","",F68)</f>
        <v>0</v>
      </c>
      <c r="G438">
        <v>65</v>
      </c>
      <c r="H438">
        <f>H68</f>
        <v>0</v>
      </c>
      <c r="K438">
        <v>65</v>
      </c>
      <c r="L438">
        <f>IF(L69="","",L68)</f>
        <v>0</v>
      </c>
      <c r="M438">
        <v>65</v>
      </c>
      <c r="N438">
        <f>N68</f>
        <v>0</v>
      </c>
    </row>
    <row r="439" spans="5:14">
      <c r="E439">
        <v>66</v>
      </c>
      <c r="F439">
        <f>IF(F70="","",F69)</f>
        <v>0</v>
      </c>
      <c r="G439">
        <v>66</v>
      </c>
      <c r="H439">
        <f>H69</f>
        <v>0</v>
      </c>
      <c r="K439">
        <v>66</v>
      </c>
      <c r="L439">
        <f>IF(L70="","",L69)</f>
        <v>0</v>
      </c>
      <c r="M439">
        <v>66</v>
      </c>
      <c r="N439">
        <f>N69</f>
        <v>0</v>
      </c>
    </row>
    <row r="440" spans="5:14">
      <c r="E440">
        <v>67</v>
      </c>
      <c r="F440">
        <f>IF(F71="","",F70)</f>
        <v>0</v>
      </c>
      <c r="G440">
        <v>67</v>
      </c>
      <c r="H440">
        <f>H70</f>
        <v>0</v>
      </c>
      <c r="K440">
        <v>67</v>
      </c>
      <c r="L440">
        <f>IF(L71="","",L70)</f>
        <v>0</v>
      </c>
      <c r="M440">
        <v>67</v>
      </c>
      <c r="N440">
        <f>N70</f>
        <v>0</v>
      </c>
    </row>
    <row r="441" spans="5:14">
      <c r="E441">
        <v>68</v>
      </c>
      <c r="F441">
        <f>IF(F72="","",F71)</f>
        <v>0</v>
      </c>
      <c r="G441">
        <v>68</v>
      </c>
      <c r="H441">
        <f>H71</f>
        <v>0</v>
      </c>
      <c r="K441">
        <v>68</v>
      </c>
      <c r="L441">
        <f>IF(L72="","",L71)</f>
        <v>0</v>
      </c>
      <c r="M441">
        <v>68</v>
      </c>
      <c r="N441">
        <f>N71</f>
        <v>0</v>
      </c>
    </row>
    <row r="442" spans="5:14">
      <c r="E442">
        <v>69</v>
      </c>
      <c r="F442">
        <f>IF(F73="","",F72)</f>
        <v>0</v>
      </c>
      <c r="G442">
        <v>69</v>
      </c>
      <c r="H442">
        <f>H72</f>
        <v>0</v>
      </c>
      <c r="K442">
        <v>69</v>
      </c>
      <c r="L442">
        <f>IF(L73="","",L72)</f>
        <v>0</v>
      </c>
      <c r="M442">
        <v>69</v>
      </c>
      <c r="N442">
        <f>N72</f>
        <v>0</v>
      </c>
    </row>
    <row r="443" spans="5:14">
      <c r="E443">
        <v>70</v>
      </c>
      <c r="F443">
        <f>IF(F74="","",F73)</f>
        <v>0</v>
      </c>
      <c r="G443">
        <v>70</v>
      </c>
      <c r="H443">
        <f>H73</f>
        <v>0</v>
      </c>
      <c r="K443">
        <v>70</v>
      </c>
      <c r="L443">
        <f>IF(L74="","",L73)</f>
        <v>0</v>
      </c>
      <c r="M443">
        <v>70</v>
      </c>
      <c r="N443">
        <f>N73</f>
        <v>0</v>
      </c>
    </row>
    <row r="444" spans="5:14">
      <c r="E444">
        <v>71</v>
      </c>
      <c r="F444">
        <f>IF(F75="","",F74)</f>
        <v>0</v>
      </c>
      <c r="G444">
        <v>71</v>
      </c>
      <c r="H444">
        <f>H74</f>
        <v>0</v>
      </c>
      <c r="K444">
        <v>71</v>
      </c>
      <c r="L444">
        <f>IF(L75="","",L74)</f>
        <v>0</v>
      </c>
      <c r="M444">
        <v>71</v>
      </c>
      <c r="N444">
        <f>N74</f>
        <v>0</v>
      </c>
    </row>
    <row r="445" spans="5:14">
      <c r="E445">
        <v>72</v>
      </c>
      <c r="F445">
        <f>IF(F76="","",F75)</f>
        <v>0</v>
      </c>
      <c r="G445">
        <v>72</v>
      </c>
      <c r="H445">
        <f>H75</f>
        <v>0</v>
      </c>
      <c r="K445">
        <v>72</v>
      </c>
      <c r="L445">
        <f>IF(L76="","",L75)</f>
        <v>0</v>
      </c>
      <c r="M445">
        <v>72</v>
      </c>
      <c r="N445">
        <f>N75</f>
        <v>0</v>
      </c>
    </row>
    <row r="446" spans="5:14">
      <c r="E446">
        <v>73</v>
      </c>
      <c r="F446">
        <f>IF(F77="","",F76)</f>
        <v>0</v>
      </c>
      <c r="G446">
        <v>73</v>
      </c>
      <c r="H446">
        <f>H76</f>
        <v>0</v>
      </c>
      <c r="K446">
        <v>73</v>
      </c>
      <c r="L446">
        <f>IF(L77="","",L76)</f>
        <v>0</v>
      </c>
      <c r="M446">
        <v>73</v>
      </c>
      <c r="N446">
        <f>N76</f>
        <v>0</v>
      </c>
    </row>
    <row r="447" spans="5:14">
      <c r="E447">
        <v>74</v>
      </c>
      <c r="F447">
        <f>IF(F78="","",F77)</f>
        <v>0</v>
      </c>
      <c r="G447">
        <v>74</v>
      </c>
      <c r="H447">
        <f>H77</f>
        <v>0</v>
      </c>
      <c r="K447">
        <v>74</v>
      </c>
      <c r="L447">
        <f>IF(L78="","",L77)</f>
        <v>0</v>
      </c>
      <c r="M447">
        <v>74</v>
      </c>
      <c r="N447">
        <f>N77</f>
        <v>0</v>
      </c>
    </row>
    <row r="448" spans="5:14">
      <c r="E448">
        <v>75</v>
      </c>
      <c r="F448">
        <f>IF(F79="","",F78)</f>
        <v>0</v>
      </c>
      <c r="G448">
        <v>75</v>
      </c>
      <c r="H448">
        <f>H78</f>
        <v>0</v>
      </c>
      <c r="K448">
        <v>75</v>
      </c>
      <c r="L448">
        <f>IF(L79="","",L78)</f>
        <v>0</v>
      </c>
      <c r="M448">
        <v>75</v>
      </c>
      <c r="N448">
        <f>N78</f>
        <v>0</v>
      </c>
    </row>
    <row r="449" spans="5:14">
      <c r="E449">
        <v>76</v>
      </c>
      <c r="F449">
        <f>IF(F80="","",F79)</f>
        <v>0</v>
      </c>
      <c r="G449">
        <v>76</v>
      </c>
      <c r="H449">
        <f>H79</f>
        <v>0</v>
      </c>
      <c r="K449">
        <v>76</v>
      </c>
      <c r="L449">
        <f>IF(L80="","",L79)</f>
        <v>0</v>
      </c>
      <c r="M449">
        <v>76</v>
      </c>
      <c r="N449">
        <f>N79</f>
        <v>0</v>
      </c>
    </row>
    <row r="450" spans="5:14">
      <c r="E450">
        <v>77</v>
      </c>
      <c r="F450">
        <f>IF(F81="","",F80)</f>
        <v>0</v>
      </c>
      <c r="G450">
        <v>77</v>
      </c>
      <c r="H450">
        <f>H80</f>
        <v>0</v>
      </c>
      <c r="K450">
        <v>77</v>
      </c>
      <c r="L450">
        <f>IF(L81="","",L80)</f>
        <v>0</v>
      </c>
      <c r="M450">
        <v>77</v>
      </c>
      <c r="N450">
        <f>N80</f>
        <v>0</v>
      </c>
    </row>
    <row r="451" spans="5:14">
      <c r="E451">
        <v>78</v>
      </c>
      <c r="F451">
        <f>IF(F82="","",F81)</f>
        <v>0</v>
      </c>
      <c r="G451">
        <v>78</v>
      </c>
      <c r="H451">
        <f>H81</f>
        <v>0</v>
      </c>
      <c r="K451">
        <v>78</v>
      </c>
      <c r="L451">
        <f>IF(L82="","",L81)</f>
        <v>0</v>
      </c>
      <c r="M451">
        <v>78</v>
      </c>
      <c r="N451">
        <f>N81</f>
        <v>0</v>
      </c>
    </row>
    <row r="452" spans="5:14">
      <c r="E452">
        <v>79</v>
      </c>
      <c r="F452">
        <f>IF(F83="","",F82)</f>
        <v>0</v>
      </c>
      <c r="G452">
        <v>79</v>
      </c>
      <c r="H452">
        <f>H82</f>
        <v>0</v>
      </c>
      <c r="K452">
        <v>79</v>
      </c>
      <c r="L452">
        <f>IF(L83="","",L82)</f>
        <v>0</v>
      </c>
      <c r="M452">
        <v>79</v>
      </c>
      <c r="N452">
        <f>N82</f>
        <v>0</v>
      </c>
    </row>
    <row r="453" spans="5:14">
      <c r="E453">
        <v>80</v>
      </c>
      <c r="F453">
        <f>IF(F84="","",F83)</f>
        <v>0</v>
      </c>
      <c r="G453">
        <v>80</v>
      </c>
      <c r="H453">
        <f>H83</f>
        <v>0</v>
      </c>
      <c r="K453">
        <v>80</v>
      </c>
      <c r="L453">
        <f>IF(L84="","",L83)</f>
        <v>0</v>
      </c>
      <c r="M453">
        <v>80</v>
      </c>
      <c r="N453">
        <f>N83</f>
        <v>0</v>
      </c>
    </row>
    <row r="454" spans="5:14">
      <c r="E454">
        <v>81</v>
      </c>
      <c r="F454">
        <f>IF(F85="","",F84)</f>
        <v>0</v>
      </c>
      <c r="G454">
        <v>81</v>
      </c>
      <c r="H454">
        <f>H84</f>
        <v>0</v>
      </c>
      <c r="K454">
        <v>81</v>
      </c>
      <c r="L454">
        <f>IF(L85="","",L84)</f>
        <v>0</v>
      </c>
      <c r="M454">
        <v>81</v>
      </c>
      <c r="N454">
        <f>N84</f>
        <v>0</v>
      </c>
    </row>
    <row r="455" spans="5:14">
      <c r="E455">
        <v>82</v>
      </c>
      <c r="F455">
        <f>IF(F86="","",F85)</f>
        <v>0</v>
      </c>
      <c r="G455">
        <v>82</v>
      </c>
      <c r="H455">
        <f>H85</f>
        <v>0</v>
      </c>
      <c r="K455">
        <v>82</v>
      </c>
      <c r="L455">
        <f>IF(L86="","",L85)</f>
        <v>0</v>
      </c>
      <c r="M455">
        <v>82</v>
      </c>
      <c r="N455">
        <f>N85</f>
        <v>0</v>
      </c>
    </row>
    <row r="456" spans="5:14">
      <c r="E456">
        <v>83</v>
      </c>
      <c r="F456">
        <f>IF(F87="","",F86)</f>
        <v>0</v>
      </c>
      <c r="G456">
        <v>83</v>
      </c>
      <c r="H456">
        <f>H86</f>
        <v>0</v>
      </c>
      <c r="K456">
        <v>83</v>
      </c>
      <c r="L456">
        <f>IF(L87="","",L86)</f>
        <v>0</v>
      </c>
      <c r="M456">
        <v>83</v>
      </c>
      <c r="N456">
        <f>N86</f>
        <v>0</v>
      </c>
    </row>
    <row r="457" spans="5:14">
      <c r="E457">
        <v>84</v>
      </c>
      <c r="F457">
        <f>IF(F88="","",F87)</f>
        <v>0</v>
      </c>
      <c r="G457">
        <v>84</v>
      </c>
      <c r="H457">
        <f>H87</f>
        <v>0</v>
      </c>
      <c r="K457">
        <v>84</v>
      </c>
      <c r="L457">
        <f>IF(L88="","",L87)</f>
        <v>0</v>
      </c>
      <c r="M457">
        <v>84</v>
      </c>
      <c r="N457">
        <f>N87</f>
        <v>0</v>
      </c>
    </row>
    <row r="458" spans="5:14">
      <c r="E458">
        <v>85</v>
      </c>
      <c r="F458">
        <f>IF(F89="","",F88)</f>
        <v>0</v>
      </c>
      <c r="G458">
        <v>85</v>
      </c>
      <c r="H458">
        <f>H88</f>
        <v>0</v>
      </c>
      <c r="K458">
        <v>85</v>
      </c>
      <c r="L458">
        <f>IF(L89="","",L88)</f>
        <v>0</v>
      </c>
      <c r="M458">
        <v>85</v>
      </c>
      <c r="N458">
        <f>N88</f>
        <v>0</v>
      </c>
    </row>
    <row r="459" spans="5:14">
      <c r="E459">
        <v>86</v>
      </c>
      <c r="F459">
        <f>IF(F90="","",F89)</f>
        <v>0</v>
      </c>
      <c r="G459">
        <v>86</v>
      </c>
      <c r="H459">
        <f>H89</f>
        <v>0</v>
      </c>
      <c r="K459">
        <v>86</v>
      </c>
      <c r="L459">
        <f>IF(L90="","",L89)</f>
        <v>0</v>
      </c>
      <c r="M459">
        <v>86</v>
      </c>
      <c r="N459">
        <f>N89</f>
        <v>0</v>
      </c>
    </row>
    <row r="460" spans="5:14">
      <c r="E460">
        <v>87</v>
      </c>
      <c r="F460">
        <f>IF(F91="","",F90)</f>
        <v>0</v>
      </c>
      <c r="G460">
        <v>87</v>
      </c>
      <c r="H460">
        <f>H90</f>
        <v>0</v>
      </c>
      <c r="K460">
        <v>87</v>
      </c>
      <c r="L460">
        <f>IF(L91="","",L90)</f>
        <v>0</v>
      </c>
      <c r="M460">
        <v>87</v>
      </c>
      <c r="N460">
        <f>N90</f>
        <v>0</v>
      </c>
    </row>
    <row r="461" spans="5:14">
      <c r="E461">
        <v>88</v>
      </c>
      <c r="F461">
        <f>IF(F92="","",F91)</f>
        <v>0</v>
      </c>
      <c r="G461">
        <v>88</v>
      </c>
      <c r="H461">
        <f>H91</f>
        <v>0</v>
      </c>
      <c r="K461">
        <v>88</v>
      </c>
      <c r="L461">
        <f>IF(L92="","",L91)</f>
        <v>0</v>
      </c>
      <c r="M461">
        <v>88</v>
      </c>
      <c r="N461">
        <f>N91</f>
        <v>0</v>
      </c>
    </row>
    <row r="462" spans="5:14">
      <c r="E462">
        <v>89</v>
      </c>
      <c r="F462">
        <f>IF(F93="","",F92)</f>
        <v>0</v>
      </c>
      <c r="G462">
        <v>89</v>
      </c>
      <c r="H462">
        <f>H92</f>
        <v>0</v>
      </c>
      <c r="K462">
        <v>89</v>
      </c>
      <c r="L462">
        <f>IF(L93="","",L92)</f>
        <v>0</v>
      </c>
      <c r="M462">
        <v>89</v>
      </c>
      <c r="N462">
        <f>N92</f>
        <v>0</v>
      </c>
    </row>
    <row r="463" spans="5:14">
      <c r="E463">
        <v>90</v>
      </c>
      <c r="F463">
        <f>IF(F94="","",F93)</f>
        <v>0</v>
      </c>
      <c r="G463">
        <v>90</v>
      </c>
      <c r="H463">
        <f>H93</f>
        <v>0</v>
      </c>
      <c r="K463">
        <v>90</v>
      </c>
      <c r="L463">
        <f>IF(L94="","",L93)</f>
        <v>0</v>
      </c>
      <c r="M463">
        <v>90</v>
      </c>
      <c r="N463">
        <f>N93</f>
        <v>0</v>
      </c>
    </row>
    <row r="464" spans="5:14">
      <c r="E464">
        <v>91</v>
      </c>
      <c r="F464">
        <f>IF(F95="","",F94)</f>
        <v>0</v>
      </c>
      <c r="G464">
        <v>91</v>
      </c>
      <c r="H464">
        <f>H94</f>
        <v>0</v>
      </c>
      <c r="K464">
        <v>91</v>
      </c>
      <c r="L464">
        <f>IF(L95="","",L94)</f>
        <v>0</v>
      </c>
      <c r="M464">
        <v>91</v>
      </c>
      <c r="N464">
        <f>N94</f>
        <v>0</v>
      </c>
    </row>
    <row r="465" spans="5:14">
      <c r="E465">
        <v>92</v>
      </c>
      <c r="F465">
        <f>IF(F96="","",F95)</f>
        <v>0</v>
      </c>
      <c r="G465">
        <v>92</v>
      </c>
      <c r="H465">
        <f>H95</f>
        <v>0</v>
      </c>
      <c r="K465">
        <v>92</v>
      </c>
      <c r="L465">
        <f>IF(L96="","",L95)</f>
        <v>0</v>
      </c>
      <c r="M465">
        <v>92</v>
      </c>
      <c r="N465">
        <f>N95</f>
        <v>0</v>
      </c>
    </row>
    <row r="466" spans="5:14">
      <c r="E466">
        <v>93</v>
      </c>
      <c r="F466">
        <f>IF(F97="","",F96)</f>
        <v>0</v>
      </c>
      <c r="G466">
        <v>93</v>
      </c>
      <c r="H466">
        <f>H96</f>
        <v>0</v>
      </c>
      <c r="K466">
        <v>93</v>
      </c>
      <c r="L466">
        <f>IF(L97="","",L96)</f>
        <v>0</v>
      </c>
      <c r="M466">
        <v>93</v>
      </c>
      <c r="N466">
        <f>N96</f>
        <v>0</v>
      </c>
    </row>
    <row r="467" spans="5:14">
      <c r="E467">
        <v>94</v>
      </c>
      <c r="F467">
        <f>IF(F98="","",F97)</f>
        <v>0</v>
      </c>
      <c r="G467">
        <v>94</v>
      </c>
      <c r="H467">
        <f>H97</f>
        <v>0</v>
      </c>
      <c r="K467">
        <v>94</v>
      </c>
      <c r="L467">
        <f>IF(L98="","",L97)</f>
        <v>0</v>
      </c>
      <c r="M467">
        <v>94</v>
      </c>
      <c r="N467">
        <f>N97</f>
        <v>0</v>
      </c>
    </row>
    <row r="468" spans="5:14">
      <c r="E468">
        <v>95</v>
      </c>
      <c r="F468">
        <f>IF(F99="","",F98)</f>
        <v>0</v>
      </c>
      <c r="G468">
        <v>95</v>
      </c>
      <c r="H468">
        <f>H98</f>
        <v>0</v>
      </c>
      <c r="K468">
        <v>95</v>
      </c>
      <c r="L468">
        <f>IF(L99="","",L98)</f>
        <v>0</v>
      </c>
      <c r="M468">
        <v>95</v>
      </c>
      <c r="N468">
        <f>N98</f>
        <v>0</v>
      </c>
    </row>
    <row r="469" spans="5:14">
      <c r="E469">
        <v>96</v>
      </c>
      <c r="F469">
        <f>IF(F100="","",F99)</f>
        <v>0</v>
      </c>
      <c r="G469">
        <v>96</v>
      </c>
      <c r="H469">
        <f>H99</f>
        <v>0</v>
      </c>
      <c r="K469">
        <v>96</v>
      </c>
      <c r="L469">
        <f>IF(L100="","",L99)</f>
        <v>0</v>
      </c>
      <c r="M469">
        <v>96</v>
      </c>
      <c r="N469">
        <f>N99</f>
        <v>0</v>
      </c>
    </row>
    <row r="470" spans="5:14">
      <c r="E470">
        <v>97</v>
      </c>
      <c r="F470">
        <f>IF(F101="","",F100)</f>
        <v>0</v>
      </c>
      <c r="G470">
        <v>97</v>
      </c>
      <c r="H470">
        <f>H100</f>
        <v>0</v>
      </c>
      <c r="K470">
        <v>97</v>
      </c>
      <c r="L470">
        <f>IF(L101="","",L100)</f>
        <v>0</v>
      </c>
      <c r="M470">
        <v>97</v>
      </c>
      <c r="N470">
        <f>N100</f>
        <v>0</v>
      </c>
    </row>
    <row r="471" spans="5:14">
      <c r="E471">
        <v>98</v>
      </c>
      <c r="F471">
        <f>IF(F102="","",F101)</f>
        <v>0</v>
      </c>
      <c r="G471">
        <v>98</v>
      </c>
      <c r="H471">
        <f>H101</f>
        <v>0</v>
      </c>
      <c r="K471">
        <v>98</v>
      </c>
      <c r="L471">
        <f>IF(L102="","",L101)</f>
        <v>0</v>
      </c>
      <c r="M471">
        <v>98</v>
      </c>
      <c r="N471">
        <f>N101</f>
        <v>0</v>
      </c>
    </row>
    <row r="472" spans="5:14">
      <c r="E472">
        <v>99</v>
      </c>
      <c r="F472">
        <f>IF(F103="","",F102)</f>
        <v>0</v>
      </c>
      <c r="G472">
        <v>99</v>
      </c>
      <c r="H472">
        <f>H102</f>
        <v>0</v>
      </c>
      <c r="K472">
        <v>99</v>
      </c>
      <c r="L472">
        <f>IF(L103="","",L102)</f>
        <v>0</v>
      </c>
      <c r="M472">
        <v>99</v>
      </c>
      <c r="N472">
        <f>N102</f>
        <v>0</v>
      </c>
    </row>
    <row r="473" spans="5:14">
      <c r="E473">
        <v>100</v>
      </c>
      <c r="F473">
        <f>IF(F104="","",F103)</f>
        <v>0</v>
      </c>
      <c r="G473">
        <v>100</v>
      </c>
      <c r="H473">
        <f>H103</f>
        <v>0</v>
      </c>
      <c r="K473">
        <v>100</v>
      </c>
      <c r="L473">
        <f>IF(L104="","",L103)</f>
        <v>0</v>
      </c>
      <c r="M473">
        <v>100</v>
      </c>
      <c r="N473">
        <f>N103</f>
        <v>0</v>
      </c>
    </row>
    <row r="474" spans="5:14">
      <c r="E474">
        <v>101</v>
      </c>
      <c r="F474">
        <f>IF(F105="","",F104)</f>
        <v>0</v>
      </c>
      <c r="G474">
        <v>101</v>
      </c>
      <c r="H474">
        <f>H104</f>
        <v>0</v>
      </c>
      <c r="K474">
        <v>101</v>
      </c>
      <c r="L474">
        <f>IF(L105="","",L104)</f>
        <v>0</v>
      </c>
      <c r="M474">
        <v>101</v>
      </c>
      <c r="N474">
        <f>N104</f>
        <v>0</v>
      </c>
    </row>
    <row r="475" spans="5:14">
      <c r="E475">
        <v>102</v>
      </c>
      <c r="F475">
        <f>IF(F106="","",F105)</f>
        <v>0</v>
      </c>
      <c r="G475">
        <v>102</v>
      </c>
      <c r="H475">
        <f>H105</f>
        <v>0</v>
      </c>
      <c r="K475">
        <v>102</v>
      </c>
      <c r="L475">
        <f>IF(L106="","",L105)</f>
        <v>0</v>
      </c>
      <c r="M475">
        <v>102</v>
      </c>
      <c r="N475">
        <f>N105</f>
        <v>0</v>
      </c>
    </row>
    <row r="476" spans="5:14">
      <c r="E476">
        <v>103</v>
      </c>
      <c r="F476">
        <f>IF(F107="","",F106)</f>
        <v>0</v>
      </c>
      <c r="G476">
        <v>103</v>
      </c>
      <c r="H476">
        <f>H106</f>
        <v>0</v>
      </c>
      <c r="K476">
        <v>103</v>
      </c>
      <c r="L476">
        <f>IF(L107="","",L106)</f>
        <v>0</v>
      </c>
      <c r="M476">
        <v>103</v>
      </c>
      <c r="N476">
        <f>N106</f>
        <v>0</v>
      </c>
    </row>
    <row r="477" spans="5:14">
      <c r="E477">
        <v>104</v>
      </c>
      <c r="F477">
        <f>IF(F108="","",F107)</f>
        <v>0</v>
      </c>
      <c r="G477">
        <v>104</v>
      </c>
      <c r="H477">
        <f>H107</f>
        <v>0</v>
      </c>
      <c r="K477">
        <v>104</v>
      </c>
      <c r="L477">
        <f>IF(L108="","",L107)</f>
        <v>0</v>
      </c>
      <c r="M477">
        <v>104</v>
      </c>
      <c r="N477">
        <f>N107</f>
        <v>0</v>
      </c>
    </row>
    <row r="478" spans="5:14">
      <c r="E478">
        <v>105</v>
      </c>
      <c r="F478">
        <f>IF(F109="","",F108)</f>
        <v>0</v>
      </c>
      <c r="G478">
        <v>105</v>
      </c>
      <c r="H478">
        <f>H108</f>
        <v>0</v>
      </c>
      <c r="K478">
        <v>105</v>
      </c>
      <c r="L478">
        <f>IF(L109="","",L108)</f>
        <v>0</v>
      </c>
      <c r="M478">
        <v>105</v>
      </c>
      <c r="N478">
        <f>N108</f>
        <v>0</v>
      </c>
    </row>
    <row r="479" spans="5:14">
      <c r="E479">
        <v>106</v>
      </c>
      <c r="F479">
        <f>IF(F110="","",F109)</f>
        <v>0</v>
      </c>
      <c r="G479">
        <v>106</v>
      </c>
      <c r="H479">
        <f>H109</f>
        <v>0</v>
      </c>
      <c r="K479">
        <v>106</v>
      </c>
      <c r="L479">
        <f>IF(L110="","",L109)</f>
        <v>0</v>
      </c>
      <c r="M479">
        <v>106</v>
      </c>
      <c r="N479">
        <f>N109</f>
        <v>0</v>
      </c>
    </row>
    <row r="480" spans="5:14">
      <c r="E480">
        <v>107</v>
      </c>
      <c r="F480">
        <f>IF(F111="","",F110)</f>
        <v>0</v>
      </c>
      <c r="G480">
        <v>107</v>
      </c>
      <c r="H480">
        <f>H110</f>
        <v>0</v>
      </c>
      <c r="K480">
        <v>107</v>
      </c>
      <c r="L480">
        <f>IF(L111="","",L110)</f>
        <v>0</v>
      </c>
      <c r="M480">
        <v>107</v>
      </c>
      <c r="N480">
        <f>N110</f>
        <v>0</v>
      </c>
    </row>
    <row r="481" spans="5:14">
      <c r="E481">
        <v>108</v>
      </c>
      <c r="F481">
        <f>IF(F112="","",F111)</f>
        <v>0</v>
      </c>
      <c r="G481">
        <v>108</v>
      </c>
      <c r="H481">
        <f>H111</f>
        <v>0</v>
      </c>
      <c r="K481">
        <v>108</v>
      </c>
      <c r="L481">
        <f>IF(L112="","",L111)</f>
        <v>0</v>
      </c>
      <c r="M481">
        <v>108</v>
      </c>
      <c r="N481">
        <f>N111</f>
        <v>0</v>
      </c>
    </row>
    <row r="482" spans="5:14">
      <c r="E482">
        <v>109</v>
      </c>
      <c r="F482">
        <f>IF(F113="","",F112)</f>
        <v>0</v>
      </c>
      <c r="G482">
        <v>109</v>
      </c>
      <c r="H482">
        <f>H112</f>
        <v>0</v>
      </c>
      <c r="K482">
        <v>109</v>
      </c>
      <c r="L482">
        <f>IF(L113="","",L112)</f>
        <v>0</v>
      </c>
      <c r="M482">
        <v>109</v>
      </c>
      <c r="N482">
        <f>N112</f>
        <v>0</v>
      </c>
    </row>
    <row r="483" spans="5:14">
      <c r="E483">
        <v>110</v>
      </c>
      <c r="F483">
        <f>IF(F114="","",F113)</f>
        <v>0</v>
      </c>
      <c r="G483">
        <v>110</v>
      </c>
      <c r="H483">
        <f>H113</f>
        <v>0</v>
      </c>
      <c r="K483">
        <v>110</v>
      </c>
      <c r="L483">
        <f>IF(L114="","",L113)</f>
        <v>0</v>
      </c>
      <c r="M483">
        <v>110</v>
      </c>
      <c r="N483">
        <f>N113</f>
        <v>0</v>
      </c>
    </row>
    <row r="484" spans="5:14">
      <c r="E484">
        <v>111</v>
      </c>
      <c r="F484">
        <f>IF(F115="","",F114)</f>
        <v>0</v>
      </c>
      <c r="G484">
        <v>111</v>
      </c>
      <c r="H484">
        <f>H114</f>
        <v>0</v>
      </c>
      <c r="K484">
        <v>111</v>
      </c>
      <c r="L484">
        <f>IF(L115="","",L114)</f>
        <v>0</v>
      </c>
      <c r="M484">
        <v>111</v>
      </c>
      <c r="N484">
        <f>N114</f>
        <v>0</v>
      </c>
    </row>
    <row r="485" spans="5:14">
      <c r="E485">
        <v>112</v>
      </c>
      <c r="F485">
        <f>IF(F116="","",F115)</f>
        <v>0</v>
      </c>
      <c r="G485">
        <v>112</v>
      </c>
      <c r="H485">
        <f>H115</f>
        <v>0</v>
      </c>
      <c r="K485">
        <v>112</v>
      </c>
      <c r="L485">
        <f>IF(L116="","",L115)</f>
        <v>0</v>
      </c>
      <c r="M485">
        <v>112</v>
      </c>
      <c r="N485">
        <f>N115</f>
        <v>0</v>
      </c>
    </row>
    <row r="486" spans="5:14">
      <c r="E486">
        <v>113</v>
      </c>
      <c r="F486">
        <f>IF(F117="","",F116)</f>
        <v>0</v>
      </c>
      <c r="G486">
        <v>113</v>
      </c>
      <c r="H486">
        <f>H116</f>
        <v>0</v>
      </c>
      <c r="K486">
        <v>113</v>
      </c>
      <c r="L486">
        <f>IF(L117="","",L116)</f>
        <v>0</v>
      </c>
      <c r="M486">
        <v>113</v>
      </c>
      <c r="N486">
        <f>N116</f>
        <v>0</v>
      </c>
    </row>
    <row r="487" spans="5:14">
      <c r="E487">
        <v>114</v>
      </c>
      <c r="F487">
        <f>IF(F118="","",F117)</f>
        <v>0</v>
      </c>
      <c r="G487">
        <v>114</v>
      </c>
      <c r="H487">
        <f>H117</f>
        <v>0</v>
      </c>
      <c r="K487">
        <v>114</v>
      </c>
      <c r="L487">
        <f>IF(L118="","",L117)</f>
        <v>0</v>
      </c>
      <c r="M487">
        <v>114</v>
      </c>
      <c r="N487">
        <f>N117</f>
        <v>0</v>
      </c>
    </row>
    <row r="488" spans="5:14">
      <c r="E488">
        <v>115</v>
      </c>
      <c r="F488">
        <f>IF(F119="","",F118)</f>
        <v>0</v>
      </c>
      <c r="G488">
        <v>115</v>
      </c>
      <c r="H488">
        <f>H118</f>
        <v>0</v>
      </c>
      <c r="K488">
        <v>115</v>
      </c>
      <c r="L488">
        <f>IF(L119="","",L118)</f>
        <v>0</v>
      </c>
      <c r="M488">
        <v>115</v>
      </c>
      <c r="N488">
        <f>N118</f>
        <v>0</v>
      </c>
    </row>
    <row r="489" spans="5:14">
      <c r="E489">
        <v>116</v>
      </c>
      <c r="F489">
        <f>IF(F120="","",F119)</f>
        <v>0</v>
      </c>
      <c r="G489">
        <v>116</v>
      </c>
      <c r="H489">
        <f>H119</f>
        <v>0</v>
      </c>
      <c r="K489">
        <v>116</v>
      </c>
      <c r="L489">
        <f>IF(L120="","",L119)</f>
        <v>0</v>
      </c>
      <c r="M489">
        <v>116</v>
      </c>
      <c r="N489">
        <f>N119</f>
        <v>0</v>
      </c>
    </row>
    <row r="490" spans="5:14">
      <c r="E490">
        <v>117</v>
      </c>
      <c r="F490">
        <f>IF(F121="","",F120)</f>
        <v>0</v>
      </c>
      <c r="G490">
        <v>117</v>
      </c>
      <c r="H490">
        <f>H120</f>
        <v>0</v>
      </c>
      <c r="K490">
        <v>117</v>
      </c>
      <c r="L490">
        <f>IF(L121="","",L120)</f>
        <v>0</v>
      </c>
      <c r="M490">
        <v>117</v>
      </c>
      <c r="N490">
        <f>N120</f>
        <v>0</v>
      </c>
    </row>
    <row r="491" spans="5:14">
      <c r="E491">
        <v>118</v>
      </c>
      <c r="F491">
        <f>IF(F122="","",F121)</f>
        <v>0</v>
      </c>
      <c r="G491">
        <v>118</v>
      </c>
      <c r="H491">
        <f>H121</f>
        <v>0</v>
      </c>
      <c r="K491">
        <v>118</v>
      </c>
      <c r="L491">
        <f>IF(L122="","",L121)</f>
        <v>0</v>
      </c>
      <c r="M491">
        <v>118</v>
      </c>
      <c r="N491">
        <f>N121</f>
        <v>0</v>
      </c>
    </row>
    <row r="492" spans="5:14">
      <c r="E492">
        <v>119</v>
      </c>
      <c r="F492">
        <f>IF(F123="","",F122)</f>
        <v>0</v>
      </c>
      <c r="G492">
        <v>119</v>
      </c>
      <c r="H492">
        <f>H122</f>
        <v>0</v>
      </c>
      <c r="K492">
        <v>119</v>
      </c>
      <c r="L492">
        <f>IF(L123="","",L122)</f>
        <v>0</v>
      </c>
      <c r="M492">
        <v>119</v>
      </c>
      <c r="N492">
        <f>N122</f>
        <v>0</v>
      </c>
    </row>
    <row r="493" spans="5:14">
      <c r="E493">
        <v>120</v>
      </c>
      <c r="F493">
        <f>IF(F124="","",F123)</f>
        <v>0</v>
      </c>
      <c r="G493">
        <v>120</v>
      </c>
      <c r="H493">
        <f>H123</f>
        <v>0</v>
      </c>
      <c r="K493">
        <v>120</v>
      </c>
      <c r="L493">
        <f>IF(L124="","",L123)</f>
        <v>0</v>
      </c>
      <c r="M493">
        <v>120</v>
      </c>
      <c r="N493">
        <f>N123</f>
        <v>0</v>
      </c>
    </row>
    <row r="494" spans="5:14">
      <c r="E494">
        <v>121</v>
      </c>
      <c r="F494">
        <f>IF(F125="","",F124)</f>
        <v>0</v>
      </c>
      <c r="G494">
        <v>121</v>
      </c>
      <c r="H494">
        <f>H124</f>
        <v>0</v>
      </c>
      <c r="K494">
        <v>121</v>
      </c>
      <c r="L494">
        <f>IF(L125="","",L124)</f>
        <v>0</v>
      </c>
      <c r="M494">
        <v>121</v>
      </c>
      <c r="N494">
        <f>N124</f>
        <v>0</v>
      </c>
    </row>
    <row r="495" spans="5:14">
      <c r="E495">
        <v>122</v>
      </c>
      <c r="F495">
        <f>IF(F126="","",F125)</f>
        <v>0</v>
      </c>
      <c r="G495">
        <v>122</v>
      </c>
      <c r="H495">
        <f>H125</f>
        <v>0</v>
      </c>
      <c r="K495">
        <v>122</v>
      </c>
      <c r="L495">
        <f>IF(L126="","",L125)</f>
        <v>0</v>
      </c>
      <c r="M495">
        <v>122</v>
      </c>
      <c r="N495">
        <f>N125</f>
        <v>0</v>
      </c>
    </row>
    <row r="496" spans="5:14">
      <c r="E496">
        <v>123</v>
      </c>
      <c r="F496">
        <f>IF(F127="","",F126)</f>
        <v>0</v>
      </c>
      <c r="G496">
        <v>123</v>
      </c>
      <c r="H496">
        <f>H126</f>
        <v>0</v>
      </c>
      <c r="K496">
        <v>123</v>
      </c>
      <c r="L496">
        <f>IF(L127="","",L126)</f>
        <v>0</v>
      </c>
      <c r="M496">
        <v>123</v>
      </c>
      <c r="N496">
        <f>N126</f>
        <v>0</v>
      </c>
    </row>
    <row r="497" spans="5:14">
      <c r="E497">
        <v>124</v>
      </c>
      <c r="F497">
        <f>IF(F128="","",F127)</f>
        <v>0</v>
      </c>
      <c r="G497">
        <v>124</v>
      </c>
      <c r="H497">
        <f>H127</f>
        <v>0</v>
      </c>
      <c r="K497">
        <v>124</v>
      </c>
      <c r="L497">
        <f>IF(L128="","",L127)</f>
        <v>0</v>
      </c>
      <c r="M497">
        <v>124</v>
      </c>
      <c r="N497">
        <f>N127</f>
        <v>0</v>
      </c>
    </row>
    <row r="498" spans="5:14">
      <c r="E498">
        <v>125</v>
      </c>
      <c r="F498">
        <f>IF(F129="","",F128)</f>
        <v>0</v>
      </c>
      <c r="G498">
        <v>125</v>
      </c>
      <c r="H498">
        <f>H128</f>
        <v>0</v>
      </c>
      <c r="K498">
        <v>125</v>
      </c>
      <c r="L498">
        <f>IF(L129="","",L128)</f>
        <v>0</v>
      </c>
      <c r="M498">
        <v>125</v>
      </c>
      <c r="N498">
        <f>N128</f>
        <v>0</v>
      </c>
    </row>
    <row r="499" spans="5:14">
      <c r="E499">
        <v>126</v>
      </c>
      <c r="F499">
        <f>IF(F130="","",F129)</f>
        <v>0</v>
      </c>
      <c r="G499">
        <v>126</v>
      </c>
      <c r="H499">
        <f>H129</f>
        <v>0</v>
      </c>
      <c r="K499">
        <v>126</v>
      </c>
      <c r="L499">
        <f>IF(L130="","",L129)</f>
        <v>0</v>
      </c>
      <c r="M499">
        <v>126</v>
      </c>
      <c r="N499">
        <f>N129</f>
        <v>0</v>
      </c>
    </row>
    <row r="500" spans="5:14">
      <c r="E500">
        <v>127</v>
      </c>
      <c r="F500">
        <f>IF(F131="","",F130)</f>
        <v>0</v>
      </c>
      <c r="G500">
        <v>127</v>
      </c>
      <c r="H500">
        <f>H130</f>
        <v>0</v>
      </c>
      <c r="K500">
        <v>127</v>
      </c>
      <c r="L500">
        <f>IF(L131="","",L130)</f>
        <v>0</v>
      </c>
      <c r="M500">
        <v>127</v>
      </c>
      <c r="N500">
        <f>N130</f>
        <v>0</v>
      </c>
    </row>
    <row r="501" spans="5:14">
      <c r="E501">
        <v>128</v>
      </c>
      <c r="F501">
        <f>IF(F132="","",F131)</f>
        <v>0</v>
      </c>
      <c r="G501">
        <v>128</v>
      </c>
      <c r="H501">
        <f>H131</f>
        <v>0</v>
      </c>
      <c r="K501">
        <v>128</v>
      </c>
      <c r="L501">
        <f>IF(L132="","",L131)</f>
        <v>0</v>
      </c>
      <c r="M501">
        <v>128</v>
      </c>
      <c r="N501">
        <f>N131</f>
        <v>0</v>
      </c>
    </row>
    <row r="502" spans="5:14">
      <c r="E502">
        <v>129</v>
      </c>
      <c r="F502">
        <f>IF(F133="","",F132)</f>
        <v>0</v>
      </c>
      <c r="G502">
        <v>129</v>
      </c>
      <c r="H502">
        <f>H132</f>
        <v>0</v>
      </c>
      <c r="K502">
        <v>129</v>
      </c>
      <c r="L502">
        <f>IF(L133="","",L132)</f>
        <v>0</v>
      </c>
      <c r="M502">
        <v>129</v>
      </c>
      <c r="N502">
        <f>N132</f>
        <v>0</v>
      </c>
    </row>
    <row r="503" spans="5:14">
      <c r="E503">
        <v>130</v>
      </c>
      <c r="F503">
        <f>IF(F134="","",F133)</f>
        <v>0</v>
      </c>
      <c r="G503">
        <v>130</v>
      </c>
      <c r="H503">
        <f>H133</f>
        <v>0</v>
      </c>
      <c r="K503">
        <v>130</v>
      </c>
      <c r="L503">
        <f>IF(L134="","",L133)</f>
        <v>0</v>
      </c>
      <c r="M503">
        <v>130</v>
      </c>
      <c r="N503">
        <f>N133</f>
        <v>0</v>
      </c>
    </row>
    <row r="504" spans="5:14">
      <c r="E504">
        <v>131</v>
      </c>
      <c r="F504">
        <f>IF(F135="","",F134)</f>
        <v>0</v>
      </c>
      <c r="G504">
        <v>131</v>
      </c>
      <c r="H504">
        <f>H134</f>
        <v>0</v>
      </c>
      <c r="K504">
        <v>131</v>
      </c>
      <c r="L504">
        <f>IF(L135="","",L134)</f>
        <v>0</v>
      </c>
      <c r="M504">
        <v>131</v>
      </c>
      <c r="N504">
        <f>N134</f>
        <v>0</v>
      </c>
    </row>
    <row r="505" spans="5:14">
      <c r="E505">
        <v>132</v>
      </c>
      <c r="F505">
        <f>IF(F136="","",F135)</f>
        <v>0</v>
      </c>
      <c r="G505">
        <v>132</v>
      </c>
      <c r="H505">
        <f>H135</f>
        <v>0</v>
      </c>
      <c r="K505">
        <v>132</v>
      </c>
      <c r="L505">
        <f>IF(L136="","",L135)</f>
        <v>0</v>
      </c>
      <c r="M505">
        <v>132</v>
      </c>
      <c r="N505">
        <f>N135</f>
        <v>0</v>
      </c>
    </row>
    <row r="506" spans="5:14">
      <c r="E506">
        <v>133</v>
      </c>
      <c r="F506">
        <f>IF(F137="","",F136)</f>
        <v>0</v>
      </c>
      <c r="G506">
        <v>133</v>
      </c>
      <c r="H506">
        <f>H136</f>
        <v>0</v>
      </c>
      <c r="K506">
        <v>133</v>
      </c>
      <c r="L506">
        <f>IF(L137="","",L136)</f>
        <v>0</v>
      </c>
      <c r="M506">
        <v>133</v>
      </c>
      <c r="N506">
        <f>N136</f>
        <v>0</v>
      </c>
    </row>
    <row r="507" spans="5:14">
      <c r="E507">
        <v>134</v>
      </c>
      <c r="F507">
        <f>IF(F138="","",F137)</f>
        <v>0</v>
      </c>
      <c r="G507">
        <v>134</v>
      </c>
      <c r="H507">
        <f>H137</f>
        <v>0</v>
      </c>
      <c r="K507">
        <v>134</v>
      </c>
      <c r="L507">
        <f>IF(L138="","",L137)</f>
        <v>0</v>
      </c>
      <c r="M507">
        <v>134</v>
      </c>
      <c r="N507">
        <f>N137</f>
        <v>0</v>
      </c>
    </row>
    <row r="508" spans="5:14">
      <c r="E508">
        <v>135</v>
      </c>
      <c r="F508">
        <f>IF(F139="","",F138)</f>
        <v>0</v>
      </c>
      <c r="G508">
        <v>135</v>
      </c>
      <c r="H508">
        <f>H138</f>
        <v>0</v>
      </c>
      <c r="K508">
        <v>135</v>
      </c>
      <c r="L508">
        <f>IF(L139="","",L138)</f>
        <v>0</v>
      </c>
      <c r="M508">
        <v>135</v>
      </c>
      <c r="N508">
        <f>N138</f>
        <v>0</v>
      </c>
    </row>
    <row r="509" spans="5:14">
      <c r="E509">
        <v>136</v>
      </c>
      <c r="F509">
        <f>IF(F140="","",F139)</f>
        <v>0</v>
      </c>
      <c r="G509">
        <v>136</v>
      </c>
      <c r="H509">
        <f>H139</f>
        <v>0</v>
      </c>
      <c r="K509">
        <v>136</v>
      </c>
      <c r="L509">
        <f>IF(L140="","",L139)</f>
        <v>0</v>
      </c>
      <c r="M509">
        <v>136</v>
      </c>
      <c r="N509">
        <f>N139</f>
        <v>0</v>
      </c>
    </row>
    <row r="510" spans="5:14">
      <c r="E510">
        <v>137</v>
      </c>
      <c r="F510">
        <f>IF(F141="","",F140)</f>
        <v>0</v>
      </c>
      <c r="G510">
        <v>137</v>
      </c>
      <c r="H510">
        <f>H140</f>
        <v>0</v>
      </c>
      <c r="K510">
        <v>137</v>
      </c>
      <c r="L510">
        <f>IF(L141="","",L140)</f>
        <v>0</v>
      </c>
      <c r="M510">
        <v>137</v>
      </c>
      <c r="N510">
        <f>N140</f>
        <v>0</v>
      </c>
    </row>
    <row r="511" spans="5:14">
      <c r="E511">
        <v>138</v>
      </c>
      <c r="F511">
        <f>IF(F142="","",F141)</f>
        <v>0</v>
      </c>
      <c r="G511">
        <v>138</v>
      </c>
      <c r="H511">
        <f>H141</f>
        <v>0</v>
      </c>
      <c r="K511">
        <v>138</v>
      </c>
      <c r="L511">
        <f>IF(L142="","",L141)</f>
        <v>0</v>
      </c>
      <c r="M511">
        <v>138</v>
      </c>
      <c r="N511">
        <f>N141</f>
        <v>0</v>
      </c>
    </row>
    <row r="512" spans="5:14">
      <c r="E512">
        <v>139</v>
      </c>
      <c r="F512">
        <f>IF(F143="","",F142)</f>
        <v>0</v>
      </c>
      <c r="G512">
        <v>139</v>
      </c>
      <c r="H512">
        <f>H142</f>
        <v>0</v>
      </c>
      <c r="K512">
        <v>139</v>
      </c>
      <c r="L512">
        <f>IF(L143="","",L142)</f>
        <v>0</v>
      </c>
      <c r="M512">
        <v>139</v>
      </c>
      <c r="N512">
        <f>N142</f>
        <v>0</v>
      </c>
    </row>
    <row r="513" spans="5:14">
      <c r="E513">
        <v>140</v>
      </c>
      <c r="F513">
        <f>IF(F144="","",F143)</f>
        <v>0</v>
      </c>
      <c r="G513">
        <v>140</v>
      </c>
      <c r="H513">
        <f>H143</f>
        <v>0</v>
      </c>
      <c r="K513">
        <v>140</v>
      </c>
      <c r="L513">
        <f>IF(L144="","",L143)</f>
        <v>0</v>
      </c>
      <c r="M513">
        <v>140</v>
      </c>
      <c r="N513">
        <f>N143</f>
        <v>0</v>
      </c>
    </row>
    <row r="514" spans="5:14">
      <c r="E514">
        <v>141</v>
      </c>
      <c r="F514">
        <f>IF(F145="","",F144)</f>
        <v>0</v>
      </c>
      <c r="G514">
        <v>141</v>
      </c>
      <c r="H514">
        <f>H144</f>
        <v>0</v>
      </c>
      <c r="K514">
        <v>141</v>
      </c>
      <c r="L514">
        <f>IF(L145="","",L144)</f>
        <v>0</v>
      </c>
      <c r="M514">
        <v>141</v>
      </c>
      <c r="N514">
        <f>N144</f>
        <v>0</v>
      </c>
    </row>
    <row r="515" spans="5:14">
      <c r="E515">
        <v>142</v>
      </c>
      <c r="F515">
        <f>IF(F146="","",F145)</f>
        <v>0</v>
      </c>
      <c r="G515">
        <v>142</v>
      </c>
      <c r="H515">
        <f>H145</f>
        <v>0</v>
      </c>
      <c r="K515">
        <v>142</v>
      </c>
      <c r="L515">
        <f>IF(L146="","",L145)</f>
        <v>0</v>
      </c>
      <c r="M515">
        <v>142</v>
      </c>
      <c r="N515">
        <f>N145</f>
        <v>0</v>
      </c>
    </row>
    <row r="516" spans="5:14">
      <c r="E516">
        <v>143</v>
      </c>
      <c r="F516">
        <f>IF(F147="","",F146)</f>
        <v>0</v>
      </c>
      <c r="G516">
        <v>143</v>
      </c>
      <c r="H516">
        <f>H146</f>
        <v>0</v>
      </c>
      <c r="K516">
        <v>143</v>
      </c>
      <c r="L516">
        <f>IF(L147="","",L146)</f>
        <v>0</v>
      </c>
      <c r="M516">
        <v>143</v>
      </c>
      <c r="N516">
        <f>N146</f>
        <v>0</v>
      </c>
    </row>
    <row r="517" spans="5:14">
      <c r="E517">
        <v>144</v>
      </c>
      <c r="F517">
        <f>IF(F148="","",F147)</f>
        <v>0</v>
      </c>
      <c r="G517">
        <v>144</v>
      </c>
      <c r="H517">
        <f>H147</f>
        <v>0</v>
      </c>
      <c r="K517">
        <v>144</v>
      </c>
      <c r="L517">
        <f>IF(L148="","",L147)</f>
        <v>0</v>
      </c>
      <c r="M517">
        <v>144</v>
      </c>
      <c r="N517">
        <f>N147</f>
        <v>0</v>
      </c>
    </row>
    <row r="518" spans="5:14">
      <c r="E518">
        <v>145</v>
      </c>
      <c r="F518">
        <f>IF(F149="","",F148)</f>
        <v>0</v>
      </c>
      <c r="G518">
        <v>145</v>
      </c>
      <c r="H518">
        <f>H148</f>
        <v>0</v>
      </c>
      <c r="K518">
        <v>145</v>
      </c>
      <c r="L518">
        <f>IF(L149="","",L148)</f>
        <v>0</v>
      </c>
      <c r="M518">
        <v>145</v>
      </c>
      <c r="N518">
        <f>N148</f>
        <v>0</v>
      </c>
    </row>
    <row r="519" spans="5:14">
      <c r="E519">
        <v>146</v>
      </c>
      <c r="F519">
        <f>IF(F150="","",F149)</f>
        <v>0</v>
      </c>
      <c r="G519">
        <v>146</v>
      </c>
      <c r="H519">
        <f>H149</f>
        <v>0</v>
      </c>
      <c r="K519">
        <v>146</v>
      </c>
      <c r="L519">
        <f>IF(L150="","",L149)</f>
        <v>0</v>
      </c>
      <c r="M519">
        <v>146</v>
      </c>
      <c r="N519">
        <f>N149</f>
        <v>0</v>
      </c>
    </row>
    <row r="520" spans="5:14">
      <c r="E520">
        <v>147</v>
      </c>
      <c r="F520">
        <f>IF(F151="","",F150)</f>
        <v>0</v>
      </c>
      <c r="G520">
        <v>147</v>
      </c>
      <c r="H520">
        <f>H150</f>
        <v>0</v>
      </c>
      <c r="K520">
        <v>147</v>
      </c>
      <c r="L520">
        <f>IF(L151="","",L150)</f>
        <v>0</v>
      </c>
      <c r="M520">
        <v>147</v>
      </c>
      <c r="N520">
        <f>N150</f>
        <v>0</v>
      </c>
    </row>
    <row r="521" spans="5:14">
      <c r="E521">
        <v>148</v>
      </c>
      <c r="F521">
        <f>IF(F152="","",F151)</f>
        <v>0</v>
      </c>
      <c r="G521">
        <v>148</v>
      </c>
      <c r="H521">
        <f>H151</f>
        <v>0</v>
      </c>
      <c r="K521">
        <v>148</v>
      </c>
      <c r="L521">
        <f>IF(L152="","",L151)</f>
        <v>0</v>
      </c>
      <c r="M521">
        <v>148</v>
      </c>
      <c r="N521">
        <f>N151</f>
        <v>0</v>
      </c>
    </row>
    <row r="522" spans="5:14">
      <c r="E522">
        <v>149</v>
      </c>
      <c r="F522">
        <f>IF(F153="","",F152)</f>
        <v>0</v>
      </c>
      <c r="G522">
        <v>149</v>
      </c>
      <c r="H522">
        <f>H152</f>
        <v>0</v>
      </c>
      <c r="K522">
        <v>149</v>
      </c>
      <c r="L522">
        <f>IF(L153="","",L152)</f>
        <v>0</v>
      </c>
      <c r="M522">
        <v>149</v>
      </c>
      <c r="N522">
        <f>N152</f>
        <v>0</v>
      </c>
    </row>
    <row r="523" spans="5:14">
      <c r="E523">
        <v>150</v>
      </c>
      <c r="F523">
        <f>IF(F154="","",F153)</f>
        <v>0</v>
      </c>
      <c r="G523">
        <v>150</v>
      </c>
      <c r="H523">
        <f>H153</f>
        <v>0</v>
      </c>
      <c r="K523">
        <v>150</v>
      </c>
      <c r="L523">
        <f>IF(L154="","",L153)</f>
        <v>0</v>
      </c>
      <c r="M523">
        <v>150</v>
      </c>
      <c r="N523">
        <f>N153</f>
        <v>0</v>
      </c>
    </row>
    <row r="524" spans="5:14">
      <c r="E524">
        <v>151</v>
      </c>
      <c r="F524">
        <f>IF(F155="","",F154)</f>
        <v>0</v>
      </c>
      <c r="G524">
        <v>151</v>
      </c>
      <c r="H524">
        <f>H154</f>
        <v>0</v>
      </c>
      <c r="K524">
        <v>151</v>
      </c>
      <c r="L524">
        <f>IF(L155="","",L154)</f>
        <v>0</v>
      </c>
      <c r="M524">
        <v>151</v>
      </c>
      <c r="N524">
        <f>N154</f>
        <v>0</v>
      </c>
    </row>
    <row r="525" spans="5:14">
      <c r="E525">
        <v>152</v>
      </c>
      <c r="F525">
        <f>IF(F156="","",F155)</f>
        <v>0</v>
      </c>
      <c r="G525">
        <v>152</v>
      </c>
      <c r="H525">
        <f>H155</f>
        <v>0</v>
      </c>
      <c r="K525">
        <v>152</v>
      </c>
      <c r="L525">
        <f>IF(L156="","",L155)</f>
        <v>0</v>
      </c>
      <c r="M525">
        <v>152</v>
      </c>
      <c r="N525">
        <f>N155</f>
        <v>0</v>
      </c>
    </row>
    <row r="526" spans="5:14">
      <c r="E526">
        <v>153</v>
      </c>
      <c r="F526">
        <f>IF(F157="","",F156)</f>
        <v>0</v>
      </c>
      <c r="G526">
        <v>153</v>
      </c>
      <c r="H526">
        <f>H156</f>
        <v>0</v>
      </c>
      <c r="K526">
        <v>153</v>
      </c>
      <c r="L526">
        <f>IF(L157="","",L156)</f>
        <v>0</v>
      </c>
      <c r="M526">
        <v>153</v>
      </c>
      <c r="N526">
        <f>N156</f>
        <v>0</v>
      </c>
    </row>
    <row r="527" spans="5:14">
      <c r="E527">
        <v>154</v>
      </c>
      <c r="F527">
        <f>IF(F158="","",F157)</f>
        <v>0</v>
      </c>
      <c r="G527">
        <v>154</v>
      </c>
      <c r="H527">
        <f>H157</f>
        <v>0</v>
      </c>
      <c r="K527">
        <v>154</v>
      </c>
      <c r="L527">
        <f>IF(L158="","",L157)</f>
        <v>0</v>
      </c>
      <c r="M527">
        <v>154</v>
      </c>
      <c r="N527">
        <f>N157</f>
        <v>0</v>
      </c>
    </row>
    <row r="528" spans="5:14">
      <c r="E528">
        <v>155</v>
      </c>
      <c r="F528">
        <f>IF(F159="","",F158)</f>
        <v>0</v>
      </c>
      <c r="G528">
        <v>155</v>
      </c>
      <c r="H528">
        <f>H158</f>
        <v>0</v>
      </c>
      <c r="K528">
        <v>155</v>
      </c>
      <c r="L528">
        <f>IF(L159="","",L158)</f>
        <v>0</v>
      </c>
      <c r="M528">
        <v>155</v>
      </c>
      <c r="N528">
        <f>N158</f>
        <v>0</v>
      </c>
    </row>
    <row r="529" spans="5:14">
      <c r="E529">
        <v>156</v>
      </c>
      <c r="F529">
        <f>IF(F160="","",F159)</f>
        <v>0</v>
      </c>
      <c r="G529">
        <v>156</v>
      </c>
      <c r="H529">
        <f>H159</f>
        <v>0</v>
      </c>
      <c r="K529">
        <v>156</v>
      </c>
      <c r="L529">
        <f>IF(L160="","",L159)</f>
        <v>0</v>
      </c>
      <c r="M529">
        <v>156</v>
      </c>
      <c r="N529">
        <f>N159</f>
        <v>0</v>
      </c>
    </row>
    <row r="530" spans="5:14">
      <c r="E530">
        <v>157</v>
      </c>
      <c r="F530">
        <f>IF(F161="","",F160)</f>
        <v>0</v>
      </c>
      <c r="G530">
        <v>157</v>
      </c>
      <c r="H530">
        <f>H160</f>
        <v>0</v>
      </c>
      <c r="K530">
        <v>157</v>
      </c>
      <c r="L530">
        <f>IF(L161="","",L160)</f>
        <v>0</v>
      </c>
      <c r="M530">
        <v>157</v>
      </c>
      <c r="N530">
        <f>N160</f>
        <v>0</v>
      </c>
    </row>
    <row r="531" spans="5:14">
      <c r="E531">
        <v>158</v>
      </c>
      <c r="F531">
        <f>IF(F162="","",F161)</f>
        <v>0</v>
      </c>
      <c r="G531">
        <v>158</v>
      </c>
      <c r="H531">
        <f>H161</f>
        <v>0</v>
      </c>
      <c r="K531">
        <v>158</v>
      </c>
      <c r="L531">
        <f>IF(L162="","",L161)</f>
        <v>0</v>
      </c>
      <c r="M531">
        <v>158</v>
      </c>
      <c r="N531">
        <f>N161</f>
        <v>0</v>
      </c>
    </row>
    <row r="532" spans="5:14">
      <c r="E532">
        <v>159</v>
      </c>
      <c r="F532">
        <f>IF(F163="","",F162)</f>
        <v>0</v>
      </c>
      <c r="G532">
        <v>159</v>
      </c>
      <c r="H532">
        <f>H162</f>
        <v>0</v>
      </c>
      <c r="K532">
        <v>159</v>
      </c>
      <c r="L532">
        <f>IF(L163="","",L162)</f>
        <v>0</v>
      </c>
      <c r="M532">
        <v>159</v>
      </c>
      <c r="N532">
        <f>N162</f>
        <v>0</v>
      </c>
    </row>
    <row r="533" spans="5:14">
      <c r="E533">
        <v>160</v>
      </c>
      <c r="F533">
        <f>IF(F164="","",F163)</f>
        <v>0</v>
      </c>
      <c r="G533">
        <v>160</v>
      </c>
      <c r="H533">
        <f>H163</f>
        <v>0</v>
      </c>
      <c r="K533">
        <v>160</v>
      </c>
      <c r="L533">
        <f>IF(L164="","",L163)</f>
        <v>0</v>
      </c>
      <c r="M533">
        <v>160</v>
      </c>
      <c r="N533">
        <f>N163</f>
        <v>0</v>
      </c>
    </row>
    <row r="534" spans="5:14">
      <c r="E534">
        <v>161</v>
      </c>
      <c r="F534">
        <f>IF(F165="","",F164)</f>
        <v>0</v>
      </c>
      <c r="G534">
        <v>161</v>
      </c>
      <c r="H534">
        <f>H164</f>
        <v>0</v>
      </c>
      <c r="K534">
        <v>161</v>
      </c>
      <c r="L534">
        <f>IF(L165="","",L164)</f>
        <v>0</v>
      </c>
      <c r="M534">
        <v>161</v>
      </c>
      <c r="N534">
        <f>N164</f>
        <v>0</v>
      </c>
    </row>
    <row r="535" spans="5:14">
      <c r="E535">
        <v>162</v>
      </c>
      <c r="F535">
        <f>IF(F166="","",F165)</f>
        <v>0</v>
      </c>
      <c r="G535">
        <v>162</v>
      </c>
      <c r="H535">
        <f>H165</f>
        <v>0</v>
      </c>
      <c r="K535">
        <v>162</v>
      </c>
      <c r="L535">
        <f>IF(L166="","",L165)</f>
        <v>0</v>
      </c>
      <c r="M535">
        <v>162</v>
      </c>
      <c r="N535">
        <f>N165</f>
        <v>0</v>
      </c>
    </row>
    <row r="536" spans="5:14">
      <c r="E536">
        <v>163</v>
      </c>
      <c r="F536">
        <f>IF(F167="","",F166)</f>
        <v>0</v>
      </c>
      <c r="G536">
        <v>163</v>
      </c>
      <c r="H536">
        <f>H166</f>
        <v>0</v>
      </c>
      <c r="K536">
        <v>163</v>
      </c>
      <c r="L536">
        <f>IF(L167="","",L166)</f>
        <v>0</v>
      </c>
      <c r="M536">
        <v>163</v>
      </c>
      <c r="N536">
        <f>N166</f>
        <v>0</v>
      </c>
    </row>
    <row r="537" spans="5:14">
      <c r="E537">
        <v>164</v>
      </c>
      <c r="F537">
        <f>IF(F168="","",F167)</f>
        <v>0</v>
      </c>
      <c r="G537">
        <v>164</v>
      </c>
      <c r="H537">
        <f>H167</f>
        <v>0</v>
      </c>
      <c r="K537">
        <v>164</v>
      </c>
      <c r="L537">
        <f>IF(L168="","",L167)</f>
        <v>0</v>
      </c>
      <c r="M537">
        <v>164</v>
      </c>
      <c r="N537">
        <f>N167</f>
        <v>0</v>
      </c>
    </row>
    <row r="538" spans="5:14">
      <c r="E538">
        <v>165</v>
      </c>
      <c r="F538">
        <f>IF(F169="","",F168)</f>
        <v>0</v>
      </c>
      <c r="G538">
        <v>165</v>
      </c>
      <c r="H538">
        <f>H168</f>
        <v>0</v>
      </c>
      <c r="K538">
        <v>165</v>
      </c>
      <c r="L538">
        <f>IF(L169="","",L168)</f>
        <v>0</v>
      </c>
      <c r="M538">
        <v>165</v>
      </c>
      <c r="N538">
        <f>N168</f>
        <v>0</v>
      </c>
    </row>
    <row r="539" spans="5:14">
      <c r="E539">
        <v>166</v>
      </c>
      <c r="F539">
        <f>IF(F170="","",F169)</f>
        <v>0</v>
      </c>
      <c r="G539">
        <v>166</v>
      </c>
      <c r="H539">
        <f>H169</f>
        <v>0</v>
      </c>
      <c r="K539">
        <v>166</v>
      </c>
      <c r="L539">
        <f>IF(L170="","",L169)</f>
        <v>0</v>
      </c>
      <c r="M539">
        <v>166</v>
      </c>
      <c r="N539">
        <f>N169</f>
        <v>0</v>
      </c>
    </row>
    <row r="540" spans="5:14">
      <c r="E540">
        <v>167</v>
      </c>
      <c r="F540">
        <f>IF(F171="","",F170)</f>
        <v>0</v>
      </c>
      <c r="G540">
        <v>167</v>
      </c>
      <c r="H540">
        <f>H170</f>
        <v>0</v>
      </c>
      <c r="K540">
        <v>167</v>
      </c>
      <c r="L540">
        <f>IF(L171="","",L170)</f>
        <v>0</v>
      </c>
      <c r="M540">
        <v>167</v>
      </c>
      <c r="N540">
        <f>N170</f>
        <v>0</v>
      </c>
    </row>
    <row r="541" spans="5:14">
      <c r="E541">
        <v>168</v>
      </c>
      <c r="F541">
        <f>IF(F172="","",F171)</f>
        <v>0</v>
      </c>
      <c r="G541">
        <v>168</v>
      </c>
      <c r="H541">
        <f>H171</f>
        <v>0</v>
      </c>
      <c r="K541">
        <v>168</v>
      </c>
      <c r="L541">
        <f>IF(L172="","",L171)</f>
        <v>0</v>
      </c>
      <c r="M541">
        <v>168</v>
      </c>
      <c r="N541">
        <f>N171</f>
        <v>0</v>
      </c>
    </row>
    <row r="542" spans="5:14">
      <c r="E542">
        <v>169</v>
      </c>
      <c r="F542">
        <f>IF(F173="","",F172)</f>
        <v>0</v>
      </c>
      <c r="G542">
        <v>169</v>
      </c>
      <c r="H542">
        <f>H172</f>
        <v>0</v>
      </c>
      <c r="K542">
        <v>169</v>
      </c>
      <c r="L542">
        <f>IF(L173="","",L172)</f>
        <v>0</v>
      </c>
      <c r="M542">
        <v>169</v>
      </c>
      <c r="N542">
        <f>N172</f>
        <v>0</v>
      </c>
    </row>
    <row r="543" spans="5:14">
      <c r="E543">
        <v>170</v>
      </c>
      <c r="F543">
        <f>IF(F174="","",F173)</f>
        <v>0</v>
      </c>
      <c r="G543">
        <v>170</v>
      </c>
      <c r="H543">
        <f>H173</f>
        <v>0</v>
      </c>
      <c r="K543">
        <v>170</v>
      </c>
      <c r="L543">
        <f>IF(L174="","",L173)</f>
        <v>0</v>
      </c>
      <c r="M543">
        <v>170</v>
      </c>
      <c r="N543">
        <f>N173</f>
        <v>0</v>
      </c>
    </row>
    <row r="544" spans="5:14">
      <c r="E544">
        <v>171</v>
      </c>
      <c r="F544">
        <f>IF(F175="","",F174)</f>
        <v>0</v>
      </c>
      <c r="G544">
        <v>171</v>
      </c>
      <c r="H544">
        <f>H174</f>
        <v>0</v>
      </c>
      <c r="K544">
        <v>171</v>
      </c>
      <c r="L544">
        <f>IF(L175="","",L174)</f>
        <v>0</v>
      </c>
      <c r="M544">
        <v>171</v>
      </c>
      <c r="N544">
        <f>N174</f>
        <v>0</v>
      </c>
    </row>
    <row r="545" spans="5:14">
      <c r="E545">
        <v>172</v>
      </c>
      <c r="F545">
        <f>IF(F176="","",F175)</f>
        <v>0</v>
      </c>
      <c r="G545">
        <v>172</v>
      </c>
      <c r="H545">
        <f>H175</f>
        <v>0</v>
      </c>
      <c r="K545">
        <v>172</v>
      </c>
      <c r="L545">
        <f>IF(L176="","",L175)</f>
        <v>0</v>
      </c>
      <c r="M545">
        <v>172</v>
      </c>
      <c r="N545">
        <f>N175</f>
        <v>0</v>
      </c>
    </row>
    <row r="546" spans="5:14">
      <c r="E546">
        <v>173</v>
      </c>
      <c r="F546">
        <f>IF(F177="","",F176)</f>
        <v>0</v>
      </c>
      <c r="G546">
        <v>173</v>
      </c>
      <c r="H546">
        <f>H176</f>
        <v>0</v>
      </c>
      <c r="K546">
        <v>173</v>
      </c>
      <c r="L546">
        <f>IF(L177="","",L176)</f>
        <v>0</v>
      </c>
      <c r="M546">
        <v>173</v>
      </c>
      <c r="N546">
        <f>N176</f>
        <v>0</v>
      </c>
    </row>
    <row r="547" spans="5:14">
      <c r="E547">
        <v>174</v>
      </c>
      <c r="F547">
        <f>IF(F178="","",F177)</f>
        <v>0</v>
      </c>
      <c r="G547">
        <v>174</v>
      </c>
      <c r="H547">
        <f>H177</f>
        <v>0</v>
      </c>
      <c r="K547">
        <v>174</v>
      </c>
      <c r="L547">
        <f>IF(L178="","",L177)</f>
        <v>0</v>
      </c>
      <c r="M547">
        <v>174</v>
      </c>
      <c r="N547">
        <f>N177</f>
        <v>0</v>
      </c>
    </row>
    <row r="548" spans="5:14">
      <c r="E548">
        <v>175</v>
      </c>
      <c r="F548">
        <f>IF(F179="","",F178)</f>
        <v>0</v>
      </c>
      <c r="G548">
        <v>175</v>
      </c>
      <c r="H548">
        <f>H178</f>
        <v>0</v>
      </c>
      <c r="K548">
        <v>175</v>
      </c>
      <c r="L548">
        <f>IF(L179="","",L178)</f>
        <v>0</v>
      </c>
      <c r="M548">
        <v>175</v>
      </c>
      <c r="N548">
        <f>N178</f>
        <v>0</v>
      </c>
    </row>
    <row r="549" spans="5:14">
      <c r="E549">
        <v>176</v>
      </c>
      <c r="F549">
        <f>IF(F180="","",F179)</f>
        <v>0</v>
      </c>
      <c r="G549">
        <v>176</v>
      </c>
      <c r="H549">
        <f>H179</f>
        <v>0</v>
      </c>
      <c r="K549">
        <v>176</v>
      </c>
      <c r="L549">
        <f>IF(L180="","",L179)</f>
        <v>0</v>
      </c>
      <c r="M549">
        <v>176</v>
      </c>
      <c r="N549">
        <f>N179</f>
        <v>0</v>
      </c>
    </row>
    <row r="550" spans="5:14">
      <c r="E550">
        <v>177</v>
      </c>
      <c r="F550">
        <f>IF(F181="","",F180)</f>
        <v>0</v>
      </c>
      <c r="G550">
        <v>177</v>
      </c>
      <c r="H550">
        <f>H180</f>
        <v>0</v>
      </c>
      <c r="K550">
        <v>177</v>
      </c>
      <c r="L550">
        <f>IF(L181="","",L180)</f>
        <v>0</v>
      </c>
      <c r="M550">
        <v>177</v>
      </c>
      <c r="N550">
        <f>N180</f>
        <v>0</v>
      </c>
    </row>
    <row r="551" spans="5:14">
      <c r="E551">
        <v>178</v>
      </c>
      <c r="F551">
        <f>IF(F182="","",F181)</f>
        <v>0</v>
      </c>
      <c r="G551">
        <v>178</v>
      </c>
      <c r="H551">
        <f>H181</f>
        <v>0</v>
      </c>
      <c r="K551">
        <v>178</v>
      </c>
      <c r="L551">
        <f>IF(L182="","",L181)</f>
        <v>0</v>
      </c>
      <c r="M551">
        <v>178</v>
      </c>
      <c r="N551">
        <f>N181</f>
        <v>0</v>
      </c>
    </row>
    <row r="552" spans="5:14">
      <c r="E552">
        <v>179</v>
      </c>
      <c r="F552">
        <f>IF(F183="","",F182)</f>
        <v>0</v>
      </c>
      <c r="G552">
        <v>179</v>
      </c>
      <c r="H552">
        <f>H182</f>
        <v>0</v>
      </c>
      <c r="K552">
        <v>179</v>
      </c>
      <c r="L552">
        <f>IF(L183="","",L182)</f>
        <v>0</v>
      </c>
      <c r="M552">
        <v>179</v>
      </c>
      <c r="N552">
        <f>N182</f>
        <v>0</v>
      </c>
    </row>
    <row r="553" spans="5:14">
      <c r="E553">
        <v>180</v>
      </c>
      <c r="F553">
        <f>IF(F184="","",F183)</f>
        <v>0</v>
      </c>
      <c r="G553">
        <v>180</v>
      </c>
      <c r="H553">
        <f>H183</f>
        <v>0</v>
      </c>
      <c r="K553">
        <v>180</v>
      </c>
      <c r="L553">
        <f>IF(L184="","",L183)</f>
        <v>0</v>
      </c>
      <c r="M553">
        <v>180</v>
      </c>
      <c r="N553">
        <f>N183</f>
        <v>0</v>
      </c>
    </row>
    <row r="554" spans="5:14">
      <c r="E554">
        <v>181</v>
      </c>
      <c r="F554">
        <f>IF(F185="","",F184)</f>
        <v>0</v>
      </c>
      <c r="G554">
        <v>181</v>
      </c>
      <c r="H554">
        <f>H184</f>
        <v>0</v>
      </c>
      <c r="K554">
        <v>181</v>
      </c>
      <c r="L554">
        <f>IF(L185="","",L184)</f>
        <v>0</v>
      </c>
      <c r="M554">
        <v>181</v>
      </c>
      <c r="N554">
        <f>N184</f>
        <v>0</v>
      </c>
    </row>
    <row r="555" spans="5:14">
      <c r="E555">
        <v>182</v>
      </c>
      <c r="F555">
        <f>IF(F186="","",F185)</f>
        <v>0</v>
      </c>
      <c r="G555">
        <v>182</v>
      </c>
      <c r="H555">
        <f>H185</f>
        <v>0</v>
      </c>
      <c r="K555">
        <v>182</v>
      </c>
      <c r="L555">
        <f>IF(L186="","",L185)</f>
        <v>0</v>
      </c>
      <c r="M555">
        <v>182</v>
      </c>
      <c r="N555">
        <f>N185</f>
        <v>0</v>
      </c>
    </row>
    <row r="556" spans="5:14">
      <c r="E556">
        <v>183</v>
      </c>
      <c r="F556">
        <f>IF(F187="","",F186)</f>
        <v>0</v>
      </c>
      <c r="G556">
        <v>183</v>
      </c>
      <c r="H556">
        <f>H186</f>
        <v>0</v>
      </c>
      <c r="K556">
        <v>183</v>
      </c>
      <c r="L556">
        <f>IF(L187="","",L186)</f>
        <v>0</v>
      </c>
      <c r="M556">
        <v>183</v>
      </c>
      <c r="N556">
        <f>N186</f>
        <v>0</v>
      </c>
    </row>
    <row r="557" spans="5:14">
      <c r="E557">
        <v>184</v>
      </c>
      <c r="F557">
        <f>IF(F188="","",F187)</f>
        <v>0</v>
      </c>
      <c r="G557">
        <v>184</v>
      </c>
      <c r="H557">
        <f>H187</f>
        <v>0</v>
      </c>
      <c r="K557">
        <v>184</v>
      </c>
      <c r="L557">
        <f>IF(L188="","",L187)</f>
        <v>0</v>
      </c>
      <c r="M557">
        <v>184</v>
      </c>
      <c r="N557">
        <f>N187</f>
        <v>0</v>
      </c>
    </row>
    <row r="558" spans="5:14">
      <c r="E558">
        <v>0</v>
      </c>
      <c r="F558">
        <v>0</v>
      </c>
      <c r="G558">
        <v>0</v>
      </c>
      <c r="H558">
        <v>0</v>
      </c>
      <c r="K558">
        <v>0</v>
      </c>
      <c r="L558">
        <v>0</v>
      </c>
      <c r="M558">
        <v>0</v>
      </c>
      <c r="N558">
        <v>0</v>
      </c>
    </row>
    <row r="559" spans="5:14">
      <c r="E559">
        <v>1</v>
      </c>
      <c r="F559">
        <v>0</v>
      </c>
      <c r="G559">
        <v>1</v>
      </c>
      <c r="H559">
        <v>0</v>
      </c>
      <c r="K559">
        <v>1</v>
      </c>
      <c r="L559">
        <v>0</v>
      </c>
      <c r="M559">
        <v>1</v>
      </c>
      <c r="N559">
        <v>0</v>
      </c>
    </row>
    <row r="561" spans="4:14">
      <c r="D561" t="s">
        <v>208</v>
      </c>
      <c r="E561" t="s">
        <v>206</v>
      </c>
      <c r="F561" t="s">
        <v>211</v>
      </c>
      <c r="G561" t="s">
        <v>206</v>
      </c>
      <c r="H561" t="s">
        <v>212</v>
      </c>
      <c r="J561" t="s">
        <v>208</v>
      </c>
      <c r="K561" t="s">
        <v>206</v>
      </c>
      <c r="L561" t="s">
        <v>211</v>
      </c>
      <c r="M561" t="s">
        <v>206</v>
      </c>
      <c r="N561" t="s">
        <v>212</v>
      </c>
    </row>
    <row r="562" spans="4:14">
      <c r="E562">
        <f>IFERROR(SMALL(E191:E559,ROW()-ROW($E$562)+1),"")</f>
        <v>0</v>
      </c>
      <c r="F562">
        <f>IFERROR(SMALL(F191:F559,ROW()-ROW($F$562)+1),"")</f>
        <v>0</v>
      </c>
      <c r="G562">
        <f>IFERROR(SMALL(G191:G559,ROW()-ROW($G$562)+1),"")</f>
        <v>0</v>
      </c>
      <c r="H562">
        <f>IFERROR(SMALL(H191:H559,ROW()-ROW($H$562)+1),"")</f>
        <v>0</v>
      </c>
      <c r="K562">
        <f>IFERROR(SMALL(K191:K559,ROW()-ROW($K$562)+1),"")</f>
        <v>0</v>
      </c>
      <c r="L562">
        <f>IFERROR(SMALL(L191:L559,ROW()-ROW($L$562)+1),"")</f>
        <v>0</v>
      </c>
      <c r="M562">
        <f>IFERROR(SMALL(M191:M559,ROW()-ROW($M$562)+1),"")</f>
        <v>0</v>
      </c>
      <c r="N562">
        <f>IFERROR(SMALL(N191:N559,ROW()-ROW($N$562)+1),"")</f>
        <v>0</v>
      </c>
    </row>
    <row r="563" spans="4:14">
      <c r="E563">
        <f>IFERROR(SMALL(E191:E559,ROW()-ROW($E$562)+1),"")</f>
        <v>0</v>
      </c>
      <c r="F563">
        <f>IFERROR(SMALL(F191:F559,ROW()-ROW($F$562)+1),"")</f>
        <v>0</v>
      </c>
      <c r="G563">
        <f>IFERROR(SMALL(G191:G559,ROW()-ROW($G$562)+1),"")</f>
        <v>0</v>
      </c>
      <c r="H563">
        <f>IFERROR(SMALL(H191:H559,ROW()-ROW($H$562)+1),"")</f>
        <v>0</v>
      </c>
      <c r="K563">
        <f>IFERROR(SMALL(K191:K559,ROW()-ROW($K$562)+1),"")</f>
        <v>0</v>
      </c>
      <c r="L563">
        <f>IFERROR(SMALL(L191:L559,ROW()-ROW($L$562)+1),"")</f>
        <v>0</v>
      </c>
      <c r="M563">
        <f>IFERROR(SMALL(M191:M559,ROW()-ROW($M$562)+1),"")</f>
        <v>0</v>
      </c>
      <c r="N563">
        <f>IFERROR(SMALL(N191:N559,ROW()-ROW($N$562)+1),"")</f>
        <v>0</v>
      </c>
    </row>
    <row r="564" spans="4:14">
      <c r="E564">
        <f>IFERROR(SMALL(E191:E559,ROW()-ROW($E$562)+1),"")</f>
        <v>0</v>
      </c>
      <c r="F564">
        <f>IFERROR(SMALL(F191:F559,ROW()-ROW($F$562)+1),"")</f>
        <v>0</v>
      </c>
      <c r="G564">
        <f>IFERROR(SMALL(G191:G559,ROW()-ROW($G$562)+1),"")</f>
        <v>0</v>
      </c>
      <c r="H564">
        <f>IFERROR(SMALL(H191:H559,ROW()-ROW($H$562)+1),"")</f>
        <v>0</v>
      </c>
      <c r="K564">
        <f>IFERROR(SMALL(K191:K559,ROW()-ROW($K$562)+1),"")</f>
        <v>0</v>
      </c>
      <c r="L564">
        <f>IFERROR(SMALL(L191:L559,ROW()-ROW($L$562)+1),"")</f>
        <v>0</v>
      </c>
      <c r="M564">
        <f>IFERROR(SMALL(M191:M559,ROW()-ROW($M$562)+1),"")</f>
        <v>0</v>
      </c>
      <c r="N564">
        <f>IFERROR(SMALL(N191:N559,ROW()-ROW($N$562)+1),"")</f>
        <v>0</v>
      </c>
    </row>
    <row r="565" spans="4:14">
      <c r="E565">
        <f>IFERROR(SMALL(E191:E559,ROW()-ROW($E$562)+1),"")</f>
        <v>0</v>
      </c>
      <c r="F565">
        <f>IFERROR(SMALL(F191:F559,ROW()-ROW($F$562)+1),"")</f>
        <v>0</v>
      </c>
      <c r="G565">
        <f>IFERROR(SMALL(G191:G559,ROW()-ROW($G$562)+1),"")</f>
        <v>0</v>
      </c>
      <c r="H565">
        <f>IFERROR(SMALL(H191:H559,ROW()-ROW($H$562)+1),"")</f>
        <v>0</v>
      </c>
      <c r="K565">
        <f>IFERROR(SMALL(K191:K559,ROW()-ROW($K$562)+1),"")</f>
        <v>0</v>
      </c>
      <c r="L565">
        <f>IFERROR(SMALL(L191:L559,ROW()-ROW($L$562)+1),"")</f>
        <v>0</v>
      </c>
      <c r="M565">
        <f>IFERROR(SMALL(M191:M559,ROW()-ROW($M$562)+1),"")</f>
        <v>0</v>
      </c>
      <c r="N565">
        <f>IFERROR(SMALL(N191:N559,ROW()-ROW($N$562)+1),"")</f>
        <v>0</v>
      </c>
    </row>
    <row r="566" spans="4:14">
      <c r="E566">
        <f>IFERROR(SMALL(E191:E559,ROW()-ROW($E$562)+1),"")</f>
        <v>0</v>
      </c>
      <c r="F566">
        <f>IFERROR(SMALL(F191:F559,ROW()-ROW($F$562)+1),"")</f>
        <v>0</v>
      </c>
      <c r="G566">
        <f>IFERROR(SMALL(G191:G559,ROW()-ROW($G$562)+1),"")</f>
        <v>0</v>
      </c>
      <c r="H566">
        <f>IFERROR(SMALL(H191:H559,ROW()-ROW($H$562)+1),"")</f>
        <v>0</v>
      </c>
      <c r="K566">
        <f>IFERROR(SMALL(K191:K559,ROW()-ROW($K$562)+1),"")</f>
        <v>0</v>
      </c>
      <c r="L566">
        <f>IFERROR(SMALL(L191:L559,ROW()-ROW($L$562)+1),"")</f>
        <v>0</v>
      </c>
      <c r="M566">
        <f>IFERROR(SMALL(M191:M559,ROW()-ROW($M$562)+1),"")</f>
        <v>0</v>
      </c>
      <c r="N566">
        <f>IFERROR(SMALL(N191:N559,ROW()-ROW($N$562)+1),"")</f>
        <v>0</v>
      </c>
    </row>
    <row r="567" spans="4:14">
      <c r="E567">
        <f>IFERROR(SMALL(E191:E559,ROW()-ROW($E$562)+1),"")</f>
        <v>0</v>
      </c>
      <c r="F567">
        <f>IFERROR(SMALL(F191:F559,ROW()-ROW($F$562)+1),"")</f>
        <v>0</v>
      </c>
      <c r="G567">
        <f>IFERROR(SMALL(G191:G559,ROW()-ROW($G$562)+1),"")</f>
        <v>0</v>
      </c>
      <c r="H567">
        <f>IFERROR(SMALL(H191:H559,ROW()-ROW($H$562)+1),"")</f>
        <v>0</v>
      </c>
      <c r="K567">
        <f>IFERROR(SMALL(K191:K559,ROW()-ROW($K$562)+1),"")</f>
        <v>0</v>
      </c>
      <c r="L567">
        <f>IFERROR(SMALL(L191:L559,ROW()-ROW($L$562)+1),"")</f>
        <v>0</v>
      </c>
      <c r="M567">
        <f>IFERROR(SMALL(M191:M559,ROW()-ROW($M$562)+1),"")</f>
        <v>0</v>
      </c>
      <c r="N567">
        <f>IFERROR(SMALL(N191:N559,ROW()-ROW($N$562)+1),"")</f>
        <v>0</v>
      </c>
    </row>
    <row r="568" spans="4:14">
      <c r="E568">
        <f>IFERROR(SMALL(E191:E559,ROW()-ROW($E$562)+1),"")</f>
        <v>0</v>
      </c>
      <c r="F568">
        <f>IFERROR(SMALL(F191:F559,ROW()-ROW($F$562)+1),"")</f>
        <v>0</v>
      </c>
      <c r="G568">
        <f>IFERROR(SMALL(G191:G559,ROW()-ROW($G$562)+1),"")</f>
        <v>0</v>
      </c>
      <c r="H568">
        <f>IFERROR(SMALL(H191:H559,ROW()-ROW($H$562)+1),"")</f>
        <v>0</v>
      </c>
      <c r="K568">
        <f>IFERROR(SMALL(K191:K559,ROW()-ROW($K$562)+1),"")</f>
        <v>0</v>
      </c>
      <c r="L568">
        <f>IFERROR(SMALL(L191:L559,ROW()-ROW($L$562)+1),"")</f>
        <v>0</v>
      </c>
      <c r="M568">
        <f>IFERROR(SMALL(M191:M559,ROW()-ROW($M$562)+1),"")</f>
        <v>0</v>
      </c>
      <c r="N568">
        <f>IFERROR(SMALL(N191:N559,ROW()-ROW($N$562)+1),"")</f>
        <v>0</v>
      </c>
    </row>
    <row r="569" spans="4:14">
      <c r="E569">
        <f>IFERROR(SMALL(E191:E559,ROW()-ROW($E$562)+1),"")</f>
        <v>0</v>
      </c>
      <c r="F569">
        <f>IFERROR(SMALL(F191:F559,ROW()-ROW($F$562)+1),"")</f>
        <v>0</v>
      </c>
      <c r="G569">
        <f>IFERROR(SMALL(G191:G559,ROW()-ROW($G$562)+1),"")</f>
        <v>0</v>
      </c>
      <c r="H569">
        <f>IFERROR(SMALL(H191:H559,ROW()-ROW($H$562)+1),"")</f>
        <v>0</v>
      </c>
      <c r="K569">
        <f>IFERROR(SMALL(K191:K559,ROW()-ROW($K$562)+1),"")</f>
        <v>0</v>
      </c>
      <c r="L569">
        <f>IFERROR(SMALL(L191:L559,ROW()-ROW($L$562)+1),"")</f>
        <v>0</v>
      </c>
      <c r="M569">
        <f>IFERROR(SMALL(M191:M559,ROW()-ROW($M$562)+1),"")</f>
        <v>0</v>
      </c>
      <c r="N569">
        <f>IFERROR(SMALL(N191:N559,ROW()-ROW($N$562)+1),"")</f>
        <v>0</v>
      </c>
    </row>
    <row r="570" spans="4:14">
      <c r="E570">
        <f>IFERROR(SMALL(E191:E559,ROW()-ROW($E$562)+1),"")</f>
        <v>0</v>
      </c>
      <c r="F570">
        <f>IFERROR(SMALL(F191:F559,ROW()-ROW($F$562)+1),"")</f>
        <v>0</v>
      </c>
      <c r="G570">
        <f>IFERROR(SMALL(G191:G559,ROW()-ROW($G$562)+1),"")</f>
        <v>0</v>
      </c>
      <c r="H570">
        <f>IFERROR(SMALL(H191:H559,ROW()-ROW($H$562)+1),"")</f>
        <v>0</v>
      </c>
      <c r="K570">
        <f>IFERROR(SMALL(K191:K559,ROW()-ROW($K$562)+1),"")</f>
        <v>0</v>
      </c>
      <c r="L570">
        <f>IFERROR(SMALL(L191:L559,ROW()-ROW($L$562)+1),"")</f>
        <v>0</v>
      </c>
      <c r="M570">
        <f>IFERROR(SMALL(M191:M559,ROW()-ROW($M$562)+1),"")</f>
        <v>0</v>
      </c>
      <c r="N570">
        <f>IFERROR(SMALL(N191:N559,ROW()-ROW($N$562)+1),"")</f>
        <v>0</v>
      </c>
    </row>
    <row r="571" spans="4:14">
      <c r="E571">
        <f>IFERROR(SMALL(E191:E559,ROW()-ROW($E$562)+1),"")</f>
        <v>0</v>
      </c>
      <c r="F571">
        <f>IFERROR(SMALL(F191:F559,ROW()-ROW($F$562)+1),"")</f>
        <v>0</v>
      </c>
      <c r="G571">
        <f>IFERROR(SMALL(G191:G559,ROW()-ROW($G$562)+1),"")</f>
        <v>0</v>
      </c>
      <c r="H571">
        <f>IFERROR(SMALL(H191:H559,ROW()-ROW($H$562)+1),"")</f>
        <v>0</v>
      </c>
      <c r="K571">
        <f>IFERROR(SMALL(K191:K559,ROW()-ROW($K$562)+1),"")</f>
        <v>0</v>
      </c>
      <c r="L571">
        <f>IFERROR(SMALL(L191:L559,ROW()-ROW($L$562)+1),"")</f>
        <v>0</v>
      </c>
      <c r="M571">
        <f>IFERROR(SMALL(M191:M559,ROW()-ROW($M$562)+1),"")</f>
        <v>0</v>
      </c>
      <c r="N571">
        <f>IFERROR(SMALL(N191:N559,ROW()-ROW($N$562)+1),"")</f>
        <v>0</v>
      </c>
    </row>
    <row r="572" spans="4:14">
      <c r="E572">
        <f>IFERROR(SMALL(E191:E559,ROW()-ROW($E$562)+1),"")</f>
        <v>0</v>
      </c>
      <c r="F572">
        <f>IFERROR(SMALL(F191:F559,ROW()-ROW($F$562)+1),"")</f>
        <v>0</v>
      </c>
      <c r="G572">
        <f>IFERROR(SMALL(G191:G559,ROW()-ROW($G$562)+1),"")</f>
        <v>0</v>
      </c>
      <c r="H572">
        <f>IFERROR(SMALL(H191:H559,ROW()-ROW($H$562)+1),"")</f>
        <v>0</v>
      </c>
      <c r="K572">
        <f>IFERROR(SMALL(K191:K559,ROW()-ROW($K$562)+1),"")</f>
        <v>0</v>
      </c>
      <c r="L572">
        <f>IFERROR(SMALL(L191:L559,ROW()-ROW($L$562)+1),"")</f>
        <v>0</v>
      </c>
      <c r="M572">
        <f>IFERROR(SMALL(M191:M559,ROW()-ROW($M$562)+1),"")</f>
        <v>0</v>
      </c>
      <c r="N572">
        <f>IFERROR(SMALL(N191:N559,ROW()-ROW($N$562)+1),"")</f>
        <v>0</v>
      </c>
    </row>
    <row r="573" spans="4:14">
      <c r="E573">
        <f>IFERROR(SMALL(E191:E559,ROW()-ROW($E$562)+1),"")</f>
        <v>0</v>
      </c>
      <c r="F573">
        <f>IFERROR(SMALL(F191:F559,ROW()-ROW($F$562)+1),"")</f>
        <v>0</v>
      </c>
      <c r="G573">
        <f>IFERROR(SMALL(G191:G559,ROW()-ROW($G$562)+1),"")</f>
        <v>0</v>
      </c>
      <c r="H573">
        <f>IFERROR(SMALL(H191:H559,ROW()-ROW($H$562)+1),"")</f>
        <v>0</v>
      </c>
      <c r="K573">
        <f>IFERROR(SMALL(K191:K559,ROW()-ROW($K$562)+1),"")</f>
        <v>0</v>
      </c>
      <c r="L573">
        <f>IFERROR(SMALL(L191:L559,ROW()-ROW($L$562)+1),"")</f>
        <v>0</v>
      </c>
      <c r="M573">
        <f>IFERROR(SMALL(M191:M559,ROW()-ROW($M$562)+1),"")</f>
        <v>0</v>
      </c>
      <c r="N573">
        <f>IFERROR(SMALL(N191:N559,ROW()-ROW($N$562)+1),"")</f>
        <v>0</v>
      </c>
    </row>
    <row r="574" spans="4:14">
      <c r="E574">
        <f>IFERROR(SMALL(E191:E559,ROW()-ROW($E$562)+1),"")</f>
        <v>0</v>
      </c>
      <c r="F574">
        <f>IFERROR(SMALL(F191:F559,ROW()-ROW($F$562)+1),"")</f>
        <v>0</v>
      </c>
      <c r="G574">
        <f>IFERROR(SMALL(G191:G559,ROW()-ROW($G$562)+1),"")</f>
        <v>0</v>
      </c>
      <c r="H574">
        <f>IFERROR(SMALL(H191:H559,ROW()-ROW($H$562)+1),"")</f>
        <v>0</v>
      </c>
      <c r="K574">
        <f>IFERROR(SMALL(K191:K559,ROW()-ROW($K$562)+1),"")</f>
        <v>0</v>
      </c>
      <c r="L574">
        <f>IFERROR(SMALL(L191:L559,ROW()-ROW($L$562)+1),"")</f>
        <v>0</v>
      </c>
      <c r="M574">
        <f>IFERROR(SMALL(M191:M559,ROW()-ROW($M$562)+1),"")</f>
        <v>0</v>
      </c>
      <c r="N574">
        <f>IFERROR(SMALL(N191:N559,ROW()-ROW($N$562)+1),"")</f>
        <v>0</v>
      </c>
    </row>
    <row r="575" spans="4:14">
      <c r="E575">
        <f>IFERROR(SMALL(E191:E559,ROW()-ROW($E$562)+1),"")</f>
        <v>0</v>
      </c>
      <c r="F575">
        <f>IFERROR(SMALL(F191:F559,ROW()-ROW($F$562)+1),"")</f>
        <v>0</v>
      </c>
      <c r="G575">
        <f>IFERROR(SMALL(G191:G559,ROW()-ROW($G$562)+1),"")</f>
        <v>0</v>
      </c>
      <c r="H575">
        <f>IFERROR(SMALL(H191:H559,ROW()-ROW($H$562)+1),"")</f>
        <v>0</v>
      </c>
      <c r="K575">
        <f>IFERROR(SMALL(K191:K559,ROW()-ROW($K$562)+1),"")</f>
        <v>0</v>
      </c>
      <c r="L575">
        <f>IFERROR(SMALL(L191:L559,ROW()-ROW($L$562)+1),"")</f>
        <v>0</v>
      </c>
      <c r="M575">
        <f>IFERROR(SMALL(M191:M559,ROW()-ROW($M$562)+1),"")</f>
        <v>0</v>
      </c>
      <c r="N575">
        <f>IFERROR(SMALL(N191:N559,ROW()-ROW($N$562)+1),"")</f>
        <v>0</v>
      </c>
    </row>
    <row r="576" spans="4:14">
      <c r="E576">
        <f>IFERROR(SMALL(E191:E559,ROW()-ROW($E$562)+1),"")</f>
        <v>0</v>
      </c>
      <c r="F576">
        <f>IFERROR(SMALL(F191:F559,ROW()-ROW($F$562)+1),"")</f>
        <v>0</v>
      </c>
      <c r="G576">
        <f>IFERROR(SMALL(G191:G559,ROW()-ROW($G$562)+1),"")</f>
        <v>0</v>
      </c>
      <c r="H576">
        <f>IFERROR(SMALL(H191:H559,ROW()-ROW($H$562)+1),"")</f>
        <v>0</v>
      </c>
      <c r="K576">
        <f>IFERROR(SMALL(K191:K559,ROW()-ROW($K$562)+1),"")</f>
        <v>0</v>
      </c>
      <c r="L576">
        <f>IFERROR(SMALL(L191:L559,ROW()-ROW($L$562)+1),"")</f>
        <v>0</v>
      </c>
      <c r="M576">
        <f>IFERROR(SMALL(M191:M559,ROW()-ROW($M$562)+1),"")</f>
        <v>0</v>
      </c>
      <c r="N576">
        <f>IFERROR(SMALL(N191:N559,ROW()-ROW($N$562)+1),"")</f>
        <v>0</v>
      </c>
    </row>
    <row r="577" spans="5:14">
      <c r="E577">
        <f>IFERROR(SMALL(E191:E559,ROW()-ROW($E$562)+1),"")</f>
        <v>0</v>
      </c>
      <c r="F577">
        <f>IFERROR(SMALL(F191:F559,ROW()-ROW($F$562)+1),"")</f>
        <v>0</v>
      </c>
      <c r="G577">
        <f>IFERROR(SMALL(G191:G559,ROW()-ROW($G$562)+1),"")</f>
        <v>0</v>
      </c>
      <c r="H577">
        <f>IFERROR(SMALL(H191:H559,ROW()-ROW($H$562)+1),"")</f>
        <v>0</v>
      </c>
      <c r="K577">
        <f>IFERROR(SMALL(K191:K559,ROW()-ROW($K$562)+1),"")</f>
        <v>0</v>
      </c>
      <c r="L577">
        <f>IFERROR(SMALL(L191:L559,ROW()-ROW($L$562)+1),"")</f>
        <v>0</v>
      </c>
      <c r="M577">
        <f>IFERROR(SMALL(M191:M559,ROW()-ROW($M$562)+1),"")</f>
        <v>0</v>
      </c>
      <c r="N577">
        <f>IFERROR(SMALL(N191:N559,ROW()-ROW($N$562)+1),"")</f>
        <v>0</v>
      </c>
    </row>
    <row r="578" spans="5:14">
      <c r="E578">
        <f>IFERROR(SMALL(E191:E559,ROW()-ROW($E$562)+1),"")</f>
        <v>0</v>
      </c>
      <c r="F578">
        <f>IFERROR(SMALL(F191:F559,ROW()-ROW($F$562)+1),"")</f>
        <v>0</v>
      </c>
      <c r="G578">
        <f>IFERROR(SMALL(G191:G559,ROW()-ROW($G$562)+1),"")</f>
        <v>0</v>
      </c>
      <c r="H578">
        <f>IFERROR(SMALL(H191:H559,ROW()-ROW($H$562)+1),"")</f>
        <v>0</v>
      </c>
      <c r="K578">
        <f>IFERROR(SMALL(K191:K559,ROW()-ROW($K$562)+1),"")</f>
        <v>0</v>
      </c>
      <c r="L578">
        <f>IFERROR(SMALL(L191:L559,ROW()-ROW($L$562)+1),"")</f>
        <v>0</v>
      </c>
      <c r="M578">
        <f>IFERROR(SMALL(M191:M559,ROW()-ROW($M$562)+1),"")</f>
        <v>0</v>
      </c>
      <c r="N578">
        <f>IFERROR(SMALL(N191:N559,ROW()-ROW($N$562)+1),"")</f>
        <v>0</v>
      </c>
    </row>
    <row r="579" spans="5:14">
      <c r="E579">
        <f>IFERROR(SMALL(E191:E559,ROW()-ROW($E$562)+1),"")</f>
        <v>0</v>
      </c>
      <c r="F579">
        <f>IFERROR(SMALL(F191:F559,ROW()-ROW($F$562)+1),"")</f>
        <v>0</v>
      </c>
      <c r="G579">
        <f>IFERROR(SMALL(G191:G559,ROW()-ROW($G$562)+1),"")</f>
        <v>0</v>
      </c>
      <c r="H579">
        <f>IFERROR(SMALL(H191:H559,ROW()-ROW($H$562)+1),"")</f>
        <v>0</v>
      </c>
      <c r="K579">
        <f>IFERROR(SMALL(K191:K559,ROW()-ROW($K$562)+1),"")</f>
        <v>0</v>
      </c>
      <c r="L579">
        <f>IFERROR(SMALL(L191:L559,ROW()-ROW($L$562)+1),"")</f>
        <v>0</v>
      </c>
      <c r="M579">
        <f>IFERROR(SMALL(M191:M559,ROW()-ROW($M$562)+1),"")</f>
        <v>0</v>
      </c>
      <c r="N579">
        <f>IFERROR(SMALL(N191:N559,ROW()-ROW($N$562)+1),"")</f>
        <v>0</v>
      </c>
    </row>
    <row r="580" spans="5:14">
      <c r="E580">
        <f>IFERROR(SMALL(E191:E559,ROW()-ROW($E$562)+1),"")</f>
        <v>0</v>
      </c>
      <c r="F580">
        <f>IFERROR(SMALL(F191:F559,ROW()-ROW($F$562)+1),"")</f>
        <v>0</v>
      </c>
      <c r="G580">
        <f>IFERROR(SMALL(G191:G559,ROW()-ROW($G$562)+1),"")</f>
        <v>0</v>
      </c>
      <c r="H580">
        <f>IFERROR(SMALL(H191:H559,ROW()-ROW($H$562)+1),"")</f>
        <v>0</v>
      </c>
      <c r="K580">
        <f>IFERROR(SMALL(K191:K559,ROW()-ROW($K$562)+1),"")</f>
        <v>0</v>
      </c>
      <c r="L580">
        <f>IFERROR(SMALL(L191:L559,ROW()-ROW($L$562)+1),"")</f>
        <v>0</v>
      </c>
      <c r="M580">
        <f>IFERROR(SMALL(M191:M559,ROW()-ROW($M$562)+1),"")</f>
        <v>0</v>
      </c>
      <c r="N580">
        <f>IFERROR(SMALL(N191:N559,ROW()-ROW($N$562)+1),"")</f>
        <v>0</v>
      </c>
    </row>
    <row r="581" spans="5:14">
      <c r="E581">
        <f>IFERROR(SMALL(E191:E559,ROW()-ROW($E$562)+1),"")</f>
        <v>0</v>
      </c>
      <c r="F581">
        <f>IFERROR(SMALL(F191:F559,ROW()-ROW($F$562)+1),"")</f>
        <v>0</v>
      </c>
      <c r="G581">
        <f>IFERROR(SMALL(G191:G559,ROW()-ROW($G$562)+1),"")</f>
        <v>0</v>
      </c>
      <c r="H581">
        <f>IFERROR(SMALL(H191:H559,ROW()-ROW($H$562)+1),"")</f>
        <v>0</v>
      </c>
      <c r="K581">
        <f>IFERROR(SMALL(K191:K559,ROW()-ROW($K$562)+1),"")</f>
        <v>0</v>
      </c>
      <c r="L581">
        <f>IFERROR(SMALL(L191:L559,ROW()-ROW($L$562)+1),"")</f>
        <v>0</v>
      </c>
      <c r="M581">
        <f>IFERROR(SMALL(M191:M559,ROW()-ROW($M$562)+1),"")</f>
        <v>0</v>
      </c>
      <c r="N581">
        <f>IFERROR(SMALL(N191:N559,ROW()-ROW($N$562)+1),"")</f>
        <v>0</v>
      </c>
    </row>
    <row r="582" spans="5:14">
      <c r="E582">
        <f>IFERROR(SMALL(E191:E559,ROW()-ROW($E$562)+1),"")</f>
        <v>0</v>
      </c>
      <c r="F582">
        <f>IFERROR(SMALL(F191:F559,ROW()-ROW($F$562)+1),"")</f>
        <v>0</v>
      </c>
      <c r="G582">
        <f>IFERROR(SMALL(G191:G559,ROW()-ROW($G$562)+1),"")</f>
        <v>0</v>
      </c>
      <c r="H582">
        <f>IFERROR(SMALL(H191:H559,ROW()-ROW($H$562)+1),"")</f>
        <v>0</v>
      </c>
      <c r="K582">
        <f>IFERROR(SMALL(K191:K559,ROW()-ROW($K$562)+1),"")</f>
        <v>0</v>
      </c>
      <c r="L582">
        <f>IFERROR(SMALL(L191:L559,ROW()-ROW($L$562)+1),"")</f>
        <v>0</v>
      </c>
      <c r="M582">
        <f>IFERROR(SMALL(M191:M559,ROW()-ROW($M$562)+1),"")</f>
        <v>0</v>
      </c>
      <c r="N582">
        <f>IFERROR(SMALL(N191:N559,ROW()-ROW($N$562)+1),"")</f>
        <v>0</v>
      </c>
    </row>
    <row r="583" spans="5:14">
      <c r="E583">
        <f>IFERROR(SMALL(E191:E559,ROW()-ROW($E$562)+1),"")</f>
        <v>0</v>
      </c>
      <c r="F583">
        <f>IFERROR(SMALL(F191:F559,ROW()-ROW($F$562)+1),"")</f>
        <v>0</v>
      </c>
      <c r="G583">
        <f>IFERROR(SMALL(G191:G559,ROW()-ROW($G$562)+1),"")</f>
        <v>0</v>
      </c>
      <c r="H583">
        <f>IFERROR(SMALL(H191:H559,ROW()-ROW($H$562)+1),"")</f>
        <v>0</v>
      </c>
      <c r="K583">
        <f>IFERROR(SMALL(K191:K559,ROW()-ROW($K$562)+1),"")</f>
        <v>0</v>
      </c>
      <c r="L583">
        <f>IFERROR(SMALL(L191:L559,ROW()-ROW($L$562)+1),"")</f>
        <v>0</v>
      </c>
      <c r="M583">
        <f>IFERROR(SMALL(M191:M559,ROW()-ROW($M$562)+1),"")</f>
        <v>0</v>
      </c>
      <c r="N583">
        <f>IFERROR(SMALL(N191:N559,ROW()-ROW($N$562)+1),"")</f>
        <v>0</v>
      </c>
    </row>
    <row r="584" spans="5:14">
      <c r="E584">
        <f>IFERROR(SMALL(E191:E559,ROW()-ROW($E$562)+1),"")</f>
        <v>0</v>
      </c>
      <c r="F584">
        <f>IFERROR(SMALL(F191:F559,ROW()-ROW($F$562)+1),"")</f>
        <v>0</v>
      </c>
      <c r="G584">
        <f>IFERROR(SMALL(G191:G559,ROW()-ROW($G$562)+1),"")</f>
        <v>0</v>
      </c>
      <c r="H584">
        <f>IFERROR(SMALL(H191:H559,ROW()-ROW($H$562)+1),"")</f>
        <v>0</v>
      </c>
      <c r="K584">
        <f>IFERROR(SMALL(K191:K559,ROW()-ROW($K$562)+1),"")</f>
        <v>0</v>
      </c>
      <c r="L584">
        <f>IFERROR(SMALL(L191:L559,ROW()-ROW($L$562)+1),"")</f>
        <v>0</v>
      </c>
      <c r="M584">
        <f>IFERROR(SMALL(M191:M559,ROW()-ROW($M$562)+1),"")</f>
        <v>0</v>
      </c>
      <c r="N584">
        <f>IFERROR(SMALL(N191:N559,ROW()-ROW($N$562)+1),"")</f>
        <v>0</v>
      </c>
    </row>
    <row r="585" spans="5:14">
      <c r="E585">
        <f>IFERROR(SMALL(E191:E559,ROW()-ROW($E$562)+1),"")</f>
        <v>0</v>
      </c>
      <c r="F585">
        <f>IFERROR(SMALL(F191:F559,ROW()-ROW($F$562)+1),"")</f>
        <v>0</v>
      </c>
      <c r="G585">
        <f>IFERROR(SMALL(G191:G559,ROW()-ROW($G$562)+1),"")</f>
        <v>0</v>
      </c>
      <c r="H585">
        <f>IFERROR(SMALL(H191:H559,ROW()-ROW($H$562)+1),"")</f>
        <v>0</v>
      </c>
      <c r="K585">
        <f>IFERROR(SMALL(K191:K559,ROW()-ROW($K$562)+1),"")</f>
        <v>0</v>
      </c>
      <c r="L585">
        <f>IFERROR(SMALL(L191:L559,ROW()-ROW($L$562)+1),"")</f>
        <v>0</v>
      </c>
      <c r="M585">
        <f>IFERROR(SMALL(M191:M559,ROW()-ROW($M$562)+1),"")</f>
        <v>0</v>
      </c>
      <c r="N585">
        <f>IFERROR(SMALL(N191:N559,ROW()-ROW($N$562)+1),"")</f>
        <v>0</v>
      </c>
    </row>
    <row r="586" spans="5:14">
      <c r="E586">
        <f>IFERROR(SMALL(E191:E559,ROW()-ROW($E$562)+1),"")</f>
        <v>0</v>
      </c>
      <c r="F586">
        <f>IFERROR(SMALL(F191:F559,ROW()-ROW($F$562)+1),"")</f>
        <v>0</v>
      </c>
      <c r="G586">
        <f>IFERROR(SMALL(G191:G559,ROW()-ROW($G$562)+1),"")</f>
        <v>0</v>
      </c>
      <c r="H586">
        <f>IFERROR(SMALL(H191:H559,ROW()-ROW($H$562)+1),"")</f>
        <v>0</v>
      </c>
      <c r="K586">
        <f>IFERROR(SMALL(K191:K559,ROW()-ROW($K$562)+1),"")</f>
        <v>0</v>
      </c>
      <c r="L586">
        <f>IFERROR(SMALL(L191:L559,ROW()-ROW($L$562)+1),"")</f>
        <v>0</v>
      </c>
      <c r="M586">
        <f>IFERROR(SMALL(M191:M559,ROW()-ROW($M$562)+1),"")</f>
        <v>0</v>
      </c>
      <c r="N586">
        <f>IFERROR(SMALL(N191:N559,ROW()-ROW($N$562)+1),"")</f>
        <v>0</v>
      </c>
    </row>
    <row r="587" spans="5:14">
      <c r="E587">
        <f>IFERROR(SMALL(E191:E559,ROW()-ROW($E$562)+1),"")</f>
        <v>0</v>
      </c>
      <c r="F587">
        <f>IFERROR(SMALL(F191:F559,ROW()-ROW($F$562)+1),"")</f>
        <v>0</v>
      </c>
      <c r="G587">
        <f>IFERROR(SMALL(G191:G559,ROW()-ROW($G$562)+1),"")</f>
        <v>0</v>
      </c>
      <c r="H587">
        <f>IFERROR(SMALL(H191:H559,ROW()-ROW($H$562)+1),"")</f>
        <v>0</v>
      </c>
      <c r="K587">
        <f>IFERROR(SMALL(K191:K559,ROW()-ROW($K$562)+1),"")</f>
        <v>0</v>
      </c>
      <c r="L587">
        <f>IFERROR(SMALL(L191:L559,ROW()-ROW($L$562)+1),"")</f>
        <v>0</v>
      </c>
      <c r="M587">
        <f>IFERROR(SMALL(M191:M559,ROW()-ROW($M$562)+1),"")</f>
        <v>0</v>
      </c>
      <c r="N587">
        <f>IFERROR(SMALL(N191:N559,ROW()-ROW($N$562)+1),"")</f>
        <v>0</v>
      </c>
    </row>
    <row r="588" spans="5:14">
      <c r="E588">
        <f>IFERROR(SMALL(E191:E559,ROW()-ROW($E$562)+1),"")</f>
        <v>0</v>
      </c>
      <c r="F588">
        <f>IFERROR(SMALL(F191:F559,ROW()-ROW($F$562)+1),"")</f>
        <v>0</v>
      </c>
      <c r="G588">
        <f>IFERROR(SMALL(G191:G559,ROW()-ROW($G$562)+1),"")</f>
        <v>0</v>
      </c>
      <c r="H588">
        <f>IFERROR(SMALL(H191:H559,ROW()-ROW($H$562)+1),"")</f>
        <v>0</v>
      </c>
      <c r="K588">
        <f>IFERROR(SMALL(K191:K559,ROW()-ROW($K$562)+1),"")</f>
        <v>0</v>
      </c>
      <c r="L588">
        <f>IFERROR(SMALL(L191:L559,ROW()-ROW($L$562)+1),"")</f>
        <v>0</v>
      </c>
      <c r="M588">
        <f>IFERROR(SMALL(M191:M559,ROW()-ROW($M$562)+1),"")</f>
        <v>0</v>
      </c>
      <c r="N588">
        <f>IFERROR(SMALL(N191:N559,ROW()-ROW($N$562)+1),"")</f>
        <v>0</v>
      </c>
    </row>
    <row r="589" spans="5:14">
      <c r="E589">
        <f>IFERROR(SMALL(E191:E559,ROW()-ROW($E$562)+1),"")</f>
        <v>0</v>
      </c>
      <c r="F589">
        <f>IFERROR(SMALL(F191:F559,ROW()-ROW($F$562)+1),"")</f>
        <v>0</v>
      </c>
      <c r="G589">
        <f>IFERROR(SMALL(G191:G559,ROW()-ROW($G$562)+1),"")</f>
        <v>0</v>
      </c>
      <c r="H589">
        <f>IFERROR(SMALL(H191:H559,ROW()-ROW($H$562)+1),"")</f>
        <v>0</v>
      </c>
      <c r="K589">
        <f>IFERROR(SMALL(K191:K559,ROW()-ROW($K$562)+1),"")</f>
        <v>0</v>
      </c>
      <c r="L589">
        <f>IFERROR(SMALL(L191:L559,ROW()-ROW($L$562)+1),"")</f>
        <v>0</v>
      </c>
      <c r="M589">
        <f>IFERROR(SMALL(M191:M559,ROW()-ROW($M$562)+1),"")</f>
        <v>0</v>
      </c>
      <c r="N589">
        <f>IFERROR(SMALL(N191:N559,ROW()-ROW($N$562)+1),"")</f>
        <v>0</v>
      </c>
    </row>
    <row r="590" spans="5:14">
      <c r="E590">
        <f>IFERROR(SMALL(E191:E559,ROW()-ROW($E$562)+1),"")</f>
        <v>0</v>
      </c>
      <c r="F590">
        <f>IFERROR(SMALL(F191:F559,ROW()-ROW($F$562)+1),"")</f>
        <v>0</v>
      </c>
      <c r="G590">
        <f>IFERROR(SMALL(G191:G559,ROW()-ROW($G$562)+1),"")</f>
        <v>0</v>
      </c>
      <c r="H590">
        <f>IFERROR(SMALL(H191:H559,ROW()-ROW($H$562)+1),"")</f>
        <v>0</v>
      </c>
      <c r="K590">
        <f>IFERROR(SMALL(K191:K559,ROW()-ROW($K$562)+1),"")</f>
        <v>0</v>
      </c>
      <c r="L590">
        <f>IFERROR(SMALL(L191:L559,ROW()-ROW($L$562)+1),"")</f>
        <v>0</v>
      </c>
      <c r="M590">
        <f>IFERROR(SMALL(M191:M559,ROW()-ROW($M$562)+1),"")</f>
        <v>0</v>
      </c>
      <c r="N590">
        <f>IFERROR(SMALL(N191:N559,ROW()-ROW($N$562)+1),"")</f>
        <v>0</v>
      </c>
    </row>
    <row r="591" spans="5:14">
      <c r="E591">
        <f>IFERROR(SMALL(E191:E559,ROW()-ROW($E$562)+1),"")</f>
        <v>0</v>
      </c>
      <c r="F591">
        <f>IFERROR(SMALL(F191:F559,ROW()-ROW($F$562)+1),"")</f>
        <v>0</v>
      </c>
      <c r="G591">
        <f>IFERROR(SMALL(G191:G559,ROW()-ROW($G$562)+1),"")</f>
        <v>0</v>
      </c>
      <c r="H591">
        <f>IFERROR(SMALL(H191:H559,ROW()-ROW($H$562)+1),"")</f>
        <v>0</v>
      </c>
      <c r="K591">
        <f>IFERROR(SMALL(K191:K559,ROW()-ROW($K$562)+1),"")</f>
        <v>0</v>
      </c>
      <c r="L591">
        <f>IFERROR(SMALL(L191:L559,ROW()-ROW($L$562)+1),"")</f>
        <v>0</v>
      </c>
      <c r="M591">
        <f>IFERROR(SMALL(M191:M559,ROW()-ROW($M$562)+1),"")</f>
        <v>0</v>
      </c>
      <c r="N591">
        <f>IFERROR(SMALL(N191:N559,ROW()-ROW($N$562)+1),"")</f>
        <v>0</v>
      </c>
    </row>
    <row r="592" spans="5:14">
      <c r="E592">
        <f>IFERROR(SMALL(E191:E559,ROW()-ROW($E$562)+1),"")</f>
        <v>0</v>
      </c>
      <c r="F592">
        <f>IFERROR(SMALL(F191:F559,ROW()-ROW($F$562)+1),"")</f>
        <v>0</v>
      </c>
      <c r="G592">
        <f>IFERROR(SMALL(G191:G559,ROW()-ROW($G$562)+1),"")</f>
        <v>0</v>
      </c>
      <c r="H592">
        <f>IFERROR(SMALL(H191:H559,ROW()-ROW($H$562)+1),"")</f>
        <v>0</v>
      </c>
      <c r="K592">
        <f>IFERROR(SMALL(K191:K559,ROW()-ROW($K$562)+1),"")</f>
        <v>0</v>
      </c>
      <c r="L592">
        <f>IFERROR(SMALL(L191:L559,ROW()-ROW($L$562)+1),"")</f>
        <v>0</v>
      </c>
      <c r="M592">
        <f>IFERROR(SMALL(M191:M559,ROW()-ROW($M$562)+1),"")</f>
        <v>0</v>
      </c>
      <c r="N592">
        <f>IFERROR(SMALL(N191:N559,ROW()-ROW($N$562)+1),"")</f>
        <v>0</v>
      </c>
    </row>
    <row r="593" spans="5:14">
      <c r="E593">
        <f>IFERROR(SMALL(E191:E559,ROW()-ROW($E$562)+1),"")</f>
        <v>0</v>
      </c>
      <c r="F593">
        <f>IFERROR(SMALL(F191:F559,ROW()-ROW($F$562)+1),"")</f>
        <v>0</v>
      </c>
      <c r="G593">
        <f>IFERROR(SMALL(G191:G559,ROW()-ROW($G$562)+1),"")</f>
        <v>0</v>
      </c>
      <c r="H593">
        <f>IFERROR(SMALL(H191:H559,ROW()-ROW($H$562)+1),"")</f>
        <v>0</v>
      </c>
      <c r="K593">
        <f>IFERROR(SMALL(K191:K559,ROW()-ROW($K$562)+1),"")</f>
        <v>0</v>
      </c>
      <c r="L593">
        <f>IFERROR(SMALL(L191:L559,ROW()-ROW($L$562)+1),"")</f>
        <v>0</v>
      </c>
      <c r="M593">
        <f>IFERROR(SMALL(M191:M559,ROW()-ROW($M$562)+1),"")</f>
        <v>0</v>
      </c>
      <c r="N593">
        <f>IFERROR(SMALL(N191:N559,ROW()-ROW($N$562)+1),"")</f>
        <v>0</v>
      </c>
    </row>
    <row r="594" spans="5:14">
      <c r="E594">
        <f>IFERROR(SMALL(E191:E559,ROW()-ROW($E$562)+1),"")</f>
        <v>0</v>
      </c>
      <c r="F594">
        <f>IFERROR(SMALL(F191:F559,ROW()-ROW($F$562)+1),"")</f>
        <v>0</v>
      </c>
      <c r="G594">
        <f>IFERROR(SMALL(G191:G559,ROW()-ROW($G$562)+1),"")</f>
        <v>0</v>
      </c>
      <c r="H594">
        <f>IFERROR(SMALL(H191:H559,ROW()-ROW($H$562)+1),"")</f>
        <v>0</v>
      </c>
      <c r="K594">
        <f>IFERROR(SMALL(K191:K559,ROW()-ROW($K$562)+1),"")</f>
        <v>0</v>
      </c>
      <c r="L594">
        <f>IFERROR(SMALL(L191:L559,ROW()-ROW($L$562)+1),"")</f>
        <v>0</v>
      </c>
      <c r="M594">
        <f>IFERROR(SMALL(M191:M559,ROW()-ROW($M$562)+1),"")</f>
        <v>0</v>
      </c>
      <c r="N594">
        <f>IFERROR(SMALL(N191:N559,ROW()-ROW($N$562)+1),"")</f>
        <v>0</v>
      </c>
    </row>
    <row r="595" spans="5:14">
      <c r="E595">
        <f>IFERROR(SMALL(E191:E559,ROW()-ROW($E$562)+1),"")</f>
        <v>0</v>
      </c>
      <c r="F595">
        <f>IFERROR(SMALL(F191:F559,ROW()-ROW($F$562)+1),"")</f>
        <v>0</v>
      </c>
      <c r="G595">
        <f>IFERROR(SMALL(G191:G559,ROW()-ROW($G$562)+1),"")</f>
        <v>0</v>
      </c>
      <c r="H595">
        <f>IFERROR(SMALL(H191:H559,ROW()-ROW($H$562)+1),"")</f>
        <v>0</v>
      </c>
      <c r="K595">
        <f>IFERROR(SMALL(K191:K559,ROW()-ROW($K$562)+1),"")</f>
        <v>0</v>
      </c>
      <c r="L595">
        <f>IFERROR(SMALL(L191:L559,ROW()-ROW($L$562)+1),"")</f>
        <v>0</v>
      </c>
      <c r="M595">
        <f>IFERROR(SMALL(M191:M559,ROW()-ROW($M$562)+1),"")</f>
        <v>0</v>
      </c>
      <c r="N595">
        <f>IFERROR(SMALL(N191:N559,ROW()-ROW($N$562)+1),"")</f>
        <v>0</v>
      </c>
    </row>
    <row r="596" spans="5:14">
      <c r="E596">
        <f>IFERROR(SMALL(E191:E559,ROW()-ROW($E$562)+1),"")</f>
        <v>0</v>
      </c>
      <c r="F596">
        <f>IFERROR(SMALL(F191:F559,ROW()-ROW($F$562)+1),"")</f>
        <v>0</v>
      </c>
      <c r="G596">
        <f>IFERROR(SMALL(G191:G559,ROW()-ROW($G$562)+1),"")</f>
        <v>0</v>
      </c>
      <c r="H596">
        <f>IFERROR(SMALL(H191:H559,ROW()-ROW($H$562)+1),"")</f>
        <v>0</v>
      </c>
      <c r="K596">
        <f>IFERROR(SMALL(K191:K559,ROW()-ROW($K$562)+1),"")</f>
        <v>0</v>
      </c>
      <c r="L596">
        <f>IFERROR(SMALL(L191:L559,ROW()-ROW($L$562)+1),"")</f>
        <v>0</v>
      </c>
      <c r="M596">
        <f>IFERROR(SMALL(M191:M559,ROW()-ROW($M$562)+1),"")</f>
        <v>0</v>
      </c>
      <c r="N596">
        <f>IFERROR(SMALL(N191:N559,ROW()-ROW($N$562)+1),"")</f>
        <v>0</v>
      </c>
    </row>
    <row r="597" spans="5:14">
      <c r="E597">
        <f>IFERROR(SMALL(E191:E559,ROW()-ROW($E$562)+1),"")</f>
        <v>0</v>
      </c>
      <c r="F597">
        <f>IFERROR(SMALL(F191:F559,ROW()-ROW($F$562)+1),"")</f>
        <v>0</v>
      </c>
      <c r="G597">
        <f>IFERROR(SMALL(G191:G559,ROW()-ROW($G$562)+1),"")</f>
        <v>0</v>
      </c>
      <c r="H597">
        <f>IFERROR(SMALL(H191:H559,ROW()-ROW($H$562)+1),"")</f>
        <v>0</v>
      </c>
      <c r="K597">
        <f>IFERROR(SMALL(K191:K559,ROW()-ROW($K$562)+1),"")</f>
        <v>0</v>
      </c>
      <c r="L597">
        <f>IFERROR(SMALL(L191:L559,ROW()-ROW($L$562)+1),"")</f>
        <v>0</v>
      </c>
      <c r="M597">
        <f>IFERROR(SMALL(M191:M559,ROW()-ROW($M$562)+1),"")</f>
        <v>0</v>
      </c>
      <c r="N597">
        <f>IFERROR(SMALL(N191:N559,ROW()-ROW($N$562)+1),"")</f>
        <v>0</v>
      </c>
    </row>
    <row r="598" spans="5:14">
      <c r="E598">
        <f>IFERROR(SMALL(E191:E559,ROW()-ROW($E$562)+1),"")</f>
        <v>0</v>
      </c>
      <c r="F598">
        <f>IFERROR(SMALL(F191:F559,ROW()-ROW($F$562)+1),"")</f>
        <v>0</v>
      </c>
      <c r="G598">
        <f>IFERROR(SMALL(G191:G559,ROW()-ROW($G$562)+1),"")</f>
        <v>0</v>
      </c>
      <c r="H598">
        <f>IFERROR(SMALL(H191:H559,ROW()-ROW($H$562)+1),"")</f>
        <v>0</v>
      </c>
      <c r="K598">
        <f>IFERROR(SMALL(K191:K559,ROW()-ROW($K$562)+1),"")</f>
        <v>0</v>
      </c>
      <c r="L598">
        <f>IFERROR(SMALL(L191:L559,ROW()-ROW($L$562)+1),"")</f>
        <v>0</v>
      </c>
      <c r="M598">
        <f>IFERROR(SMALL(M191:M559,ROW()-ROW($M$562)+1),"")</f>
        <v>0</v>
      </c>
      <c r="N598">
        <f>IFERROR(SMALL(N191:N559,ROW()-ROW($N$562)+1),"")</f>
        <v>0</v>
      </c>
    </row>
    <row r="599" spans="5:14">
      <c r="E599">
        <f>IFERROR(SMALL(E191:E559,ROW()-ROW($E$562)+1),"")</f>
        <v>0</v>
      </c>
      <c r="F599">
        <f>IFERROR(SMALL(F191:F559,ROW()-ROW($F$562)+1),"")</f>
        <v>0</v>
      </c>
      <c r="G599">
        <f>IFERROR(SMALL(G191:G559,ROW()-ROW($G$562)+1),"")</f>
        <v>0</v>
      </c>
      <c r="H599">
        <f>IFERROR(SMALL(H191:H559,ROW()-ROW($H$562)+1),"")</f>
        <v>0</v>
      </c>
      <c r="K599">
        <f>IFERROR(SMALL(K191:K559,ROW()-ROW($K$562)+1),"")</f>
        <v>0</v>
      </c>
      <c r="L599">
        <f>IFERROR(SMALL(L191:L559,ROW()-ROW($L$562)+1),"")</f>
        <v>0</v>
      </c>
      <c r="M599">
        <f>IFERROR(SMALL(M191:M559,ROW()-ROW($M$562)+1),"")</f>
        <v>0</v>
      </c>
      <c r="N599">
        <f>IFERROR(SMALL(N191:N559,ROW()-ROW($N$562)+1),"")</f>
        <v>0</v>
      </c>
    </row>
    <row r="600" spans="5:14">
      <c r="E600">
        <f>IFERROR(SMALL(E191:E559,ROW()-ROW($E$562)+1),"")</f>
        <v>0</v>
      </c>
      <c r="F600">
        <f>IFERROR(SMALL(F191:F559,ROW()-ROW($F$562)+1),"")</f>
        <v>0</v>
      </c>
      <c r="G600">
        <f>IFERROR(SMALL(G191:G559,ROW()-ROW($G$562)+1),"")</f>
        <v>0</v>
      </c>
      <c r="H600">
        <f>IFERROR(SMALL(H191:H559,ROW()-ROW($H$562)+1),"")</f>
        <v>0</v>
      </c>
      <c r="K600">
        <f>IFERROR(SMALL(K191:K559,ROW()-ROW($K$562)+1),"")</f>
        <v>0</v>
      </c>
      <c r="L600">
        <f>IFERROR(SMALL(L191:L559,ROW()-ROW($L$562)+1),"")</f>
        <v>0</v>
      </c>
      <c r="M600">
        <f>IFERROR(SMALL(M191:M559,ROW()-ROW($M$562)+1),"")</f>
        <v>0</v>
      </c>
      <c r="N600">
        <f>IFERROR(SMALL(N191:N559,ROW()-ROW($N$562)+1),"")</f>
        <v>0</v>
      </c>
    </row>
    <row r="601" spans="5:14">
      <c r="E601">
        <f>IFERROR(SMALL(E191:E559,ROW()-ROW($E$562)+1),"")</f>
        <v>0</v>
      </c>
      <c r="F601">
        <f>IFERROR(SMALL(F191:F559,ROW()-ROW($F$562)+1),"")</f>
        <v>0</v>
      </c>
      <c r="G601">
        <f>IFERROR(SMALL(G191:G559,ROW()-ROW($G$562)+1),"")</f>
        <v>0</v>
      </c>
      <c r="H601">
        <f>IFERROR(SMALL(H191:H559,ROW()-ROW($H$562)+1),"")</f>
        <v>0</v>
      </c>
      <c r="K601">
        <f>IFERROR(SMALL(K191:K559,ROW()-ROW($K$562)+1),"")</f>
        <v>0</v>
      </c>
      <c r="L601">
        <f>IFERROR(SMALL(L191:L559,ROW()-ROW($L$562)+1),"")</f>
        <v>0</v>
      </c>
      <c r="M601">
        <f>IFERROR(SMALL(M191:M559,ROW()-ROW($M$562)+1),"")</f>
        <v>0</v>
      </c>
      <c r="N601">
        <f>IFERROR(SMALL(N191:N559,ROW()-ROW($N$562)+1),"")</f>
        <v>0</v>
      </c>
    </row>
    <row r="602" spans="5:14">
      <c r="E602">
        <f>IFERROR(SMALL(E191:E559,ROW()-ROW($E$562)+1),"")</f>
        <v>0</v>
      </c>
      <c r="F602">
        <f>IFERROR(SMALL(F191:F559,ROW()-ROW($F$562)+1),"")</f>
        <v>0</v>
      </c>
      <c r="G602">
        <f>IFERROR(SMALL(G191:G559,ROW()-ROW($G$562)+1),"")</f>
        <v>0</v>
      </c>
      <c r="H602">
        <f>IFERROR(SMALL(H191:H559,ROW()-ROW($H$562)+1),"")</f>
        <v>0</v>
      </c>
      <c r="K602">
        <f>IFERROR(SMALL(K191:K559,ROW()-ROW($K$562)+1),"")</f>
        <v>0</v>
      </c>
      <c r="L602">
        <f>IFERROR(SMALL(L191:L559,ROW()-ROW($L$562)+1),"")</f>
        <v>0</v>
      </c>
      <c r="M602">
        <f>IFERROR(SMALL(M191:M559,ROW()-ROW($M$562)+1),"")</f>
        <v>0</v>
      </c>
      <c r="N602">
        <f>IFERROR(SMALL(N191:N559,ROW()-ROW($N$562)+1),"")</f>
        <v>0</v>
      </c>
    </row>
    <row r="603" spans="5:14">
      <c r="E603">
        <f>IFERROR(SMALL(E191:E559,ROW()-ROW($E$562)+1),"")</f>
        <v>0</v>
      </c>
      <c r="F603">
        <f>IFERROR(SMALL(F191:F559,ROW()-ROW($F$562)+1),"")</f>
        <v>0</v>
      </c>
      <c r="G603">
        <f>IFERROR(SMALL(G191:G559,ROW()-ROW($G$562)+1),"")</f>
        <v>0</v>
      </c>
      <c r="H603">
        <f>IFERROR(SMALL(H191:H559,ROW()-ROW($H$562)+1),"")</f>
        <v>0</v>
      </c>
      <c r="K603">
        <f>IFERROR(SMALL(K191:K559,ROW()-ROW($K$562)+1),"")</f>
        <v>0</v>
      </c>
      <c r="L603">
        <f>IFERROR(SMALL(L191:L559,ROW()-ROW($L$562)+1),"")</f>
        <v>0</v>
      </c>
      <c r="M603">
        <f>IFERROR(SMALL(M191:M559,ROW()-ROW($M$562)+1),"")</f>
        <v>0</v>
      </c>
      <c r="N603">
        <f>IFERROR(SMALL(N191:N559,ROW()-ROW($N$562)+1),"")</f>
        <v>0</v>
      </c>
    </row>
    <row r="604" spans="5:14">
      <c r="E604">
        <f>IFERROR(SMALL(E191:E559,ROW()-ROW($E$562)+1),"")</f>
        <v>0</v>
      </c>
      <c r="F604">
        <f>IFERROR(SMALL(F191:F559,ROW()-ROW($F$562)+1),"")</f>
        <v>0</v>
      </c>
      <c r="G604">
        <f>IFERROR(SMALL(G191:G559,ROW()-ROW($G$562)+1),"")</f>
        <v>0</v>
      </c>
      <c r="H604">
        <f>IFERROR(SMALL(H191:H559,ROW()-ROW($H$562)+1),"")</f>
        <v>0</v>
      </c>
      <c r="K604">
        <f>IFERROR(SMALL(K191:K559,ROW()-ROW($K$562)+1),"")</f>
        <v>0</v>
      </c>
      <c r="L604">
        <f>IFERROR(SMALL(L191:L559,ROW()-ROW($L$562)+1),"")</f>
        <v>0</v>
      </c>
      <c r="M604">
        <f>IFERROR(SMALL(M191:M559,ROW()-ROW($M$562)+1),"")</f>
        <v>0</v>
      </c>
      <c r="N604">
        <f>IFERROR(SMALL(N191:N559,ROW()-ROW($N$562)+1),"")</f>
        <v>0</v>
      </c>
    </row>
    <row r="605" spans="5:14">
      <c r="E605">
        <f>IFERROR(SMALL(E191:E559,ROW()-ROW($E$562)+1),"")</f>
        <v>0</v>
      </c>
      <c r="F605">
        <f>IFERROR(SMALL(F191:F559,ROW()-ROW($F$562)+1),"")</f>
        <v>0</v>
      </c>
      <c r="G605">
        <f>IFERROR(SMALL(G191:G559,ROW()-ROW($G$562)+1),"")</f>
        <v>0</v>
      </c>
      <c r="H605">
        <f>IFERROR(SMALL(H191:H559,ROW()-ROW($H$562)+1),"")</f>
        <v>0</v>
      </c>
      <c r="K605">
        <f>IFERROR(SMALL(K191:K559,ROW()-ROW($K$562)+1),"")</f>
        <v>0</v>
      </c>
      <c r="L605">
        <f>IFERROR(SMALL(L191:L559,ROW()-ROW($L$562)+1),"")</f>
        <v>0</v>
      </c>
      <c r="M605">
        <f>IFERROR(SMALL(M191:M559,ROW()-ROW($M$562)+1),"")</f>
        <v>0</v>
      </c>
      <c r="N605">
        <f>IFERROR(SMALL(N191:N559,ROW()-ROW($N$562)+1),"")</f>
        <v>0</v>
      </c>
    </row>
    <row r="606" spans="5:14">
      <c r="E606">
        <f>IFERROR(SMALL(E191:E559,ROW()-ROW($E$562)+1),"")</f>
        <v>0</v>
      </c>
      <c r="F606">
        <f>IFERROR(SMALL(F191:F559,ROW()-ROW($F$562)+1),"")</f>
        <v>0</v>
      </c>
      <c r="G606">
        <f>IFERROR(SMALL(G191:G559,ROW()-ROW($G$562)+1),"")</f>
        <v>0</v>
      </c>
      <c r="H606">
        <f>IFERROR(SMALL(H191:H559,ROW()-ROW($H$562)+1),"")</f>
        <v>0</v>
      </c>
      <c r="K606">
        <f>IFERROR(SMALL(K191:K559,ROW()-ROW($K$562)+1),"")</f>
        <v>0</v>
      </c>
      <c r="L606">
        <f>IFERROR(SMALL(L191:L559,ROW()-ROW($L$562)+1),"")</f>
        <v>0</v>
      </c>
      <c r="M606">
        <f>IFERROR(SMALL(M191:M559,ROW()-ROW($M$562)+1),"")</f>
        <v>0</v>
      </c>
      <c r="N606">
        <f>IFERROR(SMALL(N191:N559,ROW()-ROW($N$562)+1),"")</f>
        <v>0</v>
      </c>
    </row>
    <row r="607" spans="5:14">
      <c r="E607">
        <f>IFERROR(SMALL(E191:E559,ROW()-ROW($E$562)+1),"")</f>
        <v>0</v>
      </c>
      <c r="F607">
        <f>IFERROR(SMALL(F191:F559,ROW()-ROW($F$562)+1),"")</f>
        <v>0</v>
      </c>
      <c r="G607">
        <f>IFERROR(SMALL(G191:G559,ROW()-ROW($G$562)+1),"")</f>
        <v>0</v>
      </c>
      <c r="H607">
        <f>IFERROR(SMALL(H191:H559,ROW()-ROW($H$562)+1),"")</f>
        <v>0</v>
      </c>
      <c r="K607">
        <f>IFERROR(SMALL(K191:K559,ROW()-ROW($K$562)+1),"")</f>
        <v>0</v>
      </c>
      <c r="L607">
        <f>IFERROR(SMALL(L191:L559,ROW()-ROW($L$562)+1),"")</f>
        <v>0</v>
      </c>
      <c r="M607">
        <f>IFERROR(SMALL(M191:M559,ROW()-ROW($M$562)+1),"")</f>
        <v>0</v>
      </c>
      <c r="N607">
        <f>IFERROR(SMALL(N191:N559,ROW()-ROW($N$562)+1),"")</f>
        <v>0</v>
      </c>
    </row>
    <row r="608" spans="5:14">
      <c r="E608">
        <f>IFERROR(SMALL(E191:E559,ROW()-ROW($E$562)+1),"")</f>
        <v>0</v>
      </c>
      <c r="F608">
        <f>IFERROR(SMALL(F191:F559,ROW()-ROW($F$562)+1),"")</f>
        <v>0</v>
      </c>
      <c r="G608">
        <f>IFERROR(SMALL(G191:G559,ROW()-ROW($G$562)+1),"")</f>
        <v>0</v>
      </c>
      <c r="H608">
        <f>IFERROR(SMALL(H191:H559,ROW()-ROW($H$562)+1),"")</f>
        <v>0</v>
      </c>
      <c r="K608">
        <f>IFERROR(SMALL(K191:K559,ROW()-ROW($K$562)+1),"")</f>
        <v>0</v>
      </c>
      <c r="L608">
        <f>IFERROR(SMALL(L191:L559,ROW()-ROW($L$562)+1),"")</f>
        <v>0</v>
      </c>
      <c r="M608">
        <f>IFERROR(SMALL(M191:M559,ROW()-ROW($M$562)+1),"")</f>
        <v>0</v>
      </c>
      <c r="N608">
        <f>IFERROR(SMALL(N191:N559,ROW()-ROW($N$562)+1),"")</f>
        <v>0</v>
      </c>
    </row>
    <row r="609" spans="5:14">
      <c r="E609">
        <f>IFERROR(SMALL(E191:E559,ROW()-ROW($E$562)+1),"")</f>
        <v>0</v>
      </c>
      <c r="F609">
        <f>IFERROR(SMALL(F191:F559,ROW()-ROW($F$562)+1),"")</f>
        <v>0</v>
      </c>
      <c r="G609">
        <f>IFERROR(SMALL(G191:G559,ROW()-ROW($G$562)+1),"")</f>
        <v>0</v>
      </c>
      <c r="H609">
        <f>IFERROR(SMALL(H191:H559,ROW()-ROW($H$562)+1),"")</f>
        <v>0</v>
      </c>
      <c r="K609">
        <f>IFERROR(SMALL(K191:K559,ROW()-ROW($K$562)+1),"")</f>
        <v>0</v>
      </c>
      <c r="L609">
        <f>IFERROR(SMALL(L191:L559,ROW()-ROW($L$562)+1),"")</f>
        <v>0</v>
      </c>
      <c r="M609">
        <f>IFERROR(SMALL(M191:M559,ROW()-ROW($M$562)+1),"")</f>
        <v>0</v>
      </c>
      <c r="N609">
        <f>IFERROR(SMALL(N191:N559,ROW()-ROW($N$562)+1),"")</f>
        <v>0</v>
      </c>
    </row>
    <row r="610" spans="5:14">
      <c r="E610">
        <f>IFERROR(SMALL(E191:E559,ROW()-ROW($E$562)+1),"")</f>
        <v>0</v>
      </c>
      <c r="F610">
        <f>IFERROR(SMALL(F191:F559,ROW()-ROW($F$562)+1),"")</f>
        <v>0</v>
      </c>
      <c r="G610">
        <f>IFERROR(SMALL(G191:G559,ROW()-ROW($G$562)+1),"")</f>
        <v>0</v>
      </c>
      <c r="H610">
        <f>IFERROR(SMALL(H191:H559,ROW()-ROW($H$562)+1),"")</f>
        <v>0</v>
      </c>
      <c r="K610">
        <f>IFERROR(SMALL(K191:K559,ROW()-ROW($K$562)+1),"")</f>
        <v>0</v>
      </c>
      <c r="L610">
        <f>IFERROR(SMALL(L191:L559,ROW()-ROW($L$562)+1),"")</f>
        <v>0</v>
      </c>
      <c r="M610">
        <f>IFERROR(SMALL(M191:M559,ROW()-ROW($M$562)+1),"")</f>
        <v>0</v>
      </c>
      <c r="N610">
        <f>IFERROR(SMALL(N191:N559,ROW()-ROW($N$562)+1),"")</f>
        <v>0</v>
      </c>
    </row>
    <row r="611" spans="5:14">
      <c r="E611">
        <f>IFERROR(SMALL(E191:E559,ROW()-ROW($E$562)+1),"")</f>
        <v>0</v>
      </c>
      <c r="F611">
        <f>IFERROR(SMALL(F191:F559,ROW()-ROW($F$562)+1),"")</f>
        <v>0</v>
      </c>
      <c r="G611">
        <f>IFERROR(SMALL(G191:G559,ROW()-ROW($G$562)+1),"")</f>
        <v>0</v>
      </c>
      <c r="H611">
        <f>IFERROR(SMALL(H191:H559,ROW()-ROW($H$562)+1),"")</f>
        <v>0</v>
      </c>
      <c r="K611">
        <f>IFERROR(SMALL(K191:K559,ROW()-ROW($K$562)+1),"")</f>
        <v>0</v>
      </c>
      <c r="L611">
        <f>IFERROR(SMALL(L191:L559,ROW()-ROW($L$562)+1),"")</f>
        <v>0</v>
      </c>
      <c r="M611">
        <f>IFERROR(SMALL(M191:M559,ROW()-ROW($M$562)+1),"")</f>
        <v>0</v>
      </c>
      <c r="N611">
        <f>IFERROR(SMALL(N191:N559,ROW()-ROW($N$562)+1),"")</f>
        <v>0</v>
      </c>
    </row>
    <row r="612" spans="5:14">
      <c r="E612">
        <f>IFERROR(SMALL(E191:E559,ROW()-ROW($E$562)+1),"")</f>
        <v>0</v>
      </c>
      <c r="F612">
        <f>IFERROR(SMALL(F191:F559,ROW()-ROW($F$562)+1),"")</f>
        <v>0</v>
      </c>
      <c r="G612">
        <f>IFERROR(SMALL(G191:G559,ROW()-ROW($G$562)+1),"")</f>
        <v>0</v>
      </c>
      <c r="H612">
        <f>IFERROR(SMALL(H191:H559,ROW()-ROW($H$562)+1),"")</f>
        <v>0</v>
      </c>
      <c r="K612">
        <f>IFERROR(SMALL(K191:K559,ROW()-ROW($K$562)+1),"")</f>
        <v>0</v>
      </c>
      <c r="L612">
        <f>IFERROR(SMALL(L191:L559,ROW()-ROW($L$562)+1),"")</f>
        <v>0</v>
      </c>
      <c r="M612">
        <f>IFERROR(SMALL(M191:M559,ROW()-ROW($M$562)+1),"")</f>
        <v>0</v>
      </c>
      <c r="N612">
        <f>IFERROR(SMALL(N191:N559,ROW()-ROW($N$562)+1),"")</f>
        <v>0</v>
      </c>
    </row>
    <row r="613" spans="5:14">
      <c r="E613">
        <f>IFERROR(SMALL(E191:E559,ROW()-ROW($E$562)+1),"")</f>
        <v>0</v>
      </c>
      <c r="F613">
        <f>IFERROR(SMALL(F191:F559,ROW()-ROW($F$562)+1),"")</f>
        <v>0</v>
      </c>
      <c r="G613">
        <f>IFERROR(SMALL(G191:G559,ROW()-ROW($G$562)+1),"")</f>
        <v>0</v>
      </c>
      <c r="H613">
        <f>IFERROR(SMALL(H191:H559,ROW()-ROW($H$562)+1),"")</f>
        <v>0</v>
      </c>
      <c r="K613">
        <f>IFERROR(SMALL(K191:K559,ROW()-ROW($K$562)+1),"")</f>
        <v>0</v>
      </c>
      <c r="L613">
        <f>IFERROR(SMALL(L191:L559,ROW()-ROW($L$562)+1),"")</f>
        <v>0</v>
      </c>
      <c r="M613">
        <f>IFERROR(SMALL(M191:M559,ROW()-ROW($M$562)+1),"")</f>
        <v>0</v>
      </c>
      <c r="N613">
        <f>IFERROR(SMALL(N191:N559,ROW()-ROW($N$562)+1),"")</f>
        <v>0</v>
      </c>
    </row>
    <row r="614" spans="5:14">
      <c r="E614">
        <f>IFERROR(SMALL(E191:E559,ROW()-ROW($E$562)+1),"")</f>
        <v>0</v>
      </c>
      <c r="F614">
        <f>IFERROR(SMALL(F191:F559,ROW()-ROW($F$562)+1),"")</f>
        <v>0</v>
      </c>
      <c r="G614">
        <f>IFERROR(SMALL(G191:G559,ROW()-ROW($G$562)+1),"")</f>
        <v>0</v>
      </c>
      <c r="H614">
        <f>IFERROR(SMALL(H191:H559,ROW()-ROW($H$562)+1),"")</f>
        <v>0</v>
      </c>
      <c r="K614">
        <f>IFERROR(SMALL(K191:K559,ROW()-ROW($K$562)+1),"")</f>
        <v>0</v>
      </c>
      <c r="L614">
        <f>IFERROR(SMALL(L191:L559,ROW()-ROW($L$562)+1),"")</f>
        <v>0</v>
      </c>
      <c r="M614">
        <f>IFERROR(SMALL(M191:M559,ROW()-ROW($M$562)+1),"")</f>
        <v>0</v>
      </c>
      <c r="N614">
        <f>IFERROR(SMALL(N191:N559,ROW()-ROW($N$562)+1),"")</f>
        <v>0</v>
      </c>
    </row>
    <row r="615" spans="5:14">
      <c r="E615">
        <f>IFERROR(SMALL(E191:E559,ROW()-ROW($E$562)+1),"")</f>
        <v>0</v>
      </c>
      <c r="F615">
        <f>IFERROR(SMALL(F191:F559,ROW()-ROW($F$562)+1),"")</f>
        <v>0</v>
      </c>
      <c r="G615">
        <f>IFERROR(SMALL(G191:G559,ROW()-ROW($G$562)+1),"")</f>
        <v>0</v>
      </c>
      <c r="H615">
        <f>IFERROR(SMALL(H191:H559,ROW()-ROW($H$562)+1),"")</f>
        <v>0</v>
      </c>
      <c r="K615">
        <f>IFERROR(SMALL(K191:K559,ROW()-ROW($K$562)+1),"")</f>
        <v>0</v>
      </c>
      <c r="L615">
        <f>IFERROR(SMALL(L191:L559,ROW()-ROW($L$562)+1),"")</f>
        <v>0</v>
      </c>
      <c r="M615">
        <f>IFERROR(SMALL(M191:M559,ROW()-ROW($M$562)+1),"")</f>
        <v>0</v>
      </c>
      <c r="N615">
        <f>IFERROR(SMALL(N191:N559,ROW()-ROW($N$562)+1),"")</f>
        <v>0</v>
      </c>
    </row>
    <row r="616" spans="5:14">
      <c r="E616">
        <f>IFERROR(SMALL(E191:E559,ROW()-ROW($E$562)+1),"")</f>
        <v>0</v>
      </c>
      <c r="F616">
        <f>IFERROR(SMALL(F191:F559,ROW()-ROW($F$562)+1),"")</f>
        <v>0</v>
      </c>
      <c r="G616">
        <f>IFERROR(SMALL(G191:G559,ROW()-ROW($G$562)+1),"")</f>
        <v>0</v>
      </c>
      <c r="H616">
        <f>IFERROR(SMALL(H191:H559,ROW()-ROW($H$562)+1),"")</f>
        <v>0</v>
      </c>
      <c r="K616">
        <f>IFERROR(SMALL(K191:K559,ROW()-ROW($K$562)+1),"")</f>
        <v>0</v>
      </c>
      <c r="L616">
        <f>IFERROR(SMALL(L191:L559,ROW()-ROW($L$562)+1),"")</f>
        <v>0</v>
      </c>
      <c r="M616">
        <f>IFERROR(SMALL(M191:M559,ROW()-ROW($M$562)+1),"")</f>
        <v>0</v>
      </c>
      <c r="N616">
        <f>IFERROR(SMALL(N191:N559,ROW()-ROW($N$562)+1),"")</f>
        <v>0</v>
      </c>
    </row>
    <row r="617" spans="5:14">
      <c r="E617">
        <f>IFERROR(SMALL(E191:E559,ROW()-ROW($E$562)+1),"")</f>
        <v>0</v>
      </c>
      <c r="F617">
        <f>IFERROR(SMALL(F191:F559,ROW()-ROW($F$562)+1),"")</f>
        <v>0</v>
      </c>
      <c r="G617">
        <f>IFERROR(SMALL(G191:G559,ROW()-ROW($G$562)+1),"")</f>
        <v>0</v>
      </c>
      <c r="H617">
        <f>IFERROR(SMALL(H191:H559,ROW()-ROW($H$562)+1),"")</f>
        <v>0</v>
      </c>
      <c r="K617">
        <f>IFERROR(SMALL(K191:K559,ROW()-ROW($K$562)+1),"")</f>
        <v>0</v>
      </c>
      <c r="L617">
        <f>IFERROR(SMALL(L191:L559,ROW()-ROW($L$562)+1),"")</f>
        <v>0</v>
      </c>
      <c r="M617">
        <f>IFERROR(SMALL(M191:M559,ROW()-ROW($M$562)+1),"")</f>
        <v>0</v>
      </c>
      <c r="N617">
        <f>IFERROR(SMALL(N191:N559,ROW()-ROW($N$562)+1),"")</f>
        <v>0</v>
      </c>
    </row>
    <row r="618" spans="5:14">
      <c r="E618">
        <f>IFERROR(SMALL(E191:E559,ROW()-ROW($E$562)+1),"")</f>
        <v>0</v>
      </c>
      <c r="F618">
        <f>IFERROR(SMALL(F191:F559,ROW()-ROW($F$562)+1),"")</f>
        <v>0</v>
      </c>
      <c r="G618">
        <f>IFERROR(SMALL(G191:G559,ROW()-ROW($G$562)+1),"")</f>
        <v>0</v>
      </c>
      <c r="H618">
        <f>IFERROR(SMALL(H191:H559,ROW()-ROW($H$562)+1),"")</f>
        <v>0</v>
      </c>
      <c r="K618">
        <f>IFERROR(SMALL(K191:K559,ROW()-ROW($K$562)+1),"")</f>
        <v>0</v>
      </c>
      <c r="L618">
        <f>IFERROR(SMALL(L191:L559,ROW()-ROW($L$562)+1),"")</f>
        <v>0</v>
      </c>
      <c r="M618">
        <f>IFERROR(SMALL(M191:M559,ROW()-ROW($M$562)+1),"")</f>
        <v>0</v>
      </c>
      <c r="N618">
        <f>IFERROR(SMALL(N191:N559,ROW()-ROW($N$562)+1),"")</f>
        <v>0</v>
      </c>
    </row>
    <row r="619" spans="5:14">
      <c r="E619">
        <f>IFERROR(SMALL(E191:E559,ROW()-ROW($E$562)+1),"")</f>
        <v>0</v>
      </c>
      <c r="F619">
        <f>IFERROR(SMALL(F191:F559,ROW()-ROW($F$562)+1),"")</f>
        <v>0</v>
      </c>
      <c r="G619">
        <f>IFERROR(SMALL(G191:G559,ROW()-ROW($G$562)+1),"")</f>
        <v>0</v>
      </c>
      <c r="H619">
        <f>IFERROR(SMALL(H191:H559,ROW()-ROW($H$562)+1),"")</f>
        <v>0</v>
      </c>
      <c r="K619">
        <f>IFERROR(SMALL(K191:K559,ROW()-ROW($K$562)+1),"")</f>
        <v>0</v>
      </c>
      <c r="L619">
        <f>IFERROR(SMALL(L191:L559,ROW()-ROW($L$562)+1),"")</f>
        <v>0</v>
      </c>
      <c r="M619">
        <f>IFERROR(SMALL(M191:M559,ROW()-ROW($M$562)+1),"")</f>
        <v>0</v>
      </c>
      <c r="N619">
        <f>IFERROR(SMALL(N191:N559,ROW()-ROW($N$562)+1),"")</f>
        <v>0</v>
      </c>
    </row>
    <row r="620" spans="5:14">
      <c r="E620">
        <f>IFERROR(SMALL(E191:E559,ROW()-ROW($E$562)+1),"")</f>
        <v>0</v>
      </c>
      <c r="F620">
        <f>IFERROR(SMALL(F191:F559,ROW()-ROW($F$562)+1),"")</f>
        <v>0</v>
      </c>
      <c r="G620">
        <f>IFERROR(SMALL(G191:G559,ROW()-ROW($G$562)+1),"")</f>
        <v>0</v>
      </c>
      <c r="H620">
        <f>IFERROR(SMALL(H191:H559,ROW()-ROW($H$562)+1),"")</f>
        <v>0</v>
      </c>
      <c r="K620">
        <f>IFERROR(SMALL(K191:K559,ROW()-ROW($K$562)+1),"")</f>
        <v>0</v>
      </c>
      <c r="L620">
        <f>IFERROR(SMALL(L191:L559,ROW()-ROW($L$562)+1),"")</f>
        <v>0</v>
      </c>
      <c r="M620">
        <f>IFERROR(SMALL(M191:M559,ROW()-ROW($M$562)+1),"")</f>
        <v>0</v>
      </c>
      <c r="N620">
        <f>IFERROR(SMALL(N191:N559,ROW()-ROW($N$562)+1),"")</f>
        <v>0</v>
      </c>
    </row>
    <row r="621" spans="5:14">
      <c r="E621">
        <f>IFERROR(SMALL(E191:E559,ROW()-ROW($E$562)+1),"")</f>
        <v>0</v>
      </c>
      <c r="F621">
        <f>IFERROR(SMALL(F191:F559,ROW()-ROW($F$562)+1),"")</f>
        <v>0</v>
      </c>
      <c r="G621">
        <f>IFERROR(SMALL(G191:G559,ROW()-ROW($G$562)+1),"")</f>
        <v>0</v>
      </c>
      <c r="H621">
        <f>IFERROR(SMALL(H191:H559,ROW()-ROW($H$562)+1),"")</f>
        <v>0</v>
      </c>
      <c r="K621">
        <f>IFERROR(SMALL(K191:K559,ROW()-ROW($K$562)+1),"")</f>
        <v>0</v>
      </c>
      <c r="L621">
        <f>IFERROR(SMALL(L191:L559,ROW()-ROW($L$562)+1),"")</f>
        <v>0</v>
      </c>
      <c r="M621">
        <f>IFERROR(SMALL(M191:M559,ROW()-ROW($M$562)+1),"")</f>
        <v>0</v>
      </c>
      <c r="N621">
        <f>IFERROR(SMALL(N191:N559,ROW()-ROW($N$562)+1),"")</f>
        <v>0</v>
      </c>
    </row>
    <row r="622" spans="5:14">
      <c r="E622">
        <f>IFERROR(SMALL(E191:E559,ROW()-ROW($E$562)+1),"")</f>
        <v>0</v>
      </c>
      <c r="F622">
        <f>IFERROR(SMALL(F191:F559,ROW()-ROW($F$562)+1),"")</f>
        <v>0</v>
      </c>
      <c r="G622">
        <f>IFERROR(SMALL(G191:G559,ROW()-ROW($G$562)+1),"")</f>
        <v>0</v>
      </c>
      <c r="H622">
        <f>IFERROR(SMALL(H191:H559,ROW()-ROW($H$562)+1),"")</f>
        <v>0</v>
      </c>
      <c r="K622">
        <f>IFERROR(SMALL(K191:K559,ROW()-ROW($K$562)+1),"")</f>
        <v>0</v>
      </c>
      <c r="L622">
        <f>IFERROR(SMALL(L191:L559,ROW()-ROW($L$562)+1),"")</f>
        <v>0</v>
      </c>
      <c r="M622">
        <f>IFERROR(SMALL(M191:M559,ROW()-ROW($M$562)+1),"")</f>
        <v>0</v>
      </c>
      <c r="N622">
        <f>IFERROR(SMALL(N191:N559,ROW()-ROW($N$562)+1),"")</f>
        <v>0</v>
      </c>
    </row>
    <row r="623" spans="5:14">
      <c r="E623">
        <f>IFERROR(SMALL(E191:E559,ROW()-ROW($E$562)+1),"")</f>
        <v>0</v>
      </c>
      <c r="F623">
        <f>IFERROR(SMALL(F191:F559,ROW()-ROW($F$562)+1),"")</f>
        <v>0</v>
      </c>
      <c r="G623">
        <f>IFERROR(SMALL(G191:G559,ROW()-ROW($G$562)+1),"")</f>
        <v>0</v>
      </c>
      <c r="H623">
        <f>IFERROR(SMALL(H191:H559,ROW()-ROW($H$562)+1),"")</f>
        <v>0</v>
      </c>
      <c r="K623">
        <f>IFERROR(SMALL(K191:K559,ROW()-ROW($K$562)+1),"")</f>
        <v>0</v>
      </c>
      <c r="L623">
        <f>IFERROR(SMALL(L191:L559,ROW()-ROW($L$562)+1),"")</f>
        <v>0</v>
      </c>
      <c r="M623">
        <f>IFERROR(SMALL(M191:M559,ROW()-ROW($M$562)+1),"")</f>
        <v>0</v>
      </c>
      <c r="N623">
        <f>IFERROR(SMALL(N191:N559,ROW()-ROW($N$562)+1),"")</f>
        <v>0</v>
      </c>
    </row>
    <row r="624" spans="5:14">
      <c r="E624">
        <f>IFERROR(SMALL(E191:E559,ROW()-ROW($E$562)+1),"")</f>
        <v>0</v>
      </c>
      <c r="F624">
        <f>IFERROR(SMALL(F191:F559,ROW()-ROW($F$562)+1),"")</f>
        <v>0</v>
      </c>
      <c r="G624">
        <f>IFERROR(SMALL(G191:G559,ROW()-ROW($G$562)+1),"")</f>
        <v>0</v>
      </c>
      <c r="H624">
        <f>IFERROR(SMALL(H191:H559,ROW()-ROW($H$562)+1),"")</f>
        <v>0</v>
      </c>
      <c r="K624">
        <f>IFERROR(SMALL(K191:K559,ROW()-ROW($K$562)+1),"")</f>
        <v>0</v>
      </c>
      <c r="L624">
        <f>IFERROR(SMALL(L191:L559,ROW()-ROW($L$562)+1),"")</f>
        <v>0</v>
      </c>
      <c r="M624">
        <f>IFERROR(SMALL(M191:M559,ROW()-ROW($M$562)+1),"")</f>
        <v>0</v>
      </c>
      <c r="N624">
        <f>IFERROR(SMALL(N191:N559,ROW()-ROW($N$562)+1),"")</f>
        <v>0</v>
      </c>
    </row>
    <row r="625" spans="5:14">
      <c r="E625">
        <f>IFERROR(SMALL(E191:E559,ROW()-ROW($E$562)+1),"")</f>
        <v>0</v>
      </c>
      <c r="F625">
        <f>IFERROR(SMALL(F191:F559,ROW()-ROW($F$562)+1),"")</f>
        <v>0</v>
      </c>
      <c r="G625">
        <f>IFERROR(SMALL(G191:G559,ROW()-ROW($G$562)+1),"")</f>
        <v>0</v>
      </c>
      <c r="H625">
        <f>IFERROR(SMALL(H191:H559,ROW()-ROW($H$562)+1),"")</f>
        <v>0</v>
      </c>
      <c r="K625">
        <f>IFERROR(SMALL(K191:K559,ROW()-ROW($K$562)+1),"")</f>
        <v>0</v>
      </c>
      <c r="L625">
        <f>IFERROR(SMALL(L191:L559,ROW()-ROW($L$562)+1),"")</f>
        <v>0</v>
      </c>
      <c r="M625">
        <f>IFERROR(SMALL(M191:M559,ROW()-ROW($M$562)+1),"")</f>
        <v>0</v>
      </c>
      <c r="N625">
        <f>IFERROR(SMALL(N191:N559,ROW()-ROW($N$562)+1),"")</f>
        <v>0</v>
      </c>
    </row>
    <row r="626" spans="5:14">
      <c r="E626">
        <f>IFERROR(SMALL(E191:E559,ROW()-ROW($E$562)+1),"")</f>
        <v>0</v>
      </c>
      <c r="F626">
        <f>IFERROR(SMALL(F191:F559,ROW()-ROW($F$562)+1),"")</f>
        <v>0</v>
      </c>
      <c r="G626">
        <f>IFERROR(SMALL(G191:G559,ROW()-ROW($G$562)+1),"")</f>
        <v>0</v>
      </c>
      <c r="H626">
        <f>IFERROR(SMALL(H191:H559,ROW()-ROW($H$562)+1),"")</f>
        <v>0</v>
      </c>
      <c r="K626">
        <f>IFERROR(SMALL(K191:K559,ROW()-ROW($K$562)+1),"")</f>
        <v>0</v>
      </c>
      <c r="L626">
        <f>IFERROR(SMALL(L191:L559,ROW()-ROW($L$562)+1),"")</f>
        <v>0</v>
      </c>
      <c r="M626">
        <f>IFERROR(SMALL(M191:M559,ROW()-ROW($M$562)+1),"")</f>
        <v>0</v>
      </c>
      <c r="N626">
        <f>IFERROR(SMALL(N191:N559,ROW()-ROW($N$562)+1),"")</f>
        <v>0</v>
      </c>
    </row>
    <row r="627" spans="5:14">
      <c r="E627">
        <f>IFERROR(SMALL(E191:E559,ROW()-ROW($E$562)+1),"")</f>
        <v>0</v>
      </c>
      <c r="F627">
        <f>IFERROR(SMALL(F191:F559,ROW()-ROW($F$562)+1),"")</f>
        <v>0</v>
      </c>
      <c r="G627">
        <f>IFERROR(SMALL(G191:G559,ROW()-ROW($G$562)+1),"")</f>
        <v>0</v>
      </c>
      <c r="H627">
        <f>IFERROR(SMALL(H191:H559,ROW()-ROW($H$562)+1),"")</f>
        <v>0</v>
      </c>
      <c r="K627">
        <f>IFERROR(SMALL(K191:K559,ROW()-ROW($K$562)+1),"")</f>
        <v>0</v>
      </c>
      <c r="L627">
        <f>IFERROR(SMALL(L191:L559,ROW()-ROW($L$562)+1),"")</f>
        <v>0</v>
      </c>
      <c r="M627">
        <f>IFERROR(SMALL(M191:M559,ROW()-ROW($M$562)+1),"")</f>
        <v>0</v>
      </c>
      <c r="N627">
        <f>IFERROR(SMALL(N191:N559,ROW()-ROW($N$562)+1),"")</f>
        <v>0</v>
      </c>
    </row>
    <row r="628" spans="5:14">
      <c r="E628">
        <f>IFERROR(SMALL(E191:E559,ROW()-ROW($E$562)+1),"")</f>
        <v>0</v>
      </c>
      <c r="F628">
        <f>IFERROR(SMALL(F191:F559,ROW()-ROW($F$562)+1),"")</f>
        <v>0</v>
      </c>
      <c r="G628">
        <f>IFERROR(SMALL(G191:G559,ROW()-ROW($G$562)+1),"")</f>
        <v>0</v>
      </c>
      <c r="H628">
        <f>IFERROR(SMALL(H191:H559,ROW()-ROW($H$562)+1),"")</f>
        <v>0</v>
      </c>
      <c r="K628">
        <f>IFERROR(SMALL(K191:K559,ROW()-ROW($K$562)+1),"")</f>
        <v>0</v>
      </c>
      <c r="L628">
        <f>IFERROR(SMALL(L191:L559,ROW()-ROW($L$562)+1),"")</f>
        <v>0</v>
      </c>
      <c r="M628">
        <f>IFERROR(SMALL(M191:M559,ROW()-ROW($M$562)+1),"")</f>
        <v>0</v>
      </c>
      <c r="N628">
        <f>IFERROR(SMALL(N191:N559,ROW()-ROW($N$562)+1),"")</f>
        <v>0</v>
      </c>
    </row>
    <row r="629" spans="5:14">
      <c r="E629">
        <f>IFERROR(SMALL(E191:E559,ROW()-ROW($E$562)+1),"")</f>
        <v>0</v>
      </c>
      <c r="F629">
        <f>IFERROR(SMALL(F191:F559,ROW()-ROW($F$562)+1),"")</f>
        <v>0</v>
      </c>
      <c r="G629">
        <f>IFERROR(SMALL(G191:G559,ROW()-ROW($G$562)+1),"")</f>
        <v>0</v>
      </c>
      <c r="H629">
        <f>IFERROR(SMALL(H191:H559,ROW()-ROW($H$562)+1),"")</f>
        <v>0</v>
      </c>
      <c r="K629">
        <f>IFERROR(SMALL(K191:K559,ROW()-ROW($K$562)+1),"")</f>
        <v>0</v>
      </c>
      <c r="L629">
        <f>IFERROR(SMALL(L191:L559,ROW()-ROW($L$562)+1),"")</f>
        <v>0</v>
      </c>
      <c r="M629">
        <f>IFERROR(SMALL(M191:M559,ROW()-ROW($M$562)+1),"")</f>
        <v>0</v>
      </c>
      <c r="N629">
        <f>IFERROR(SMALL(N191:N559,ROW()-ROW($N$562)+1),"")</f>
        <v>0</v>
      </c>
    </row>
    <row r="630" spans="5:14">
      <c r="E630">
        <f>IFERROR(SMALL(E191:E559,ROW()-ROW($E$562)+1),"")</f>
        <v>0</v>
      </c>
      <c r="F630">
        <f>IFERROR(SMALL(F191:F559,ROW()-ROW($F$562)+1),"")</f>
        <v>0</v>
      </c>
      <c r="G630">
        <f>IFERROR(SMALL(G191:G559,ROW()-ROW($G$562)+1),"")</f>
        <v>0</v>
      </c>
      <c r="H630">
        <f>IFERROR(SMALL(H191:H559,ROW()-ROW($H$562)+1),"")</f>
        <v>0</v>
      </c>
      <c r="K630">
        <f>IFERROR(SMALL(K191:K559,ROW()-ROW($K$562)+1),"")</f>
        <v>0</v>
      </c>
      <c r="L630">
        <f>IFERROR(SMALL(L191:L559,ROW()-ROW($L$562)+1),"")</f>
        <v>0</v>
      </c>
      <c r="M630">
        <f>IFERROR(SMALL(M191:M559,ROW()-ROW($M$562)+1),"")</f>
        <v>0</v>
      </c>
      <c r="N630">
        <f>IFERROR(SMALL(N191:N559,ROW()-ROW($N$562)+1),"")</f>
        <v>0</v>
      </c>
    </row>
    <row r="631" spans="5:14">
      <c r="E631">
        <f>IFERROR(SMALL(E191:E559,ROW()-ROW($E$562)+1),"")</f>
        <v>0</v>
      </c>
      <c r="F631">
        <f>IFERROR(SMALL(F191:F559,ROW()-ROW($F$562)+1),"")</f>
        <v>0</v>
      </c>
      <c r="G631">
        <f>IFERROR(SMALL(G191:G559,ROW()-ROW($G$562)+1),"")</f>
        <v>0</v>
      </c>
      <c r="H631">
        <f>IFERROR(SMALL(H191:H559,ROW()-ROW($H$562)+1),"")</f>
        <v>0</v>
      </c>
      <c r="K631">
        <f>IFERROR(SMALL(K191:K559,ROW()-ROW($K$562)+1),"")</f>
        <v>0</v>
      </c>
      <c r="L631">
        <f>IFERROR(SMALL(L191:L559,ROW()-ROW($L$562)+1),"")</f>
        <v>0</v>
      </c>
      <c r="M631">
        <f>IFERROR(SMALL(M191:M559,ROW()-ROW($M$562)+1),"")</f>
        <v>0</v>
      </c>
      <c r="N631">
        <f>IFERROR(SMALL(N191:N559,ROW()-ROW($N$562)+1),"")</f>
        <v>0</v>
      </c>
    </row>
    <row r="632" spans="5:14">
      <c r="E632">
        <f>IFERROR(SMALL(E191:E559,ROW()-ROW($E$562)+1),"")</f>
        <v>0</v>
      </c>
      <c r="F632">
        <f>IFERROR(SMALL(F191:F559,ROW()-ROW($F$562)+1),"")</f>
        <v>0</v>
      </c>
      <c r="G632">
        <f>IFERROR(SMALL(G191:G559,ROW()-ROW($G$562)+1),"")</f>
        <v>0</v>
      </c>
      <c r="H632">
        <f>IFERROR(SMALL(H191:H559,ROW()-ROW($H$562)+1),"")</f>
        <v>0</v>
      </c>
      <c r="K632">
        <f>IFERROR(SMALL(K191:K559,ROW()-ROW($K$562)+1),"")</f>
        <v>0</v>
      </c>
      <c r="L632">
        <f>IFERROR(SMALL(L191:L559,ROW()-ROW($L$562)+1),"")</f>
        <v>0</v>
      </c>
      <c r="M632">
        <f>IFERROR(SMALL(M191:M559,ROW()-ROW($M$562)+1),"")</f>
        <v>0</v>
      </c>
      <c r="N632">
        <f>IFERROR(SMALL(N191:N559,ROW()-ROW($N$562)+1),"")</f>
        <v>0</v>
      </c>
    </row>
    <row r="633" spans="5:14">
      <c r="E633">
        <f>IFERROR(SMALL(E191:E559,ROW()-ROW($E$562)+1),"")</f>
        <v>0</v>
      </c>
      <c r="F633">
        <f>IFERROR(SMALL(F191:F559,ROW()-ROW($F$562)+1),"")</f>
        <v>0</v>
      </c>
      <c r="G633">
        <f>IFERROR(SMALL(G191:G559,ROW()-ROW($G$562)+1),"")</f>
        <v>0</v>
      </c>
      <c r="H633">
        <f>IFERROR(SMALL(H191:H559,ROW()-ROW($H$562)+1),"")</f>
        <v>0</v>
      </c>
      <c r="K633">
        <f>IFERROR(SMALL(K191:K559,ROW()-ROW($K$562)+1),"")</f>
        <v>0</v>
      </c>
      <c r="L633">
        <f>IFERROR(SMALL(L191:L559,ROW()-ROW($L$562)+1),"")</f>
        <v>0</v>
      </c>
      <c r="M633">
        <f>IFERROR(SMALL(M191:M559,ROW()-ROW($M$562)+1),"")</f>
        <v>0</v>
      </c>
      <c r="N633">
        <f>IFERROR(SMALL(N191:N559,ROW()-ROW($N$562)+1),"")</f>
        <v>0</v>
      </c>
    </row>
    <row r="634" spans="5:14">
      <c r="E634">
        <f>IFERROR(SMALL(E191:E559,ROW()-ROW($E$562)+1),"")</f>
        <v>0</v>
      </c>
      <c r="F634">
        <f>IFERROR(SMALL(F191:F559,ROW()-ROW($F$562)+1),"")</f>
        <v>0</v>
      </c>
      <c r="G634">
        <f>IFERROR(SMALL(G191:G559,ROW()-ROW($G$562)+1),"")</f>
        <v>0</v>
      </c>
      <c r="H634">
        <f>IFERROR(SMALL(H191:H559,ROW()-ROW($H$562)+1),"")</f>
        <v>0</v>
      </c>
      <c r="K634">
        <f>IFERROR(SMALL(K191:K559,ROW()-ROW($K$562)+1),"")</f>
        <v>0</v>
      </c>
      <c r="L634">
        <f>IFERROR(SMALL(L191:L559,ROW()-ROW($L$562)+1),"")</f>
        <v>0</v>
      </c>
      <c r="M634">
        <f>IFERROR(SMALL(M191:M559,ROW()-ROW($M$562)+1),"")</f>
        <v>0</v>
      </c>
      <c r="N634">
        <f>IFERROR(SMALL(N191:N559,ROW()-ROW($N$562)+1),"")</f>
        <v>0</v>
      </c>
    </row>
    <row r="635" spans="5:14">
      <c r="E635">
        <f>IFERROR(SMALL(E191:E559,ROW()-ROW($E$562)+1),"")</f>
        <v>0</v>
      </c>
      <c r="F635">
        <f>IFERROR(SMALL(F191:F559,ROW()-ROW($F$562)+1),"")</f>
        <v>0</v>
      </c>
      <c r="G635">
        <f>IFERROR(SMALL(G191:G559,ROW()-ROW($G$562)+1),"")</f>
        <v>0</v>
      </c>
      <c r="H635">
        <f>IFERROR(SMALL(H191:H559,ROW()-ROW($H$562)+1),"")</f>
        <v>0</v>
      </c>
      <c r="K635">
        <f>IFERROR(SMALL(K191:K559,ROW()-ROW($K$562)+1),"")</f>
        <v>0</v>
      </c>
      <c r="L635">
        <f>IFERROR(SMALL(L191:L559,ROW()-ROW($L$562)+1),"")</f>
        <v>0</v>
      </c>
      <c r="M635">
        <f>IFERROR(SMALL(M191:M559,ROW()-ROW($M$562)+1),"")</f>
        <v>0</v>
      </c>
      <c r="N635">
        <f>IFERROR(SMALL(N191:N559,ROW()-ROW($N$562)+1),"")</f>
        <v>0</v>
      </c>
    </row>
    <row r="636" spans="5:14">
      <c r="E636">
        <f>IFERROR(SMALL(E191:E559,ROW()-ROW($E$562)+1),"")</f>
        <v>0</v>
      </c>
      <c r="F636">
        <f>IFERROR(SMALL(F191:F559,ROW()-ROW($F$562)+1),"")</f>
        <v>0</v>
      </c>
      <c r="G636">
        <f>IFERROR(SMALL(G191:G559,ROW()-ROW($G$562)+1),"")</f>
        <v>0</v>
      </c>
      <c r="H636">
        <f>IFERROR(SMALL(H191:H559,ROW()-ROW($H$562)+1),"")</f>
        <v>0</v>
      </c>
      <c r="K636">
        <f>IFERROR(SMALL(K191:K559,ROW()-ROW($K$562)+1),"")</f>
        <v>0</v>
      </c>
      <c r="L636">
        <f>IFERROR(SMALL(L191:L559,ROW()-ROW($L$562)+1),"")</f>
        <v>0</v>
      </c>
      <c r="M636">
        <f>IFERROR(SMALL(M191:M559,ROW()-ROW($M$562)+1),"")</f>
        <v>0</v>
      </c>
      <c r="N636">
        <f>IFERROR(SMALL(N191:N559,ROW()-ROW($N$562)+1),"")</f>
        <v>0</v>
      </c>
    </row>
    <row r="637" spans="5:14">
      <c r="E637">
        <f>IFERROR(SMALL(E191:E559,ROW()-ROW($E$562)+1),"")</f>
        <v>0</v>
      </c>
      <c r="F637">
        <f>IFERROR(SMALL(F191:F559,ROW()-ROW($F$562)+1),"")</f>
        <v>0</v>
      </c>
      <c r="G637">
        <f>IFERROR(SMALL(G191:G559,ROW()-ROW($G$562)+1),"")</f>
        <v>0</v>
      </c>
      <c r="H637">
        <f>IFERROR(SMALL(H191:H559,ROW()-ROW($H$562)+1),"")</f>
        <v>0</v>
      </c>
      <c r="K637">
        <f>IFERROR(SMALL(K191:K559,ROW()-ROW($K$562)+1),"")</f>
        <v>0</v>
      </c>
      <c r="L637">
        <f>IFERROR(SMALL(L191:L559,ROW()-ROW($L$562)+1),"")</f>
        <v>0</v>
      </c>
      <c r="M637">
        <f>IFERROR(SMALL(M191:M559,ROW()-ROW($M$562)+1),"")</f>
        <v>0</v>
      </c>
      <c r="N637">
        <f>IFERROR(SMALL(N191:N559,ROW()-ROW($N$562)+1),"")</f>
        <v>0</v>
      </c>
    </row>
    <row r="638" spans="5:14">
      <c r="E638">
        <f>IFERROR(SMALL(E191:E559,ROW()-ROW($E$562)+1),"")</f>
        <v>0</v>
      </c>
      <c r="F638">
        <f>IFERROR(SMALL(F191:F559,ROW()-ROW($F$562)+1),"")</f>
        <v>0</v>
      </c>
      <c r="G638">
        <f>IFERROR(SMALL(G191:G559,ROW()-ROW($G$562)+1),"")</f>
        <v>0</v>
      </c>
      <c r="H638">
        <f>IFERROR(SMALL(H191:H559,ROW()-ROW($H$562)+1),"")</f>
        <v>0</v>
      </c>
      <c r="K638">
        <f>IFERROR(SMALL(K191:K559,ROW()-ROW($K$562)+1),"")</f>
        <v>0</v>
      </c>
      <c r="L638">
        <f>IFERROR(SMALL(L191:L559,ROW()-ROW($L$562)+1),"")</f>
        <v>0</v>
      </c>
      <c r="M638">
        <f>IFERROR(SMALL(M191:M559,ROW()-ROW($M$562)+1),"")</f>
        <v>0</v>
      </c>
      <c r="N638">
        <f>IFERROR(SMALL(N191:N559,ROW()-ROW($N$562)+1),"")</f>
        <v>0</v>
      </c>
    </row>
    <row r="639" spans="5:14">
      <c r="E639">
        <f>IFERROR(SMALL(E191:E559,ROW()-ROW($E$562)+1),"")</f>
        <v>0</v>
      </c>
      <c r="F639">
        <f>IFERROR(SMALL(F191:F559,ROW()-ROW($F$562)+1),"")</f>
        <v>0</v>
      </c>
      <c r="G639">
        <f>IFERROR(SMALL(G191:G559,ROW()-ROW($G$562)+1),"")</f>
        <v>0</v>
      </c>
      <c r="H639">
        <f>IFERROR(SMALL(H191:H559,ROW()-ROW($H$562)+1),"")</f>
        <v>0</v>
      </c>
      <c r="K639">
        <f>IFERROR(SMALL(K191:K559,ROW()-ROW($K$562)+1),"")</f>
        <v>0</v>
      </c>
      <c r="L639">
        <f>IFERROR(SMALL(L191:L559,ROW()-ROW($L$562)+1),"")</f>
        <v>0</v>
      </c>
      <c r="M639">
        <f>IFERROR(SMALL(M191:M559,ROW()-ROW($M$562)+1),"")</f>
        <v>0</v>
      </c>
      <c r="N639">
        <f>IFERROR(SMALL(N191:N559,ROW()-ROW($N$562)+1),"")</f>
        <v>0</v>
      </c>
    </row>
    <row r="640" spans="5:14">
      <c r="E640">
        <f>IFERROR(SMALL(E191:E559,ROW()-ROW($E$562)+1),"")</f>
        <v>0</v>
      </c>
      <c r="F640">
        <f>IFERROR(SMALL(F191:F559,ROW()-ROW($F$562)+1),"")</f>
        <v>0</v>
      </c>
      <c r="G640">
        <f>IFERROR(SMALL(G191:G559,ROW()-ROW($G$562)+1),"")</f>
        <v>0</v>
      </c>
      <c r="H640">
        <f>IFERROR(SMALL(H191:H559,ROW()-ROW($H$562)+1),"")</f>
        <v>0</v>
      </c>
      <c r="K640">
        <f>IFERROR(SMALL(K191:K559,ROW()-ROW($K$562)+1),"")</f>
        <v>0</v>
      </c>
      <c r="L640">
        <f>IFERROR(SMALL(L191:L559,ROW()-ROW($L$562)+1),"")</f>
        <v>0</v>
      </c>
      <c r="M640">
        <f>IFERROR(SMALL(M191:M559,ROW()-ROW($M$562)+1),"")</f>
        <v>0</v>
      </c>
      <c r="N640">
        <f>IFERROR(SMALL(N191:N559,ROW()-ROW($N$562)+1),"")</f>
        <v>0</v>
      </c>
    </row>
    <row r="641" spans="5:14">
      <c r="E641">
        <f>IFERROR(SMALL(E191:E559,ROW()-ROW($E$562)+1),"")</f>
        <v>0</v>
      </c>
      <c r="F641">
        <f>IFERROR(SMALL(F191:F559,ROW()-ROW($F$562)+1),"")</f>
        <v>0</v>
      </c>
      <c r="G641">
        <f>IFERROR(SMALL(G191:G559,ROW()-ROW($G$562)+1),"")</f>
        <v>0</v>
      </c>
      <c r="H641">
        <f>IFERROR(SMALL(H191:H559,ROW()-ROW($H$562)+1),"")</f>
        <v>0</v>
      </c>
      <c r="K641">
        <f>IFERROR(SMALL(K191:K559,ROW()-ROW($K$562)+1),"")</f>
        <v>0</v>
      </c>
      <c r="L641">
        <f>IFERROR(SMALL(L191:L559,ROW()-ROW($L$562)+1),"")</f>
        <v>0</v>
      </c>
      <c r="M641">
        <f>IFERROR(SMALL(M191:M559,ROW()-ROW($M$562)+1),"")</f>
        <v>0</v>
      </c>
      <c r="N641">
        <f>IFERROR(SMALL(N191:N559,ROW()-ROW($N$562)+1),"")</f>
        <v>0</v>
      </c>
    </row>
    <row r="642" spans="5:14">
      <c r="E642">
        <f>IFERROR(SMALL(E191:E559,ROW()-ROW($E$562)+1),"")</f>
        <v>0</v>
      </c>
      <c r="F642">
        <f>IFERROR(SMALL(F191:F559,ROW()-ROW($F$562)+1),"")</f>
        <v>0</v>
      </c>
      <c r="G642">
        <f>IFERROR(SMALL(G191:G559,ROW()-ROW($G$562)+1),"")</f>
        <v>0</v>
      </c>
      <c r="H642">
        <f>IFERROR(SMALL(H191:H559,ROW()-ROW($H$562)+1),"")</f>
        <v>0</v>
      </c>
      <c r="K642">
        <f>IFERROR(SMALL(K191:K559,ROW()-ROW($K$562)+1),"")</f>
        <v>0</v>
      </c>
      <c r="L642">
        <f>IFERROR(SMALL(L191:L559,ROW()-ROW($L$562)+1),"")</f>
        <v>0</v>
      </c>
      <c r="M642">
        <f>IFERROR(SMALL(M191:M559,ROW()-ROW($M$562)+1),"")</f>
        <v>0</v>
      </c>
      <c r="N642">
        <f>IFERROR(SMALL(N191:N559,ROW()-ROW($N$562)+1),"")</f>
        <v>0</v>
      </c>
    </row>
    <row r="643" spans="5:14">
      <c r="E643">
        <f>IFERROR(SMALL(E191:E559,ROW()-ROW($E$562)+1),"")</f>
        <v>0</v>
      </c>
      <c r="F643">
        <f>IFERROR(SMALL(F191:F559,ROW()-ROW($F$562)+1),"")</f>
        <v>0</v>
      </c>
      <c r="G643">
        <f>IFERROR(SMALL(G191:G559,ROW()-ROW($G$562)+1),"")</f>
        <v>0</v>
      </c>
      <c r="H643">
        <f>IFERROR(SMALL(H191:H559,ROW()-ROW($H$562)+1),"")</f>
        <v>0</v>
      </c>
      <c r="K643">
        <f>IFERROR(SMALL(K191:K559,ROW()-ROW($K$562)+1),"")</f>
        <v>0</v>
      </c>
      <c r="L643">
        <f>IFERROR(SMALL(L191:L559,ROW()-ROW($L$562)+1),"")</f>
        <v>0</v>
      </c>
      <c r="M643">
        <f>IFERROR(SMALL(M191:M559,ROW()-ROW($M$562)+1),"")</f>
        <v>0</v>
      </c>
      <c r="N643">
        <f>IFERROR(SMALL(N191:N559,ROW()-ROW($N$562)+1),"")</f>
        <v>0</v>
      </c>
    </row>
    <row r="644" spans="5:14">
      <c r="E644">
        <f>IFERROR(SMALL(E191:E559,ROW()-ROW($E$562)+1),"")</f>
        <v>0</v>
      </c>
      <c r="F644">
        <f>IFERROR(SMALL(F191:F559,ROW()-ROW($F$562)+1),"")</f>
        <v>0</v>
      </c>
      <c r="G644">
        <f>IFERROR(SMALL(G191:G559,ROW()-ROW($G$562)+1),"")</f>
        <v>0</v>
      </c>
      <c r="H644">
        <f>IFERROR(SMALL(H191:H559,ROW()-ROW($H$562)+1),"")</f>
        <v>0</v>
      </c>
      <c r="K644">
        <f>IFERROR(SMALL(K191:K559,ROW()-ROW($K$562)+1),"")</f>
        <v>0</v>
      </c>
      <c r="L644">
        <f>IFERROR(SMALL(L191:L559,ROW()-ROW($L$562)+1),"")</f>
        <v>0</v>
      </c>
      <c r="M644">
        <f>IFERROR(SMALL(M191:M559,ROW()-ROW($M$562)+1),"")</f>
        <v>0</v>
      </c>
      <c r="N644">
        <f>IFERROR(SMALL(N191:N559,ROW()-ROW($N$562)+1),"")</f>
        <v>0</v>
      </c>
    </row>
    <row r="645" spans="5:14">
      <c r="E645">
        <f>IFERROR(SMALL(E191:E559,ROW()-ROW($E$562)+1),"")</f>
        <v>0</v>
      </c>
      <c r="F645">
        <f>IFERROR(SMALL(F191:F559,ROW()-ROW($F$562)+1),"")</f>
        <v>0</v>
      </c>
      <c r="G645">
        <f>IFERROR(SMALL(G191:G559,ROW()-ROW($G$562)+1),"")</f>
        <v>0</v>
      </c>
      <c r="H645">
        <f>IFERROR(SMALL(H191:H559,ROW()-ROW($H$562)+1),"")</f>
        <v>0</v>
      </c>
      <c r="K645">
        <f>IFERROR(SMALL(K191:K559,ROW()-ROW($K$562)+1),"")</f>
        <v>0</v>
      </c>
      <c r="L645">
        <f>IFERROR(SMALL(L191:L559,ROW()-ROW($L$562)+1),"")</f>
        <v>0</v>
      </c>
      <c r="M645">
        <f>IFERROR(SMALL(M191:M559,ROW()-ROW($M$562)+1),"")</f>
        <v>0</v>
      </c>
      <c r="N645">
        <f>IFERROR(SMALL(N191:N559,ROW()-ROW($N$562)+1),"")</f>
        <v>0</v>
      </c>
    </row>
    <row r="646" spans="5:14">
      <c r="E646">
        <f>IFERROR(SMALL(E191:E559,ROW()-ROW($E$562)+1),"")</f>
        <v>0</v>
      </c>
      <c r="F646">
        <f>IFERROR(SMALL(F191:F559,ROW()-ROW($F$562)+1),"")</f>
        <v>0</v>
      </c>
      <c r="G646">
        <f>IFERROR(SMALL(G191:G559,ROW()-ROW($G$562)+1),"")</f>
        <v>0</v>
      </c>
      <c r="H646">
        <f>IFERROR(SMALL(H191:H559,ROW()-ROW($H$562)+1),"")</f>
        <v>0</v>
      </c>
      <c r="K646">
        <f>IFERROR(SMALL(K191:K559,ROW()-ROW($K$562)+1),"")</f>
        <v>0</v>
      </c>
      <c r="L646">
        <f>IFERROR(SMALL(L191:L559,ROW()-ROW($L$562)+1),"")</f>
        <v>0</v>
      </c>
      <c r="M646">
        <f>IFERROR(SMALL(M191:M559,ROW()-ROW($M$562)+1),"")</f>
        <v>0</v>
      </c>
      <c r="N646">
        <f>IFERROR(SMALL(N191:N559,ROW()-ROW($N$562)+1),"")</f>
        <v>0</v>
      </c>
    </row>
    <row r="647" spans="5:14">
      <c r="E647">
        <f>IFERROR(SMALL(E191:E559,ROW()-ROW($E$562)+1),"")</f>
        <v>0</v>
      </c>
      <c r="F647">
        <f>IFERROR(SMALL(F191:F559,ROW()-ROW($F$562)+1),"")</f>
        <v>0</v>
      </c>
      <c r="G647">
        <f>IFERROR(SMALL(G191:G559,ROW()-ROW($G$562)+1),"")</f>
        <v>0</v>
      </c>
      <c r="H647">
        <f>IFERROR(SMALL(H191:H559,ROW()-ROW($H$562)+1),"")</f>
        <v>0</v>
      </c>
      <c r="K647">
        <f>IFERROR(SMALL(K191:K559,ROW()-ROW($K$562)+1),"")</f>
        <v>0</v>
      </c>
      <c r="L647">
        <f>IFERROR(SMALL(L191:L559,ROW()-ROW($L$562)+1),"")</f>
        <v>0</v>
      </c>
      <c r="M647">
        <f>IFERROR(SMALL(M191:M559,ROW()-ROW($M$562)+1),"")</f>
        <v>0</v>
      </c>
      <c r="N647">
        <f>IFERROR(SMALL(N191:N559,ROW()-ROW($N$562)+1),"")</f>
        <v>0</v>
      </c>
    </row>
    <row r="648" spans="5:14">
      <c r="E648">
        <f>IFERROR(SMALL(E191:E559,ROW()-ROW($E$562)+1),"")</f>
        <v>0</v>
      </c>
      <c r="F648">
        <f>IFERROR(SMALL(F191:F559,ROW()-ROW($F$562)+1),"")</f>
        <v>0</v>
      </c>
      <c r="G648">
        <f>IFERROR(SMALL(G191:G559,ROW()-ROW($G$562)+1),"")</f>
        <v>0</v>
      </c>
      <c r="H648">
        <f>IFERROR(SMALL(H191:H559,ROW()-ROW($H$562)+1),"")</f>
        <v>0</v>
      </c>
      <c r="K648">
        <f>IFERROR(SMALL(K191:K559,ROW()-ROW($K$562)+1),"")</f>
        <v>0</v>
      </c>
      <c r="L648">
        <f>IFERROR(SMALL(L191:L559,ROW()-ROW($L$562)+1),"")</f>
        <v>0</v>
      </c>
      <c r="M648">
        <f>IFERROR(SMALL(M191:M559,ROW()-ROW($M$562)+1),"")</f>
        <v>0</v>
      </c>
      <c r="N648">
        <f>IFERROR(SMALL(N191:N559,ROW()-ROW($N$562)+1),"")</f>
        <v>0</v>
      </c>
    </row>
    <row r="649" spans="5:14">
      <c r="E649">
        <f>IFERROR(SMALL(E191:E559,ROW()-ROW($E$562)+1),"")</f>
        <v>0</v>
      </c>
      <c r="F649">
        <f>IFERROR(SMALL(F191:F559,ROW()-ROW($F$562)+1),"")</f>
        <v>0</v>
      </c>
      <c r="G649">
        <f>IFERROR(SMALL(G191:G559,ROW()-ROW($G$562)+1),"")</f>
        <v>0</v>
      </c>
      <c r="H649">
        <f>IFERROR(SMALL(H191:H559,ROW()-ROW($H$562)+1),"")</f>
        <v>0</v>
      </c>
      <c r="K649">
        <f>IFERROR(SMALL(K191:K559,ROW()-ROW($K$562)+1),"")</f>
        <v>0</v>
      </c>
      <c r="L649">
        <f>IFERROR(SMALL(L191:L559,ROW()-ROW($L$562)+1),"")</f>
        <v>0</v>
      </c>
      <c r="M649">
        <f>IFERROR(SMALL(M191:M559,ROW()-ROW($M$562)+1),"")</f>
        <v>0</v>
      </c>
      <c r="N649">
        <f>IFERROR(SMALL(N191:N559,ROW()-ROW($N$562)+1),"")</f>
        <v>0</v>
      </c>
    </row>
    <row r="650" spans="5:14">
      <c r="E650">
        <f>IFERROR(SMALL(E191:E559,ROW()-ROW($E$562)+1),"")</f>
        <v>0</v>
      </c>
      <c r="F650">
        <f>IFERROR(SMALL(F191:F559,ROW()-ROW($F$562)+1),"")</f>
        <v>0</v>
      </c>
      <c r="G650">
        <f>IFERROR(SMALL(G191:G559,ROW()-ROW($G$562)+1),"")</f>
        <v>0</v>
      </c>
      <c r="H650">
        <f>IFERROR(SMALL(H191:H559,ROW()-ROW($H$562)+1),"")</f>
        <v>0</v>
      </c>
      <c r="K650">
        <f>IFERROR(SMALL(K191:K559,ROW()-ROW($K$562)+1),"")</f>
        <v>0</v>
      </c>
      <c r="L650">
        <f>IFERROR(SMALL(L191:L559,ROW()-ROW($L$562)+1),"")</f>
        <v>0</v>
      </c>
      <c r="M650">
        <f>IFERROR(SMALL(M191:M559,ROW()-ROW($M$562)+1),"")</f>
        <v>0</v>
      </c>
      <c r="N650">
        <f>IFERROR(SMALL(N191:N559,ROW()-ROW($N$562)+1),"")</f>
        <v>0</v>
      </c>
    </row>
    <row r="651" spans="5:14">
      <c r="E651">
        <f>IFERROR(SMALL(E191:E559,ROW()-ROW($E$562)+1),"")</f>
        <v>0</v>
      </c>
      <c r="F651">
        <f>IFERROR(SMALL(F191:F559,ROW()-ROW($F$562)+1),"")</f>
        <v>0</v>
      </c>
      <c r="G651">
        <f>IFERROR(SMALL(G191:G559,ROW()-ROW($G$562)+1),"")</f>
        <v>0</v>
      </c>
      <c r="H651">
        <f>IFERROR(SMALL(H191:H559,ROW()-ROW($H$562)+1),"")</f>
        <v>0</v>
      </c>
      <c r="K651">
        <f>IFERROR(SMALL(K191:K559,ROW()-ROW($K$562)+1),"")</f>
        <v>0</v>
      </c>
      <c r="L651">
        <f>IFERROR(SMALL(L191:L559,ROW()-ROW($L$562)+1),"")</f>
        <v>0</v>
      </c>
      <c r="M651">
        <f>IFERROR(SMALL(M191:M559,ROW()-ROW($M$562)+1),"")</f>
        <v>0</v>
      </c>
      <c r="N651">
        <f>IFERROR(SMALL(N191:N559,ROW()-ROW($N$562)+1),"")</f>
        <v>0</v>
      </c>
    </row>
    <row r="652" spans="5:14">
      <c r="E652">
        <f>IFERROR(SMALL(E191:E559,ROW()-ROW($E$562)+1),"")</f>
        <v>0</v>
      </c>
      <c r="F652">
        <f>IFERROR(SMALL(F191:F559,ROW()-ROW($F$562)+1),"")</f>
        <v>0</v>
      </c>
      <c r="G652">
        <f>IFERROR(SMALL(G191:G559,ROW()-ROW($G$562)+1),"")</f>
        <v>0</v>
      </c>
      <c r="H652">
        <f>IFERROR(SMALL(H191:H559,ROW()-ROW($H$562)+1),"")</f>
        <v>0</v>
      </c>
      <c r="K652">
        <f>IFERROR(SMALL(K191:K559,ROW()-ROW($K$562)+1),"")</f>
        <v>0</v>
      </c>
      <c r="L652">
        <f>IFERROR(SMALL(L191:L559,ROW()-ROW($L$562)+1),"")</f>
        <v>0</v>
      </c>
      <c r="M652">
        <f>IFERROR(SMALL(M191:M559,ROW()-ROW($M$562)+1),"")</f>
        <v>0</v>
      </c>
      <c r="N652">
        <f>IFERROR(SMALL(N191:N559,ROW()-ROW($N$562)+1),"")</f>
        <v>0</v>
      </c>
    </row>
    <row r="653" spans="5:14">
      <c r="E653">
        <f>IFERROR(SMALL(E191:E559,ROW()-ROW($E$562)+1),"")</f>
        <v>0</v>
      </c>
      <c r="F653">
        <f>IFERROR(SMALL(F191:F559,ROW()-ROW($F$562)+1),"")</f>
        <v>0</v>
      </c>
      <c r="G653">
        <f>IFERROR(SMALL(G191:G559,ROW()-ROW($G$562)+1),"")</f>
        <v>0</v>
      </c>
      <c r="H653">
        <f>IFERROR(SMALL(H191:H559,ROW()-ROW($H$562)+1),"")</f>
        <v>0</v>
      </c>
      <c r="K653">
        <f>IFERROR(SMALL(K191:K559,ROW()-ROW($K$562)+1),"")</f>
        <v>0</v>
      </c>
      <c r="L653">
        <f>IFERROR(SMALL(L191:L559,ROW()-ROW($L$562)+1),"")</f>
        <v>0</v>
      </c>
      <c r="M653">
        <f>IFERROR(SMALL(M191:M559,ROW()-ROW($M$562)+1),"")</f>
        <v>0</v>
      </c>
      <c r="N653">
        <f>IFERROR(SMALL(N191:N559,ROW()-ROW($N$562)+1),"")</f>
        <v>0</v>
      </c>
    </row>
    <row r="654" spans="5:14">
      <c r="E654">
        <f>IFERROR(SMALL(E191:E559,ROW()-ROW($E$562)+1),"")</f>
        <v>0</v>
      </c>
      <c r="F654">
        <f>IFERROR(SMALL(F191:F559,ROW()-ROW($F$562)+1),"")</f>
        <v>0</v>
      </c>
      <c r="G654">
        <f>IFERROR(SMALL(G191:G559,ROW()-ROW($G$562)+1),"")</f>
        <v>0</v>
      </c>
      <c r="H654">
        <f>IFERROR(SMALL(H191:H559,ROW()-ROW($H$562)+1),"")</f>
        <v>0</v>
      </c>
      <c r="K654">
        <f>IFERROR(SMALL(K191:K559,ROW()-ROW($K$562)+1),"")</f>
        <v>0</v>
      </c>
      <c r="L654">
        <f>IFERROR(SMALL(L191:L559,ROW()-ROW($L$562)+1),"")</f>
        <v>0</v>
      </c>
      <c r="M654">
        <f>IFERROR(SMALL(M191:M559,ROW()-ROW($M$562)+1),"")</f>
        <v>0</v>
      </c>
      <c r="N654">
        <f>IFERROR(SMALL(N191:N559,ROW()-ROW($N$562)+1),"")</f>
        <v>0</v>
      </c>
    </row>
    <row r="655" spans="5:14">
      <c r="E655">
        <f>IFERROR(SMALL(E191:E559,ROW()-ROW($E$562)+1),"")</f>
        <v>0</v>
      </c>
      <c r="F655">
        <f>IFERROR(SMALL(F191:F559,ROW()-ROW($F$562)+1),"")</f>
        <v>0</v>
      </c>
      <c r="G655">
        <f>IFERROR(SMALL(G191:G559,ROW()-ROW($G$562)+1),"")</f>
        <v>0</v>
      </c>
      <c r="H655">
        <f>IFERROR(SMALL(H191:H559,ROW()-ROW($H$562)+1),"")</f>
        <v>0</v>
      </c>
      <c r="K655">
        <f>IFERROR(SMALL(K191:K559,ROW()-ROW($K$562)+1),"")</f>
        <v>0</v>
      </c>
      <c r="L655">
        <f>IFERROR(SMALL(L191:L559,ROW()-ROW($L$562)+1),"")</f>
        <v>0</v>
      </c>
      <c r="M655">
        <f>IFERROR(SMALL(M191:M559,ROW()-ROW($M$562)+1),"")</f>
        <v>0</v>
      </c>
      <c r="N655">
        <f>IFERROR(SMALL(N191:N559,ROW()-ROW($N$562)+1),"")</f>
        <v>0</v>
      </c>
    </row>
    <row r="656" spans="5:14">
      <c r="E656">
        <f>IFERROR(SMALL(E191:E559,ROW()-ROW($E$562)+1),"")</f>
        <v>0</v>
      </c>
      <c r="F656">
        <f>IFERROR(SMALL(F191:F559,ROW()-ROW($F$562)+1),"")</f>
        <v>0</v>
      </c>
      <c r="G656">
        <f>IFERROR(SMALL(G191:G559,ROW()-ROW($G$562)+1),"")</f>
        <v>0</v>
      </c>
      <c r="H656">
        <f>IFERROR(SMALL(H191:H559,ROW()-ROW($H$562)+1),"")</f>
        <v>0</v>
      </c>
      <c r="K656">
        <f>IFERROR(SMALL(K191:K559,ROW()-ROW($K$562)+1),"")</f>
        <v>0</v>
      </c>
      <c r="L656">
        <f>IFERROR(SMALL(L191:L559,ROW()-ROW($L$562)+1),"")</f>
        <v>0</v>
      </c>
      <c r="M656">
        <f>IFERROR(SMALL(M191:M559,ROW()-ROW($M$562)+1),"")</f>
        <v>0</v>
      </c>
      <c r="N656">
        <f>IFERROR(SMALL(N191:N559,ROW()-ROW($N$562)+1),"")</f>
        <v>0</v>
      </c>
    </row>
    <row r="657" spans="5:14">
      <c r="E657">
        <f>IFERROR(SMALL(E191:E559,ROW()-ROW($E$562)+1),"")</f>
        <v>0</v>
      </c>
      <c r="F657">
        <f>IFERROR(SMALL(F191:F559,ROW()-ROW($F$562)+1),"")</f>
        <v>0</v>
      </c>
      <c r="G657">
        <f>IFERROR(SMALL(G191:G559,ROW()-ROW($G$562)+1),"")</f>
        <v>0</v>
      </c>
      <c r="H657">
        <f>IFERROR(SMALL(H191:H559,ROW()-ROW($H$562)+1),"")</f>
        <v>0</v>
      </c>
      <c r="K657">
        <f>IFERROR(SMALL(K191:K559,ROW()-ROW($K$562)+1),"")</f>
        <v>0</v>
      </c>
      <c r="L657">
        <f>IFERROR(SMALL(L191:L559,ROW()-ROW($L$562)+1),"")</f>
        <v>0</v>
      </c>
      <c r="M657">
        <f>IFERROR(SMALL(M191:M559,ROW()-ROW($M$562)+1),"")</f>
        <v>0</v>
      </c>
      <c r="N657">
        <f>IFERROR(SMALL(N191:N559,ROW()-ROW($N$562)+1),"")</f>
        <v>0</v>
      </c>
    </row>
    <row r="658" spans="5:14">
      <c r="E658">
        <f>IFERROR(SMALL(E191:E559,ROW()-ROW($E$562)+1),"")</f>
        <v>0</v>
      </c>
      <c r="F658">
        <f>IFERROR(SMALL(F191:F559,ROW()-ROW($F$562)+1),"")</f>
        <v>0</v>
      </c>
      <c r="G658">
        <f>IFERROR(SMALL(G191:G559,ROW()-ROW($G$562)+1),"")</f>
        <v>0</v>
      </c>
      <c r="H658">
        <f>IFERROR(SMALL(H191:H559,ROW()-ROW($H$562)+1),"")</f>
        <v>0</v>
      </c>
      <c r="K658">
        <f>IFERROR(SMALL(K191:K559,ROW()-ROW($K$562)+1),"")</f>
        <v>0</v>
      </c>
      <c r="L658">
        <f>IFERROR(SMALL(L191:L559,ROW()-ROW($L$562)+1),"")</f>
        <v>0</v>
      </c>
      <c r="M658">
        <f>IFERROR(SMALL(M191:M559,ROW()-ROW($M$562)+1),"")</f>
        <v>0</v>
      </c>
      <c r="N658">
        <f>IFERROR(SMALL(N191:N559,ROW()-ROW($N$562)+1),"")</f>
        <v>0</v>
      </c>
    </row>
    <row r="659" spans="5:14">
      <c r="E659">
        <f>IFERROR(SMALL(E191:E559,ROW()-ROW($E$562)+1),"")</f>
        <v>0</v>
      </c>
      <c r="F659">
        <f>IFERROR(SMALL(F191:F559,ROW()-ROW($F$562)+1),"")</f>
        <v>0</v>
      </c>
      <c r="G659">
        <f>IFERROR(SMALL(G191:G559,ROW()-ROW($G$562)+1),"")</f>
        <v>0</v>
      </c>
      <c r="H659">
        <f>IFERROR(SMALL(H191:H559,ROW()-ROW($H$562)+1),"")</f>
        <v>0</v>
      </c>
      <c r="K659">
        <f>IFERROR(SMALL(K191:K559,ROW()-ROW($K$562)+1),"")</f>
        <v>0</v>
      </c>
      <c r="L659">
        <f>IFERROR(SMALL(L191:L559,ROW()-ROW($L$562)+1),"")</f>
        <v>0</v>
      </c>
      <c r="M659">
        <f>IFERROR(SMALL(M191:M559,ROW()-ROW($M$562)+1),"")</f>
        <v>0</v>
      </c>
      <c r="N659">
        <f>IFERROR(SMALL(N191:N559,ROW()-ROW($N$562)+1),"")</f>
        <v>0</v>
      </c>
    </row>
    <row r="660" spans="5:14">
      <c r="E660">
        <f>IFERROR(SMALL(E191:E559,ROW()-ROW($E$562)+1),"")</f>
        <v>0</v>
      </c>
      <c r="F660">
        <f>IFERROR(SMALL(F191:F559,ROW()-ROW($F$562)+1),"")</f>
        <v>0</v>
      </c>
      <c r="G660">
        <f>IFERROR(SMALL(G191:G559,ROW()-ROW($G$562)+1),"")</f>
        <v>0</v>
      </c>
      <c r="H660">
        <f>IFERROR(SMALL(H191:H559,ROW()-ROW($H$562)+1),"")</f>
        <v>0</v>
      </c>
      <c r="K660">
        <f>IFERROR(SMALL(K191:K559,ROW()-ROW($K$562)+1),"")</f>
        <v>0</v>
      </c>
      <c r="L660">
        <f>IFERROR(SMALL(L191:L559,ROW()-ROW($L$562)+1),"")</f>
        <v>0</v>
      </c>
      <c r="M660">
        <f>IFERROR(SMALL(M191:M559,ROW()-ROW($M$562)+1),"")</f>
        <v>0</v>
      </c>
      <c r="N660">
        <f>IFERROR(SMALL(N191:N559,ROW()-ROW($N$562)+1),"")</f>
        <v>0</v>
      </c>
    </row>
    <row r="661" spans="5:14">
      <c r="E661">
        <f>IFERROR(SMALL(E191:E559,ROW()-ROW($E$562)+1),"")</f>
        <v>0</v>
      </c>
      <c r="F661">
        <f>IFERROR(SMALL(F191:F559,ROW()-ROW($F$562)+1),"")</f>
        <v>0</v>
      </c>
      <c r="G661">
        <f>IFERROR(SMALL(G191:G559,ROW()-ROW($G$562)+1),"")</f>
        <v>0</v>
      </c>
      <c r="H661">
        <f>IFERROR(SMALL(H191:H559,ROW()-ROW($H$562)+1),"")</f>
        <v>0</v>
      </c>
      <c r="K661">
        <f>IFERROR(SMALL(K191:K559,ROW()-ROW($K$562)+1),"")</f>
        <v>0</v>
      </c>
      <c r="L661">
        <f>IFERROR(SMALL(L191:L559,ROW()-ROW($L$562)+1),"")</f>
        <v>0</v>
      </c>
      <c r="M661">
        <f>IFERROR(SMALL(M191:M559,ROW()-ROW($M$562)+1),"")</f>
        <v>0</v>
      </c>
      <c r="N661">
        <f>IFERROR(SMALL(N191:N559,ROW()-ROW($N$562)+1),"")</f>
        <v>0</v>
      </c>
    </row>
    <row r="662" spans="5:14">
      <c r="E662">
        <f>IFERROR(SMALL(E191:E559,ROW()-ROW($E$562)+1),"")</f>
        <v>0</v>
      </c>
      <c r="F662">
        <f>IFERROR(SMALL(F191:F559,ROW()-ROW($F$562)+1),"")</f>
        <v>0</v>
      </c>
      <c r="G662">
        <f>IFERROR(SMALL(G191:G559,ROW()-ROW($G$562)+1),"")</f>
        <v>0</v>
      </c>
      <c r="H662">
        <f>IFERROR(SMALL(H191:H559,ROW()-ROW($H$562)+1),"")</f>
        <v>0</v>
      </c>
      <c r="K662">
        <f>IFERROR(SMALL(K191:K559,ROW()-ROW($K$562)+1),"")</f>
        <v>0</v>
      </c>
      <c r="L662">
        <f>IFERROR(SMALL(L191:L559,ROW()-ROW($L$562)+1),"")</f>
        <v>0</v>
      </c>
      <c r="M662">
        <f>IFERROR(SMALL(M191:M559,ROW()-ROW($M$562)+1),"")</f>
        <v>0</v>
      </c>
      <c r="N662">
        <f>IFERROR(SMALL(N191:N559,ROW()-ROW($N$562)+1),"")</f>
        <v>0</v>
      </c>
    </row>
    <row r="663" spans="5:14">
      <c r="E663">
        <f>IFERROR(SMALL(E191:E559,ROW()-ROW($E$562)+1),"")</f>
        <v>0</v>
      </c>
      <c r="F663">
        <f>IFERROR(SMALL(F191:F559,ROW()-ROW($F$562)+1),"")</f>
        <v>0</v>
      </c>
      <c r="G663">
        <f>IFERROR(SMALL(G191:G559,ROW()-ROW($G$562)+1),"")</f>
        <v>0</v>
      </c>
      <c r="H663">
        <f>IFERROR(SMALL(H191:H559,ROW()-ROW($H$562)+1),"")</f>
        <v>0</v>
      </c>
      <c r="K663">
        <f>IFERROR(SMALL(K191:K559,ROW()-ROW($K$562)+1),"")</f>
        <v>0</v>
      </c>
      <c r="L663">
        <f>IFERROR(SMALL(L191:L559,ROW()-ROW($L$562)+1),"")</f>
        <v>0</v>
      </c>
      <c r="M663">
        <f>IFERROR(SMALL(M191:M559,ROW()-ROW($M$562)+1),"")</f>
        <v>0</v>
      </c>
      <c r="N663">
        <f>IFERROR(SMALL(N191:N559,ROW()-ROW($N$562)+1),"")</f>
        <v>0</v>
      </c>
    </row>
    <row r="664" spans="5:14">
      <c r="E664">
        <f>IFERROR(SMALL(E191:E559,ROW()-ROW($E$562)+1),"")</f>
        <v>0</v>
      </c>
      <c r="F664">
        <f>IFERROR(SMALL(F191:F559,ROW()-ROW($F$562)+1),"")</f>
        <v>0</v>
      </c>
      <c r="G664">
        <f>IFERROR(SMALL(G191:G559,ROW()-ROW($G$562)+1),"")</f>
        <v>0</v>
      </c>
      <c r="H664">
        <f>IFERROR(SMALL(H191:H559,ROW()-ROW($H$562)+1),"")</f>
        <v>0</v>
      </c>
      <c r="K664">
        <f>IFERROR(SMALL(K191:K559,ROW()-ROW($K$562)+1),"")</f>
        <v>0</v>
      </c>
      <c r="L664">
        <f>IFERROR(SMALL(L191:L559,ROW()-ROW($L$562)+1),"")</f>
        <v>0</v>
      </c>
      <c r="M664">
        <f>IFERROR(SMALL(M191:M559,ROW()-ROW($M$562)+1),"")</f>
        <v>0</v>
      </c>
      <c r="N664">
        <f>IFERROR(SMALL(N191:N559,ROW()-ROW($N$562)+1),"")</f>
        <v>0</v>
      </c>
    </row>
    <row r="665" spans="5:14">
      <c r="E665">
        <f>IFERROR(SMALL(E191:E559,ROW()-ROW($E$562)+1),"")</f>
        <v>0</v>
      </c>
      <c r="F665">
        <f>IFERROR(SMALL(F191:F559,ROW()-ROW($F$562)+1),"")</f>
        <v>0</v>
      </c>
      <c r="G665">
        <f>IFERROR(SMALL(G191:G559,ROW()-ROW($G$562)+1),"")</f>
        <v>0</v>
      </c>
      <c r="H665">
        <f>IFERROR(SMALL(H191:H559,ROW()-ROW($H$562)+1),"")</f>
        <v>0</v>
      </c>
      <c r="K665">
        <f>IFERROR(SMALL(K191:K559,ROW()-ROW($K$562)+1),"")</f>
        <v>0</v>
      </c>
      <c r="L665">
        <f>IFERROR(SMALL(L191:L559,ROW()-ROW($L$562)+1),"")</f>
        <v>0</v>
      </c>
      <c r="M665">
        <f>IFERROR(SMALL(M191:M559,ROW()-ROW($M$562)+1),"")</f>
        <v>0</v>
      </c>
      <c r="N665">
        <f>IFERROR(SMALL(N191:N559,ROW()-ROW($N$562)+1),"")</f>
        <v>0</v>
      </c>
    </row>
    <row r="666" spans="5:14">
      <c r="E666">
        <f>IFERROR(SMALL(E191:E559,ROW()-ROW($E$562)+1),"")</f>
        <v>0</v>
      </c>
      <c r="F666">
        <f>IFERROR(SMALL(F191:F559,ROW()-ROW($F$562)+1),"")</f>
        <v>0</v>
      </c>
      <c r="G666">
        <f>IFERROR(SMALL(G191:G559,ROW()-ROW($G$562)+1),"")</f>
        <v>0</v>
      </c>
      <c r="H666">
        <f>IFERROR(SMALL(H191:H559,ROW()-ROW($H$562)+1),"")</f>
        <v>0</v>
      </c>
      <c r="K666">
        <f>IFERROR(SMALL(K191:K559,ROW()-ROW($K$562)+1),"")</f>
        <v>0</v>
      </c>
      <c r="L666">
        <f>IFERROR(SMALL(L191:L559,ROW()-ROW($L$562)+1),"")</f>
        <v>0</v>
      </c>
      <c r="M666">
        <f>IFERROR(SMALL(M191:M559,ROW()-ROW($M$562)+1),"")</f>
        <v>0</v>
      </c>
      <c r="N666">
        <f>IFERROR(SMALL(N191:N559,ROW()-ROW($N$562)+1),"")</f>
        <v>0</v>
      </c>
    </row>
    <row r="667" spans="5:14">
      <c r="E667">
        <f>IFERROR(SMALL(E191:E559,ROW()-ROW($E$562)+1),"")</f>
        <v>0</v>
      </c>
      <c r="F667">
        <f>IFERROR(SMALL(F191:F559,ROW()-ROW($F$562)+1),"")</f>
        <v>0</v>
      </c>
      <c r="G667">
        <f>IFERROR(SMALL(G191:G559,ROW()-ROW($G$562)+1),"")</f>
        <v>0</v>
      </c>
      <c r="H667">
        <f>IFERROR(SMALL(H191:H559,ROW()-ROW($H$562)+1),"")</f>
        <v>0</v>
      </c>
      <c r="K667">
        <f>IFERROR(SMALL(K191:K559,ROW()-ROW($K$562)+1),"")</f>
        <v>0</v>
      </c>
      <c r="L667">
        <f>IFERROR(SMALL(L191:L559,ROW()-ROW($L$562)+1),"")</f>
        <v>0</v>
      </c>
      <c r="M667">
        <f>IFERROR(SMALL(M191:M559,ROW()-ROW($M$562)+1),"")</f>
        <v>0</v>
      </c>
      <c r="N667">
        <f>IFERROR(SMALL(N191:N559,ROW()-ROW($N$562)+1),"")</f>
        <v>0</v>
      </c>
    </row>
    <row r="668" spans="5:14">
      <c r="E668">
        <f>IFERROR(SMALL(E191:E559,ROW()-ROW($E$562)+1),"")</f>
        <v>0</v>
      </c>
      <c r="F668">
        <f>IFERROR(SMALL(F191:F559,ROW()-ROW($F$562)+1),"")</f>
        <v>0</v>
      </c>
      <c r="G668">
        <f>IFERROR(SMALL(G191:G559,ROW()-ROW($G$562)+1),"")</f>
        <v>0</v>
      </c>
      <c r="H668">
        <f>IFERROR(SMALL(H191:H559,ROW()-ROW($H$562)+1),"")</f>
        <v>0</v>
      </c>
      <c r="K668">
        <f>IFERROR(SMALL(K191:K559,ROW()-ROW($K$562)+1),"")</f>
        <v>0</v>
      </c>
      <c r="L668">
        <f>IFERROR(SMALL(L191:L559,ROW()-ROW($L$562)+1),"")</f>
        <v>0</v>
      </c>
      <c r="M668">
        <f>IFERROR(SMALL(M191:M559,ROW()-ROW($M$562)+1),"")</f>
        <v>0</v>
      </c>
      <c r="N668">
        <f>IFERROR(SMALL(N191:N559,ROW()-ROW($N$562)+1),"")</f>
        <v>0</v>
      </c>
    </row>
    <row r="669" spans="5:14">
      <c r="E669">
        <f>IFERROR(SMALL(E191:E559,ROW()-ROW($E$562)+1),"")</f>
        <v>0</v>
      </c>
      <c r="F669">
        <f>IFERROR(SMALL(F191:F559,ROW()-ROW($F$562)+1),"")</f>
        <v>0</v>
      </c>
      <c r="G669">
        <f>IFERROR(SMALL(G191:G559,ROW()-ROW($G$562)+1),"")</f>
        <v>0</v>
      </c>
      <c r="H669">
        <f>IFERROR(SMALL(H191:H559,ROW()-ROW($H$562)+1),"")</f>
        <v>0</v>
      </c>
      <c r="K669">
        <f>IFERROR(SMALL(K191:K559,ROW()-ROW($K$562)+1),"")</f>
        <v>0</v>
      </c>
      <c r="L669">
        <f>IFERROR(SMALL(L191:L559,ROW()-ROW($L$562)+1),"")</f>
        <v>0</v>
      </c>
      <c r="M669">
        <f>IFERROR(SMALL(M191:M559,ROW()-ROW($M$562)+1),"")</f>
        <v>0</v>
      </c>
      <c r="N669">
        <f>IFERROR(SMALL(N191:N559,ROW()-ROW($N$562)+1),"")</f>
        <v>0</v>
      </c>
    </row>
    <row r="670" spans="5:14">
      <c r="E670">
        <f>IFERROR(SMALL(E191:E559,ROW()-ROW($E$562)+1),"")</f>
        <v>0</v>
      </c>
      <c r="F670">
        <f>IFERROR(SMALL(F191:F559,ROW()-ROW($F$562)+1),"")</f>
        <v>0</v>
      </c>
      <c r="G670">
        <f>IFERROR(SMALL(G191:G559,ROW()-ROW($G$562)+1),"")</f>
        <v>0</v>
      </c>
      <c r="H670">
        <f>IFERROR(SMALL(H191:H559,ROW()-ROW($H$562)+1),"")</f>
        <v>0</v>
      </c>
      <c r="K670">
        <f>IFERROR(SMALL(K191:K559,ROW()-ROW($K$562)+1),"")</f>
        <v>0</v>
      </c>
      <c r="L670">
        <f>IFERROR(SMALL(L191:L559,ROW()-ROW($L$562)+1),"")</f>
        <v>0</v>
      </c>
      <c r="M670">
        <f>IFERROR(SMALL(M191:M559,ROW()-ROW($M$562)+1),"")</f>
        <v>0</v>
      </c>
      <c r="N670">
        <f>IFERROR(SMALL(N191:N559,ROW()-ROW($N$562)+1),"")</f>
        <v>0</v>
      </c>
    </row>
    <row r="671" spans="5:14">
      <c r="E671">
        <f>IFERROR(SMALL(E191:E559,ROW()-ROW($E$562)+1),"")</f>
        <v>0</v>
      </c>
      <c r="F671">
        <f>IFERROR(SMALL(F191:F559,ROW()-ROW($F$562)+1),"")</f>
        <v>0</v>
      </c>
      <c r="G671">
        <f>IFERROR(SMALL(G191:G559,ROW()-ROW($G$562)+1),"")</f>
        <v>0</v>
      </c>
      <c r="H671">
        <f>IFERROR(SMALL(H191:H559,ROW()-ROW($H$562)+1),"")</f>
        <v>0</v>
      </c>
      <c r="K671">
        <f>IFERROR(SMALL(K191:K559,ROW()-ROW($K$562)+1),"")</f>
        <v>0</v>
      </c>
      <c r="L671">
        <f>IFERROR(SMALL(L191:L559,ROW()-ROW($L$562)+1),"")</f>
        <v>0</v>
      </c>
      <c r="M671">
        <f>IFERROR(SMALL(M191:M559,ROW()-ROW($M$562)+1),"")</f>
        <v>0</v>
      </c>
      <c r="N671">
        <f>IFERROR(SMALL(N191:N559,ROW()-ROW($N$562)+1),"")</f>
        <v>0</v>
      </c>
    </row>
    <row r="672" spans="5:14">
      <c r="E672">
        <f>IFERROR(SMALL(E191:E559,ROW()-ROW($E$562)+1),"")</f>
        <v>0</v>
      </c>
      <c r="F672">
        <f>IFERROR(SMALL(F191:F559,ROW()-ROW($F$562)+1),"")</f>
        <v>0</v>
      </c>
      <c r="G672">
        <f>IFERROR(SMALL(G191:G559,ROW()-ROW($G$562)+1),"")</f>
        <v>0</v>
      </c>
      <c r="H672">
        <f>IFERROR(SMALL(H191:H559,ROW()-ROW($H$562)+1),"")</f>
        <v>0</v>
      </c>
      <c r="K672">
        <f>IFERROR(SMALL(K191:K559,ROW()-ROW($K$562)+1),"")</f>
        <v>0</v>
      </c>
      <c r="L672">
        <f>IFERROR(SMALL(L191:L559,ROW()-ROW($L$562)+1),"")</f>
        <v>0</v>
      </c>
      <c r="M672">
        <f>IFERROR(SMALL(M191:M559,ROW()-ROW($M$562)+1),"")</f>
        <v>0</v>
      </c>
      <c r="N672">
        <f>IFERROR(SMALL(N191:N559,ROW()-ROW($N$562)+1),"")</f>
        <v>0</v>
      </c>
    </row>
    <row r="673" spans="5:14">
      <c r="E673">
        <f>IFERROR(SMALL(E191:E559,ROW()-ROW($E$562)+1),"")</f>
        <v>0</v>
      </c>
      <c r="F673">
        <f>IFERROR(SMALL(F191:F559,ROW()-ROW($F$562)+1),"")</f>
        <v>0</v>
      </c>
      <c r="G673">
        <f>IFERROR(SMALL(G191:G559,ROW()-ROW($G$562)+1),"")</f>
        <v>0</v>
      </c>
      <c r="H673">
        <f>IFERROR(SMALL(H191:H559,ROW()-ROW($H$562)+1),"")</f>
        <v>0</v>
      </c>
      <c r="K673">
        <f>IFERROR(SMALL(K191:K559,ROW()-ROW($K$562)+1),"")</f>
        <v>0</v>
      </c>
      <c r="L673">
        <f>IFERROR(SMALL(L191:L559,ROW()-ROW($L$562)+1),"")</f>
        <v>0</v>
      </c>
      <c r="M673">
        <f>IFERROR(SMALL(M191:M559,ROW()-ROW($M$562)+1),"")</f>
        <v>0</v>
      </c>
      <c r="N673">
        <f>IFERROR(SMALL(N191:N559,ROW()-ROW($N$562)+1),"")</f>
        <v>0</v>
      </c>
    </row>
    <row r="674" spans="5:14">
      <c r="E674">
        <f>IFERROR(SMALL(E191:E559,ROW()-ROW($E$562)+1),"")</f>
        <v>0</v>
      </c>
      <c r="F674">
        <f>IFERROR(SMALL(F191:F559,ROW()-ROW($F$562)+1),"")</f>
        <v>0</v>
      </c>
      <c r="G674">
        <f>IFERROR(SMALL(G191:G559,ROW()-ROW($G$562)+1),"")</f>
        <v>0</v>
      </c>
      <c r="H674">
        <f>IFERROR(SMALL(H191:H559,ROW()-ROW($H$562)+1),"")</f>
        <v>0</v>
      </c>
      <c r="K674">
        <f>IFERROR(SMALL(K191:K559,ROW()-ROW($K$562)+1),"")</f>
        <v>0</v>
      </c>
      <c r="L674">
        <f>IFERROR(SMALL(L191:L559,ROW()-ROW($L$562)+1),"")</f>
        <v>0</v>
      </c>
      <c r="M674">
        <f>IFERROR(SMALL(M191:M559,ROW()-ROW($M$562)+1),"")</f>
        <v>0</v>
      </c>
      <c r="N674">
        <f>IFERROR(SMALL(N191:N559,ROW()-ROW($N$562)+1),"")</f>
        <v>0</v>
      </c>
    </row>
    <row r="675" spans="5:14">
      <c r="E675">
        <f>IFERROR(SMALL(E191:E559,ROW()-ROW($E$562)+1),"")</f>
        <v>0</v>
      </c>
      <c r="F675">
        <f>IFERROR(SMALL(F191:F559,ROW()-ROW($F$562)+1),"")</f>
        <v>0</v>
      </c>
      <c r="G675">
        <f>IFERROR(SMALL(G191:G559,ROW()-ROW($G$562)+1),"")</f>
        <v>0</v>
      </c>
      <c r="H675">
        <f>IFERROR(SMALL(H191:H559,ROW()-ROW($H$562)+1),"")</f>
        <v>0</v>
      </c>
      <c r="K675">
        <f>IFERROR(SMALL(K191:K559,ROW()-ROW($K$562)+1),"")</f>
        <v>0</v>
      </c>
      <c r="L675">
        <f>IFERROR(SMALL(L191:L559,ROW()-ROW($L$562)+1),"")</f>
        <v>0</v>
      </c>
      <c r="M675">
        <f>IFERROR(SMALL(M191:M559,ROW()-ROW($M$562)+1),"")</f>
        <v>0</v>
      </c>
      <c r="N675">
        <f>IFERROR(SMALL(N191:N559,ROW()-ROW($N$562)+1),"")</f>
        <v>0</v>
      </c>
    </row>
    <row r="676" spans="5:14">
      <c r="E676">
        <f>IFERROR(SMALL(E191:E559,ROW()-ROW($E$562)+1),"")</f>
        <v>0</v>
      </c>
      <c r="F676">
        <f>IFERROR(SMALL(F191:F559,ROW()-ROW($F$562)+1),"")</f>
        <v>0</v>
      </c>
      <c r="G676">
        <f>IFERROR(SMALL(G191:G559,ROW()-ROW($G$562)+1),"")</f>
        <v>0</v>
      </c>
      <c r="H676">
        <f>IFERROR(SMALL(H191:H559,ROW()-ROW($H$562)+1),"")</f>
        <v>0</v>
      </c>
      <c r="K676">
        <f>IFERROR(SMALL(K191:K559,ROW()-ROW($K$562)+1),"")</f>
        <v>0</v>
      </c>
      <c r="L676">
        <f>IFERROR(SMALL(L191:L559,ROW()-ROW($L$562)+1),"")</f>
        <v>0</v>
      </c>
      <c r="M676">
        <f>IFERROR(SMALL(M191:M559,ROW()-ROW($M$562)+1),"")</f>
        <v>0</v>
      </c>
      <c r="N676">
        <f>IFERROR(SMALL(N191:N559,ROW()-ROW($N$562)+1),"")</f>
        <v>0</v>
      </c>
    </row>
    <row r="677" spans="5:14">
      <c r="E677">
        <f>IFERROR(SMALL(E191:E559,ROW()-ROW($E$562)+1),"")</f>
        <v>0</v>
      </c>
      <c r="F677">
        <f>IFERROR(SMALL(F191:F559,ROW()-ROW($F$562)+1),"")</f>
        <v>0</v>
      </c>
      <c r="G677">
        <f>IFERROR(SMALL(G191:G559,ROW()-ROW($G$562)+1),"")</f>
        <v>0</v>
      </c>
      <c r="H677">
        <f>IFERROR(SMALL(H191:H559,ROW()-ROW($H$562)+1),"")</f>
        <v>0</v>
      </c>
      <c r="K677">
        <f>IFERROR(SMALL(K191:K559,ROW()-ROW($K$562)+1),"")</f>
        <v>0</v>
      </c>
      <c r="L677">
        <f>IFERROR(SMALL(L191:L559,ROW()-ROW($L$562)+1),"")</f>
        <v>0</v>
      </c>
      <c r="M677">
        <f>IFERROR(SMALL(M191:M559,ROW()-ROW($M$562)+1),"")</f>
        <v>0</v>
      </c>
      <c r="N677">
        <f>IFERROR(SMALL(N191:N559,ROW()-ROW($N$562)+1),"")</f>
        <v>0</v>
      </c>
    </row>
    <row r="678" spans="5:14">
      <c r="E678">
        <f>IFERROR(SMALL(E191:E559,ROW()-ROW($E$562)+1),"")</f>
        <v>0</v>
      </c>
      <c r="F678">
        <f>IFERROR(SMALL(F191:F559,ROW()-ROW($F$562)+1),"")</f>
        <v>0</v>
      </c>
      <c r="G678">
        <f>IFERROR(SMALL(G191:G559,ROW()-ROW($G$562)+1),"")</f>
        <v>0</v>
      </c>
      <c r="H678">
        <f>IFERROR(SMALL(H191:H559,ROW()-ROW($H$562)+1),"")</f>
        <v>0</v>
      </c>
      <c r="K678">
        <f>IFERROR(SMALL(K191:K559,ROW()-ROW($K$562)+1),"")</f>
        <v>0</v>
      </c>
      <c r="L678">
        <f>IFERROR(SMALL(L191:L559,ROW()-ROW($L$562)+1),"")</f>
        <v>0</v>
      </c>
      <c r="M678">
        <f>IFERROR(SMALL(M191:M559,ROW()-ROW($M$562)+1),"")</f>
        <v>0</v>
      </c>
      <c r="N678">
        <f>IFERROR(SMALL(N191:N559,ROW()-ROW($N$562)+1),"")</f>
        <v>0</v>
      </c>
    </row>
    <row r="679" spans="5:14">
      <c r="E679">
        <f>IFERROR(SMALL(E191:E559,ROW()-ROW($E$562)+1),"")</f>
        <v>0</v>
      </c>
      <c r="F679">
        <f>IFERROR(SMALL(F191:F559,ROW()-ROW($F$562)+1),"")</f>
        <v>0</v>
      </c>
      <c r="G679">
        <f>IFERROR(SMALL(G191:G559,ROW()-ROW($G$562)+1),"")</f>
        <v>0</v>
      </c>
      <c r="H679">
        <f>IFERROR(SMALL(H191:H559,ROW()-ROW($H$562)+1),"")</f>
        <v>0</v>
      </c>
      <c r="K679">
        <f>IFERROR(SMALL(K191:K559,ROW()-ROW($K$562)+1),"")</f>
        <v>0</v>
      </c>
      <c r="L679">
        <f>IFERROR(SMALL(L191:L559,ROW()-ROW($L$562)+1),"")</f>
        <v>0</v>
      </c>
      <c r="M679">
        <f>IFERROR(SMALL(M191:M559,ROW()-ROW($M$562)+1),"")</f>
        <v>0</v>
      </c>
      <c r="N679">
        <f>IFERROR(SMALL(N191:N559,ROW()-ROW($N$562)+1),"")</f>
        <v>0</v>
      </c>
    </row>
    <row r="680" spans="5:14">
      <c r="E680">
        <f>IFERROR(SMALL(E191:E559,ROW()-ROW($E$562)+1),"")</f>
        <v>0</v>
      </c>
      <c r="F680">
        <f>IFERROR(SMALL(F191:F559,ROW()-ROW($F$562)+1),"")</f>
        <v>0</v>
      </c>
      <c r="G680">
        <f>IFERROR(SMALL(G191:G559,ROW()-ROW($G$562)+1),"")</f>
        <v>0</v>
      </c>
      <c r="H680">
        <f>IFERROR(SMALL(H191:H559,ROW()-ROW($H$562)+1),"")</f>
        <v>0</v>
      </c>
      <c r="K680">
        <f>IFERROR(SMALL(K191:K559,ROW()-ROW($K$562)+1),"")</f>
        <v>0</v>
      </c>
      <c r="L680">
        <f>IFERROR(SMALL(L191:L559,ROW()-ROW($L$562)+1),"")</f>
        <v>0</v>
      </c>
      <c r="M680">
        <f>IFERROR(SMALL(M191:M559,ROW()-ROW($M$562)+1),"")</f>
        <v>0</v>
      </c>
      <c r="N680">
        <f>IFERROR(SMALL(N191:N559,ROW()-ROW($N$562)+1),"")</f>
        <v>0</v>
      </c>
    </row>
    <row r="681" spans="5:14">
      <c r="E681">
        <f>IFERROR(SMALL(E191:E559,ROW()-ROW($E$562)+1),"")</f>
        <v>0</v>
      </c>
      <c r="F681">
        <f>IFERROR(SMALL(F191:F559,ROW()-ROW($F$562)+1),"")</f>
        <v>0</v>
      </c>
      <c r="G681">
        <f>IFERROR(SMALL(G191:G559,ROW()-ROW($G$562)+1),"")</f>
        <v>0</v>
      </c>
      <c r="H681">
        <f>IFERROR(SMALL(H191:H559,ROW()-ROW($H$562)+1),"")</f>
        <v>0</v>
      </c>
      <c r="K681">
        <f>IFERROR(SMALL(K191:K559,ROW()-ROW($K$562)+1),"")</f>
        <v>0</v>
      </c>
      <c r="L681">
        <f>IFERROR(SMALL(L191:L559,ROW()-ROW($L$562)+1),"")</f>
        <v>0</v>
      </c>
      <c r="M681">
        <f>IFERROR(SMALL(M191:M559,ROW()-ROW($M$562)+1),"")</f>
        <v>0</v>
      </c>
      <c r="N681">
        <f>IFERROR(SMALL(N191:N559,ROW()-ROW($N$562)+1),"")</f>
        <v>0</v>
      </c>
    </row>
    <row r="682" spans="5:14">
      <c r="E682">
        <f>IFERROR(SMALL(E191:E559,ROW()-ROW($E$562)+1),"")</f>
        <v>0</v>
      </c>
      <c r="F682">
        <f>IFERROR(SMALL(F191:F559,ROW()-ROW($F$562)+1),"")</f>
        <v>0</v>
      </c>
      <c r="G682">
        <f>IFERROR(SMALL(G191:G559,ROW()-ROW($G$562)+1),"")</f>
        <v>0</v>
      </c>
      <c r="H682">
        <f>IFERROR(SMALL(H191:H559,ROW()-ROW($H$562)+1),"")</f>
        <v>0</v>
      </c>
      <c r="K682">
        <f>IFERROR(SMALL(K191:K559,ROW()-ROW($K$562)+1),"")</f>
        <v>0</v>
      </c>
      <c r="L682">
        <f>IFERROR(SMALL(L191:L559,ROW()-ROW($L$562)+1),"")</f>
        <v>0</v>
      </c>
      <c r="M682">
        <f>IFERROR(SMALL(M191:M559,ROW()-ROW($M$562)+1),"")</f>
        <v>0</v>
      </c>
      <c r="N682">
        <f>IFERROR(SMALL(N191:N559,ROW()-ROW($N$562)+1),"")</f>
        <v>0</v>
      </c>
    </row>
    <row r="683" spans="5:14">
      <c r="E683">
        <f>IFERROR(SMALL(E191:E559,ROW()-ROW($E$562)+1),"")</f>
        <v>0</v>
      </c>
      <c r="F683">
        <f>IFERROR(SMALL(F191:F559,ROW()-ROW($F$562)+1),"")</f>
        <v>0</v>
      </c>
      <c r="G683">
        <f>IFERROR(SMALL(G191:G559,ROW()-ROW($G$562)+1),"")</f>
        <v>0</v>
      </c>
      <c r="H683">
        <f>IFERROR(SMALL(H191:H559,ROW()-ROW($H$562)+1),"")</f>
        <v>0</v>
      </c>
      <c r="K683">
        <f>IFERROR(SMALL(K191:K559,ROW()-ROW($K$562)+1),"")</f>
        <v>0</v>
      </c>
      <c r="L683">
        <f>IFERROR(SMALL(L191:L559,ROW()-ROW($L$562)+1),"")</f>
        <v>0</v>
      </c>
      <c r="M683">
        <f>IFERROR(SMALL(M191:M559,ROW()-ROW($M$562)+1),"")</f>
        <v>0</v>
      </c>
      <c r="N683">
        <f>IFERROR(SMALL(N191:N559,ROW()-ROW($N$562)+1),"")</f>
        <v>0</v>
      </c>
    </row>
    <row r="684" spans="5:14">
      <c r="E684">
        <f>IFERROR(SMALL(E191:E559,ROW()-ROW($E$562)+1),"")</f>
        <v>0</v>
      </c>
      <c r="F684">
        <f>IFERROR(SMALL(F191:F559,ROW()-ROW($F$562)+1),"")</f>
        <v>0</v>
      </c>
      <c r="G684">
        <f>IFERROR(SMALL(G191:G559,ROW()-ROW($G$562)+1),"")</f>
        <v>0</v>
      </c>
      <c r="H684">
        <f>IFERROR(SMALL(H191:H559,ROW()-ROW($H$562)+1),"")</f>
        <v>0</v>
      </c>
      <c r="K684">
        <f>IFERROR(SMALL(K191:K559,ROW()-ROW($K$562)+1),"")</f>
        <v>0</v>
      </c>
      <c r="L684">
        <f>IFERROR(SMALL(L191:L559,ROW()-ROW($L$562)+1),"")</f>
        <v>0</v>
      </c>
      <c r="M684">
        <f>IFERROR(SMALL(M191:M559,ROW()-ROW($M$562)+1),"")</f>
        <v>0</v>
      </c>
      <c r="N684">
        <f>IFERROR(SMALL(N191:N559,ROW()-ROW($N$562)+1),"")</f>
        <v>0</v>
      </c>
    </row>
    <row r="685" spans="5:14">
      <c r="E685">
        <f>IFERROR(SMALL(E191:E559,ROW()-ROW($E$562)+1),"")</f>
        <v>0</v>
      </c>
      <c r="F685">
        <f>IFERROR(SMALL(F191:F559,ROW()-ROW($F$562)+1),"")</f>
        <v>0</v>
      </c>
      <c r="G685">
        <f>IFERROR(SMALL(G191:G559,ROW()-ROW($G$562)+1),"")</f>
        <v>0</v>
      </c>
      <c r="H685">
        <f>IFERROR(SMALL(H191:H559,ROW()-ROW($H$562)+1),"")</f>
        <v>0</v>
      </c>
      <c r="K685">
        <f>IFERROR(SMALL(K191:K559,ROW()-ROW($K$562)+1),"")</f>
        <v>0</v>
      </c>
      <c r="L685">
        <f>IFERROR(SMALL(L191:L559,ROW()-ROW($L$562)+1),"")</f>
        <v>0</v>
      </c>
      <c r="M685">
        <f>IFERROR(SMALL(M191:M559,ROW()-ROW($M$562)+1),"")</f>
        <v>0</v>
      </c>
      <c r="N685">
        <f>IFERROR(SMALL(N191:N559,ROW()-ROW($N$562)+1),"")</f>
        <v>0</v>
      </c>
    </row>
    <row r="686" spans="5:14">
      <c r="E686">
        <f>IFERROR(SMALL(E191:E559,ROW()-ROW($E$562)+1),"")</f>
        <v>0</v>
      </c>
      <c r="F686">
        <f>IFERROR(SMALL(F191:F559,ROW()-ROW($F$562)+1),"")</f>
        <v>0</v>
      </c>
      <c r="G686">
        <f>IFERROR(SMALL(G191:G559,ROW()-ROW($G$562)+1),"")</f>
        <v>0</v>
      </c>
      <c r="H686">
        <f>IFERROR(SMALL(H191:H559,ROW()-ROW($H$562)+1),"")</f>
        <v>0</v>
      </c>
      <c r="K686">
        <f>IFERROR(SMALL(K191:K559,ROW()-ROW($K$562)+1),"")</f>
        <v>0</v>
      </c>
      <c r="L686">
        <f>IFERROR(SMALL(L191:L559,ROW()-ROW($L$562)+1),"")</f>
        <v>0</v>
      </c>
      <c r="M686">
        <f>IFERROR(SMALL(M191:M559,ROW()-ROW($M$562)+1),"")</f>
        <v>0</v>
      </c>
      <c r="N686">
        <f>IFERROR(SMALL(N191:N559,ROW()-ROW($N$562)+1),"")</f>
        <v>0</v>
      </c>
    </row>
    <row r="687" spans="5:14">
      <c r="E687">
        <f>IFERROR(SMALL(E191:E559,ROW()-ROW($E$562)+1),"")</f>
        <v>0</v>
      </c>
      <c r="F687">
        <f>IFERROR(SMALL(F191:F559,ROW()-ROW($F$562)+1),"")</f>
        <v>0</v>
      </c>
      <c r="G687">
        <f>IFERROR(SMALL(G191:G559,ROW()-ROW($G$562)+1),"")</f>
        <v>0</v>
      </c>
      <c r="H687">
        <f>IFERROR(SMALL(H191:H559,ROW()-ROW($H$562)+1),"")</f>
        <v>0</v>
      </c>
      <c r="K687">
        <f>IFERROR(SMALL(K191:K559,ROW()-ROW($K$562)+1),"")</f>
        <v>0</v>
      </c>
      <c r="L687">
        <f>IFERROR(SMALL(L191:L559,ROW()-ROW($L$562)+1),"")</f>
        <v>0</v>
      </c>
      <c r="M687">
        <f>IFERROR(SMALL(M191:M559,ROW()-ROW($M$562)+1),"")</f>
        <v>0</v>
      </c>
      <c r="N687">
        <f>IFERROR(SMALL(N191:N559,ROW()-ROW($N$562)+1),"")</f>
        <v>0</v>
      </c>
    </row>
    <row r="688" spans="5:14">
      <c r="E688">
        <f>IFERROR(SMALL(E191:E559,ROW()-ROW($E$562)+1),"")</f>
        <v>0</v>
      </c>
      <c r="F688">
        <f>IFERROR(SMALL(F191:F559,ROW()-ROW($F$562)+1),"")</f>
        <v>0</v>
      </c>
      <c r="G688">
        <f>IFERROR(SMALL(G191:G559,ROW()-ROW($G$562)+1),"")</f>
        <v>0</v>
      </c>
      <c r="H688">
        <f>IFERROR(SMALL(H191:H559,ROW()-ROW($H$562)+1),"")</f>
        <v>0</v>
      </c>
      <c r="K688">
        <f>IFERROR(SMALL(K191:K559,ROW()-ROW($K$562)+1),"")</f>
        <v>0</v>
      </c>
      <c r="L688">
        <f>IFERROR(SMALL(L191:L559,ROW()-ROW($L$562)+1),"")</f>
        <v>0</v>
      </c>
      <c r="M688">
        <f>IFERROR(SMALL(M191:M559,ROW()-ROW($M$562)+1),"")</f>
        <v>0</v>
      </c>
      <c r="N688">
        <f>IFERROR(SMALL(N191:N559,ROW()-ROW($N$562)+1),"")</f>
        <v>0</v>
      </c>
    </row>
    <row r="689" spans="5:14">
      <c r="E689">
        <f>IFERROR(SMALL(E191:E559,ROW()-ROW($E$562)+1),"")</f>
        <v>0</v>
      </c>
      <c r="F689">
        <f>IFERROR(SMALL(F191:F559,ROW()-ROW($F$562)+1),"")</f>
        <v>0</v>
      </c>
      <c r="G689">
        <f>IFERROR(SMALL(G191:G559,ROW()-ROW($G$562)+1),"")</f>
        <v>0</v>
      </c>
      <c r="H689">
        <f>IFERROR(SMALL(H191:H559,ROW()-ROW($H$562)+1),"")</f>
        <v>0</v>
      </c>
      <c r="K689">
        <f>IFERROR(SMALL(K191:K559,ROW()-ROW($K$562)+1),"")</f>
        <v>0</v>
      </c>
      <c r="L689">
        <f>IFERROR(SMALL(L191:L559,ROW()-ROW($L$562)+1),"")</f>
        <v>0</v>
      </c>
      <c r="M689">
        <f>IFERROR(SMALL(M191:M559,ROW()-ROW($M$562)+1),"")</f>
        <v>0</v>
      </c>
      <c r="N689">
        <f>IFERROR(SMALL(N191:N559,ROW()-ROW($N$562)+1),"")</f>
        <v>0</v>
      </c>
    </row>
    <row r="690" spans="5:14">
      <c r="E690">
        <f>IFERROR(SMALL(E191:E559,ROW()-ROW($E$562)+1),"")</f>
        <v>0</v>
      </c>
      <c r="F690">
        <f>IFERROR(SMALL(F191:F559,ROW()-ROW($F$562)+1),"")</f>
        <v>0</v>
      </c>
      <c r="G690">
        <f>IFERROR(SMALL(G191:G559,ROW()-ROW($G$562)+1),"")</f>
        <v>0</v>
      </c>
      <c r="H690">
        <f>IFERROR(SMALL(H191:H559,ROW()-ROW($H$562)+1),"")</f>
        <v>0</v>
      </c>
      <c r="K690">
        <f>IFERROR(SMALL(K191:K559,ROW()-ROW($K$562)+1),"")</f>
        <v>0</v>
      </c>
      <c r="L690">
        <f>IFERROR(SMALL(L191:L559,ROW()-ROW($L$562)+1),"")</f>
        <v>0</v>
      </c>
      <c r="M690">
        <f>IFERROR(SMALL(M191:M559,ROW()-ROW($M$562)+1),"")</f>
        <v>0</v>
      </c>
      <c r="N690">
        <f>IFERROR(SMALL(N191:N559,ROW()-ROW($N$562)+1),"")</f>
        <v>0</v>
      </c>
    </row>
    <row r="691" spans="5:14">
      <c r="E691">
        <f>IFERROR(SMALL(E191:E559,ROW()-ROW($E$562)+1),"")</f>
        <v>0</v>
      </c>
      <c r="F691">
        <f>IFERROR(SMALL(F191:F559,ROW()-ROW($F$562)+1),"")</f>
        <v>0</v>
      </c>
      <c r="G691">
        <f>IFERROR(SMALL(G191:G559,ROW()-ROW($G$562)+1),"")</f>
        <v>0</v>
      </c>
      <c r="H691">
        <f>IFERROR(SMALL(H191:H559,ROW()-ROW($H$562)+1),"")</f>
        <v>0</v>
      </c>
      <c r="K691">
        <f>IFERROR(SMALL(K191:K559,ROW()-ROW($K$562)+1),"")</f>
        <v>0</v>
      </c>
      <c r="L691">
        <f>IFERROR(SMALL(L191:L559,ROW()-ROW($L$562)+1),"")</f>
        <v>0</v>
      </c>
      <c r="M691">
        <f>IFERROR(SMALL(M191:M559,ROW()-ROW($M$562)+1),"")</f>
        <v>0</v>
      </c>
      <c r="N691">
        <f>IFERROR(SMALL(N191:N559,ROW()-ROW($N$562)+1),"")</f>
        <v>0</v>
      </c>
    </row>
    <row r="692" spans="5:14">
      <c r="E692">
        <f>IFERROR(SMALL(E191:E559,ROW()-ROW($E$562)+1),"")</f>
        <v>0</v>
      </c>
      <c r="F692">
        <f>IFERROR(SMALL(F191:F559,ROW()-ROW($F$562)+1),"")</f>
        <v>0</v>
      </c>
      <c r="G692">
        <f>IFERROR(SMALL(G191:G559,ROW()-ROW($G$562)+1),"")</f>
        <v>0</v>
      </c>
      <c r="H692">
        <f>IFERROR(SMALL(H191:H559,ROW()-ROW($H$562)+1),"")</f>
        <v>0</v>
      </c>
      <c r="K692">
        <f>IFERROR(SMALL(K191:K559,ROW()-ROW($K$562)+1),"")</f>
        <v>0</v>
      </c>
      <c r="L692">
        <f>IFERROR(SMALL(L191:L559,ROW()-ROW($L$562)+1),"")</f>
        <v>0</v>
      </c>
      <c r="M692">
        <f>IFERROR(SMALL(M191:M559,ROW()-ROW($M$562)+1),"")</f>
        <v>0</v>
      </c>
      <c r="N692">
        <f>IFERROR(SMALL(N191:N559,ROW()-ROW($N$562)+1),"")</f>
        <v>0</v>
      </c>
    </row>
    <row r="693" spans="5:14">
      <c r="E693">
        <f>IFERROR(SMALL(E191:E559,ROW()-ROW($E$562)+1),"")</f>
        <v>0</v>
      </c>
      <c r="F693">
        <f>IFERROR(SMALL(F191:F559,ROW()-ROW($F$562)+1),"")</f>
        <v>0</v>
      </c>
      <c r="G693">
        <f>IFERROR(SMALL(G191:G559,ROW()-ROW($G$562)+1),"")</f>
        <v>0</v>
      </c>
      <c r="H693">
        <f>IFERROR(SMALL(H191:H559,ROW()-ROW($H$562)+1),"")</f>
        <v>0</v>
      </c>
      <c r="K693">
        <f>IFERROR(SMALL(K191:K559,ROW()-ROW($K$562)+1),"")</f>
        <v>0</v>
      </c>
      <c r="L693">
        <f>IFERROR(SMALL(L191:L559,ROW()-ROW($L$562)+1),"")</f>
        <v>0</v>
      </c>
      <c r="M693">
        <f>IFERROR(SMALL(M191:M559,ROW()-ROW($M$562)+1),"")</f>
        <v>0</v>
      </c>
      <c r="N693">
        <f>IFERROR(SMALL(N191:N559,ROW()-ROW($N$562)+1),"")</f>
        <v>0</v>
      </c>
    </row>
    <row r="694" spans="5:14">
      <c r="E694">
        <f>IFERROR(SMALL(E191:E559,ROW()-ROW($E$562)+1),"")</f>
        <v>0</v>
      </c>
      <c r="F694">
        <f>IFERROR(SMALL(F191:F559,ROW()-ROW($F$562)+1),"")</f>
        <v>0</v>
      </c>
      <c r="G694">
        <f>IFERROR(SMALL(G191:G559,ROW()-ROW($G$562)+1),"")</f>
        <v>0</v>
      </c>
      <c r="H694">
        <f>IFERROR(SMALL(H191:H559,ROW()-ROW($H$562)+1),"")</f>
        <v>0</v>
      </c>
      <c r="K694">
        <f>IFERROR(SMALL(K191:K559,ROW()-ROW($K$562)+1),"")</f>
        <v>0</v>
      </c>
      <c r="L694">
        <f>IFERROR(SMALL(L191:L559,ROW()-ROW($L$562)+1),"")</f>
        <v>0</v>
      </c>
      <c r="M694">
        <f>IFERROR(SMALL(M191:M559,ROW()-ROW($M$562)+1),"")</f>
        <v>0</v>
      </c>
      <c r="N694">
        <f>IFERROR(SMALL(N191:N559,ROW()-ROW($N$562)+1),"")</f>
        <v>0</v>
      </c>
    </row>
    <row r="695" spans="5:14">
      <c r="E695">
        <f>IFERROR(SMALL(E191:E559,ROW()-ROW($E$562)+1),"")</f>
        <v>0</v>
      </c>
      <c r="F695">
        <f>IFERROR(SMALL(F191:F559,ROW()-ROW($F$562)+1),"")</f>
        <v>0</v>
      </c>
      <c r="G695">
        <f>IFERROR(SMALL(G191:G559,ROW()-ROW($G$562)+1),"")</f>
        <v>0</v>
      </c>
      <c r="H695">
        <f>IFERROR(SMALL(H191:H559,ROW()-ROW($H$562)+1),"")</f>
        <v>0</v>
      </c>
      <c r="K695">
        <f>IFERROR(SMALL(K191:K559,ROW()-ROW($K$562)+1),"")</f>
        <v>0</v>
      </c>
      <c r="L695">
        <f>IFERROR(SMALL(L191:L559,ROW()-ROW($L$562)+1),"")</f>
        <v>0</v>
      </c>
      <c r="M695">
        <f>IFERROR(SMALL(M191:M559,ROW()-ROW($M$562)+1),"")</f>
        <v>0</v>
      </c>
      <c r="N695">
        <f>IFERROR(SMALL(N191:N559,ROW()-ROW($N$562)+1),"")</f>
        <v>0</v>
      </c>
    </row>
    <row r="696" spans="5:14">
      <c r="E696">
        <f>IFERROR(SMALL(E191:E559,ROW()-ROW($E$562)+1),"")</f>
        <v>0</v>
      </c>
      <c r="F696">
        <f>IFERROR(SMALL(F191:F559,ROW()-ROW($F$562)+1),"")</f>
        <v>0</v>
      </c>
      <c r="G696">
        <f>IFERROR(SMALL(G191:G559,ROW()-ROW($G$562)+1),"")</f>
        <v>0</v>
      </c>
      <c r="H696">
        <f>IFERROR(SMALL(H191:H559,ROW()-ROW($H$562)+1),"")</f>
        <v>0</v>
      </c>
      <c r="K696">
        <f>IFERROR(SMALL(K191:K559,ROW()-ROW($K$562)+1),"")</f>
        <v>0</v>
      </c>
      <c r="L696">
        <f>IFERROR(SMALL(L191:L559,ROW()-ROW($L$562)+1),"")</f>
        <v>0</v>
      </c>
      <c r="M696">
        <f>IFERROR(SMALL(M191:M559,ROW()-ROW($M$562)+1),"")</f>
        <v>0</v>
      </c>
      <c r="N696">
        <f>IFERROR(SMALL(N191:N559,ROW()-ROW($N$562)+1),"")</f>
        <v>0</v>
      </c>
    </row>
    <row r="697" spans="5:14">
      <c r="E697">
        <f>IFERROR(SMALL(E191:E559,ROW()-ROW($E$562)+1),"")</f>
        <v>0</v>
      </c>
      <c r="F697">
        <f>IFERROR(SMALL(F191:F559,ROW()-ROW($F$562)+1),"")</f>
        <v>0</v>
      </c>
      <c r="G697">
        <f>IFERROR(SMALL(G191:G559,ROW()-ROW($G$562)+1),"")</f>
        <v>0</v>
      </c>
      <c r="H697">
        <f>IFERROR(SMALL(H191:H559,ROW()-ROW($H$562)+1),"")</f>
        <v>0</v>
      </c>
      <c r="K697">
        <f>IFERROR(SMALL(K191:K559,ROW()-ROW($K$562)+1),"")</f>
        <v>0</v>
      </c>
      <c r="L697">
        <f>IFERROR(SMALL(L191:L559,ROW()-ROW($L$562)+1),"")</f>
        <v>0</v>
      </c>
      <c r="M697">
        <f>IFERROR(SMALL(M191:M559,ROW()-ROW($M$562)+1),"")</f>
        <v>0</v>
      </c>
      <c r="N697">
        <f>IFERROR(SMALL(N191:N559,ROW()-ROW($N$562)+1),"")</f>
        <v>0</v>
      </c>
    </row>
    <row r="698" spans="5:14">
      <c r="E698">
        <f>IFERROR(SMALL(E191:E559,ROW()-ROW($E$562)+1),"")</f>
        <v>0</v>
      </c>
      <c r="F698">
        <f>IFERROR(SMALL(F191:F559,ROW()-ROW($F$562)+1),"")</f>
        <v>0</v>
      </c>
      <c r="G698">
        <f>IFERROR(SMALL(G191:G559,ROW()-ROW($G$562)+1),"")</f>
        <v>0</v>
      </c>
      <c r="H698">
        <f>IFERROR(SMALL(H191:H559,ROW()-ROW($H$562)+1),"")</f>
        <v>0</v>
      </c>
      <c r="K698">
        <f>IFERROR(SMALL(K191:K559,ROW()-ROW($K$562)+1),"")</f>
        <v>0</v>
      </c>
      <c r="L698">
        <f>IFERROR(SMALL(L191:L559,ROW()-ROW($L$562)+1),"")</f>
        <v>0</v>
      </c>
      <c r="M698">
        <f>IFERROR(SMALL(M191:M559,ROW()-ROW($M$562)+1),"")</f>
        <v>0</v>
      </c>
      <c r="N698">
        <f>IFERROR(SMALL(N191:N559,ROW()-ROW($N$562)+1),"")</f>
        <v>0</v>
      </c>
    </row>
    <row r="699" spans="5:14">
      <c r="E699">
        <f>IFERROR(SMALL(E191:E559,ROW()-ROW($E$562)+1),"")</f>
        <v>0</v>
      </c>
      <c r="F699">
        <f>IFERROR(SMALL(F191:F559,ROW()-ROW($F$562)+1),"")</f>
        <v>0</v>
      </c>
      <c r="G699">
        <f>IFERROR(SMALL(G191:G559,ROW()-ROW($G$562)+1),"")</f>
        <v>0</v>
      </c>
      <c r="H699">
        <f>IFERROR(SMALL(H191:H559,ROW()-ROW($H$562)+1),"")</f>
        <v>0</v>
      </c>
      <c r="K699">
        <f>IFERROR(SMALL(K191:K559,ROW()-ROW($K$562)+1),"")</f>
        <v>0</v>
      </c>
      <c r="L699">
        <f>IFERROR(SMALL(L191:L559,ROW()-ROW($L$562)+1),"")</f>
        <v>0</v>
      </c>
      <c r="M699">
        <f>IFERROR(SMALL(M191:M559,ROW()-ROW($M$562)+1),"")</f>
        <v>0</v>
      </c>
      <c r="N699">
        <f>IFERROR(SMALL(N191:N559,ROW()-ROW($N$562)+1),"")</f>
        <v>0</v>
      </c>
    </row>
    <row r="700" spans="5:14">
      <c r="E700">
        <f>IFERROR(SMALL(E191:E559,ROW()-ROW($E$562)+1),"")</f>
        <v>0</v>
      </c>
      <c r="F700">
        <f>IFERROR(SMALL(F191:F559,ROW()-ROW($F$562)+1),"")</f>
        <v>0</v>
      </c>
      <c r="G700">
        <f>IFERROR(SMALL(G191:G559,ROW()-ROW($G$562)+1),"")</f>
        <v>0</v>
      </c>
      <c r="H700">
        <f>IFERROR(SMALL(H191:H559,ROW()-ROW($H$562)+1),"")</f>
        <v>0</v>
      </c>
      <c r="K700">
        <f>IFERROR(SMALL(K191:K559,ROW()-ROW($K$562)+1),"")</f>
        <v>0</v>
      </c>
      <c r="L700">
        <f>IFERROR(SMALL(L191:L559,ROW()-ROW($L$562)+1),"")</f>
        <v>0</v>
      </c>
      <c r="M700">
        <f>IFERROR(SMALL(M191:M559,ROW()-ROW($M$562)+1),"")</f>
        <v>0</v>
      </c>
      <c r="N700">
        <f>IFERROR(SMALL(N191:N559,ROW()-ROW($N$562)+1),"")</f>
        <v>0</v>
      </c>
    </row>
    <row r="701" spans="5:14">
      <c r="E701">
        <f>IFERROR(SMALL(E191:E559,ROW()-ROW($E$562)+1),"")</f>
        <v>0</v>
      </c>
      <c r="F701">
        <f>IFERROR(SMALL(F191:F559,ROW()-ROW($F$562)+1),"")</f>
        <v>0</v>
      </c>
      <c r="G701">
        <f>IFERROR(SMALL(G191:G559,ROW()-ROW($G$562)+1),"")</f>
        <v>0</v>
      </c>
      <c r="H701">
        <f>IFERROR(SMALL(H191:H559,ROW()-ROW($H$562)+1),"")</f>
        <v>0</v>
      </c>
      <c r="K701">
        <f>IFERROR(SMALL(K191:K559,ROW()-ROW($K$562)+1),"")</f>
        <v>0</v>
      </c>
      <c r="L701">
        <f>IFERROR(SMALL(L191:L559,ROW()-ROW($L$562)+1),"")</f>
        <v>0</v>
      </c>
      <c r="M701">
        <f>IFERROR(SMALL(M191:M559,ROW()-ROW($M$562)+1),"")</f>
        <v>0</v>
      </c>
      <c r="N701">
        <f>IFERROR(SMALL(N191:N559,ROW()-ROW($N$562)+1),"")</f>
        <v>0</v>
      </c>
    </row>
    <row r="702" spans="5:14">
      <c r="E702">
        <f>IFERROR(SMALL(E191:E559,ROW()-ROW($E$562)+1),"")</f>
        <v>0</v>
      </c>
      <c r="F702">
        <f>IFERROR(SMALL(F191:F559,ROW()-ROW($F$562)+1),"")</f>
        <v>0</v>
      </c>
      <c r="G702">
        <f>IFERROR(SMALL(G191:G559,ROW()-ROW($G$562)+1),"")</f>
        <v>0</v>
      </c>
      <c r="H702">
        <f>IFERROR(SMALL(H191:H559,ROW()-ROW($H$562)+1),"")</f>
        <v>0</v>
      </c>
      <c r="K702">
        <f>IFERROR(SMALL(K191:K559,ROW()-ROW($K$562)+1),"")</f>
        <v>0</v>
      </c>
      <c r="L702">
        <f>IFERROR(SMALL(L191:L559,ROW()-ROW($L$562)+1),"")</f>
        <v>0</v>
      </c>
      <c r="M702">
        <f>IFERROR(SMALL(M191:M559,ROW()-ROW($M$562)+1),"")</f>
        <v>0</v>
      </c>
      <c r="N702">
        <f>IFERROR(SMALL(N191:N559,ROW()-ROW($N$562)+1),"")</f>
        <v>0</v>
      </c>
    </row>
    <row r="703" spans="5:14">
      <c r="E703">
        <f>IFERROR(SMALL(E191:E559,ROW()-ROW($E$562)+1),"")</f>
        <v>0</v>
      </c>
      <c r="F703">
        <f>IFERROR(SMALL(F191:F559,ROW()-ROW($F$562)+1),"")</f>
        <v>0</v>
      </c>
      <c r="G703">
        <f>IFERROR(SMALL(G191:G559,ROW()-ROW($G$562)+1),"")</f>
        <v>0</v>
      </c>
      <c r="H703">
        <f>IFERROR(SMALL(H191:H559,ROW()-ROW($H$562)+1),"")</f>
        <v>0</v>
      </c>
      <c r="K703">
        <f>IFERROR(SMALL(K191:K559,ROW()-ROW($K$562)+1),"")</f>
        <v>0</v>
      </c>
      <c r="L703">
        <f>IFERROR(SMALL(L191:L559,ROW()-ROW($L$562)+1),"")</f>
        <v>0</v>
      </c>
      <c r="M703">
        <f>IFERROR(SMALL(M191:M559,ROW()-ROW($M$562)+1),"")</f>
        <v>0</v>
      </c>
      <c r="N703">
        <f>IFERROR(SMALL(N191:N559,ROW()-ROW($N$562)+1),"")</f>
        <v>0</v>
      </c>
    </row>
    <row r="704" spans="5:14">
      <c r="E704">
        <f>IFERROR(SMALL(E191:E559,ROW()-ROW($E$562)+1),"")</f>
        <v>0</v>
      </c>
      <c r="F704">
        <f>IFERROR(SMALL(F191:F559,ROW()-ROW($F$562)+1),"")</f>
        <v>0</v>
      </c>
      <c r="G704">
        <f>IFERROR(SMALL(G191:G559,ROW()-ROW($G$562)+1),"")</f>
        <v>0</v>
      </c>
      <c r="H704">
        <f>IFERROR(SMALL(H191:H559,ROW()-ROW($H$562)+1),"")</f>
        <v>0</v>
      </c>
      <c r="K704">
        <f>IFERROR(SMALL(K191:K559,ROW()-ROW($K$562)+1),"")</f>
        <v>0</v>
      </c>
      <c r="L704">
        <f>IFERROR(SMALL(L191:L559,ROW()-ROW($L$562)+1),"")</f>
        <v>0</v>
      </c>
      <c r="M704">
        <f>IFERROR(SMALL(M191:M559,ROW()-ROW($M$562)+1),"")</f>
        <v>0</v>
      </c>
      <c r="N704">
        <f>IFERROR(SMALL(N191:N559,ROW()-ROW($N$562)+1),"")</f>
        <v>0</v>
      </c>
    </row>
    <row r="705" spans="5:14">
      <c r="E705">
        <f>IFERROR(SMALL(E191:E559,ROW()-ROW($E$562)+1),"")</f>
        <v>0</v>
      </c>
      <c r="F705">
        <f>IFERROR(SMALL(F191:F559,ROW()-ROW($F$562)+1),"")</f>
        <v>0</v>
      </c>
      <c r="G705">
        <f>IFERROR(SMALL(G191:G559,ROW()-ROW($G$562)+1),"")</f>
        <v>0</v>
      </c>
      <c r="H705">
        <f>IFERROR(SMALL(H191:H559,ROW()-ROW($H$562)+1),"")</f>
        <v>0</v>
      </c>
      <c r="K705">
        <f>IFERROR(SMALL(K191:K559,ROW()-ROW($K$562)+1),"")</f>
        <v>0</v>
      </c>
      <c r="L705">
        <f>IFERROR(SMALL(L191:L559,ROW()-ROW($L$562)+1),"")</f>
        <v>0</v>
      </c>
      <c r="M705">
        <f>IFERROR(SMALL(M191:M559,ROW()-ROW($M$562)+1),"")</f>
        <v>0</v>
      </c>
      <c r="N705">
        <f>IFERROR(SMALL(N191:N559,ROW()-ROW($N$562)+1),"")</f>
        <v>0</v>
      </c>
    </row>
    <row r="706" spans="5:14">
      <c r="E706">
        <f>IFERROR(SMALL(E191:E559,ROW()-ROW($E$562)+1),"")</f>
        <v>0</v>
      </c>
      <c r="F706">
        <f>IFERROR(SMALL(F191:F559,ROW()-ROW($F$562)+1),"")</f>
        <v>0</v>
      </c>
      <c r="G706">
        <f>IFERROR(SMALL(G191:G559,ROW()-ROW($G$562)+1),"")</f>
        <v>0</v>
      </c>
      <c r="H706">
        <f>IFERROR(SMALL(H191:H559,ROW()-ROW($H$562)+1),"")</f>
        <v>0</v>
      </c>
      <c r="K706">
        <f>IFERROR(SMALL(K191:K559,ROW()-ROW($K$562)+1),"")</f>
        <v>0</v>
      </c>
      <c r="L706">
        <f>IFERROR(SMALL(L191:L559,ROW()-ROW($L$562)+1),"")</f>
        <v>0</v>
      </c>
      <c r="M706">
        <f>IFERROR(SMALL(M191:M559,ROW()-ROW($M$562)+1),"")</f>
        <v>0</v>
      </c>
      <c r="N706">
        <f>IFERROR(SMALL(N191:N559,ROW()-ROW($N$562)+1),"")</f>
        <v>0</v>
      </c>
    </row>
    <row r="707" spans="5:14">
      <c r="E707">
        <f>IFERROR(SMALL(E191:E559,ROW()-ROW($E$562)+1),"")</f>
        <v>0</v>
      </c>
      <c r="F707">
        <f>IFERROR(SMALL(F191:F559,ROW()-ROW($F$562)+1),"")</f>
        <v>0</v>
      </c>
      <c r="G707">
        <f>IFERROR(SMALL(G191:G559,ROW()-ROW($G$562)+1),"")</f>
        <v>0</v>
      </c>
      <c r="H707">
        <f>IFERROR(SMALL(H191:H559,ROW()-ROW($H$562)+1),"")</f>
        <v>0</v>
      </c>
      <c r="K707">
        <f>IFERROR(SMALL(K191:K559,ROW()-ROW($K$562)+1),"")</f>
        <v>0</v>
      </c>
      <c r="L707">
        <f>IFERROR(SMALL(L191:L559,ROW()-ROW($L$562)+1),"")</f>
        <v>0</v>
      </c>
      <c r="M707">
        <f>IFERROR(SMALL(M191:M559,ROW()-ROW($M$562)+1),"")</f>
        <v>0</v>
      </c>
      <c r="N707">
        <f>IFERROR(SMALL(N191:N559,ROW()-ROW($N$562)+1),"")</f>
        <v>0</v>
      </c>
    </row>
    <row r="708" spans="5:14">
      <c r="E708">
        <f>IFERROR(SMALL(E191:E559,ROW()-ROW($E$562)+1),"")</f>
        <v>0</v>
      </c>
      <c r="F708">
        <f>IFERROR(SMALL(F191:F559,ROW()-ROW($F$562)+1),"")</f>
        <v>0</v>
      </c>
      <c r="G708">
        <f>IFERROR(SMALL(G191:G559,ROW()-ROW($G$562)+1),"")</f>
        <v>0</v>
      </c>
      <c r="H708">
        <f>IFERROR(SMALL(H191:H559,ROW()-ROW($H$562)+1),"")</f>
        <v>0</v>
      </c>
      <c r="K708">
        <f>IFERROR(SMALL(K191:K559,ROW()-ROW($K$562)+1),"")</f>
        <v>0</v>
      </c>
      <c r="L708">
        <f>IFERROR(SMALL(L191:L559,ROW()-ROW($L$562)+1),"")</f>
        <v>0</v>
      </c>
      <c r="M708">
        <f>IFERROR(SMALL(M191:M559,ROW()-ROW($M$562)+1),"")</f>
        <v>0</v>
      </c>
      <c r="N708">
        <f>IFERROR(SMALL(N191:N559,ROW()-ROW($N$562)+1),"")</f>
        <v>0</v>
      </c>
    </row>
    <row r="709" spans="5:14">
      <c r="E709">
        <f>IFERROR(SMALL(E191:E559,ROW()-ROW($E$562)+1),"")</f>
        <v>0</v>
      </c>
      <c r="F709">
        <f>IFERROR(SMALL(F191:F559,ROW()-ROW($F$562)+1),"")</f>
        <v>0</v>
      </c>
      <c r="G709">
        <f>IFERROR(SMALL(G191:G559,ROW()-ROW($G$562)+1),"")</f>
        <v>0</v>
      </c>
      <c r="H709">
        <f>IFERROR(SMALL(H191:H559,ROW()-ROW($H$562)+1),"")</f>
        <v>0</v>
      </c>
      <c r="K709">
        <f>IFERROR(SMALL(K191:K559,ROW()-ROW($K$562)+1),"")</f>
        <v>0</v>
      </c>
      <c r="L709">
        <f>IFERROR(SMALL(L191:L559,ROW()-ROW($L$562)+1),"")</f>
        <v>0</v>
      </c>
      <c r="M709">
        <f>IFERROR(SMALL(M191:M559,ROW()-ROW($M$562)+1),"")</f>
        <v>0</v>
      </c>
      <c r="N709">
        <f>IFERROR(SMALL(N191:N559,ROW()-ROW($N$562)+1),"")</f>
        <v>0</v>
      </c>
    </row>
    <row r="710" spans="5:14">
      <c r="E710">
        <f>IFERROR(SMALL(E191:E559,ROW()-ROW($E$562)+1),"")</f>
        <v>0</v>
      </c>
      <c r="F710">
        <f>IFERROR(SMALL(F191:F559,ROW()-ROW($F$562)+1),"")</f>
        <v>0</v>
      </c>
      <c r="G710">
        <f>IFERROR(SMALL(G191:G559,ROW()-ROW($G$562)+1),"")</f>
        <v>0</v>
      </c>
      <c r="H710">
        <f>IFERROR(SMALL(H191:H559,ROW()-ROW($H$562)+1),"")</f>
        <v>0</v>
      </c>
      <c r="K710">
        <f>IFERROR(SMALL(K191:K559,ROW()-ROW($K$562)+1),"")</f>
        <v>0</v>
      </c>
      <c r="L710">
        <f>IFERROR(SMALL(L191:L559,ROW()-ROW($L$562)+1),"")</f>
        <v>0</v>
      </c>
      <c r="M710">
        <f>IFERROR(SMALL(M191:M559,ROW()-ROW($M$562)+1),"")</f>
        <v>0</v>
      </c>
      <c r="N710">
        <f>IFERROR(SMALL(N191:N559,ROW()-ROW($N$562)+1),"")</f>
        <v>0</v>
      </c>
    </row>
    <row r="711" spans="5:14">
      <c r="E711">
        <f>IFERROR(SMALL(E191:E559,ROW()-ROW($E$562)+1),"")</f>
        <v>0</v>
      </c>
      <c r="F711">
        <f>IFERROR(SMALL(F191:F559,ROW()-ROW($F$562)+1),"")</f>
        <v>0</v>
      </c>
      <c r="G711">
        <f>IFERROR(SMALL(G191:G559,ROW()-ROW($G$562)+1),"")</f>
        <v>0</v>
      </c>
      <c r="H711">
        <f>IFERROR(SMALL(H191:H559,ROW()-ROW($H$562)+1),"")</f>
        <v>0</v>
      </c>
      <c r="K711">
        <f>IFERROR(SMALL(K191:K559,ROW()-ROW($K$562)+1),"")</f>
        <v>0</v>
      </c>
      <c r="L711">
        <f>IFERROR(SMALL(L191:L559,ROW()-ROW($L$562)+1),"")</f>
        <v>0</v>
      </c>
      <c r="M711">
        <f>IFERROR(SMALL(M191:M559,ROW()-ROW($M$562)+1),"")</f>
        <v>0</v>
      </c>
      <c r="N711">
        <f>IFERROR(SMALL(N191:N559,ROW()-ROW($N$562)+1),"")</f>
        <v>0</v>
      </c>
    </row>
    <row r="712" spans="5:14">
      <c r="E712">
        <f>IFERROR(SMALL(E191:E559,ROW()-ROW($E$562)+1),"")</f>
        <v>0</v>
      </c>
      <c r="F712">
        <f>IFERROR(SMALL(F191:F559,ROW()-ROW($F$562)+1),"")</f>
        <v>0</v>
      </c>
      <c r="G712">
        <f>IFERROR(SMALL(G191:G559,ROW()-ROW($G$562)+1),"")</f>
        <v>0</v>
      </c>
      <c r="H712">
        <f>IFERROR(SMALL(H191:H559,ROW()-ROW($H$562)+1),"")</f>
        <v>0</v>
      </c>
      <c r="K712">
        <f>IFERROR(SMALL(K191:K559,ROW()-ROW($K$562)+1),"")</f>
        <v>0</v>
      </c>
      <c r="L712">
        <f>IFERROR(SMALL(L191:L559,ROW()-ROW($L$562)+1),"")</f>
        <v>0</v>
      </c>
      <c r="M712">
        <f>IFERROR(SMALL(M191:M559,ROW()-ROW($M$562)+1),"")</f>
        <v>0</v>
      </c>
      <c r="N712">
        <f>IFERROR(SMALL(N191:N559,ROW()-ROW($N$562)+1),"")</f>
        <v>0</v>
      </c>
    </row>
    <row r="713" spans="5:14">
      <c r="E713">
        <f>IFERROR(SMALL(E191:E559,ROW()-ROW($E$562)+1),"")</f>
        <v>0</v>
      </c>
      <c r="F713">
        <f>IFERROR(SMALL(F191:F559,ROW()-ROW($F$562)+1),"")</f>
        <v>0</v>
      </c>
      <c r="G713">
        <f>IFERROR(SMALL(G191:G559,ROW()-ROW($G$562)+1),"")</f>
        <v>0</v>
      </c>
      <c r="H713">
        <f>IFERROR(SMALL(H191:H559,ROW()-ROW($H$562)+1),"")</f>
        <v>0</v>
      </c>
      <c r="K713">
        <f>IFERROR(SMALL(K191:K559,ROW()-ROW($K$562)+1),"")</f>
        <v>0</v>
      </c>
      <c r="L713">
        <f>IFERROR(SMALL(L191:L559,ROW()-ROW($L$562)+1),"")</f>
        <v>0</v>
      </c>
      <c r="M713">
        <f>IFERROR(SMALL(M191:M559,ROW()-ROW($M$562)+1),"")</f>
        <v>0</v>
      </c>
      <c r="N713">
        <f>IFERROR(SMALL(N191:N559,ROW()-ROW($N$562)+1),"")</f>
        <v>0</v>
      </c>
    </row>
    <row r="714" spans="5:14">
      <c r="E714">
        <f>IFERROR(SMALL(E191:E559,ROW()-ROW($E$562)+1),"")</f>
        <v>0</v>
      </c>
      <c r="F714">
        <f>IFERROR(SMALL(F191:F559,ROW()-ROW($F$562)+1),"")</f>
        <v>0</v>
      </c>
      <c r="G714">
        <f>IFERROR(SMALL(G191:G559,ROW()-ROW($G$562)+1),"")</f>
        <v>0</v>
      </c>
      <c r="H714">
        <f>IFERROR(SMALL(H191:H559,ROW()-ROW($H$562)+1),"")</f>
        <v>0</v>
      </c>
      <c r="K714">
        <f>IFERROR(SMALL(K191:K559,ROW()-ROW($K$562)+1),"")</f>
        <v>0</v>
      </c>
      <c r="L714">
        <f>IFERROR(SMALL(L191:L559,ROW()-ROW($L$562)+1),"")</f>
        <v>0</v>
      </c>
      <c r="M714">
        <f>IFERROR(SMALL(M191:M559,ROW()-ROW($M$562)+1),"")</f>
        <v>0</v>
      </c>
      <c r="N714">
        <f>IFERROR(SMALL(N191:N559,ROW()-ROW($N$562)+1),"")</f>
        <v>0</v>
      </c>
    </row>
    <row r="715" spans="5:14">
      <c r="E715">
        <f>IFERROR(SMALL(E191:E559,ROW()-ROW($E$562)+1),"")</f>
        <v>0</v>
      </c>
      <c r="F715">
        <f>IFERROR(SMALL(F191:F559,ROW()-ROW($F$562)+1),"")</f>
        <v>0</v>
      </c>
      <c r="G715">
        <f>IFERROR(SMALL(G191:G559,ROW()-ROW($G$562)+1),"")</f>
        <v>0</v>
      </c>
      <c r="H715">
        <f>IFERROR(SMALL(H191:H559,ROW()-ROW($H$562)+1),"")</f>
        <v>0</v>
      </c>
      <c r="K715">
        <f>IFERROR(SMALL(K191:K559,ROW()-ROW($K$562)+1),"")</f>
        <v>0</v>
      </c>
      <c r="L715">
        <f>IFERROR(SMALL(L191:L559,ROW()-ROW($L$562)+1),"")</f>
        <v>0</v>
      </c>
      <c r="M715">
        <f>IFERROR(SMALL(M191:M559,ROW()-ROW($M$562)+1),"")</f>
        <v>0</v>
      </c>
      <c r="N715">
        <f>IFERROR(SMALL(N191:N559,ROW()-ROW($N$562)+1),"")</f>
        <v>0</v>
      </c>
    </row>
    <row r="716" spans="5:14">
      <c r="E716">
        <f>IFERROR(SMALL(E191:E559,ROW()-ROW($E$562)+1),"")</f>
        <v>0</v>
      </c>
      <c r="F716">
        <f>IFERROR(SMALL(F191:F559,ROW()-ROW($F$562)+1),"")</f>
        <v>0</v>
      </c>
      <c r="G716">
        <f>IFERROR(SMALL(G191:G559,ROW()-ROW($G$562)+1),"")</f>
        <v>0</v>
      </c>
      <c r="H716">
        <f>IFERROR(SMALL(H191:H559,ROW()-ROW($H$562)+1),"")</f>
        <v>0</v>
      </c>
      <c r="K716">
        <f>IFERROR(SMALL(K191:K559,ROW()-ROW($K$562)+1),"")</f>
        <v>0</v>
      </c>
      <c r="L716">
        <f>IFERROR(SMALL(L191:L559,ROW()-ROW($L$562)+1),"")</f>
        <v>0</v>
      </c>
      <c r="M716">
        <f>IFERROR(SMALL(M191:M559,ROW()-ROW($M$562)+1),"")</f>
        <v>0</v>
      </c>
      <c r="N716">
        <f>IFERROR(SMALL(N191:N559,ROW()-ROW($N$562)+1),"")</f>
        <v>0</v>
      </c>
    </row>
    <row r="717" spans="5:14">
      <c r="E717">
        <f>IFERROR(SMALL(E191:E559,ROW()-ROW($E$562)+1),"")</f>
        <v>0</v>
      </c>
      <c r="F717">
        <f>IFERROR(SMALL(F191:F559,ROW()-ROW($F$562)+1),"")</f>
        <v>0</v>
      </c>
      <c r="G717">
        <f>IFERROR(SMALL(G191:G559,ROW()-ROW($G$562)+1),"")</f>
        <v>0</v>
      </c>
      <c r="H717">
        <f>IFERROR(SMALL(H191:H559,ROW()-ROW($H$562)+1),"")</f>
        <v>0</v>
      </c>
      <c r="K717">
        <f>IFERROR(SMALL(K191:K559,ROW()-ROW($K$562)+1),"")</f>
        <v>0</v>
      </c>
      <c r="L717">
        <f>IFERROR(SMALL(L191:L559,ROW()-ROW($L$562)+1),"")</f>
        <v>0</v>
      </c>
      <c r="M717">
        <f>IFERROR(SMALL(M191:M559,ROW()-ROW($M$562)+1),"")</f>
        <v>0</v>
      </c>
      <c r="N717">
        <f>IFERROR(SMALL(N191:N559,ROW()-ROW($N$562)+1),"")</f>
        <v>0</v>
      </c>
    </row>
    <row r="718" spans="5:14">
      <c r="E718">
        <f>IFERROR(SMALL(E191:E559,ROW()-ROW($E$562)+1),"")</f>
        <v>0</v>
      </c>
      <c r="F718">
        <f>IFERROR(SMALL(F191:F559,ROW()-ROW($F$562)+1),"")</f>
        <v>0</v>
      </c>
      <c r="G718">
        <f>IFERROR(SMALL(G191:G559,ROW()-ROW($G$562)+1),"")</f>
        <v>0</v>
      </c>
      <c r="H718">
        <f>IFERROR(SMALL(H191:H559,ROW()-ROW($H$562)+1),"")</f>
        <v>0</v>
      </c>
      <c r="K718">
        <f>IFERROR(SMALL(K191:K559,ROW()-ROW($K$562)+1),"")</f>
        <v>0</v>
      </c>
      <c r="L718">
        <f>IFERROR(SMALL(L191:L559,ROW()-ROW($L$562)+1),"")</f>
        <v>0</v>
      </c>
      <c r="M718">
        <f>IFERROR(SMALL(M191:M559,ROW()-ROW($M$562)+1),"")</f>
        <v>0</v>
      </c>
      <c r="N718">
        <f>IFERROR(SMALL(N191:N559,ROW()-ROW($N$562)+1),"")</f>
        <v>0</v>
      </c>
    </row>
    <row r="719" spans="5:14">
      <c r="E719">
        <f>IFERROR(SMALL(E191:E559,ROW()-ROW($E$562)+1),"")</f>
        <v>0</v>
      </c>
      <c r="F719">
        <f>IFERROR(SMALL(F191:F559,ROW()-ROW($F$562)+1),"")</f>
        <v>0</v>
      </c>
      <c r="G719">
        <f>IFERROR(SMALL(G191:G559,ROW()-ROW($G$562)+1),"")</f>
        <v>0</v>
      </c>
      <c r="H719">
        <f>IFERROR(SMALL(H191:H559,ROW()-ROW($H$562)+1),"")</f>
        <v>0</v>
      </c>
      <c r="K719">
        <f>IFERROR(SMALL(K191:K559,ROW()-ROW($K$562)+1),"")</f>
        <v>0</v>
      </c>
      <c r="L719">
        <f>IFERROR(SMALL(L191:L559,ROW()-ROW($L$562)+1),"")</f>
        <v>0</v>
      </c>
      <c r="M719">
        <f>IFERROR(SMALL(M191:M559,ROW()-ROW($M$562)+1),"")</f>
        <v>0</v>
      </c>
      <c r="N719">
        <f>IFERROR(SMALL(N191:N559,ROW()-ROW($N$562)+1),"")</f>
        <v>0</v>
      </c>
    </row>
    <row r="720" spans="5:14">
      <c r="E720">
        <f>IFERROR(SMALL(E191:E559,ROW()-ROW($E$562)+1),"")</f>
        <v>0</v>
      </c>
      <c r="F720">
        <f>IFERROR(SMALL(F191:F559,ROW()-ROW($F$562)+1),"")</f>
        <v>0</v>
      </c>
      <c r="G720">
        <f>IFERROR(SMALL(G191:G559,ROW()-ROW($G$562)+1),"")</f>
        <v>0</v>
      </c>
      <c r="H720">
        <f>IFERROR(SMALL(H191:H559,ROW()-ROW($H$562)+1),"")</f>
        <v>0</v>
      </c>
      <c r="K720">
        <f>IFERROR(SMALL(K191:K559,ROW()-ROW($K$562)+1),"")</f>
        <v>0</v>
      </c>
      <c r="L720">
        <f>IFERROR(SMALL(L191:L559,ROW()-ROW($L$562)+1),"")</f>
        <v>0</v>
      </c>
      <c r="M720">
        <f>IFERROR(SMALL(M191:M559,ROW()-ROW($M$562)+1),"")</f>
        <v>0</v>
      </c>
      <c r="N720">
        <f>IFERROR(SMALL(N191:N559,ROW()-ROW($N$562)+1),"")</f>
        <v>0</v>
      </c>
    </row>
    <row r="721" spans="5:14">
      <c r="E721">
        <f>IFERROR(SMALL(E191:E559,ROW()-ROW($E$562)+1),"")</f>
        <v>0</v>
      </c>
      <c r="F721">
        <f>IFERROR(SMALL(F191:F559,ROW()-ROW($F$562)+1),"")</f>
        <v>0</v>
      </c>
      <c r="G721">
        <f>IFERROR(SMALL(G191:G559,ROW()-ROW($G$562)+1),"")</f>
        <v>0</v>
      </c>
      <c r="H721">
        <f>IFERROR(SMALL(H191:H559,ROW()-ROW($H$562)+1),"")</f>
        <v>0</v>
      </c>
      <c r="K721">
        <f>IFERROR(SMALL(K191:K559,ROW()-ROW($K$562)+1),"")</f>
        <v>0</v>
      </c>
      <c r="L721">
        <f>IFERROR(SMALL(L191:L559,ROW()-ROW($L$562)+1),"")</f>
        <v>0</v>
      </c>
      <c r="M721">
        <f>IFERROR(SMALL(M191:M559,ROW()-ROW($M$562)+1),"")</f>
        <v>0</v>
      </c>
      <c r="N721">
        <f>IFERROR(SMALL(N191:N559,ROW()-ROW($N$562)+1),"")</f>
        <v>0</v>
      </c>
    </row>
    <row r="722" spans="5:14">
      <c r="E722">
        <f>IFERROR(SMALL(E191:E559,ROW()-ROW($E$562)+1),"")</f>
        <v>0</v>
      </c>
      <c r="F722">
        <f>IFERROR(SMALL(F191:F559,ROW()-ROW($F$562)+1),"")</f>
        <v>0</v>
      </c>
      <c r="G722">
        <f>IFERROR(SMALL(G191:G559,ROW()-ROW($G$562)+1),"")</f>
        <v>0</v>
      </c>
      <c r="H722">
        <f>IFERROR(SMALL(H191:H559,ROW()-ROW($H$562)+1),"")</f>
        <v>0</v>
      </c>
      <c r="K722">
        <f>IFERROR(SMALL(K191:K559,ROW()-ROW($K$562)+1),"")</f>
        <v>0</v>
      </c>
      <c r="L722">
        <f>IFERROR(SMALL(L191:L559,ROW()-ROW($L$562)+1),"")</f>
        <v>0</v>
      </c>
      <c r="M722">
        <f>IFERROR(SMALL(M191:M559,ROW()-ROW($M$562)+1),"")</f>
        <v>0</v>
      </c>
      <c r="N722">
        <f>IFERROR(SMALL(N191:N559,ROW()-ROW($N$562)+1),"")</f>
        <v>0</v>
      </c>
    </row>
    <row r="723" spans="5:14">
      <c r="E723">
        <f>IFERROR(SMALL(E191:E559,ROW()-ROW($E$562)+1),"")</f>
        <v>0</v>
      </c>
      <c r="F723">
        <f>IFERROR(SMALL(F191:F559,ROW()-ROW($F$562)+1),"")</f>
        <v>0</v>
      </c>
      <c r="G723">
        <f>IFERROR(SMALL(G191:G559,ROW()-ROW($G$562)+1),"")</f>
        <v>0</v>
      </c>
      <c r="H723">
        <f>IFERROR(SMALL(H191:H559,ROW()-ROW($H$562)+1),"")</f>
        <v>0</v>
      </c>
      <c r="K723">
        <f>IFERROR(SMALL(K191:K559,ROW()-ROW($K$562)+1),"")</f>
        <v>0</v>
      </c>
      <c r="L723">
        <f>IFERROR(SMALL(L191:L559,ROW()-ROW($L$562)+1),"")</f>
        <v>0</v>
      </c>
      <c r="M723">
        <f>IFERROR(SMALL(M191:M559,ROW()-ROW($M$562)+1),"")</f>
        <v>0</v>
      </c>
      <c r="N723">
        <f>IFERROR(SMALL(N191:N559,ROW()-ROW($N$562)+1),"")</f>
        <v>0</v>
      </c>
    </row>
    <row r="724" spans="5:14">
      <c r="E724">
        <f>IFERROR(SMALL(E191:E559,ROW()-ROW($E$562)+1),"")</f>
        <v>0</v>
      </c>
      <c r="F724">
        <f>IFERROR(SMALL(F191:F559,ROW()-ROW($F$562)+1),"")</f>
        <v>0</v>
      </c>
      <c r="G724">
        <f>IFERROR(SMALL(G191:G559,ROW()-ROW($G$562)+1),"")</f>
        <v>0</v>
      </c>
      <c r="H724">
        <f>IFERROR(SMALL(H191:H559,ROW()-ROW($H$562)+1),"")</f>
        <v>0</v>
      </c>
      <c r="K724">
        <f>IFERROR(SMALL(K191:K559,ROW()-ROW($K$562)+1),"")</f>
        <v>0</v>
      </c>
      <c r="L724">
        <f>IFERROR(SMALL(L191:L559,ROW()-ROW($L$562)+1),"")</f>
        <v>0</v>
      </c>
      <c r="M724">
        <f>IFERROR(SMALL(M191:M559,ROW()-ROW($M$562)+1),"")</f>
        <v>0</v>
      </c>
      <c r="N724">
        <f>IFERROR(SMALL(N191:N559,ROW()-ROW($N$562)+1),"")</f>
        <v>0</v>
      </c>
    </row>
    <row r="725" spans="5:14">
      <c r="E725">
        <f>IFERROR(SMALL(E191:E559,ROW()-ROW($E$562)+1),"")</f>
        <v>0</v>
      </c>
      <c r="F725">
        <f>IFERROR(SMALL(F191:F559,ROW()-ROW($F$562)+1),"")</f>
        <v>0</v>
      </c>
      <c r="G725">
        <f>IFERROR(SMALL(G191:G559,ROW()-ROW($G$562)+1),"")</f>
        <v>0</v>
      </c>
      <c r="H725">
        <f>IFERROR(SMALL(H191:H559,ROW()-ROW($H$562)+1),"")</f>
        <v>0</v>
      </c>
      <c r="K725">
        <f>IFERROR(SMALL(K191:K559,ROW()-ROW($K$562)+1),"")</f>
        <v>0</v>
      </c>
      <c r="L725">
        <f>IFERROR(SMALL(L191:L559,ROW()-ROW($L$562)+1),"")</f>
        <v>0</v>
      </c>
      <c r="M725">
        <f>IFERROR(SMALL(M191:M559,ROW()-ROW($M$562)+1),"")</f>
        <v>0</v>
      </c>
      <c r="N725">
        <f>IFERROR(SMALL(N191:N559,ROW()-ROW($N$562)+1),"")</f>
        <v>0</v>
      </c>
    </row>
    <row r="726" spans="5:14">
      <c r="E726">
        <f>IFERROR(SMALL(E191:E559,ROW()-ROW($E$562)+1),"")</f>
        <v>0</v>
      </c>
      <c r="F726">
        <f>IFERROR(SMALL(F191:F559,ROW()-ROW($F$562)+1),"")</f>
        <v>0</v>
      </c>
      <c r="G726">
        <f>IFERROR(SMALL(G191:G559,ROW()-ROW($G$562)+1),"")</f>
        <v>0</v>
      </c>
      <c r="H726">
        <f>IFERROR(SMALL(H191:H559,ROW()-ROW($H$562)+1),"")</f>
        <v>0</v>
      </c>
      <c r="K726">
        <f>IFERROR(SMALL(K191:K559,ROW()-ROW($K$562)+1),"")</f>
        <v>0</v>
      </c>
      <c r="L726">
        <f>IFERROR(SMALL(L191:L559,ROW()-ROW($L$562)+1),"")</f>
        <v>0</v>
      </c>
      <c r="M726">
        <f>IFERROR(SMALL(M191:M559,ROW()-ROW($M$562)+1),"")</f>
        <v>0</v>
      </c>
      <c r="N726">
        <f>IFERROR(SMALL(N191:N559,ROW()-ROW($N$562)+1),"")</f>
        <v>0</v>
      </c>
    </row>
    <row r="727" spans="5:14">
      <c r="E727">
        <f>IFERROR(SMALL(E191:E559,ROW()-ROW($E$562)+1),"")</f>
        <v>0</v>
      </c>
      <c r="F727">
        <f>IFERROR(SMALL(F191:F559,ROW()-ROW($F$562)+1),"")</f>
        <v>0</v>
      </c>
      <c r="G727">
        <f>IFERROR(SMALL(G191:G559,ROW()-ROW($G$562)+1),"")</f>
        <v>0</v>
      </c>
      <c r="H727">
        <f>IFERROR(SMALL(H191:H559,ROW()-ROW($H$562)+1),"")</f>
        <v>0</v>
      </c>
      <c r="K727">
        <f>IFERROR(SMALL(K191:K559,ROW()-ROW($K$562)+1),"")</f>
        <v>0</v>
      </c>
      <c r="L727">
        <f>IFERROR(SMALL(L191:L559,ROW()-ROW($L$562)+1),"")</f>
        <v>0</v>
      </c>
      <c r="M727">
        <f>IFERROR(SMALL(M191:M559,ROW()-ROW($M$562)+1),"")</f>
        <v>0</v>
      </c>
      <c r="N727">
        <f>IFERROR(SMALL(N191:N559,ROW()-ROW($N$562)+1),"")</f>
        <v>0</v>
      </c>
    </row>
    <row r="728" spans="5:14">
      <c r="E728">
        <f>IFERROR(SMALL(E191:E559,ROW()-ROW($E$562)+1),"")</f>
        <v>0</v>
      </c>
      <c r="F728">
        <f>IFERROR(SMALL(F191:F559,ROW()-ROW($F$562)+1),"")</f>
        <v>0</v>
      </c>
      <c r="G728">
        <f>IFERROR(SMALL(G191:G559,ROW()-ROW($G$562)+1),"")</f>
        <v>0</v>
      </c>
      <c r="H728">
        <f>IFERROR(SMALL(H191:H559,ROW()-ROW($H$562)+1),"")</f>
        <v>0</v>
      </c>
      <c r="K728">
        <f>IFERROR(SMALL(K191:K559,ROW()-ROW($K$562)+1),"")</f>
        <v>0</v>
      </c>
      <c r="L728">
        <f>IFERROR(SMALL(L191:L559,ROW()-ROW($L$562)+1),"")</f>
        <v>0</v>
      </c>
      <c r="M728">
        <f>IFERROR(SMALL(M191:M559,ROW()-ROW($M$562)+1),"")</f>
        <v>0</v>
      </c>
      <c r="N728">
        <f>IFERROR(SMALL(N191:N559,ROW()-ROW($N$562)+1),"")</f>
        <v>0</v>
      </c>
    </row>
    <row r="729" spans="5:14">
      <c r="E729">
        <f>IFERROR(SMALL(E191:E559,ROW()-ROW($E$562)+1),"")</f>
        <v>0</v>
      </c>
      <c r="F729">
        <f>IFERROR(SMALL(F191:F559,ROW()-ROW($F$562)+1),"")</f>
        <v>0</v>
      </c>
      <c r="G729">
        <f>IFERROR(SMALL(G191:G559,ROW()-ROW($G$562)+1),"")</f>
        <v>0</v>
      </c>
      <c r="H729">
        <f>IFERROR(SMALL(H191:H559,ROW()-ROW($H$562)+1),"")</f>
        <v>0</v>
      </c>
      <c r="K729">
        <f>IFERROR(SMALL(K191:K559,ROW()-ROW($K$562)+1),"")</f>
        <v>0</v>
      </c>
      <c r="L729">
        <f>IFERROR(SMALL(L191:L559,ROW()-ROW($L$562)+1),"")</f>
        <v>0</v>
      </c>
      <c r="M729">
        <f>IFERROR(SMALL(M191:M559,ROW()-ROW($M$562)+1),"")</f>
        <v>0</v>
      </c>
      <c r="N729">
        <f>IFERROR(SMALL(N191:N559,ROW()-ROW($N$562)+1),"")</f>
        <v>0</v>
      </c>
    </row>
    <row r="730" spans="5:14">
      <c r="E730">
        <f>IFERROR(SMALL(E191:E559,ROW()-ROW($E$562)+1),"")</f>
        <v>0</v>
      </c>
      <c r="F730">
        <f>IFERROR(SMALL(F191:F559,ROW()-ROW($F$562)+1),"")</f>
        <v>0</v>
      </c>
      <c r="G730">
        <f>IFERROR(SMALL(G191:G559,ROW()-ROW($G$562)+1),"")</f>
        <v>0</v>
      </c>
      <c r="H730">
        <f>IFERROR(SMALL(H191:H559,ROW()-ROW($H$562)+1),"")</f>
        <v>0</v>
      </c>
      <c r="K730">
        <f>IFERROR(SMALL(K191:K559,ROW()-ROW($K$562)+1),"")</f>
        <v>0</v>
      </c>
      <c r="L730">
        <f>IFERROR(SMALL(L191:L559,ROW()-ROW($L$562)+1),"")</f>
        <v>0</v>
      </c>
      <c r="M730">
        <f>IFERROR(SMALL(M191:M559,ROW()-ROW($M$562)+1),"")</f>
        <v>0</v>
      </c>
      <c r="N730">
        <f>IFERROR(SMALL(N191:N559,ROW()-ROW($N$562)+1),"")</f>
        <v>0</v>
      </c>
    </row>
    <row r="731" spans="5:14">
      <c r="E731">
        <f>IFERROR(SMALL(E191:E559,ROW()-ROW($E$562)+1),"")</f>
        <v>0</v>
      </c>
      <c r="F731">
        <f>IFERROR(SMALL(F191:F559,ROW()-ROW($F$562)+1),"")</f>
        <v>0</v>
      </c>
      <c r="G731">
        <f>IFERROR(SMALL(G191:G559,ROW()-ROW($G$562)+1),"")</f>
        <v>0</v>
      </c>
      <c r="H731">
        <f>IFERROR(SMALL(H191:H559,ROW()-ROW($H$562)+1),"")</f>
        <v>0</v>
      </c>
      <c r="K731">
        <f>IFERROR(SMALL(K191:K559,ROW()-ROW($K$562)+1),"")</f>
        <v>0</v>
      </c>
      <c r="L731">
        <f>IFERROR(SMALL(L191:L559,ROW()-ROW($L$562)+1),"")</f>
        <v>0</v>
      </c>
      <c r="M731">
        <f>IFERROR(SMALL(M191:M559,ROW()-ROW($M$562)+1),"")</f>
        <v>0</v>
      </c>
      <c r="N731">
        <f>IFERROR(SMALL(N191:N559,ROW()-ROW($N$562)+1),"")</f>
        <v>0</v>
      </c>
    </row>
    <row r="732" spans="5:14">
      <c r="E732">
        <f>IFERROR(SMALL(E191:E559,ROW()-ROW($E$562)+1),"")</f>
        <v>0</v>
      </c>
      <c r="F732">
        <f>IFERROR(SMALL(F191:F559,ROW()-ROW($F$562)+1),"")</f>
        <v>0</v>
      </c>
      <c r="G732">
        <f>IFERROR(SMALL(G191:G559,ROW()-ROW($G$562)+1),"")</f>
        <v>0</v>
      </c>
      <c r="H732">
        <f>IFERROR(SMALL(H191:H559,ROW()-ROW($H$562)+1),"")</f>
        <v>0</v>
      </c>
      <c r="K732">
        <f>IFERROR(SMALL(K191:K559,ROW()-ROW($K$562)+1),"")</f>
        <v>0</v>
      </c>
      <c r="L732">
        <f>IFERROR(SMALL(L191:L559,ROW()-ROW($L$562)+1),"")</f>
        <v>0</v>
      </c>
      <c r="M732">
        <f>IFERROR(SMALL(M191:M559,ROW()-ROW($M$562)+1),"")</f>
        <v>0</v>
      </c>
      <c r="N732">
        <f>IFERROR(SMALL(N191:N559,ROW()-ROW($N$562)+1),"")</f>
        <v>0</v>
      </c>
    </row>
    <row r="733" spans="5:14">
      <c r="E733">
        <f>IFERROR(SMALL(E191:E559,ROW()-ROW($E$562)+1),"")</f>
        <v>0</v>
      </c>
      <c r="F733">
        <f>IFERROR(SMALL(F191:F559,ROW()-ROW($F$562)+1),"")</f>
        <v>0</v>
      </c>
      <c r="G733">
        <f>IFERROR(SMALL(G191:G559,ROW()-ROW($G$562)+1),"")</f>
        <v>0</v>
      </c>
      <c r="H733">
        <f>IFERROR(SMALL(H191:H559,ROW()-ROW($H$562)+1),"")</f>
        <v>0</v>
      </c>
      <c r="K733">
        <f>IFERROR(SMALL(K191:K559,ROW()-ROW($K$562)+1),"")</f>
        <v>0</v>
      </c>
      <c r="L733">
        <f>IFERROR(SMALL(L191:L559,ROW()-ROW($L$562)+1),"")</f>
        <v>0</v>
      </c>
      <c r="M733">
        <f>IFERROR(SMALL(M191:M559,ROW()-ROW($M$562)+1),"")</f>
        <v>0</v>
      </c>
      <c r="N733">
        <f>IFERROR(SMALL(N191:N559,ROW()-ROW($N$562)+1),"")</f>
        <v>0</v>
      </c>
    </row>
    <row r="734" spans="5:14">
      <c r="E734">
        <f>IFERROR(SMALL(E191:E559,ROW()-ROW($E$562)+1),"")</f>
        <v>0</v>
      </c>
      <c r="F734">
        <f>IFERROR(SMALL(F191:F559,ROW()-ROW($F$562)+1),"")</f>
        <v>0</v>
      </c>
      <c r="G734">
        <f>IFERROR(SMALL(G191:G559,ROW()-ROW($G$562)+1),"")</f>
        <v>0</v>
      </c>
      <c r="H734">
        <f>IFERROR(SMALL(H191:H559,ROW()-ROW($H$562)+1),"")</f>
        <v>0</v>
      </c>
      <c r="K734">
        <f>IFERROR(SMALL(K191:K559,ROW()-ROW($K$562)+1),"")</f>
        <v>0</v>
      </c>
      <c r="L734">
        <f>IFERROR(SMALL(L191:L559,ROW()-ROW($L$562)+1),"")</f>
        <v>0</v>
      </c>
      <c r="M734">
        <f>IFERROR(SMALL(M191:M559,ROW()-ROW($M$562)+1),"")</f>
        <v>0</v>
      </c>
      <c r="N734">
        <f>IFERROR(SMALL(N191:N559,ROW()-ROW($N$562)+1),"")</f>
        <v>0</v>
      </c>
    </row>
    <row r="735" spans="5:14">
      <c r="E735">
        <f>IFERROR(SMALL(E191:E559,ROW()-ROW($E$562)+1),"")</f>
        <v>0</v>
      </c>
      <c r="F735">
        <f>IFERROR(SMALL(F191:F559,ROW()-ROW($F$562)+1),"")</f>
        <v>0</v>
      </c>
      <c r="G735">
        <f>IFERROR(SMALL(G191:G559,ROW()-ROW($G$562)+1),"")</f>
        <v>0</v>
      </c>
      <c r="H735">
        <f>IFERROR(SMALL(H191:H559,ROW()-ROW($H$562)+1),"")</f>
        <v>0</v>
      </c>
      <c r="K735">
        <f>IFERROR(SMALL(K191:K559,ROW()-ROW($K$562)+1),"")</f>
        <v>0</v>
      </c>
      <c r="L735">
        <f>IFERROR(SMALL(L191:L559,ROW()-ROW($L$562)+1),"")</f>
        <v>0</v>
      </c>
      <c r="M735">
        <f>IFERROR(SMALL(M191:M559,ROW()-ROW($M$562)+1),"")</f>
        <v>0</v>
      </c>
      <c r="N735">
        <f>IFERROR(SMALL(N191:N559,ROW()-ROW($N$562)+1),"")</f>
        <v>0</v>
      </c>
    </row>
    <row r="736" spans="5:14">
      <c r="E736">
        <f>IFERROR(SMALL(E191:E559,ROW()-ROW($E$562)+1),"")</f>
        <v>0</v>
      </c>
      <c r="F736">
        <f>IFERROR(SMALL(F191:F559,ROW()-ROW($F$562)+1),"")</f>
        <v>0</v>
      </c>
      <c r="G736">
        <f>IFERROR(SMALL(G191:G559,ROW()-ROW($G$562)+1),"")</f>
        <v>0</v>
      </c>
      <c r="H736">
        <f>IFERROR(SMALL(H191:H559,ROW()-ROW($H$562)+1),"")</f>
        <v>0</v>
      </c>
      <c r="K736">
        <f>IFERROR(SMALL(K191:K559,ROW()-ROW($K$562)+1),"")</f>
        <v>0</v>
      </c>
      <c r="L736">
        <f>IFERROR(SMALL(L191:L559,ROW()-ROW($L$562)+1),"")</f>
        <v>0</v>
      </c>
      <c r="M736">
        <f>IFERROR(SMALL(M191:M559,ROW()-ROW($M$562)+1),"")</f>
        <v>0</v>
      </c>
      <c r="N736">
        <f>IFERROR(SMALL(N191:N559,ROW()-ROW($N$562)+1),"")</f>
        <v>0</v>
      </c>
    </row>
    <row r="737" spans="5:14">
      <c r="E737">
        <f>IFERROR(SMALL(E191:E559,ROW()-ROW($E$562)+1),"")</f>
        <v>0</v>
      </c>
      <c r="F737">
        <f>IFERROR(SMALL(F191:F559,ROW()-ROW($F$562)+1),"")</f>
        <v>0</v>
      </c>
      <c r="G737">
        <f>IFERROR(SMALL(G191:G559,ROW()-ROW($G$562)+1),"")</f>
        <v>0</v>
      </c>
      <c r="H737">
        <f>IFERROR(SMALL(H191:H559,ROW()-ROW($H$562)+1),"")</f>
        <v>0</v>
      </c>
      <c r="K737">
        <f>IFERROR(SMALL(K191:K559,ROW()-ROW($K$562)+1),"")</f>
        <v>0</v>
      </c>
      <c r="L737">
        <f>IFERROR(SMALL(L191:L559,ROW()-ROW($L$562)+1),"")</f>
        <v>0</v>
      </c>
      <c r="M737">
        <f>IFERROR(SMALL(M191:M559,ROW()-ROW($M$562)+1),"")</f>
        <v>0</v>
      </c>
      <c r="N737">
        <f>IFERROR(SMALL(N191:N559,ROW()-ROW($N$562)+1),"")</f>
        <v>0</v>
      </c>
    </row>
    <row r="738" spans="5:14">
      <c r="E738">
        <f>IFERROR(SMALL(E191:E559,ROW()-ROW($E$562)+1),"")</f>
        <v>0</v>
      </c>
      <c r="F738">
        <f>IFERROR(SMALL(F191:F559,ROW()-ROW($F$562)+1),"")</f>
        <v>0</v>
      </c>
      <c r="G738">
        <f>IFERROR(SMALL(G191:G559,ROW()-ROW($G$562)+1),"")</f>
        <v>0</v>
      </c>
      <c r="H738">
        <f>IFERROR(SMALL(H191:H559,ROW()-ROW($H$562)+1),"")</f>
        <v>0</v>
      </c>
      <c r="K738">
        <f>IFERROR(SMALL(K191:K559,ROW()-ROW($K$562)+1),"")</f>
        <v>0</v>
      </c>
      <c r="L738">
        <f>IFERROR(SMALL(L191:L559,ROW()-ROW($L$562)+1),"")</f>
        <v>0</v>
      </c>
      <c r="M738">
        <f>IFERROR(SMALL(M191:M559,ROW()-ROW($M$562)+1),"")</f>
        <v>0</v>
      </c>
      <c r="N738">
        <f>IFERROR(SMALL(N191:N559,ROW()-ROW($N$562)+1),"")</f>
        <v>0</v>
      </c>
    </row>
    <row r="739" spans="5:14">
      <c r="E739">
        <f>IFERROR(SMALL(E191:E559,ROW()-ROW($E$562)+1),"")</f>
        <v>0</v>
      </c>
      <c r="F739">
        <f>IFERROR(SMALL(F191:F559,ROW()-ROW($F$562)+1),"")</f>
        <v>0</v>
      </c>
      <c r="G739">
        <f>IFERROR(SMALL(G191:G559,ROW()-ROW($G$562)+1),"")</f>
        <v>0</v>
      </c>
      <c r="H739">
        <f>IFERROR(SMALL(H191:H559,ROW()-ROW($H$562)+1),"")</f>
        <v>0</v>
      </c>
      <c r="K739">
        <f>IFERROR(SMALL(K191:K559,ROW()-ROW($K$562)+1),"")</f>
        <v>0</v>
      </c>
      <c r="L739">
        <f>IFERROR(SMALL(L191:L559,ROW()-ROW($L$562)+1),"")</f>
        <v>0</v>
      </c>
      <c r="M739">
        <f>IFERROR(SMALL(M191:M559,ROW()-ROW($M$562)+1),"")</f>
        <v>0</v>
      </c>
      <c r="N739">
        <f>IFERROR(SMALL(N191:N559,ROW()-ROW($N$562)+1),"")</f>
        <v>0</v>
      </c>
    </row>
    <row r="740" spans="5:14">
      <c r="E740">
        <f>IFERROR(SMALL(E191:E559,ROW()-ROW($E$562)+1),"")</f>
        <v>0</v>
      </c>
      <c r="F740">
        <f>IFERROR(SMALL(F191:F559,ROW()-ROW($F$562)+1),"")</f>
        <v>0</v>
      </c>
      <c r="G740">
        <f>IFERROR(SMALL(G191:G559,ROW()-ROW($G$562)+1),"")</f>
        <v>0</v>
      </c>
      <c r="H740">
        <f>IFERROR(SMALL(H191:H559,ROW()-ROW($H$562)+1),"")</f>
        <v>0</v>
      </c>
      <c r="K740">
        <f>IFERROR(SMALL(K191:K559,ROW()-ROW($K$562)+1),"")</f>
        <v>0</v>
      </c>
      <c r="L740">
        <f>IFERROR(SMALL(L191:L559,ROW()-ROW($L$562)+1),"")</f>
        <v>0</v>
      </c>
      <c r="M740">
        <f>IFERROR(SMALL(M191:M559,ROW()-ROW($M$562)+1),"")</f>
        <v>0</v>
      </c>
      <c r="N740">
        <f>IFERROR(SMALL(N191:N559,ROW()-ROW($N$562)+1),"")</f>
        <v>0</v>
      </c>
    </row>
    <row r="741" spans="5:14">
      <c r="E741">
        <f>IFERROR(SMALL(E191:E559,ROW()-ROW($E$562)+1),"")</f>
        <v>0</v>
      </c>
      <c r="F741">
        <f>IFERROR(SMALL(F191:F559,ROW()-ROW($F$562)+1),"")</f>
        <v>0</v>
      </c>
      <c r="G741">
        <f>IFERROR(SMALL(G191:G559,ROW()-ROW($G$562)+1),"")</f>
        <v>0</v>
      </c>
      <c r="H741">
        <f>IFERROR(SMALL(H191:H559,ROW()-ROW($H$562)+1),"")</f>
        <v>0</v>
      </c>
      <c r="K741">
        <f>IFERROR(SMALL(K191:K559,ROW()-ROW($K$562)+1),"")</f>
        <v>0</v>
      </c>
      <c r="L741">
        <f>IFERROR(SMALL(L191:L559,ROW()-ROW($L$562)+1),"")</f>
        <v>0</v>
      </c>
      <c r="M741">
        <f>IFERROR(SMALL(M191:M559,ROW()-ROW($M$562)+1),"")</f>
        <v>0</v>
      </c>
      <c r="N741">
        <f>IFERROR(SMALL(N191:N559,ROW()-ROW($N$562)+1),"")</f>
        <v>0</v>
      </c>
    </row>
    <row r="742" spans="5:14">
      <c r="E742">
        <f>IFERROR(SMALL(E191:E559,ROW()-ROW($E$562)+1),"")</f>
        <v>0</v>
      </c>
      <c r="F742">
        <f>IFERROR(SMALL(F191:F559,ROW()-ROW($F$562)+1),"")</f>
        <v>0</v>
      </c>
      <c r="G742">
        <f>IFERROR(SMALL(G191:G559,ROW()-ROW($G$562)+1),"")</f>
        <v>0</v>
      </c>
      <c r="H742">
        <f>IFERROR(SMALL(H191:H559,ROW()-ROW($H$562)+1),"")</f>
        <v>0</v>
      </c>
      <c r="K742">
        <f>IFERROR(SMALL(K191:K559,ROW()-ROW($K$562)+1),"")</f>
        <v>0</v>
      </c>
      <c r="L742">
        <f>IFERROR(SMALL(L191:L559,ROW()-ROW($L$562)+1),"")</f>
        <v>0</v>
      </c>
      <c r="M742">
        <f>IFERROR(SMALL(M191:M559,ROW()-ROW($M$562)+1),"")</f>
        <v>0</v>
      </c>
      <c r="N742">
        <f>IFERROR(SMALL(N191:N559,ROW()-ROW($N$562)+1),"")</f>
        <v>0</v>
      </c>
    </row>
    <row r="743" spans="5:14">
      <c r="E743">
        <f>IFERROR(SMALL(E191:E559,ROW()-ROW($E$562)+1),"")</f>
        <v>0</v>
      </c>
      <c r="F743">
        <f>IFERROR(SMALL(F191:F559,ROW()-ROW($F$562)+1),"")</f>
        <v>0</v>
      </c>
      <c r="G743">
        <f>IFERROR(SMALL(G191:G559,ROW()-ROW($G$562)+1),"")</f>
        <v>0</v>
      </c>
      <c r="H743">
        <f>IFERROR(SMALL(H191:H559,ROW()-ROW($H$562)+1),"")</f>
        <v>0</v>
      </c>
      <c r="K743">
        <f>IFERROR(SMALL(K191:K559,ROW()-ROW($K$562)+1),"")</f>
        <v>0</v>
      </c>
      <c r="L743">
        <f>IFERROR(SMALL(L191:L559,ROW()-ROW($L$562)+1),"")</f>
        <v>0</v>
      </c>
      <c r="M743">
        <f>IFERROR(SMALL(M191:M559,ROW()-ROW($M$562)+1),"")</f>
        <v>0</v>
      </c>
      <c r="N743">
        <f>IFERROR(SMALL(N191:N559,ROW()-ROW($N$562)+1),"")</f>
        <v>0</v>
      </c>
    </row>
    <row r="744" spans="5:14">
      <c r="E744">
        <f>IFERROR(SMALL(E191:E559,ROW()-ROW($E$562)+1),"")</f>
        <v>0</v>
      </c>
      <c r="F744">
        <f>IFERROR(SMALL(F191:F559,ROW()-ROW($F$562)+1),"")</f>
        <v>0</v>
      </c>
      <c r="G744">
        <f>IFERROR(SMALL(G191:G559,ROW()-ROW($G$562)+1),"")</f>
        <v>0</v>
      </c>
      <c r="H744">
        <f>IFERROR(SMALL(H191:H559,ROW()-ROW($H$562)+1),"")</f>
        <v>0</v>
      </c>
      <c r="K744">
        <f>IFERROR(SMALL(K191:K559,ROW()-ROW($K$562)+1),"")</f>
        <v>0</v>
      </c>
      <c r="L744">
        <f>IFERROR(SMALL(L191:L559,ROW()-ROW($L$562)+1),"")</f>
        <v>0</v>
      </c>
      <c r="M744">
        <f>IFERROR(SMALL(M191:M559,ROW()-ROW($M$562)+1),"")</f>
        <v>0</v>
      </c>
      <c r="N744">
        <f>IFERROR(SMALL(N191:N559,ROW()-ROW($N$562)+1),"")</f>
        <v>0</v>
      </c>
    </row>
    <row r="745" spans="5:14">
      <c r="E745">
        <f>IFERROR(SMALL(E191:E559,ROW()-ROW($E$562)+1),"")</f>
        <v>0</v>
      </c>
      <c r="F745">
        <f>IFERROR(SMALL(F191:F559,ROW()-ROW($F$562)+1),"")</f>
        <v>0</v>
      </c>
      <c r="G745">
        <f>IFERROR(SMALL(G191:G559,ROW()-ROW($G$562)+1),"")</f>
        <v>0</v>
      </c>
      <c r="H745">
        <f>IFERROR(SMALL(H191:H559,ROW()-ROW($H$562)+1),"")</f>
        <v>0</v>
      </c>
      <c r="K745">
        <f>IFERROR(SMALL(K191:K559,ROW()-ROW($K$562)+1),"")</f>
        <v>0</v>
      </c>
      <c r="L745">
        <f>IFERROR(SMALL(L191:L559,ROW()-ROW($L$562)+1),"")</f>
        <v>0</v>
      </c>
      <c r="M745">
        <f>IFERROR(SMALL(M191:M559,ROW()-ROW($M$562)+1),"")</f>
        <v>0</v>
      </c>
      <c r="N745">
        <f>IFERROR(SMALL(N191:N559,ROW()-ROW($N$562)+1),"")</f>
        <v>0</v>
      </c>
    </row>
    <row r="746" spans="5:14">
      <c r="E746">
        <f>IFERROR(SMALL(E191:E559,ROW()-ROW($E$562)+1),"")</f>
        <v>0</v>
      </c>
      <c r="F746">
        <f>IFERROR(SMALL(F191:F559,ROW()-ROW($F$562)+1),"")</f>
        <v>0</v>
      </c>
      <c r="G746">
        <f>IFERROR(SMALL(G191:G559,ROW()-ROW($G$562)+1),"")</f>
        <v>0</v>
      </c>
      <c r="H746">
        <f>IFERROR(SMALL(H191:H559,ROW()-ROW($H$562)+1),"")</f>
        <v>0</v>
      </c>
      <c r="K746">
        <f>IFERROR(SMALL(K191:K559,ROW()-ROW($K$562)+1),"")</f>
        <v>0</v>
      </c>
      <c r="L746">
        <f>IFERROR(SMALL(L191:L559,ROW()-ROW($L$562)+1),"")</f>
        <v>0</v>
      </c>
      <c r="M746">
        <f>IFERROR(SMALL(M191:M559,ROW()-ROW($M$562)+1),"")</f>
        <v>0</v>
      </c>
      <c r="N746">
        <f>IFERROR(SMALL(N191:N559,ROW()-ROW($N$562)+1),"")</f>
        <v>0</v>
      </c>
    </row>
    <row r="747" spans="5:14">
      <c r="E747">
        <f>IFERROR(SMALL(E191:E559,ROW()-ROW($E$562)+1),"")</f>
        <v>0</v>
      </c>
      <c r="F747">
        <f>IFERROR(SMALL(F191:F559,ROW()-ROW($F$562)+1),"")</f>
        <v>0</v>
      </c>
      <c r="G747">
        <f>IFERROR(SMALL(G191:G559,ROW()-ROW($G$562)+1),"")</f>
        <v>0</v>
      </c>
      <c r="H747">
        <f>IFERROR(SMALL(H191:H559,ROW()-ROW($H$562)+1),"")</f>
        <v>0</v>
      </c>
      <c r="K747">
        <f>IFERROR(SMALL(K191:K559,ROW()-ROW($K$562)+1),"")</f>
        <v>0</v>
      </c>
      <c r="L747">
        <f>IFERROR(SMALL(L191:L559,ROW()-ROW($L$562)+1),"")</f>
        <v>0</v>
      </c>
      <c r="M747">
        <f>IFERROR(SMALL(M191:M559,ROW()-ROW($M$562)+1),"")</f>
        <v>0</v>
      </c>
      <c r="N747">
        <f>IFERROR(SMALL(N191:N559,ROW()-ROW($N$562)+1),"")</f>
        <v>0</v>
      </c>
    </row>
    <row r="748" spans="5:14">
      <c r="E748">
        <f>IFERROR(SMALL(E191:E559,ROW()-ROW($E$562)+1),"")</f>
        <v>0</v>
      </c>
      <c r="F748">
        <f>IFERROR(SMALL(F191:F559,ROW()-ROW($F$562)+1),"")</f>
        <v>0</v>
      </c>
      <c r="G748">
        <f>IFERROR(SMALL(G191:G559,ROW()-ROW($G$562)+1),"")</f>
        <v>0</v>
      </c>
      <c r="H748">
        <f>IFERROR(SMALL(H191:H559,ROW()-ROW($H$562)+1),"")</f>
        <v>0</v>
      </c>
      <c r="K748">
        <f>IFERROR(SMALL(K191:K559,ROW()-ROW($K$562)+1),"")</f>
        <v>0</v>
      </c>
      <c r="L748">
        <f>IFERROR(SMALL(L191:L559,ROW()-ROW($L$562)+1),"")</f>
        <v>0</v>
      </c>
      <c r="M748">
        <f>IFERROR(SMALL(M191:M559,ROW()-ROW($M$562)+1),"")</f>
        <v>0</v>
      </c>
      <c r="N748">
        <f>IFERROR(SMALL(N191:N559,ROW()-ROW($N$562)+1),"")</f>
        <v>0</v>
      </c>
    </row>
    <row r="749" spans="5:14">
      <c r="E749">
        <f>IFERROR(SMALL(E191:E559,ROW()-ROW($E$562)+1),"")</f>
        <v>0</v>
      </c>
      <c r="F749">
        <f>IFERROR(SMALL(F191:F559,ROW()-ROW($F$562)+1),"")</f>
        <v>0</v>
      </c>
      <c r="G749">
        <f>IFERROR(SMALL(G191:G559,ROW()-ROW($G$562)+1),"")</f>
        <v>0</v>
      </c>
      <c r="H749">
        <f>IFERROR(SMALL(H191:H559,ROW()-ROW($H$562)+1),"")</f>
        <v>0</v>
      </c>
      <c r="K749">
        <f>IFERROR(SMALL(K191:K559,ROW()-ROW($K$562)+1),"")</f>
        <v>0</v>
      </c>
      <c r="L749">
        <f>IFERROR(SMALL(L191:L559,ROW()-ROW($L$562)+1),"")</f>
        <v>0</v>
      </c>
      <c r="M749">
        <f>IFERROR(SMALL(M191:M559,ROW()-ROW($M$562)+1),"")</f>
        <v>0</v>
      </c>
      <c r="N749">
        <f>IFERROR(SMALL(N191:N559,ROW()-ROW($N$562)+1),"")</f>
        <v>0</v>
      </c>
    </row>
    <row r="750" spans="5:14">
      <c r="E750">
        <f>IFERROR(SMALL(E191:E559,ROW()-ROW($E$562)+1),"")</f>
        <v>0</v>
      </c>
      <c r="F750">
        <f>IFERROR(SMALL(F191:F559,ROW()-ROW($F$562)+1),"")</f>
        <v>0</v>
      </c>
      <c r="G750">
        <f>IFERROR(SMALL(G191:G559,ROW()-ROW($G$562)+1),"")</f>
        <v>0</v>
      </c>
      <c r="H750">
        <f>IFERROR(SMALL(H191:H559,ROW()-ROW($H$562)+1),"")</f>
        <v>0</v>
      </c>
      <c r="K750">
        <f>IFERROR(SMALL(K191:K559,ROW()-ROW($K$562)+1),"")</f>
        <v>0</v>
      </c>
      <c r="L750">
        <f>IFERROR(SMALL(L191:L559,ROW()-ROW($L$562)+1),"")</f>
        <v>0</v>
      </c>
      <c r="M750">
        <f>IFERROR(SMALL(M191:M559,ROW()-ROW($M$562)+1),"")</f>
        <v>0</v>
      </c>
      <c r="N750">
        <f>IFERROR(SMALL(N191:N559,ROW()-ROW($N$562)+1),"")</f>
        <v>0</v>
      </c>
    </row>
    <row r="751" spans="5:14">
      <c r="E751">
        <f>IFERROR(SMALL(E191:E559,ROW()-ROW($E$562)+1),"")</f>
        <v>0</v>
      </c>
      <c r="F751">
        <f>IFERROR(SMALL(F191:F559,ROW()-ROW($F$562)+1),"")</f>
        <v>0</v>
      </c>
      <c r="G751">
        <f>IFERROR(SMALL(G191:G559,ROW()-ROW($G$562)+1),"")</f>
        <v>0</v>
      </c>
      <c r="H751">
        <f>IFERROR(SMALL(H191:H559,ROW()-ROW($H$562)+1),"")</f>
        <v>0</v>
      </c>
      <c r="K751">
        <f>IFERROR(SMALL(K191:K559,ROW()-ROW($K$562)+1),"")</f>
        <v>0</v>
      </c>
      <c r="L751">
        <f>IFERROR(SMALL(L191:L559,ROW()-ROW($L$562)+1),"")</f>
        <v>0</v>
      </c>
      <c r="M751">
        <f>IFERROR(SMALL(M191:M559,ROW()-ROW($M$562)+1),"")</f>
        <v>0</v>
      </c>
      <c r="N751">
        <f>IFERROR(SMALL(N191:N559,ROW()-ROW($N$562)+1),"")</f>
        <v>0</v>
      </c>
    </row>
    <row r="752" spans="5:14">
      <c r="E752">
        <f>IFERROR(SMALL(E191:E559,ROW()-ROW($E$562)+1),"")</f>
        <v>0</v>
      </c>
      <c r="F752">
        <f>IFERROR(SMALL(F191:F559,ROW()-ROW($F$562)+1),"")</f>
        <v>0</v>
      </c>
      <c r="G752">
        <f>IFERROR(SMALL(G191:G559,ROW()-ROW($G$562)+1),"")</f>
        <v>0</v>
      </c>
      <c r="H752">
        <f>IFERROR(SMALL(H191:H559,ROW()-ROW($H$562)+1),"")</f>
        <v>0</v>
      </c>
      <c r="K752">
        <f>IFERROR(SMALL(K191:K559,ROW()-ROW($K$562)+1),"")</f>
        <v>0</v>
      </c>
      <c r="L752">
        <f>IFERROR(SMALL(L191:L559,ROW()-ROW($L$562)+1),"")</f>
        <v>0</v>
      </c>
      <c r="M752">
        <f>IFERROR(SMALL(M191:M559,ROW()-ROW($M$562)+1),"")</f>
        <v>0</v>
      </c>
      <c r="N752">
        <f>IFERROR(SMALL(N191:N559,ROW()-ROW($N$562)+1),"")</f>
        <v>0</v>
      </c>
    </row>
    <row r="753" spans="5:14">
      <c r="E753">
        <f>IFERROR(SMALL(E191:E559,ROW()-ROW($E$562)+1),"")</f>
        <v>0</v>
      </c>
      <c r="F753">
        <f>IFERROR(SMALL(F191:F559,ROW()-ROW($F$562)+1),"")</f>
        <v>0</v>
      </c>
      <c r="G753">
        <f>IFERROR(SMALL(G191:G559,ROW()-ROW($G$562)+1),"")</f>
        <v>0</v>
      </c>
      <c r="H753">
        <f>IFERROR(SMALL(H191:H559,ROW()-ROW($H$562)+1),"")</f>
        <v>0</v>
      </c>
      <c r="K753">
        <f>IFERROR(SMALL(K191:K559,ROW()-ROW($K$562)+1),"")</f>
        <v>0</v>
      </c>
      <c r="L753">
        <f>IFERROR(SMALL(L191:L559,ROW()-ROW($L$562)+1),"")</f>
        <v>0</v>
      </c>
      <c r="M753">
        <f>IFERROR(SMALL(M191:M559,ROW()-ROW($M$562)+1),"")</f>
        <v>0</v>
      </c>
      <c r="N753">
        <f>IFERROR(SMALL(N191:N559,ROW()-ROW($N$562)+1),"")</f>
        <v>0</v>
      </c>
    </row>
    <row r="754" spans="5:14">
      <c r="E754">
        <f>IFERROR(SMALL(E191:E559,ROW()-ROW($E$562)+1),"")</f>
        <v>0</v>
      </c>
      <c r="F754">
        <f>IFERROR(SMALL(F191:F559,ROW()-ROW($F$562)+1),"")</f>
        <v>0</v>
      </c>
      <c r="G754">
        <f>IFERROR(SMALL(G191:G559,ROW()-ROW($G$562)+1),"")</f>
        <v>0</v>
      </c>
      <c r="H754">
        <f>IFERROR(SMALL(H191:H559,ROW()-ROW($H$562)+1),"")</f>
        <v>0</v>
      </c>
      <c r="K754">
        <f>IFERROR(SMALL(K191:K559,ROW()-ROW($K$562)+1),"")</f>
        <v>0</v>
      </c>
      <c r="L754">
        <f>IFERROR(SMALL(L191:L559,ROW()-ROW($L$562)+1),"")</f>
        <v>0</v>
      </c>
      <c r="M754">
        <f>IFERROR(SMALL(M191:M559,ROW()-ROW($M$562)+1),"")</f>
        <v>0</v>
      </c>
      <c r="N754">
        <f>IFERROR(SMALL(N191:N559,ROW()-ROW($N$562)+1),"")</f>
        <v>0</v>
      </c>
    </row>
    <row r="755" spans="5:14">
      <c r="E755">
        <f>IFERROR(SMALL(E191:E559,ROW()-ROW($E$562)+1),"")</f>
        <v>0</v>
      </c>
      <c r="F755">
        <f>IFERROR(SMALL(F191:F559,ROW()-ROW($F$562)+1),"")</f>
        <v>0</v>
      </c>
      <c r="G755">
        <f>IFERROR(SMALL(G191:G559,ROW()-ROW($G$562)+1),"")</f>
        <v>0</v>
      </c>
      <c r="H755">
        <f>IFERROR(SMALL(H191:H559,ROW()-ROW($H$562)+1),"")</f>
        <v>0</v>
      </c>
      <c r="K755">
        <f>IFERROR(SMALL(K191:K559,ROW()-ROW($K$562)+1),"")</f>
        <v>0</v>
      </c>
      <c r="L755">
        <f>IFERROR(SMALL(L191:L559,ROW()-ROW($L$562)+1),"")</f>
        <v>0</v>
      </c>
      <c r="M755">
        <f>IFERROR(SMALL(M191:M559,ROW()-ROW($M$562)+1),"")</f>
        <v>0</v>
      </c>
      <c r="N755">
        <f>IFERROR(SMALL(N191:N559,ROW()-ROW($N$562)+1),"")</f>
        <v>0</v>
      </c>
    </row>
    <row r="756" spans="5:14">
      <c r="E756">
        <f>IFERROR(SMALL(E191:E559,ROW()-ROW($E$562)+1),"")</f>
        <v>0</v>
      </c>
      <c r="F756">
        <f>IFERROR(SMALL(F191:F559,ROW()-ROW($F$562)+1),"")</f>
        <v>0</v>
      </c>
      <c r="G756">
        <f>IFERROR(SMALL(G191:G559,ROW()-ROW($G$562)+1),"")</f>
        <v>0</v>
      </c>
      <c r="H756">
        <f>IFERROR(SMALL(H191:H559,ROW()-ROW($H$562)+1),"")</f>
        <v>0</v>
      </c>
      <c r="K756">
        <f>IFERROR(SMALL(K191:K559,ROW()-ROW($K$562)+1),"")</f>
        <v>0</v>
      </c>
      <c r="L756">
        <f>IFERROR(SMALL(L191:L559,ROW()-ROW($L$562)+1),"")</f>
        <v>0</v>
      </c>
      <c r="M756">
        <f>IFERROR(SMALL(M191:M559,ROW()-ROW($M$562)+1),"")</f>
        <v>0</v>
      </c>
      <c r="N756">
        <f>IFERROR(SMALL(N191:N559,ROW()-ROW($N$562)+1),"")</f>
        <v>0</v>
      </c>
    </row>
    <row r="757" spans="5:14">
      <c r="E757">
        <f>IFERROR(SMALL(E191:E559,ROW()-ROW($E$562)+1),"")</f>
        <v>0</v>
      </c>
      <c r="F757">
        <f>IFERROR(SMALL(F191:F559,ROW()-ROW($F$562)+1),"")</f>
        <v>0</v>
      </c>
      <c r="G757">
        <f>IFERROR(SMALL(G191:G559,ROW()-ROW($G$562)+1),"")</f>
        <v>0</v>
      </c>
      <c r="H757">
        <f>IFERROR(SMALL(H191:H559,ROW()-ROW($H$562)+1),"")</f>
        <v>0</v>
      </c>
      <c r="K757">
        <f>IFERROR(SMALL(K191:K559,ROW()-ROW($K$562)+1),"")</f>
        <v>0</v>
      </c>
      <c r="L757">
        <f>IFERROR(SMALL(L191:L559,ROW()-ROW($L$562)+1),"")</f>
        <v>0</v>
      </c>
      <c r="M757">
        <f>IFERROR(SMALL(M191:M559,ROW()-ROW($M$562)+1),"")</f>
        <v>0</v>
      </c>
      <c r="N757">
        <f>IFERROR(SMALL(N191:N559,ROW()-ROW($N$562)+1),"")</f>
        <v>0</v>
      </c>
    </row>
    <row r="758" spans="5:14">
      <c r="E758">
        <f>IFERROR(SMALL(E191:E559,ROW()-ROW($E$562)+1),"")</f>
        <v>0</v>
      </c>
      <c r="F758">
        <f>IFERROR(SMALL(F191:F559,ROW()-ROW($F$562)+1),"")</f>
        <v>0</v>
      </c>
      <c r="G758">
        <f>IFERROR(SMALL(G191:G559,ROW()-ROW($G$562)+1),"")</f>
        <v>0</v>
      </c>
      <c r="H758">
        <f>IFERROR(SMALL(H191:H559,ROW()-ROW($H$562)+1),"")</f>
        <v>0</v>
      </c>
      <c r="K758">
        <f>IFERROR(SMALL(K191:K559,ROW()-ROW($K$562)+1),"")</f>
        <v>0</v>
      </c>
      <c r="L758">
        <f>IFERROR(SMALL(L191:L559,ROW()-ROW($L$562)+1),"")</f>
        <v>0</v>
      </c>
      <c r="M758">
        <f>IFERROR(SMALL(M191:M559,ROW()-ROW($M$562)+1),"")</f>
        <v>0</v>
      </c>
      <c r="N758">
        <f>IFERROR(SMALL(N191:N559,ROW()-ROW($N$562)+1),"")</f>
        <v>0</v>
      </c>
    </row>
    <row r="759" spans="5:14">
      <c r="E759">
        <f>IFERROR(SMALL(E191:E559,ROW()-ROW($E$562)+1),"")</f>
        <v>0</v>
      </c>
      <c r="F759">
        <f>IFERROR(SMALL(F191:F559,ROW()-ROW($F$562)+1),"")</f>
        <v>0</v>
      </c>
      <c r="G759">
        <f>IFERROR(SMALL(G191:G559,ROW()-ROW($G$562)+1),"")</f>
        <v>0</v>
      </c>
      <c r="H759">
        <f>IFERROR(SMALL(H191:H559,ROW()-ROW($H$562)+1),"")</f>
        <v>0</v>
      </c>
      <c r="K759">
        <f>IFERROR(SMALL(K191:K559,ROW()-ROW($K$562)+1),"")</f>
        <v>0</v>
      </c>
      <c r="L759">
        <f>IFERROR(SMALL(L191:L559,ROW()-ROW($L$562)+1),"")</f>
        <v>0</v>
      </c>
      <c r="M759">
        <f>IFERROR(SMALL(M191:M559,ROW()-ROW($M$562)+1),"")</f>
        <v>0</v>
      </c>
      <c r="N759">
        <f>IFERROR(SMALL(N191:N559,ROW()-ROW($N$562)+1),"")</f>
        <v>0</v>
      </c>
    </row>
    <row r="760" spans="5:14">
      <c r="E760">
        <f>IFERROR(SMALL(E191:E559,ROW()-ROW($E$562)+1),"")</f>
        <v>0</v>
      </c>
      <c r="F760">
        <f>IFERROR(SMALL(F191:F559,ROW()-ROW($F$562)+1),"")</f>
        <v>0</v>
      </c>
      <c r="G760">
        <f>IFERROR(SMALL(G191:G559,ROW()-ROW($G$562)+1),"")</f>
        <v>0</v>
      </c>
      <c r="H760">
        <f>IFERROR(SMALL(H191:H559,ROW()-ROW($H$562)+1),"")</f>
        <v>0</v>
      </c>
      <c r="K760">
        <f>IFERROR(SMALL(K191:K559,ROW()-ROW($K$562)+1),"")</f>
        <v>0</v>
      </c>
      <c r="L760">
        <f>IFERROR(SMALL(L191:L559,ROW()-ROW($L$562)+1),"")</f>
        <v>0</v>
      </c>
      <c r="M760">
        <f>IFERROR(SMALL(M191:M559,ROW()-ROW($M$562)+1),"")</f>
        <v>0</v>
      </c>
      <c r="N760">
        <f>IFERROR(SMALL(N191:N559,ROW()-ROW($N$562)+1),"")</f>
        <v>0</v>
      </c>
    </row>
    <row r="761" spans="5:14">
      <c r="E761">
        <f>IFERROR(SMALL(E191:E559,ROW()-ROW($E$562)+1),"")</f>
        <v>0</v>
      </c>
      <c r="F761">
        <f>IFERROR(SMALL(F191:F559,ROW()-ROW($F$562)+1),"")</f>
        <v>0</v>
      </c>
      <c r="G761">
        <f>IFERROR(SMALL(G191:G559,ROW()-ROW($G$562)+1),"")</f>
        <v>0</v>
      </c>
      <c r="H761">
        <f>IFERROR(SMALL(H191:H559,ROW()-ROW($H$562)+1),"")</f>
        <v>0</v>
      </c>
      <c r="K761">
        <f>IFERROR(SMALL(K191:K559,ROW()-ROW($K$562)+1),"")</f>
        <v>0</v>
      </c>
      <c r="L761">
        <f>IFERROR(SMALL(L191:L559,ROW()-ROW($L$562)+1),"")</f>
        <v>0</v>
      </c>
      <c r="M761">
        <f>IFERROR(SMALL(M191:M559,ROW()-ROW($M$562)+1),"")</f>
        <v>0</v>
      </c>
      <c r="N761">
        <f>IFERROR(SMALL(N191:N559,ROW()-ROW($N$562)+1),"")</f>
        <v>0</v>
      </c>
    </row>
    <row r="762" spans="5:14">
      <c r="E762">
        <f>IFERROR(SMALL(E191:E559,ROW()-ROW($E$562)+1),"")</f>
        <v>0</v>
      </c>
      <c r="F762">
        <f>IFERROR(SMALL(F191:F559,ROW()-ROW($F$562)+1),"")</f>
        <v>0</v>
      </c>
      <c r="G762">
        <f>IFERROR(SMALL(G191:G559,ROW()-ROW($G$562)+1),"")</f>
        <v>0</v>
      </c>
      <c r="H762">
        <f>IFERROR(SMALL(H191:H559,ROW()-ROW($H$562)+1),"")</f>
        <v>0</v>
      </c>
      <c r="K762">
        <f>IFERROR(SMALL(K191:K559,ROW()-ROW($K$562)+1),"")</f>
        <v>0</v>
      </c>
      <c r="L762">
        <f>IFERROR(SMALL(L191:L559,ROW()-ROW($L$562)+1),"")</f>
        <v>0</v>
      </c>
      <c r="M762">
        <f>IFERROR(SMALL(M191:M559,ROW()-ROW($M$562)+1),"")</f>
        <v>0</v>
      </c>
      <c r="N762">
        <f>IFERROR(SMALL(N191:N559,ROW()-ROW($N$562)+1),"")</f>
        <v>0</v>
      </c>
    </row>
    <row r="763" spans="5:14">
      <c r="E763">
        <f>IFERROR(SMALL(E191:E559,ROW()-ROW($E$562)+1),"")</f>
        <v>0</v>
      </c>
      <c r="F763">
        <f>IFERROR(SMALL(F191:F559,ROW()-ROW($F$562)+1),"")</f>
        <v>0</v>
      </c>
      <c r="G763">
        <f>IFERROR(SMALL(G191:G559,ROW()-ROW($G$562)+1),"")</f>
        <v>0</v>
      </c>
      <c r="H763">
        <f>IFERROR(SMALL(H191:H559,ROW()-ROW($H$562)+1),"")</f>
        <v>0</v>
      </c>
      <c r="K763">
        <f>IFERROR(SMALL(K191:K559,ROW()-ROW($K$562)+1),"")</f>
        <v>0</v>
      </c>
      <c r="L763">
        <f>IFERROR(SMALL(L191:L559,ROW()-ROW($L$562)+1),"")</f>
        <v>0</v>
      </c>
      <c r="M763">
        <f>IFERROR(SMALL(M191:M559,ROW()-ROW($M$562)+1),"")</f>
        <v>0</v>
      </c>
      <c r="N763">
        <f>IFERROR(SMALL(N191:N559,ROW()-ROW($N$562)+1),"")</f>
        <v>0</v>
      </c>
    </row>
    <row r="764" spans="5:14">
      <c r="E764">
        <f>IFERROR(SMALL(E191:E559,ROW()-ROW($E$562)+1),"")</f>
        <v>0</v>
      </c>
      <c r="F764">
        <f>IFERROR(SMALL(F191:F559,ROW()-ROW($F$562)+1),"")</f>
        <v>0</v>
      </c>
      <c r="G764">
        <f>IFERROR(SMALL(G191:G559,ROW()-ROW($G$562)+1),"")</f>
        <v>0</v>
      </c>
      <c r="H764">
        <f>IFERROR(SMALL(H191:H559,ROW()-ROW($H$562)+1),"")</f>
        <v>0</v>
      </c>
      <c r="K764">
        <f>IFERROR(SMALL(K191:K559,ROW()-ROW($K$562)+1),"")</f>
        <v>0</v>
      </c>
      <c r="L764">
        <f>IFERROR(SMALL(L191:L559,ROW()-ROW($L$562)+1),"")</f>
        <v>0</v>
      </c>
      <c r="M764">
        <f>IFERROR(SMALL(M191:M559,ROW()-ROW($M$562)+1),"")</f>
        <v>0</v>
      </c>
      <c r="N764">
        <f>IFERROR(SMALL(N191:N559,ROW()-ROW($N$562)+1),"")</f>
        <v>0</v>
      </c>
    </row>
    <row r="765" spans="5:14">
      <c r="E765">
        <f>IFERROR(SMALL(E191:E559,ROW()-ROW($E$562)+1),"")</f>
        <v>0</v>
      </c>
      <c r="F765">
        <f>IFERROR(SMALL(F191:F559,ROW()-ROW($F$562)+1),"")</f>
        <v>0</v>
      </c>
      <c r="G765">
        <f>IFERROR(SMALL(G191:G559,ROW()-ROW($G$562)+1),"")</f>
        <v>0</v>
      </c>
      <c r="H765">
        <f>IFERROR(SMALL(H191:H559,ROW()-ROW($H$562)+1),"")</f>
        <v>0</v>
      </c>
      <c r="K765">
        <f>IFERROR(SMALL(K191:K559,ROW()-ROW($K$562)+1),"")</f>
        <v>0</v>
      </c>
      <c r="L765">
        <f>IFERROR(SMALL(L191:L559,ROW()-ROW($L$562)+1),"")</f>
        <v>0</v>
      </c>
      <c r="M765">
        <f>IFERROR(SMALL(M191:M559,ROW()-ROW($M$562)+1),"")</f>
        <v>0</v>
      </c>
      <c r="N765">
        <f>IFERROR(SMALL(N191:N559,ROW()-ROW($N$562)+1),"")</f>
        <v>0</v>
      </c>
    </row>
    <row r="766" spans="5:14">
      <c r="E766">
        <f>IFERROR(SMALL(E191:E559,ROW()-ROW($E$562)+1),"")</f>
        <v>0</v>
      </c>
      <c r="F766">
        <f>IFERROR(SMALL(F191:F559,ROW()-ROW($F$562)+1),"")</f>
        <v>0</v>
      </c>
      <c r="G766">
        <f>IFERROR(SMALL(G191:G559,ROW()-ROW($G$562)+1),"")</f>
        <v>0</v>
      </c>
      <c r="H766">
        <f>IFERROR(SMALL(H191:H559,ROW()-ROW($H$562)+1),"")</f>
        <v>0</v>
      </c>
      <c r="K766">
        <f>IFERROR(SMALL(K191:K559,ROW()-ROW($K$562)+1),"")</f>
        <v>0</v>
      </c>
      <c r="L766">
        <f>IFERROR(SMALL(L191:L559,ROW()-ROW($L$562)+1),"")</f>
        <v>0</v>
      </c>
      <c r="M766">
        <f>IFERROR(SMALL(M191:M559,ROW()-ROW($M$562)+1),"")</f>
        <v>0</v>
      </c>
      <c r="N766">
        <f>IFERROR(SMALL(N191:N559,ROW()-ROW($N$562)+1),"")</f>
        <v>0</v>
      </c>
    </row>
    <row r="767" spans="5:14">
      <c r="E767">
        <f>IFERROR(SMALL(E191:E559,ROW()-ROW($E$562)+1),"")</f>
        <v>0</v>
      </c>
      <c r="F767">
        <f>IFERROR(SMALL(F191:F559,ROW()-ROW($F$562)+1),"")</f>
        <v>0</v>
      </c>
      <c r="G767">
        <f>IFERROR(SMALL(G191:G559,ROW()-ROW($G$562)+1),"")</f>
        <v>0</v>
      </c>
      <c r="H767">
        <f>IFERROR(SMALL(H191:H559,ROW()-ROW($H$562)+1),"")</f>
        <v>0</v>
      </c>
      <c r="K767">
        <f>IFERROR(SMALL(K191:K559,ROW()-ROW($K$562)+1),"")</f>
        <v>0</v>
      </c>
      <c r="L767">
        <f>IFERROR(SMALL(L191:L559,ROW()-ROW($L$562)+1),"")</f>
        <v>0</v>
      </c>
      <c r="M767">
        <f>IFERROR(SMALL(M191:M559,ROW()-ROW($M$562)+1),"")</f>
        <v>0</v>
      </c>
      <c r="N767">
        <f>IFERROR(SMALL(N191:N559,ROW()-ROW($N$562)+1),"")</f>
        <v>0</v>
      </c>
    </row>
    <row r="768" spans="5:14">
      <c r="E768">
        <f>IFERROR(SMALL(E191:E559,ROW()-ROW($E$562)+1),"")</f>
        <v>0</v>
      </c>
      <c r="F768">
        <f>IFERROR(SMALL(F191:F559,ROW()-ROW($F$562)+1),"")</f>
        <v>0</v>
      </c>
      <c r="G768">
        <f>IFERROR(SMALL(G191:G559,ROW()-ROW($G$562)+1),"")</f>
        <v>0</v>
      </c>
      <c r="H768">
        <f>IFERROR(SMALL(H191:H559,ROW()-ROW($H$562)+1),"")</f>
        <v>0</v>
      </c>
      <c r="K768">
        <f>IFERROR(SMALL(K191:K559,ROW()-ROW($K$562)+1),"")</f>
        <v>0</v>
      </c>
      <c r="L768">
        <f>IFERROR(SMALL(L191:L559,ROW()-ROW($L$562)+1),"")</f>
        <v>0</v>
      </c>
      <c r="M768">
        <f>IFERROR(SMALL(M191:M559,ROW()-ROW($M$562)+1),"")</f>
        <v>0</v>
      </c>
      <c r="N768">
        <f>IFERROR(SMALL(N191:N559,ROW()-ROW($N$562)+1),"")</f>
        <v>0</v>
      </c>
    </row>
    <row r="769" spans="5:14">
      <c r="E769">
        <f>IFERROR(SMALL(E191:E559,ROW()-ROW($E$562)+1),"")</f>
        <v>0</v>
      </c>
      <c r="F769">
        <f>IFERROR(SMALL(F191:F559,ROW()-ROW($F$562)+1),"")</f>
        <v>0</v>
      </c>
      <c r="G769">
        <f>IFERROR(SMALL(G191:G559,ROW()-ROW($G$562)+1),"")</f>
        <v>0</v>
      </c>
      <c r="H769">
        <f>IFERROR(SMALL(H191:H559,ROW()-ROW($H$562)+1),"")</f>
        <v>0</v>
      </c>
      <c r="K769">
        <f>IFERROR(SMALL(K191:K559,ROW()-ROW($K$562)+1),"")</f>
        <v>0</v>
      </c>
      <c r="L769">
        <f>IFERROR(SMALL(L191:L559,ROW()-ROW($L$562)+1),"")</f>
        <v>0</v>
      </c>
      <c r="M769">
        <f>IFERROR(SMALL(M191:M559,ROW()-ROW($M$562)+1),"")</f>
        <v>0</v>
      </c>
      <c r="N769">
        <f>IFERROR(SMALL(N191:N559,ROW()-ROW($N$562)+1),"")</f>
        <v>0</v>
      </c>
    </row>
    <row r="770" spans="5:14">
      <c r="E770">
        <f>IFERROR(SMALL(E191:E559,ROW()-ROW($E$562)+1),"")</f>
        <v>0</v>
      </c>
      <c r="F770">
        <f>IFERROR(SMALL(F191:F559,ROW()-ROW($F$562)+1),"")</f>
        <v>0</v>
      </c>
      <c r="G770">
        <f>IFERROR(SMALL(G191:G559,ROW()-ROW($G$562)+1),"")</f>
        <v>0</v>
      </c>
      <c r="H770">
        <f>IFERROR(SMALL(H191:H559,ROW()-ROW($H$562)+1),"")</f>
        <v>0</v>
      </c>
      <c r="K770">
        <f>IFERROR(SMALL(K191:K559,ROW()-ROW($K$562)+1),"")</f>
        <v>0</v>
      </c>
      <c r="L770">
        <f>IFERROR(SMALL(L191:L559,ROW()-ROW($L$562)+1),"")</f>
        <v>0</v>
      </c>
      <c r="M770">
        <f>IFERROR(SMALL(M191:M559,ROW()-ROW($M$562)+1),"")</f>
        <v>0</v>
      </c>
      <c r="N770">
        <f>IFERROR(SMALL(N191:N559,ROW()-ROW($N$562)+1),"")</f>
        <v>0</v>
      </c>
    </row>
    <row r="771" spans="5:14">
      <c r="E771">
        <f>IFERROR(SMALL(E191:E559,ROW()-ROW($E$562)+1),"")</f>
        <v>0</v>
      </c>
      <c r="F771">
        <f>IFERROR(SMALL(F191:F559,ROW()-ROW($F$562)+1),"")</f>
        <v>0</v>
      </c>
      <c r="G771">
        <f>IFERROR(SMALL(G191:G559,ROW()-ROW($G$562)+1),"")</f>
        <v>0</v>
      </c>
      <c r="H771">
        <f>IFERROR(SMALL(H191:H559,ROW()-ROW($H$562)+1),"")</f>
        <v>0</v>
      </c>
      <c r="K771">
        <f>IFERROR(SMALL(K191:K559,ROW()-ROW($K$562)+1),"")</f>
        <v>0</v>
      </c>
      <c r="L771">
        <f>IFERROR(SMALL(L191:L559,ROW()-ROW($L$562)+1),"")</f>
        <v>0</v>
      </c>
      <c r="M771">
        <f>IFERROR(SMALL(M191:M559,ROW()-ROW($M$562)+1),"")</f>
        <v>0</v>
      </c>
      <c r="N771">
        <f>IFERROR(SMALL(N191:N559,ROW()-ROW($N$562)+1),"")</f>
        <v>0</v>
      </c>
    </row>
    <row r="772" spans="5:14">
      <c r="E772">
        <f>IFERROR(SMALL(E191:E559,ROW()-ROW($E$562)+1),"")</f>
        <v>0</v>
      </c>
      <c r="F772">
        <f>IFERROR(SMALL(F191:F559,ROW()-ROW($F$562)+1),"")</f>
        <v>0</v>
      </c>
      <c r="G772">
        <f>IFERROR(SMALL(G191:G559,ROW()-ROW($G$562)+1),"")</f>
        <v>0</v>
      </c>
      <c r="H772">
        <f>IFERROR(SMALL(H191:H559,ROW()-ROW($H$562)+1),"")</f>
        <v>0</v>
      </c>
      <c r="K772">
        <f>IFERROR(SMALL(K191:K559,ROW()-ROW($K$562)+1),"")</f>
        <v>0</v>
      </c>
      <c r="L772">
        <f>IFERROR(SMALL(L191:L559,ROW()-ROW($L$562)+1),"")</f>
        <v>0</v>
      </c>
      <c r="M772">
        <f>IFERROR(SMALL(M191:M559,ROW()-ROW($M$562)+1),"")</f>
        <v>0</v>
      </c>
      <c r="N772">
        <f>IFERROR(SMALL(N191:N559,ROW()-ROW($N$562)+1),"")</f>
        <v>0</v>
      </c>
    </row>
    <row r="773" spans="5:14">
      <c r="E773">
        <f>IFERROR(SMALL(E191:E559,ROW()-ROW($E$562)+1),"")</f>
        <v>0</v>
      </c>
      <c r="F773">
        <f>IFERROR(SMALL(F191:F559,ROW()-ROW($F$562)+1),"")</f>
        <v>0</v>
      </c>
      <c r="G773">
        <f>IFERROR(SMALL(G191:G559,ROW()-ROW($G$562)+1),"")</f>
        <v>0</v>
      </c>
      <c r="H773">
        <f>IFERROR(SMALL(H191:H559,ROW()-ROW($H$562)+1),"")</f>
        <v>0</v>
      </c>
      <c r="K773">
        <f>IFERROR(SMALL(K191:K559,ROW()-ROW($K$562)+1),"")</f>
        <v>0</v>
      </c>
      <c r="L773">
        <f>IFERROR(SMALL(L191:L559,ROW()-ROW($L$562)+1),"")</f>
        <v>0</v>
      </c>
      <c r="M773">
        <f>IFERROR(SMALL(M191:M559,ROW()-ROW($M$562)+1),"")</f>
        <v>0</v>
      </c>
      <c r="N773">
        <f>IFERROR(SMALL(N191:N559,ROW()-ROW($N$562)+1),"")</f>
        <v>0</v>
      </c>
    </row>
    <row r="774" spans="5:14">
      <c r="E774">
        <f>IFERROR(SMALL(E191:E559,ROW()-ROW($E$562)+1),"")</f>
        <v>0</v>
      </c>
      <c r="F774">
        <f>IFERROR(SMALL(F191:F559,ROW()-ROW($F$562)+1),"")</f>
        <v>0</v>
      </c>
      <c r="G774">
        <f>IFERROR(SMALL(G191:G559,ROW()-ROW($G$562)+1),"")</f>
        <v>0</v>
      </c>
      <c r="H774">
        <f>IFERROR(SMALL(H191:H559,ROW()-ROW($H$562)+1),"")</f>
        <v>0</v>
      </c>
      <c r="K774">
        <f>IFERROR(SMALL(K191:K559,ROW()-ROW($K$562)+1),"")</f>
        <v>0</v>
      </c>
      <c r="L774">
        <f>IFERROR(SMALL(L191:L559,ROW()-ROW($L$562)+1),"")</f>
        <v>0</v>
      </c>
      <c r="M774">
        <f>IFERROR(SMALL(M191:M559,ROW()-ROW($M$562)+1),"")</f>
        <v>0</v>
      </c>
      <c r="N774">
        <f>IFERROR(SMALL(N191:N559,ROW()-ROW($N$562)+1),"")</f>
        <v>0</v>
      </c>
    </row>
    <row r="775" spans="5:14">
      <c r="E775">
        <f>IFERROR(SMALL(E191:E559,ROW()-ROW($E$562)+1),"")</f>
        <v>0</v>
      </c>
      <c r="F775">
        <f>IFERROR(SMALL(F191:F559,ROW()-ROW($F$562)+1),"")</f>
        <v>0</v>
      </c>
      <c r="G775">
        <f>IFERROR(SMALL(G191:G559,ROW()-ROW($G$562)+1),"")</f>
        <v>0</v>
      </c>
      <c r="H775">
        <f>IFERROR(SMALL(H191:H559,ROW()-ROW($H$562)+1),"")</f>
        <v>0</v>
      </c>
      <c r="K775">
        <f>IFERROR(SMALL(K191:K559,ROW()-ROW($K$562)+1),"")</f>
        <v>0</v>
      </c>
      <c r="L775">
        <f>IFERROR(SMALL(L191:L559,ROW()-ROW($L$562)+1),"")</f>
        <v>0</v>
      </c>
      <c r="M775">
        <f>IFERROR(SMALL(M191:M559,ROW()-ROW($M$562)+1),"")</f>
        <v>0</v>
      </c>
      <c r="N775">
        <f>IFERROR(SMALL(N191:N559,ROW()-ROW($N$562)+1),"")</f>
        <v>0</v>
      </c>
    </row>
    <row r="776" spans="5:14">
      <c r="E776">
        <f>IFERROR(SMALL(E191:E559,ROW()-ROW($E$562)+1),"")</f>
        <v>0</v>
      </c>
      <c r="F776">
        <f>IFERROR(SMALL(F191:F559,ROW()-ROW($F$562)+1),"")</f>
        <v>0</v>
      </c>
      <c r="G776">
        <f>IFERROR(SMALL(G191:G559,ROW()-ROW($G$562)+1),"")</f>
        <v>0</v>
      </c>
      <c r="H776">
        <f>IFERROR(SMALL(H191:H559,ROW()-ROW($H$562)+1),"")</f>
        <v>0</v>
      </c>
      <c r="K776">
        <f>IFERROR(SMALL(K191:K559,ROW()-ROW($K$562)+1),"")</f>
        <v>0</v>
      </c>
      <c r="L776">
        <f>IFERROR(SMALL(L191:L559,ROW()-ROW($L$562)+1),"")</f>
        <v>0</v>
      </c>
      <c r="M776">
        <f>IFERROR(SMALL(M191:M559,ROW()-ROW($M$562)+1),"")</f>
        <v>0</v>
      </c>
      <c r="N776">
        <f>IFERROR(SMALL(N191:N559,ROW()-ROW($N$562)+1),"")</f>
        <v>0</v>
      </c>
    </row>
    <row r="777" spans="5:14">
      <c r="E777">
        <f>IFERROR(SMALL(E191:E559,ROW()-ROW($E$562)+1),"")</f>
        <v>0</v>
      </c>
      <c r="F777">
        <f>IFERROR(SMALL(F191:F559,ROW()-ROW($F$562)+1),"")</f>
        <v>0</v>
      </c>
      <c r="G777">
        <f>IFERROR(SMALL(G191:G559,ROW()-ROW($G$562)+1),"")</f>
        <v>0</v>
      </c>
      <c r="H777">
        <f>IFERROR(SMALL(H191:H559,ROW()-ROW($H$562)+1),"")</f>
        <v>0</v>
      </c>
      <c r="K777">
        <f>IFERROR(SMALL(K191:K559,ROW()-ROW($K$562)+1),"")</f>
        <v>0</v>
      </c>
      <c r="L777">
        <f>IFERROR(SMALL(L191:L559,ROW()-ROW($L$562)+1),"")</f>
        <v>0</v>
      </c>
      <c r="M777">
        <f>IFERROR(SMALL(M191:M559,ROW()-ROW($M$562)+1),"")</f>
        <v>0</v>
      </c>
      <c r="N777">
        <f>IFERROR(SMALL(N191:N559,ROW()-ROW($N$562)+1),"")</f>
        <v>0</v>
      </c>
    </row>
    <row r="778" spans="5:14">
      <c r="E778">
        <f>IFERROR(SMALL(E191:E559,ROW()-ROW($E$562)+1),"")</f>
        <v>0</v>
      </c>
      <c r="F778">
        <f>IFERROR(SMALL(F191:F559,ROW()-ROW($F$562)+1),"")</f>
        <v>0</v>
      </c>
      <c r="G778">
        <f>IFERROR(SMALL(G191:G559,ROW()-ROW($G$562)+1),"")</f>
        <v>0</v>
      </c>
      <c r="H778">
        <f>IFERROR(SMALL(H191:H559,ROW()-ROW($H$562)+1),"")</f>
        <v>0</v>
      </c>
      <c r="K778">
        <f>IFERROR(SMALL(K191:K559,ROW()-ROW($K$562)+1),"")</f>
        <v>0</v>
      </c>
      <c r="L778">
        <f>IFERROR(SMALL(L191:L559,ROW()-ROW($L$562)+1),"")</f>
        <v>0</v>
      </c>
      <c r="M778">
        <f>IFERROR(SMALL(M191:M559,ROW()-ROW($M$562)+1),"")</f>
        <v>0</v>
      </c>
      <c r="N778">
        <f>IFERROR(SMALL(N191:N559,ROW()-ROW($N$562)+1),"")</f>
        <v>0</v>
      </c>
    </row>
    <row r="779" spans="5:14">
      <c r="E779">
        <f>IFERROR(SMALL(E191:E559,ROW()-ROW($E$562)+1),"")</f>
        <v>0</v>
      </c>
      <c r="F779">
        <f>IFERROR(SMALL(F191:F559,ROW()-ROW($F$562)+1),"")</f>
        <v>0</v>
      </c>
      <c r="G779">
        <f>IFERROR(SMALL(G191:G559,ROW()-ROW($G$562)+1),"")</f>
        <v>0</v>
      </c>
      <c r="H779">
        <f>IFERROR(SMALL(H191:H559,ROW()-ROW($H$562)+1),"")</f>
        <v>0</v>
      </c>
      <c r="K779">
        <f>IFERROR(SMALL(K191:K559,ROW()-ROW($K$562)+1),"")</f>
        <v>0</v>
      </c>
      <c r="L779">
        <f>IFERROR(SMALL(L191:L559,ROW()-ROW($L$562)+1),"")</f>
        <v>0</v>
      </c>
      <c r="M779">
        <f>IFERROR(SMALL(M191:M559,ROW()-ROW($M$562)+1),"")</f>
        <v>0</v>
      </c>
      <c r="N779">
        <f>IFERROR(SMALL(N191:N559,ROW()-ROW($N$562)+1),"")</f>
        <v>0</v>
      </c>
    </row>
    <row r="780" spans="5:14">
      <c r="E780">
        <f>IFERROR(SMALL(E191:E559,ROW()-ROW($E$562)+1),"")</f>
        <v>0</v>
      </c>
      <c r="F780">
        <f>IFERROR(SMALL(F191:F559,ROW()-ROW($F$562)+1),"")</f>
        <v>0</v>
      </c>
      <c r="G780">
        <f>IFERROR(SMALL(G191:G559,ROW()-ROW($G$562)+1),"")</f>
        <v>0</v>
      </c>
      <c r="H780">
        <f>IFERROR(SMALL(H191:H559,ROW()-ROW($H$562)+1),"")</f>
        <v>0</v>
      </c>
      <c r="K780">
        <f>IFERROR(SMALL(K191:K559,ROW()-ROW($K$562)+1),"")</f>
        <v>0</v>
      </c>
      <c r="L780">
        <f>IFERROR(SMALL(L191:L559,ROW()-ROW($L$562)+1),"")</f>
        <v>0</v>
      </c>
      <c r="M780">
        <f>IFERROR(SMALL(M191:M559,ROW()-ROW($M$562)+1),"")</f>
        <v>0</v>
      </c>
      <c r="N780">
        <f>IFERROR(SMALL(N191:N559,ROW()-ROW($N$562)+1),"")</f>
        <v>0</v>
      </c>
    </row>
    <row r="781" spans="5:14">
      <c r="E781">
        <f>IFERROR(SMALL(E191:E559,ROW()-ROW($E$562)+1),"")</f>
        <v>0</v>
      </c>
      <c r="F781">
        <f>IFERROR(SMALL(F191:F559,ROW()-ROW($F$562)+1),"")</f>
        <v>0</v>
      </c>
      <c r="G781">
        <f>IFERROR(SMALL(G191:G559,ROW()-ROW($G$562)+1),"")</f>
        <v>0</v>
      </c>
      <c r="H781">
        <f>IFERROR(SMALL(H191:H559,ROW()-ROW($H$562)+1),"")</f>
        <v>0</v>
      </c>
      <c r="K781">
        <f>IFERROR(SMALL(K191:K559,ROW()-ROW($K$562)+1),"")</f>
        <v>0</v>
      </c>
      <c r="L781">
        <f>IFERROR(SMALL(L191:L559,ROW()-ROW($L$562)+1),"")</f>
        <v>0</v>
      </c>
      <c r="M781">
        <f>IFERROR(SMALL(M191:M559,ROW()-ROW($M$562)+1),"")</f>
        <v>0</v>
      </c>
      <c r="N781">
        <f>IFERROR(SMALL(N191:N559,ROW()-ROW($N$562)+1),"")</f>
        <v>0</v>
      </c>
    </row>
    <row r="782" spans="5:14">
      <c r="E782">
        <f>IFERROR(SMALL(E191:E559,ROW()-ROW($E$562)+1),"")</f>
        <v>0</v>
      </c>
      <c r="F782">
        <f>IFERROR(SMALL(F191:F559,ROW()-ROW($F$562)+1),"")</f>
        <v>0</v>
      </c>
      <c r="G782">
        <f>IFERROR(SMALL(G191:G559,ROW()-ROW($G$562)+1),"")</f>
        <v>0</v>
      </c>
      <c r="H782">
        <f>IFERROR(SMALL(H191:H559,ROW()-ROW($H$562)+1),"")</f>
        <v>0</v>
      </c>
      <c r="K782">
        <f>IFERROR(SMALL(K191:K559,ROW()-ROW($K$562)+1),"")</f>
        <v>0</v>
      </c>
      <c r="L782">
        <f>IFERROR(SMALL(L191:L559,ROW()-ROW($L$562)+1),"")</f>
        <v>0</v>
      </c>
      <c r="M782">
        <f>IFERROR(SMALL(M191:M559,ROW()-ROW($M$562)+1),"")</f>
        <v>0</v>
      </c>
      <c r="N782">
        <f>IFERROR(SMALL(N191:N559,ROW()-ROW($N$562)+1),"")</f>
        <v>0</v>
      </c>
    </row>
    <row r="783" spans="5:14">
      <c r="E783">
        <f>IFERROR(SMALL(E191:E559,ROW()-ROW($E$562)+1),"")</f>
        <v>0</v>
      </c>
      <c r="F783">
        <f>IFERROR(SMALL(F191:F559,ROW()-ROW($F$562)+1),"")</f>
        <v>0</v>
      </c>
      <c r="G783">
        <f>IFERROR(SMALL(G191:G559,ROW()-ROW($G$562)+1),"")</f>
        <v>0</v>
      </c>
      <c r="H783">
        <f>IFERROR(SMALL(H191:H559,ROW()-ROW($H$562)+1),"")</f>
        <v>0</v>
      </c>
      <c r="K783">
        <f>IFERROR(SMALL(K191:K559,ROW()-ROW($K$562)+1),"")</f>
        <v>0</v>
      </c>
      <c r="L783">
        <f>IFERROR(SMALL(L191:L559,ROW()-ROW($L$562)+1),"")</f>
        <v>0</v>
      </c>
      <c r="M783">
        <f>IFERROR(SMALL(M191:M559,ROW()-ROW($M$562)+1),"")</f>
        <v>0</v>
      </c>
      <c r="N783">
        <f>IFERROR(SMALL(N191:N559,ROW()-ROW($N$562)+1),"")</f>
        <v>0</v>
      </c>
    </row>
    <row r="784" spans="5:14">
      <c r="E784">
        <f>IFERROR(SMALL(E191:E559,ROW()-ROW($E$562)+1),"")</f>
        <v>0</v>
      </c>
      <c r="F784">
        <f>IFERROR(SMALL(F191:F559,ROW()-ROW($F$562)+1),"")</f>
        <v>0</v>
      </c>
      <c r="G784">
        <f>IFERROR(SMALL(G191:G559,ROW()-ROW($G$562)+1),"")</f>
        <v>0</v>
      </c>
      <c r="H784">
        <f>IFERROR(SMALL(H191:H559,ROW()-ROW($H$562)+1),"")</f>
        <v>0</v>
      </c>
      <c r="K784">
        <f>IFERROR(SMALL(K191:K559,ROW()-ROW($K$562)+1),"")</f>
        <v>0</v>
      </c>
      <c r="L784">
        <f>IFERROR(SMALL(L191:L559,ROW()-ROW($L$562)+1),"")</f>
        <v>0</v>
      </c>
      <c r="M784">
        <f>IFERROR(SMALL(M191:M559,ROW()-ROW($M$562)+1),"")</f>
        <v>0</v>
      </c>
      <c r="N784">
        <f>IFERROR(SMALL(N191:N559,ROW()-ROW($N$562)+1),"")</f>
        <v>0</v>
      </c>
    </row>
    <row r="785" spans="5:14">
      <c r="E785">
        <f>IFERROR(SMALL(E191:E559,ROW()-ROW($E$562)+1),"")</f>
        <v>0</v>
      </c>
      <c r="F785">
        <f>IFERROR(SMALL(F191:F559,ROW()-ROW($F$562)+1),"")</f>
        <v>0</v>
      </c>
      <c r="G785">
        <f>IFERROR(SMALL(G191:G559,ROW()-ROW($G$562)+1),"")</f>
        <v>0</v>
      </c>
      <c r="H785">
        <f>IFERROR(SMALL(H191:H559,ROW()-ROW($H$562)+1),"")</f>
        <v>0</v>
      </c>
      <c r="K785">
        <f>IFERROR(SMALL(K191:K559,ROW()-ROW($K$562)+1),"")</f>
        <v>0</v>
      </c>
      <c r="L785">
        <f>IFERROR(SMALL(L191:L559,ROW()-ROW($L$562)+1),"")</f>
        <v>0</v>
      </c>
      <c r="M785">
        <f>IFERROR(SMALL(M191:M559,ROW()-ROW($M$562)+1),"")</f>
        <v>0</v>
      </c>
      <c r="N785">
        <f>IFERROR(SMALL(N191:N559,ROW()-ROW($N$562)+1),"")</f>
        <v>0</v>
      </c>
    </row>
    <row r="786" spans="5:14">
      <c r="E786">
        <f>IFERROR(SMALL(E191:E559,ROW()-ROW($E$562)+1),"")</f>
        <v>0</v>
      </c>
      <c r="F786">
        <f>IFERROR(SMALL(F191:F559,ROW()-ROW($F$562)+1),"")</f>
        <v>0</v>
      </c>
      <c r="G786">
        <f>IFERROR(SMALL(G191:G559,ROW()-ROW($G$562)+1),"")</f>
        <v>0</v>
      </c>
      <c r="H786">
        <f>IFERROR(SMALL(H191:H559,ROW()-ROW($H$562)+1),"")</f>
        <v>0</v>
      </c>
      <c r="K786">
        <f>IFERROR(SMALL(K191:K559,ROW()-ROW($K$562)+1),"")</f>
        <v>0</v>
      </c>
      <c r="L786">
        <f>IFERROR(SMALL(L191:L559,ROW()-ROW($L$562)+1),"")</f>
        <v>0</v>
      </c>
      <c r="M786">
        <f>IFERROR(SMALL(M191:M559,ROW()-ROW($M$562)+1),"")</f>
        <v>0</v>
      </c>
      <c r="N786">
        <f>IFERROR(SMALL(N191:N559,ROW()-ROW($N$562)+1),"")</f>
        <v>0</v>
      </c>
    </row>
    <row r="787" spans="5:14">
      <c r="E787">
        <f>IFERROR(SMALL(E191:E559,ROW()-ROW($E$562)+1),"")</f>
        <v>0</v>
      </c>
      <c r="F787">
        <f>IFERROR(SMALL(F191:F559,ROW()-ROW($F$562)+1),"")</f>
        <v>0</v>
      </c>
      <c r="G787">
        <f>IFERROR(SMALL(G191:G559,ROW()-ROW($G$562)+1),"")</f>
        <v>0</v>
      </c>
      <c r="H787">
        <f>IFERROR(SMALL(H191:H559,ROW()-ROW($H$562)+1),"")</f>
        <v>0</v>
      </c>
      <c r="K787">
        <f>IFERROR(SMALL(K191:K559,ROW()-ROW($K$562)+1),"")</f>
        <v>0</v>
      </c>
      <c r="L787">
        <f>IFERROR(SMALL(L191:L559,ROW()-ROW($L$562)+1),"")</f>
        <v>0</v>
      </c>
      <c r="M787">
        <f>IFERROR(SMALL(M191:M559,ROW()-ROW($M$562)+1),"")</f>
        <v>0</v>
      </c>
      <c r="N787">
        <f>IFERROR(SMALL(N191:N559,ROW()-ROW($N$562)+1),"")</f>
        <v>0</v>
      </c>
    </row>
    <row r="788" spans="5:14">
      <c r="E788">
        <f>IFERROR(SMALL(E191:E559,ROW()-ROW($E$562)+1),"")</f>
        <v>0</v>
      </c>
      <c r="F788">
        <f>IFERROR(SMALL(F191:F559,ROW()-ROW($F$562)+1),"")</f>
        <v>0</v>
      </c>
      <c r="G788">
        <f>IFERROR(SMALL(G191:G559,ROW()-ROW($G$562)+1),"")</f>
        <v>0</v>
      </c>
      <c r="H788">
        <f>IFERROR(SMALL(H191:H559,ROW()-ROW($H$562)+1),"")</f>
        <v>0</v>
      </c>
      <c r="K788">
        <f>IFERROR(SMALL(K191:K559,ROW()-ROW($K$562)+1),"")</f>
        <v>0</v>
      </c>
      <c r="L788">
        <f>IFERROR(SMALL(L191:L559,ROW()-ROW($L$562)+1),"")</f>
        <v>0</v>
      </c>
      <c r="M788">
        <f>IFERROR(SMALL(M191:M559,ROW()-ROW($M$562)+1),"")</f>
        <v>0</v>
      </c>
      <c r="N788">
        <f>IFERROR(SMALL(N191:N559,ROW()-ROW($N$562)+1),"")</f>
        <v>0</v>
      </c>
    </row>
    <row r="789" spans="5:14">
      <c r="E789">
        <f>IFERROR(SMALL(E191:E559,ROW()-ROW($E$562)+1),"")</f>
        <v>0</v>
      </c>
      <c r="F789">
        <f>IFERROR(SMALL(F191:F559,ROW()-ROW($F$562)+1),"")</f>
        <v>0</v>
      </c>
      <c r="G789">
        <f>IFERROR(SMALL(G191:G559,ROW()-ROW($G$562)+1),"")</f>
        <v>0</v>
      </c>
      <c r="H789">
        <f>IFERROR(SMALL(H191:H559,ROW()-ROW($H$562)+1),"")</f>
        <v>0</v>
      </c>
      <c r="K789">
        <f>IFERROR(SMALL(K191:K559,ROW()-ROW($K$562)+1),"")</f>
        <v>0</v>
      </c>
      <c r="L789">
        <f>IFERROR(SMALL(L191:L559,ROW()-ROW($L$562)+1),"")</f>
        <v>0</v>
      </c>
      <c r="M789">
        <f>IFERROR(SMALL(M191:M559,ROW()-ROW($M$562)+1),"")</f>
        <v>0</v>
      </c>
      <c r="N789">
        <f>IFERROR(SMALL(N191:N559,ROW()-ROW($N$562)+1),"")</f>
        <v>0</v>
      </c>
    </row>
    <row r="790" spans="5:14">
      <c r="E790">
        <f>IFERROR(SMALL(E191:E559,ROW()-ROW($E$562)+1),"")</f>
        <v>0</v>
      </c>
      <c r="F790">
        <f>IFERROR(SMALL(F191:F559,ROW()-ROW($F$562)+1),"")</f>
        <v>0</v>
      </c>
      <c r="G790">
        <f>IFERROR(SMALL(G191:G559,ROW()-ROW($G$562)+1),"")</f>
        <v>0</v>
      </c>
      <c r="H790">
        <f>IFERROR(SMALL(H191:H559,ROW()-ROW($H$562)+1),"")</f>
        <v>0</v>
      </c>
      <c r="K790">
        <f>IFERROR(SMALL(K191:K559,ROW()-ROW($K$562)+1),"")</f>
        <v>0</v>
      </c>
      <c r="L790">
        <f>IFERROR(SMALL(L191:L559,ROW()-ROW($L$562)+1),"")</f>
        <v>0</v>
      </c>
      <c r="M790">
        <f>IFERROR(SMALL(M191:M559,ROW()-ROW($M$562)+1),"")</f>
        <v>0</v>
      </c>
      <c r="N790">
        <f>IFERROR(SMALL(N191:N559,ROW()-ROW($N$562)+1),"")</f>
        <v>0</v>
      </c>
    </row>
    <row r="791" spans="5:14">
      <c r="E791">
        <f>IFERROR(SMALL(E191:E559,ROW()-ROW($E$562)+1),"")</f>
        <v>0</v>
      </c>
      <c r="F791">
        <f>IFERROR(SMALL(F191:F559,ROW()-ROW($F$562)+1),"")</f>
        <v>0</v>
      </c>
      <c r="G791">
        <f>IFERROR(SMALL(G191:G559,ROW()-ROW($G$562)+1),"")</f>
        <v>0</v>
      </c>
      <c r="H791">
        <f>IFERROR(SMALL(H191:H559,ROW()-ROW($H$562)+1),"")</f>
        <v>0</v>
      </c>
      <c r="K791">
        <f>IFERROR(SMALL(K191:K559,ROW()-ROW($K$562)+1),"")</f>
        <v>0</v>
      </c>
      <c r="L791">
        <f>IFERROR(SMALL(L191:L559,ROW()-ROW($L$562)+1),"")</f>
        <v>0</v>
      </c>
      <c r="M791">
        <f>IFERROR(SMALL(M191:M559,ROW()-ROW($M$562)+1),"")</f>
        <v>0</v>
      </c>
      <c r="N791">
        <f>IFERROR(SMALL(N191:N559,ROW()-ROW($N$562)+1),"")</f>
        <v>0</v>
      </c>
    </row>
    <row r="792" spans="5:14">
      <c r="E792">
        <f>IFERROR(SMALL(E191:E559,ROW()-ROW($E$562)+1),"")</f>
        <v>0</v>
      </c>
      <c r="F792">
        <f>IFERROR(SMALL(F191:F559,ROW()-ROW($F$562)+1),"")</f>
        <v>0</v>
      </c>
      <c r="G792">
        <f>IFERROR(SMALL(G191:G559,ROW()-ROW($G$562)+1),"")</f>
        <v>0</v>
      </c>
      <c r="H792">
        <f>IFERROR(SMALL(H191:H559,ROW()-ROW($H$562)+1),"")</f>
        <v>0</v>
      </c>
      <c r="K792">
        <f>IFERROR(SMALL(K191:K559,ROW()-ROW($K$562)+1),"")</f>
        <v>0</v>
      </c>
      <c r="L792">
        <f>IFERROR(SMALL(L191:L559,ROW()-ROW($L$562)+1),"")</f>
        <v>0</v>
      </c>
      <c r="M792">
        <f>IFERROR(SMALL(M191:M559,ROW()-ROW($M$562)+1),"")</f>
        <v>0</v>
      </c>
      <c r="N792">
        <f>IFERROR(SMALL(N191:N559,ROW()-ROW($N$562)+1),"")</f>
        <v>0</v>
      </c>
    </row>
    <row r="793" spans="5:14">
      <c r="E793">
        <f>IFERROR(SMALL(E191:E559,ROW()-ROW($E$562)+1),"")</f>
        <v>0</v>
      </c>
      <c r="F793">
        <f>IFERROR(SMALL(F191:F559,ROW()-ROW($F$562)+1),"")</f>
        <v>0</v>
      </c>
      <c r="G793">
        <f>IFERROR(SMALL(G191:G559,ROW()-ROW($G$562)+1),"")</f>
        <v>0</v>
      </c>
      <c r="H793">
        <f>IFERROR(SMALL(H191:H559,ROW()-ROW($H$562)+1),"")</f>
        <v>0</v>
      </c>
      <c r="K793">
        <f>IFERROR(SMALL(K191:K559,ROW()-ROW($K$562)+1),"")</f>
        <v>0</v>
      </c>
      <c r="L793">
        <f>IFERROR(SMALL(L191:L559,ROW()-ROW($L$562)+1),"")</f>
        <v>0</v>
      </c>
      <c r="M793">
        <f>IFERROR(SMALL(M191:M559,ROW()-ROW($M$562)+1),"")</f>
        <v>0</v>
      </c>
      <c r="N793">
        <f>IFERROR(SMALL(N191:N559,ROW()-ROW($N$562)+1),"")</f>
        <v>0</v>
      </c>
    </row>
    <row r="794" spans="5:14">
      <c r="E794">
        <f>IFERROR(SMALL(E191:E559,ROW()-ROW($E$562)+1),"")</f>
        <v>0</v>
      </c>
      <c r="F794">
        <f>IFERROR(SMALL(F191:F559,ROW()-ROW($F$562)+1),"")</f>
        <v>0</v>
      </c>
      <c r="G794">
        <f>IFERROR(SMALL(G191:G559,ROW()-ROW($G$562)+1),"")</f>
        <v>0</v>
      </c>
      <c r="H794">
        <f>IFERROR(SMALL(H191:H559,ROW()-ROW($H$562)+1),"")</f>
        <v>0</v>
      </c>
      <c r="K794">
        <f>IFERROR(SMALL(K191:K559,ROW()-ROW($K$562)+1),"")</f>
        <v>0</v>
      </c>
      <c r="L794">
        <f>IFERROR(SMALL(L191:L559,ROW()-ROW($L$562)+1),"")</f>
        <v>0</v>
      </c>
      <c r="M794">
        <f>IFERROR(SMALL(M191:M559,ROW()-ROW($M$562)+1),"")</f>
        <v>0</v>
      </c>
      <c r="N794">
        <f>IFERROR(SMALL(N191:N559,ROW()-ROW($N$562)+1),"")</f>
        <v>0</v>
      </c>
    </row>
    <row r="795" spans="5:14">
      <c r="E795">
        <f>IFERROR(SMALL(E191:E559,ROW()-ROW($E$562)+1),"")</f>
        <v>0</v>
      </c>
      <c r="F795">
        <f>IFERROR(SMALL(F191:F559,ROW()-ROW($F$562)+1),"")</f>
        <v>0</v>
      </c>
      <c r="G795">
        <f>IFERROR(SMALL(G191:G559,ROW()-ROW($G$562)+1),"")</f>
        <v>0</v>
      </c>
      <c r="H795">
        <f>IFERROR(SMALL(H191:H559,ROW()-ROW($H$562)+1),"")</f>
        <v>0</v>
      </c>
      <c r="K795">
        <f>IFERROR(SMALL(K191:K559,ROW()-ROW($K$562)+1),"")</f>
        <v>0</v>
      </c>
      <c r="L795">
        <f>IFERROR(SMALL(L191:L559,ROW()-ROW($L$562)+1),"")</f>
        <v>0</v>
      </c>
      <c r="M795">
        <f>IFERROR(SMALL(M191:M559,ROW()-ROW($M$562)+1),"")</f>
        <v>0</v>
      </c>
      <c r="N795">
        <f>IFERROR(SMALL(N191:N559,ROW()-ROW($N$562)+1),"")</f>
        <v>0</v>
      </c>
    </row>
    <row r="796" spans="5:14">
      <c r="E796">
        <f>IFERROR(SMALL(E191:E559,ROW()-ROW($E$562)+1),"")</f>
        <v>0</v>
      </c>
      <c r="F796">
        <f>IFERROR(SMALL(F191:F559,ROW()-ROW($F$562)+1),"")</f>
        <v>0</v>
      </c>
      <c r="G796">
        <f>IFERROR(SMALL(G191:G559,ROW()-ROW($G$562)+1),"")</f>
        <v>0</v>
      </c>
      <c r="H796">
        <f>IFERROR(SMALL(H191:H559,ROW()-ROW($H$562)+1),"")</f>
        <v>0</v>
      </c>
      <c r="K796">
        <f>IFERROR(SMALL(K191:K559,ROW()-ROW($K$562)+1),"")</f>
        <v>0</v>
      </c>
      <c r="L796">
        <f>IFERROR(SMALL(L191:L559,ROW()-ROW($L$562)+1),"")</f>
        <v>0</v>
      </c>
      <c r="M796">
        <f>IFERROR(SMALL(M191:M559,ROW()-ROW($M$562)+1),"")</f>
        <v>0</v>
      </c>
      <c r="N796">
        <f>IFERROR(SMALL(N191:N559,ROW()-ROW($N$562)+1),"")</f>
        <v>0</v>
      </c>
    </row>
    <row r="797" spans="5:14">
      <c r="E797">
        <f>IFERROR(SMALL(E191:E559,ROW()-ROW($E$562)+1),"")</f>
        <v>0</v>
      </c>
      <c r="F797">
        <f>IFERROR(SMALL(F191:F559,ROW()-ROW($F$562)+1),"")</f>
        <v>0</v>
      </c>
      <c r="G797">
        <f>IFERROR(SMALL(G191:G559,ROW()-ROW($G$562)+1),"")</f>
        <v>0</v>
      </c>
      <c r="H797">
        <f>IFERROR(SMALL(H191:H559,ROW()-ROW($H$562)+1),"")</f>
        <v>0</v>
      </c>
      <c r="K797">
        <f>IFERROR(SMALL(K191:K559,ROW()-ROW($K$562)+1),"")</f>
        <v>0</v>
      </c>
      <c r="L797">
        <f>IFERROR(SMALL(L191:L559,ROW()-ROW($L$562)+1),"")</f>
        <v>0</v>
      </c>
      <c r="M797">
        <f>IFERROR(SMALL(M191:M559,ROW()-ROW($M$562)+1),"")</f>
        <v>0</v>
      </c>
      <c r="N797">
        <f>IFERROR(SMALL(N191:N559,ROW()-ROW($N$562)+1),"")</f>
        <v>0</v>
      </c>
    </row>
    <row r="798" spans="5:14">
      <c r="E798">
        <f>IFERROR(SMALL(E191:E559,ROW()-ROW($E$562)+1),"")</f>
        <v>0</v>
      </c>
      <c r="F798">
        <f>IFERROR(SMALL(F191:F559,ROW()-ROW($F$562)+1),"")</f>
        <v>0</v>
      </c>
      <c r="G798">
        <f>IFERROR(SMALL(G191:G559,ROW()-ROW($G$562)+1),"")</f>
        <v>0</v>
      </c>
      <c r="H798">
        <f>IFERROR(SMALL(H191:H559,ROW()-ROW($H$562)+1),"")</f>
        <v>0</v>
      </c>
      <c r="K798">
        <f>IFERROR(SMALL(K191:K559,ROW()-ROW($K$562)+1),"")</f>
        <v>0</v>
      </c>
      <c r="L798">
        <f>IFERROR(SMALL(L191:L559,ROW()-ROW($L$562)+1),"")</f>
        <v>0</v>
      </c>
      <c r="M798">
        <f>IFERROR(SMALL(M191:M559,ROW()-ROW($M$562)+1),"")</f>
        <v>0</v>
      </c>
      <c r="N798">
        <f>IFERROR(SMALL(N191:N559,ROW()-ROW($N$562)+1),"")</f>
        <v>0</v>
      </c>
    </row>
    <row r="799" spans="5:14">
      <c r="E799">
        <f>IFERROR(SMALL(E191:E559,ROW()-ROW($E$562)+1),"")</f>
        <v>0</v>
      </c>
      <c r="F799">
        <f>IFERROR(SMALL(F191:F559,ROW()-ROW($F$562)+1),"")</f>
        <v>0</v>
      </c>
      <c r="G799">
        <f>IFERROR(SMALL(G191:G559,ROW()-ROW($G$562)+1),"")</f>
        <v>0</v>
      </c>
      <c r="H799">
        <f>IFERROR(SMALL(H191:H559,ROW()-ROW($H$562)+1),"")</f>
        <v>0</v>
      </c>
      <c r="K799">
        <f>IFERROR(SMALL(K191:K559,ROW()-ROW($K$562)+1),"")</f>
        <v>0</v>
      </c>
      <c r="L799">
        <f>IFERROR(SMALL(L191:L559,ROW()-ROW($L$562)+1),"")</f>
        <v>0</v>
      </c>
      <c r="M799">
        <f>IFERROR(SMALL(M191:M559,ROW()-ROW($M$562)+1),"")</f>
        <v>0</v>
      </c>
      <c r="N799">
        <f>IFERROR(SMALL(N191:N559,ROW()-ROW($N$562)+1),"")</f>
        <v>0</v>
      </c>
    </row>
    <row r="800" spans="5:14">
      <c r="E800">
        <f>IFERROR(SMALL(E191:E559,ROW()-ROW($E$562)+1),"")</f>
        <v>0</v>
      </c>
      <c r="F800">
        <f>IFERROR(SMALL(F191:F559,ROW()-ROW($F$562)+1),"")</f>
        <v>0</v>
      </c>
      <c r="G800">
        <f>IFERROR(SMALL(G191:G559,ROW()-ROW($G$562)+1),"")</f>
        <v>0</v>
      </c>
      <c r="H800">
        <f>IFERROR(SMALL(H191:H559,ROW()-ROW($H$562)+1),"")</f>
        <v>0</v>
      </c>
      <c r="K800">
        <f>IFERROR(SMALL(K191:K559,ROW()-ROW($K$562)+1),"")</f>
        <v>0</v>
      </c>
      <c r="L800">
        <f>IFERROR(SMALL(L191:L559,ROW()-ROW($L$562)+1),"")</f>
        <v>0</v>
      </c>
      <c r="M800">
        <f>IFERROR(SMALL(M191:M559,ROW()-ROW($M$562)+1),"")</f>
        <v>0</v>
      </c>
      <c r="N800">
        <f>IFERROR(SMALL(N191:N559,ROW()-ROW($N$562)+1),"")</f>
        <v>0</v>
      </c>
    </row>
    <row r="801" spans="5:14">
      <c r="E801">
        <f>IFERROR(SMALL(E191:E559,ROW()-ROW($E$562)+1),"")</f>
        <v>0</v>
      </c>
      <c r="F801">
        <f>IFERROR(SMALL(F191:F559,ROW()-ROW($F$562)+1),"")</f>
        <v>0</v>
      </c>
      <c r="G801">
        <f>IFERROR(SMALL(G191:G559,ROW()-ROW($G$562)+1),"")</f>
        <v>0</v>
      </c>
      <c r="H801">
        <f>IFERROR(SMALL(H191:H559,ROW()-ROW($H$562)+1),"")</f>
        <v>0</v>
      </c>
      <c r="K801">
        <f>IFERROR(SMALL(K191:K559,ROW()-ROW($K$562)+1),"")</f>
        <v>0</v>
      </c>
      <c r="L801">
        <f>IFERROR(SMALL(L191:L559,ROW()-ROW($L$562)+1),"")</f>
        <v>0</v>
      </c>
      <c r="M801">
        <f>IFERROR(SMALL(M191:M559,ROW()-ROW($M$562)+1),"")</f>
        <v>0</v>
      </c>
      <c r="N801">
        <f>IFERROR(SMALL(N191:N559,ROW()-ROW($N$562)+1),"")</f>
        <v>0</v>
      </c>
    </row>
    <row r="802" spans="5:14">
      <c r="E802">
        <f>IFERROR(SMALL(E191:E559,ROW()-ROW($E$562)+1),"")</f>
        <v>0</v>
      </c>
      <c r="F802">
        <f>IFERROR(SMALL(F191:F559,ROW()-ROW($F$562)+1),"")</f>
        <v>0</v>
      </c>
      <c r="G802">
        <f>IFERROR(SMALL(G191:G559,ROW()-ROW($G$562)+1),"")</f>
        <v>0</v>
      </c>
      <c r="H802">
        <f>IFERROR(SMALL(H191:H559,ROW()-ROW($H$562)+1),"")</f>
        <v>0</v>
      </c>
      <c r="K802">
        <f>IFERROR(SMALL(K191:K559,ROW()-ROW($K$562)+1),"")</f>
        <v>0</v>
      </c>
      <c r="L802">
        <f>IFERROR(SMALL(L191:L559,ROW()-ROW($L$562)+1),"")</f>
        <v>0</v>
      </c>
      <c r="M802">
        <f>IFERROR(SMALL(M191:M559,ROW()-ROW($M$562)+1),"")</f>
        <v>0</v>
      </c>
      <c r="N802">
        <f>IFERROR(SMALL(N191:N559,ROW()-ROW($N$562)+1),"")</f>
        <v>0</v>
      </c>
    </row>
    <row r="803" spans="5:14">
      <c r="E803">
        <f>IFERROR(SMALL(E191:E559,ROW()-ROW($E$562)+1),"")</f>
        <v>0</v>
      </c>
      <c r="F803">
        <f>IFERROR(SMALL(F191:F559,ROW()-ROW($F$562)+1),"")</f>
        <v>0</v>
      </c>
      <c r="G803">
        <f>IFERROR(SMALL(G191:G559,ROW()-ROW($G$562)+1),"")</f>
        <v>0</v>
      </c>
      <c r="H803">
        <f>IFERROR(SMALL(H191:H559,ROW()-ROW($H$562)+1),"")</f>
        <v>0</v>
      </c>
      <c r="K803">
        <f>IFERROR(SMALL(K191:K559,ROW()-ROW($K$562)+1),"")</f>
        <v>0</v>
      </c>
      <c r="L803">
        <f>IFERROR(SMALL(L191:L559,ROW()-ROW($L$562)+1),"")</f>
        <v>0</v>
      </c>
      <c r="M803">
        <f>IFERROR(SMALL(M191:M559,ROW()-ROW($M$562)+1),"")</f>
        <v>0</v>
      </c>
      <c r="N803">
        <f>IFERROR(SMALL(N191:N559,ROW()-ROW($N$562)+1),"")</f>
        <v>0</v>
      </c>
    </row>
    <row r="804" spans="5:14">
      <c r="E804">
        <f>IFERROR(SMALL(E191:E559,ROW()-ROW($E$562)+1),"")</f>
        <v>0</v>
      </c>
      <c r="F804">
        <f>IFERROR(SMALL(F191:F559,ROW()-ROW($F$562)+1),"")</f>
        <v>0</v>
      </c>
      <c r="G804">
        <f>IFERROR(SMALL(G191:G559,ROW()-ROW($G$562)+1),"")</f>
        <v>0</v>
      </c>
      <c r="H804">
        <f>IFERROR(SMALL(H191:H559,ROW()-ROW($H$562)+1),"")</f>
        <v>0</v>
      </c>
      <c r="K804">
        <f>IFERROR(SMALL(K191:K559,ROW()-ROW($K$562)+1),"")</f>
        <v>0</v>
      </c>
      <c r="L804">
        <f>IFERROR(SMALL(L191:L559,ROW()-ROW($L$562)+1),"")</f>
        <v>0</v>
      </c>
      <c r="M804">
        <f>IFERROR(SMALL(M191:M559,ROW()-ROW($M$562)+1),"")</f>
        <v>0</v>
      </c>
      <c r="N804">
        <f>IFERROR(SMALL(N191:N559,ROW()-ROW($N$562)+1),"")</f>
        <v>0</v>
      </c>
    </row>
    <row r="805" spans="5:14">
      <c r="E805">
        <f>IFERROR(SMALL(E191:E559,ROW()-ROW($E$562)+1),"")</f>
        <v>0</v>
      </c>
      <c r="F805">
        <f>IFERROR(SMALL(F191:F559,ROW()-ROW($F$562)+1),"")</f>
        <v>0</v>
      </c>
      <c r="G805">
        <f>IFERROR(SMALL(G191:G559,ROW()-ROW($G$562)+1),"")</f>
        <v>0</v>
      </c>
      <c r="H805">
        <f>IFERROR(SMALL(H191:H559,ROW()-ROW($H$562)+1),"")</f>
        <v>0</v>
      </c>
      <c r="K805">
        <f>IFERROR(SMALL(K191:K559,ROW()-ROW($K$562)+1),"")</f>
        <v>0</v>
      </c>
      <c r="L805">
        <f>IFERROR(SMALL(L191:L559,ROW()-ROW($L$562)+1),"")</f>
        <v>0</v>
      </c>
      <c r="M805">
        <f>IFERROR(SMALL(M191:M559,ROW()-ROW($M$562)+1),"")</f>
        <v>0</v>
      </c>
      <c r="N805">
        <f>IFERROR(SMALL(N191:N559,ROW()-ROW($N$562)+1),"")</f>
        <v>0</v>
      </c>
    </row>
    <row r="806" spans="5:14">
      <c r="E806">
        <f>IFERROR(SMALL(E191:E559,ROW()-ROW($E$562)+1),"")</f>
        <v>0</v>
      </c>
      <c r="F806">
        <f>IFERROR(SMALL(F191:F559,ROW()-ROW($F$562)+1),"")</f>
        <v>0</v>
      </c>
      <c r="G806">
        <f>IFERROR(SMALL(G191:G559,ROW()-ROW($G$562)+1),"")</f>
        <v>0</v>
      </c>
      <c r="H806">
        <f>IFERROR(SMALL(H191:H559,ROW()-ROW($H$562)+1),"")</f>
        <v>0</v>
      </c>
      <c r="K806">
        <f>IFERROR(SMALL(K191:K559,ROW()-ROW($K$562)+1),"")</f>
        <v>0</v>
      </c>
      <c r="L806">
        <f>IFERROR(SMALL(L191:L559,ROW()-ROW($L$562)+1),"")</f>
        <v>0</v>
      </c>
      <c r="M806">
        <f>IFERROR(SMALL(M191:M559,ROW()-ROW($M$562)+1),"")</f>
        <v>0</v>
      </c>
      <c r="N806">
        <f>IFERROR(SMALL(N191:N559,ROW()-ROW($N$562)+1),"")</f>
        <v>0</v>
      </c>
    </row>
    <row r="807" spans="5:14">
      <c r="E807">
        <f>IFERROR(SMALL(E191:E559,ROW()-ROW($E$562)+1),"")</f>
        <v>0</v>
      </c>
      <c r="F807">
        <f>IFERROR(SMALL(F191:F559,ROW()-ROW($F$562)+1),"")</f>
        <v>0</v>
      </c>
      <c r="G807">
        <f>IFERROR(SMALL(G191:G559,ROW()-ROW($G$562)+1),"")</f>
        <v>0</v>
      </c>
      <c r="H807">
        <f>IFERROR(SMALL(H191:H559,ROW()-ROW($H$562)+1),"")</f>
        <v>0</v>
      </c>
      <c r="K807">
        <f>IFERROR(SMALL(K191:K559,ROW()-ROW($K$562)+1),"")</f>
        <v>0</v>
      </c>
      <c r="L807">
        <f>IFERROR(SMALL(L191:L559,ROW()-ROW($L$562)+1),"")</f>
        <v>0</v>
      </c>
      <c r="M807">
        <f>IFERROR(SMALL(M191:M559,ROW()-ROW($M$562)+1),"")</f>
        <v>0</v>
      </c>
      <c r="N807">
        <f>IFERROR(SMALL(N191:N559,ROW()-ROW($N$562)+1),"")</f>
        <v>0</v>
      </c>
    </row>
    <row r="808" spans="5:14">
      <c r="E808">
        <f>IFERROR(SMALL(E191:E559,ROW()-ROW($E$562)+1),"")</f>
        <v>0</v>
      </c>
      <c r="F808">
        <f>IFERROR(SMALL(F191:F559,ROW()-ROW($F$562)+1),"")</f>
        <v>0</v>
      </c>
      <c r="G808">
        <f>IFERROR(SMALL(G191:G559,ROW()-ROW($G$562)+1),"")</f>
        <v>0</v>
      </c>
      <c r="H808">
        <f>IFERROR(SMALL(H191:H559,ROW()-ROW($H$562)+1),"")</f>
        <v>0</v>
      </c>
      <c r="K808">
        <f>IFERROR(SMALL(K191:K559,ROW()-ROW($K$562)+1),"")</f>
        <v>0</v>
      </c>
      <c r="L808">
        <f>IFERROR(SMALL(L191:L559,ROW()-ROW($L$562)+1),"")</f>
        <v>0</v>
      </c>
      <c r="M808">
        <f>IFERROR(SMALL(M191:M559,ROW()-ROW($M$562)+1),"")</f>
        <v>0</v>
      </c>
      <c r="N808">
        <f>IFERROR(SMALL(N191:N559,ROW()-ROW($N$562)+1),"")</f>
        <v>0</v>
      </c>
    </row>
    <row r="809" spans="5:14">
      <c r="E809">
        <f>IFERROR(SMALL(E191:E559,ROW()-ROW($E$562)+1),"")</f>
        <v>0</v>
      </c>
      <c r="F809">
        <f>IFERROR(SMALL(F191:F559,ROW()-ROW($F$562)+1),"")</f>
        <v>0</v>
      </c>
      <c r="G809">
        <f>IFERROR(SMALL(G191:G559,ROW()-ROW($G$562)+1),"")</f>
        <v>0</v>
      </c>
      <c r="H809">
        <f>IFERROR(SMALL(H191:H559,ROW()-ROW($H$562)+1),"")</f>
        <v>0</v>
      </c>
      <c r="K809">
        <f>IFERROR(SMALL(K191:K559,ROW()-ROW($K$562)+1),"")</f>
        <v>0</v>
      </c>
      <c r="L809">
        <f>IFERROR(SMALL(L191:L559,ROW()-ROW($L$562)+1),"")</f>
        <v>0</v>
      </c>
      <c r="M809">
        <f>IFERROR(SMALL(M191:M559,ROW()-ROW($M$562)+1),"")</f>
        <v>0</v>
      </c>
      <c r="N809">
        <f>IFERROR(SMALL(N191:N559,ROW()-ROW($N$562)+1),"")</f>
        <v>0</v>
      </c>
    </row>
    <row r="810" spans="5:14">
      <c r="E810">
        <f>IFERROR(SMALL(E191:E559,ROW()-ROW($E$562)+1),"")</f>
        <v>0</v>
      </c>
      <c r="F810">
        <f>IFERROR(SMALL(F191:F559,ROW()-ROW($F$562)+1),"")</f>
        <v>0</v>
      </c>
      <c r="G810">
        <f>IFERROR(SMALL(G191:G559,ROW()-ROW($G$562)+1),"")</f>
        <v>0</v>
      </c>
      <c r="H810">
        <f>IFERROR(SMALL(H191:H559,ROW()-ROW($H$562)+1),"")</f>
        <v>0</v>
      </c>
      <c r="K810">
        <f>IFERROR(SMALL(K191:K559,ROW()-ROW($K$562)+1),"")</f>
        <v>0</v>
      </c>
      <c r="L810">
        <f>IFERROR(SMALL(L191:L559,ROW()-ROW($L$562)+1),"")</f>
        <v>0</v>
      </c>
      <c r="M810">
        <f>IFERROR(SMALL(M191:M559,ROW()-ROW($M$562)+1),"")</f>
        <v>0</v>
      </c>
      <c r="N810">
        <f>IFERROR(SMALL(N191:N559,ROW()-ROW($N$562)+1),"")</f>
        <v>0</v>
      </c>
    </row>
    <row r="811" spans="5:14">
      <c r="E811">
        <f>IFERROR(SMALL(E191:E559,ROW()-ROW($E$562)+1),"")</f>
        <v>0</v>
      </c>
      <c r="F811">
        <f>IFERROR(SMALL(F191:F559,ROW()-ROW($F$562)+1),"")</f>
        <v>0</v>
      </c>
      <c r="G811">
        <f>IFERROR(SMALL(G191:G559,ROW()-ROW($G$562)+1),"")</f>
        <v>0</v>
      </c>
      <c r="H811">
        <f>IFERROR(SMALL(H191:H559,ROW()-ROW($H$562)+1),"")</f>
        <v>0</v>
      </c>
      <c r="K811">
        <f>IFERROR(SMALL(K191:K559,ROW()-ROW($K$562)+1),"")</f>
        <v>0</v>
      </c>
      <c r="L811">
        <f>IFERROR(SMALL(L191:L559,ROW()-ROW($L$562)+1),"")</f>
        <v>0</v>
      </c>
      <c r="M811">
        <f>IFERROR(SMALL(M191:M559,ROW()-ROW($M$562)+1),"")</f>
        <v>0</v>
      </c>
      <c r="N811">
        <f>IFERROR(SMALL(N191:N559,ROW()-ROW($N$562)+1),"")</f>
        <v>0</v>
      </c>
    </row>
    <row r="812" spans="5:14">
      <c r="E812">
        <f>IFERROR(SMALL(E191:E559,ROW()-ROW($E$562)+1),"")</f>
        <v>0</v>
      </c>
      <c r="F812">
        <f>IFERROR(SMALL(F191:F559,ROW()-ROW($F$562)+1),"")</f>
        <v>0</v>
      </c>
      <c r="G812">
        <f>IFERROR(SMALL(G191:G559,ROW()-ROW($G$562)+1),"")</f>
        <v>0</v>
      </c>
      <c r="H812">
        <f>IFERROR(SMALL(H191:H559,ROW()-ROW($H$562)+1),"")</f>
        <v>0</v>
      </c>
      <c r="K812">
        <f>IFERROR(SMALL(K191:K559,ROW()-ROW($K$562)+1),"")</f>
        <v>0</v>
      </c>
      <c r="L812">
        <f>IFERROR(SMALL(L191:L559,ROW()-ROW($L$562)+1),"")</f>
        <v>0</v>
      </c>
      <c r="M812">
        <f>IFERROR(SMALL(M191:M559,ROW()-ROW($M$562)+1),"")</f>
        <v>0</v>
      </c>
      <c r="N812">
        <f>IFERROR(SMALL(N191:N559,ROW()-ROW($N$562)+1),"")</f>
        <v>0</v>
      </c>
    </row>
    <row r="813" spans="5:14">
      <c r="E813">
        <f>IFERROR(SMALL(E191:E559,ROW()-ROW($E$562)+1),"")</f>
        <v>0</v>
      </c>
      <c r="F813">
        <f>IFERROR(SMALL(F191:F559,ROW()-ROW($F$562)+1),"")</f>
        <v>0</v>
      </c>
      <c r="G813">
        <f>IFERROR(SMALL(G191:G559,ROW()-ROW($G$562)+1),"")</f>
        <v>0</v>
      </c>
      <c r="H813">
        <f>IFERROR(SMALL(H191:H559,ROW()-ROW($H$562)+1),"")</f>
        <v>0</v>
      </c>
      <c r="K813">
        <f>IFERROR(SMALL(K191:K559,ROW()-ROW($K$562)+1),"")</f>
        <v>0</v>
      </c>
      <c r="L813">
        <f>IFERROR(SMALL(L191:L559,ROW()-ROW($L$562)+1),"")</f>
        <v>0</v>
      </c>
      <c r="M813">
        <f>IFERROR(SMALL(M191:M559,ROW()-ROW($M$562)+1),"")</f>
        <v>0</v>
      </c>
      <c r="N813">
        <f>IFERROR(SMALL(N191:N559,ROW()-ROW($N$562)+1),"")</f>
        <v>0</v>
      </c>
    </row>
    <row r="814" spans="5:14">
      <c r="E814">
        <f>IFERROR(SMALL(E191:E559,ROW()-ROW($E$562)+1),"")</f>
        <v>0</v>
      </c>
      <c r="F814">
        <f>IFERROR(SMALL(F191:F559,ROW()-ROW($F$562)+1),"")</f>
        <v>0</v>
      </c>
      <c r="G814">
        <f>IFERROR(SMALL(G191:G559,ROW()-ROW($G$562)+1),"")</f>
        <v>0</v>
      </c>
      <c r="H814">
        <f>IFERROR(SMALL(H191:H559,ROW()-ROW($H$562)+1),"")</f>
        <v>0</v>
      </c>
      <c r="K814">
        <f>IFERROR(SMALL(K191:K559,ROW()-ROW($K$562)+1),"")</f>
        <v>0</v>
      </c>
      <c r="L814">
        <f>IFERROR(SMALL(L191:L559,ROW()-ROW($L$562)+1),"")</f>
        <v>0</v>
      </c>
      <c r="M814">
        <f>IFERROR(SMALL(M191:M559,ROW()-ROW($M$562)+1),"")</f>
        <v>0</v>
      </c>
      <c r="N814">
        <f>IFERROR(SMALL(N191:N559,ROW()-ROW($N$562)+1),"")</f>
        <v>0</v>
      </c>
    </row>
    <row r="815" spans="5:14">
      <c r="E815">
        <f>IFERROR(SMALL(E191:E559,ROW()-ROW($E$562)+1),"")</f>
        <v>0</v>
      </c>
      <c r="F815">
        <f>IFERROR(SMALL(F191:F559,ROW()-ROW($F$562)+1),"")</f>
        <v>0</v>
      </c>
      <c r="G815">
        <f>IFERROR(SMALL(G191:G559,ROW()-ROW($G$562)+1),"")</f>
        <v>0</v>
      </c>
      <c r="H815">
        <f>IFERROR(SMALL(H191:H559,ROW()-ROW($H$562)+1),"")</f>
        <v>0</v>
      </c>
      <c r="K815">
        <f>IFERROR(SMALL(K191:K559,ROW()-ROW($K$562)+1),"")</f>
        <v>0</v>
      </c>
      <c r="L815">
        <f>IFERROR(SMALL(L191:L559,ROW()-ROW($L$562)+1),"")</f>
        <v>0</v>
      </c>
      <c r="M815">
        <f>IFERROR(SMALL(M191:M559,ROW()-ROW($M$562)+1),"")</f>
        <v>0</v>
      </c>
      <c r="N815">
        <f>IFERROR(SMALL(N191:N559,ROW()-ROW($N$562)+1),"")</f>
        <v>0</v>
      </c>
    </row>
    <row r="816" spans="5:14">
      <c r="E816">
        <f>IFERROR(SMALL(E191:E559,ROW()-ROW($E$562)+1),"")</f>
        <v>0</v>
      </c>
      <c r="F816">
        <f>IFERROR(SMALL(F191:F559,ROW()-ROW($F$562)+1),"")</f>
        <v>0</v>
      </c>
      <c r="G816">
        <f>IFERROR(SMALL(G191:G559,ROW()-ROW($G$562)+1),"")</f>
        <v>0</v>
      </c>
      <c r="H816">
        <f>IFERROR(SMALL(H191:H559,ROW()-ROW($H$562)+1),"")</f>
        <v>0</v>
      </c>
      <c r="K816">
        <f>IFERROR(SMALL(K191:K559,ROW()-ROW($K$562)+1),"")</f>
        <v>0</v>
      </c>
      <c r="L816">
        <f>IFERROR(SMALL(L191:L559,ROW()-ROW($L$562)+1),"")</f>
        <v>0</v>
      </c>
      <c r="M816">
        <f>IFERROR(SMALL(M191:M559,ROW()-ROW($M$562)+1),"")</f>
        <v>0</v>
      </c>
      <c r="N816">
        <f>IFERROR(SMALL(N191:N559,ROW()-ROW($N$562)+1),"")</f>
        <v>0</v>
      </c>
    </row>
    <row r="817" spans="5:14">
      <c r="E817">
        <f>IFERROR(SMALL(E191:E559,ROW()-ROW($E$562)+1),"")</f>
        <v>0</v>
      </c>
      <c r="F817">
        <f>IFERROR(SMALL(F191:F559,ROW()-ROW($F$562)+1),"")</f>
        <v>0</v>
      </c>
      <c r="G817">
        <f>IFERROR(SMALL(G191:G559,ROW()-ROW($G$562)+1),"")</f>
        <v>0</v>
      </c>
      <c r="H817">
        <f>IFERROR(SMALL(H191:H559,ROW()-ROW($H$562)+1),"")</f>
        <v>0</v>
      </c>
      <c r="K817">
        <f>IFERROR(SMALL(K191:K559,ROW()-ROW($K$562)+1),"")</f>
        <v>0</v>
      </c>
      <c r="L817">
        <f>IFERROR(SMALL(L191:L559,ROW()-ROW($L$562)+1),"")</f>
        <v>0</v>
      </c>
      <c r="M817">
        <f>IFERROR(SMALL(M191:M559,ROW()-ROW($M$562)+1),"")</f>
        <v>0</v>
      </c>
      <c r="N817">
        <f>IFERROR(SMALL(N191:N559,ROW()-ROW($N$562)+1),"")</f>
        <v>0</v>
      </c>
    </row>
    <row r="818" spans="5:14">
      <c r="E818">
        <f>IFERROR(SMALL(E191:E559,ROW()-ROW($E$562)+1),"")</f>
        <v>0</v>
      </c>
      <c r="F818">
        <f>IFERROR(SMALL(F191:F559,ROW()-ROW($F$562)+1),"")</f>
        <v>0</v>
      </c>
      <c r="G818">
        <f>IFERROR(SMALL(G191:G559,ROW()-ROW($G$562)+1),"")</f>
        <v>0</v>
      </c>
      <c r="H818">
        <f>IFERROR(SMALL(H191:H559,ROW()-ROW($H$562)+1),"")</f>
        <v>0</v>
      </c>
      <c r="K818">
        <f>IFERROR(SMALL(K191:K559,ROW()-ROW($K$562)+1),"")</f>
        <v>0</v>
      </c>
      <c r="L818">
        <f>IFERROR(SMALL(L191:L559,ROW()-ROW($L$562)+1),"")</f>
        <v>0</v>
      </c>
      <c r="M818">
        <f>IFERROR(SMALL(M191:M559,ROW()-ROW($M$562)+1),"")</f>
        <v>0</v>
      </c>
      <c r="N818">
        <f>IFERROR(SMALL(N191:N559,ROW()-ROW($N$562)+1),"")</f>
        <v>0</v>
      </c>
    </row>
    <row r="819" spans="5:14">
      <c r="E819">
        <f>IFERROR(SMALL(E191:E559,ROW()-ROW($E$562)+1),"")</f>
        <v>0</v>
      </c>
      <c r="F819">
        <f>IFERROR(SMALL(F191:F559,ROW()-ROW($F$562)+1),"")</f>
        <v>0</v>
      </c>
      <c r="G819">
        <f>IFERROR(SMALL(G191:G559,ROW()-ROW($G$562)+1),"")</f>
        <v>0</v>
      </c>
      <c r="H819">
        <f>IFERROR(SMALL(H191:H559,ROW()-ROW($H$562)+1),"")</f>
        <v>0</v>
      </c>
      <c r="K819">
        <f>IFERROR(SMALL(K191:K559,ROW()-ROW($K$562)+1),"")</f>
        <v>0</v>
      </c>
      <c r="L819">
        <f>IFERROR(SMALL(L191:L559,ROW()-ROW($L$562)+1),"")</f>
        <v>0</v>
      </c>
      <c r="M819">
        <f>IFERROR(SMALL(M191:M559,ROW()-ROW($M$562)+1),"")</f>
        <v>0</v>
      </c>
      <c r="N819">
        <f>IFERROR(SMALL(N191:N559,ROW()-ROW($N$562)+1),"")</f>
        <v>0</v>
      </c>
    </row>
    <row r="820" spans="5:14">
      <c r="E820">
        <f>IFERROR(SMALL(E191:E559,ROW()-ROW($E$562)+1),"")</f>
        <v>0</v>
      </c>
      <c r="F820">
        <f>IFERROR(SMALL(F191:F559,ROW()-ROW($F$562)+1),"")</f>
        <v>0</v>
      </c>
      <c r="G820">
        <f>IFERROR(SMALL(G191:G559,ROW()-ROW($G$562)+1),"")</f>
        <v>0</v>
      </c>
      <c r="H820">
        <f>IFERROR(SMALL(H191:H559,ROW()-ROW($H$562)+1),"")</f>
        <v>0</v>
      </c>
      <c r="K820">
        <f>IFERROR(SMALL(K191:K559,ROW()-ROW($K$562)+1),"")</f>
        <v>0</v>
      </c>
      <c r="L820">
        <f>IFERROR(SMALL(L191:L559,ROW()-ROW($L$562)+1),"")</f>
        <v>0</v>
      </c>
      <c r="M820">
        <f>IFERROR(SMALL(M191:M559,ROW()-ROW($M$562)+1),"")</f>
        <v>0</v>
      </c>
      <c r="N820">
        <f>IFERROR(SMALL(N191:N559,ROW()-ROW($N$562)+1),"")</f>
        <v>0</v>
      </c>
    </row>
    <row r="821" spans="5:14">
      <c r="E821">
        <f>IFERROR(SMALL(E191:E559,ROW()-ROW($E$562)+1),"")</f>
        <v>0</v>
      </c>
      <c r="F821">
        <f>IFERROR(SMALL(F191:F559,ROW()-ROW($F$562)+1),"")</f>
        <v>0</v>
      </c>
      <c r="G821">
        <f>IFERROR(SMALL(G191:G559,ROW()-ROW($G$562)+1),"")</f>
        <v>0</v>
      </c>
      <c r="H821">
        <f>IFERROR(SMALL(H191:H559,ROW()-ROW($H$562)+1),"")</f>
        <v>0</v>
      </c>
      <c r="K821">
        <f>IFERROR(SMALL(K191:K559,ROW()-ROW($K$562)+1),"")</f>
        <v>0</v>
      </c>
      <c r="L821">
        <f>IFERROR(SMALL(L191:L559,ROW()-ROW($L$562)+1),"")</f>
        <v>0</v>
      </c>
      <c r="M821">
        <f>IFERROR(SMALL(M191:M559,ROW()-ROW($M$562)+1),"")</f>
        <v>0</v>
      </c>
      <c r="N821">
        <f>IFERROR(SMALL(N191:N559,ROW()-ROW($N$562)+1),"")</f>
        <v>0</v>
      </c>
    </row>
    <row r="822" spans="5:14">
      <c r="E822">
        <f>IFERROR(SMALL(E191:E559,ROW()-ROW($E$562)+1),"")</f>
        <v>0</v>
      </c>
      <c r="F822">
        <f>IFERROR(SMALL(F191:F559,ROW()-ROW($F$562)+1),"")</f>
        <v>0</v>
      </c>
      <c r="G822">
        <f>IFERROR(SMALL(G191:G559,ROW()-ROW($G$562)+1),"")</f>
        <v>0</v>
      </c>
      <c r="H822">
        <f>IFERROR(SMALL(H191:H559,ROW()-ROW($H$562)+1),"")</f>
        <v>0</v>
      </c>
      <c r="K822">
        <f>IFERROR(SMALL(K191:K559,ROW()-ROW($K$562)+1),"")</f>
        <v>0</v>
      </c>
      <c r="L822">
        <f>IFERROR(SMALL(L191:L559,ROW()-ROW($L$562)+1),"")</f>
        <v>0</v>
      </c>
      <c r="M822">
        <f>IFERROR(SMALL(M191:M559,ROW()-ROW($M$562)+1),"")</f>
        <v>0</v>
      </c>
      <c r="N822">
        <f>IFERROR(SMALL(N191:N559,ROW()-ROW($N$562)+1),"")</f>
        <v>0</v>
      </c>
    </row>
    <row r="823" spans="5:14">
      <c r="E823">
        <f>IFERROR(SMALL(E191:E559,ROW()-ROW($E$562)+1),"")</f>
        <v>0</v>
      </c>
      <c r="F823">
        <f>IFERROR(SMALL(F191:F559,ROW()-ROW($F$562)+1),"")</f>
        <v>0</v>
      </c>
      <c r="G823">
        <f>IFERROR(SMALL(G191:G559,ROW()-ROW($G$562)+1),"")</f>
        <v>0</v>
      </c>
      <c r="H823">
        <f>IFERROR(SMALL(H191:H559,ROW()-ROW($H$562)+1),"")</f>
        <v>0</v>
      </c>
      <c r="K823">
        <f>IFERROR(SMALL(K191:K559,ROW()-ROW($K$562)+1),"")</f>
        <v>0</v>
      </c>
      <c r="L823">
        <f>IFERROR(SMALL(L191:L559,ROW()-ROW($L$562)+1),"")</f>
        <v>0</v>
      </c>
      <c r="M823">
        <f>IFERROR(SMALL(M191:M559,ROW()-ROW($M$562)+1),"")</f>
        <v>0</v>
      </c>
      <c r="N823">
        <f>IFERROR(SMALL(N191:N559,ROW()-ROW($N$562)+1),"")</f>
        <v>0</v>
      </c>
    </row>
    <row r="824" spans="5:14">
      <c r="E824">
        <f>IFERROR(SMALL(E191:E559,ROW()-ROW($E$562)+1),"")</f>
        <v>0</v>
      </c>
      <c r="F824">
        <f>IFERROR(SMALL(F191:F559,ROW()-ROW($F$562)+1),"")</f>
        <v>0</v>
      </c>
      <c r="G824">
        <f>IFERROR(SMALL(G191:G559,ROW()-ROW($G$562)+1),"")</f>
        <v>0</v>
      </c>
      <c r="H824">
        <f>IFERROR(SMALL(H191:H559,ROW()-ROW($H$562)+1),"")</f>
        <v>0</v>
      </c>
      <c r="K824">
        <f>IFERROR(SMALL(K191:K559,ROW()-ROW($K$562)+1),"")</f>
        <v>0</v>
      </c>
      <c r="L824">
        <f>IFERROR(SMALL(L191:L559,ROW()-ROW($L$562)+1),"")</f>
        <v>0</v>
      </c>
      <c r="M824">
        <f>IFERROR(SMALL(M191:M559,ROW()-ROW($M$562)+1),"")</f>
        <v>0</v>
      </c>
      <c r="N824">
        <f>IFERROR(SMALL(N191:N559,ROW()-ROW($N$562)+1),"")</f>
        <v>0</v>
      </c>
    </row>
    <row r="825" spans="5:14">
      <c r="E825">
        <f>IFERROR(SMALL(E191:E559,ROW()-ROW($E$562)+1),"")</f>
        <v>0</v>
      </c>
      <c r="F825">
        <f>IFERROR(SMALL(F191:F559,ROW()-ROW($F$562)+1),"")</f>
        <v>0</v>
      </c>
      <c r="G825">
        <f>IFERROR(SMALL(G191:G559,ROW()-ROW($G$562)+1),"")</f>
        <v>0</v>
      </c>
      <c r="H825">
        <f>IFERROR(SMALL(H191:H559,ROW()-ROW($H$562)+1),"")</f>
        <v>0</v>
      </c>
      <c r="K825">
        <f>IFERROR(SMALL(K191:K559,ROW()-ROW($K$562)+1),"")</f>
        <v>0</v>
      </c>
      <c r="L825">
        <f>IFERROR(SMALL(L191:L559,ROW()-ROW($L$562)+1),"")</f>
        <v>0</v>
      </c>
      <c r="M825">
        <f>IFERROR(SMALL(M191:M559,ROW()-ROW($M$562)+1),"")</f>
        <v>0</v>
      </c>
      <c r="N825">
        <f>IFERROR(SMALL(N191:N559,ROW()-ROW($N$562)+1),"")</f>
        <v>0</v>
      </c>
    </row>
    <row r="826" spans="5:14">
      <c r="E826">
        <f>IFERROR(SMALL(E191:E559,ROW()-ROW($E$562)+1),"")</f>
        <v>0</v>
      </c>
      <c r="F826">
        <f>IFERROR(SMALL(F191:F559,ROW()-ROW($F$562)+1),"")</f>
        <v>0</v>
      </c>
      <c r="G826">
        <f>IFERROR(SMALL(G191:G559,ROW()-ROW($G$562)+1),"")</f>
        <v>0</v>
      </c>
      <c r="H826">
        <f>IFERROR(SMALL(H191:H559,ROW()-ROW($H$562)+1),"")</f>
        <v>0</v>
      </c>
      <c r="K826">
        <f>IFERROR(SMALL(K191:K559,ROW()-ROW($K$562)+1),"")</f>
        <v>0</v>
      </c>
      <c r="L826">
        <f>IFERROR(SMALL(L191:L559,ROW()-ROW($L$562)+1),"")</f>
        <v>0</v>
      </c>
      <c r="M826">
        <f>IFERROR(SMALL(M191:M559,ROW()-ROW($M$562)+1),"")</f>
        <v>0</v>
      </c>
      <c r="N826">
        <f>IFERROR(SMALL(N191:N559,ROW()-ROW($N$562)+1),"")</f>
        <v>0</v>
      </c>
    </row>
    <row r="827" spans="5:14">
      <c r="E827">
        <f>IFERROR(SMALL(E191:E559,ROW()-ROW($E$562)+1),"")</f>
        <v>0</v>
      </c>
      <c r="F827">
        <f>IFERROR(SMALL(F191:F559,ROW()-ROW($F$562)+1),"")</f>
        <v>0</v>
      </c>
      <c r="G827">
        <f>IFERROR(SMALL(G191:G559,ROW()-ROW($G$562)+1),"")</f>
        <v>0</v>
      </c>
      <c r="H827">
        <f>IFERROR(SMALL(H191:H559,ROW()-ROW($H$562)+1),"")</f>
        <v>0</v>
      </c>
      <c r="K827">
        <f>IFERROR(SMALL(K191:K559,ROW()-ROW($K$562)+1),"")</f>
        <v>0</v>
      </c>
      <c r="L827">
        <f>IFERROR(SMALL(L191:L559,ROW()-ROW($L$562)+1),"")</f>
        <v>0</v>
      </c>
      <c r="M827">
        <f>IFERROR(SMALL(M191:M559,ROW()-ROW($M$562)+1),"")</f>
        <v>0</v>
      </c>
      <c r="N827">
        <f>IFERROR(SMALL(N191:N559,ROW()-ROW($N$562)+1),"")</f>
        <v>0</v>
      </c>
    </row>
    <row r="828" spans="5:14">
      <c r="E828">
        <f>IFERROR(SMALL(E191:E559,ROW()-ROW($E$562)+1),"")</f>
        <v>0</v>
      </c>
      <c r="F828">
        <f>IFERROR(SMALL(F191:F559,ROW()-ROW($F$562)+1),"")</f>
        <v>0</v>
      </c>
      <c r="G828">
        <f>IFERROR(SMALL(G191:G559,ROW()-ROW($G$562)+1),"")</f>
        <v>0</v>
      </c>
      <c r="H828">
        <f>IFERROR(SMALL(H191:H559,ROW()-ROW($H$562)+1),"")</f>
        <v>0</v>
      </c>
      <c r="K828">
        <f>IFERROR(SMALL(K191:K559,ROW()-ROW($K$562)+1),"")</f>
        <v>0</v>
      </c>
      <c r="L828">
        <f>IFERROR(SMALL(L191:L559,ROW()-ROW($L$562)+1),"")</f>
        <v>0</v>
      </c>
      <c r="M828">
        <f>IFERROR(SMALL(M191:M559,ROW()-ROW($M$562)+1),"")</f>
        <v>0</v>
      </c>
      <c r="N828">
        <f>IFERROR(SMALL(N191:N559,ROW()-ROW($N$562)+1),"")</f>
        <v>0</v>
      </c>
    </row>
    <row r="829" spans="5:14">
      <c r="E829">
        <f>IFERROR(SMALL(E191:E559,ROW()-ROW($E$562)+1),"")</f>
        <v>0</v>
      </c>
      <c r="F829">
        <f>IFERROR(SMALL(F191:F559,ROW()-ROW($F$562)+1),"")</f>
        <v>0</v>
      </c>
      <c r="G829">
        <f>IFERROR(SMALL(G191:G559,ROW()-ROW($G$562)+1),"")</f>
        <v>0</v>
      </c>
      <c r="H829">
        <f>IFERROR(SMALL(H191:H559,ROW()-ROW($H$562)+1),"")</f>
        <v>0</v>
      </c>
      <c r="K829">
        <f>IFERROR(SMALL(K191:K559,ROW()-ROW($K$562)+1),"")</f>
        <v>0</v>
      </c>
      <c r="L829">
        <f>IFERROR(SMALL(L191:L559,ROW()-ROW($L$562)+1),"")</f>
        <v>0</v>
      </c>
      <c r="M829">
        <f>IFERROR(SMALL(M191:M559,ROW()-ROW($M$562)+1),"")</f>
        <v>0</v>
      </c>
      <c r="N829">
        <f>IFERROR(SMALL(N191:N559,ROW()-ROW($N$562)+1),"")</f>
        <v>0</v>
      </c>
    </row>
    <row r="830" spans="5:14">
      <c r="E830">
        <f>IFERROR(SMALL(E191:E559,ROW()-ROW($E$562)+1),"")</f>
        <v>0</v>
      </c>
      <c r="F830">
        <f>IFERROR(SMALL(F191:F559,ROW()-ROW($F$562)+1),"")</f>
        <v>0</v>
      </c>
      <c r="G830">
        <f>IFERROR(SMALL(G191:G559,ROW()-ROW($G$562)+1),"")</f>
        <v>0</v>
      </c>
      <c r="H830">
        <f>IFERROR(SMALL(H191:H559,ROW()-ROW($H$562)+1),"")</f>
        <v>0</v>
      </c>
      <c r="K830">
        <f>IFERROR(SMALL(K191:K559,ROW()-ROW($K$562)+1),"")</f>
        <v>0</v>
      </c>
      <c r="L830">
        <f>IFERROR(SMALL(L191:L559,ROW()-ROW($L$562)+1),"")</f>
        <v>0</v>
      </c>
      <c r="M830">
        <f>IFERROR(SMALL(M191:M559,ROW()-ROW($M$562)+1),"")</f>
        <v>0</v>
      </c>
      <c r="N830">
        <f>IFERROR(SMALL(N191:N559,ROW()-ROW($N$562)+1),"")</f>
        <v>0</v>
      </c>
    </row>
    <row r="831" spans="5:14">
      <c r="E831">
        <f>IFERROR(SMALL(E191:E559,ROW()-ROW($E$562)+1),"")</f>
        <v>0</v>
      </c>
      <c r="F831">
        <f>IFERROR(SMALL(F191:F559,ROW()-ROW($F$562)+1),"")</f>
        <v>0</v>
      </c>
      <c r="G831">
        <f>IFERROR(SMALL(G191:G559,ROW()-ROW($G$562)+1),"")</f>
        <v>0</v>
      </c>
      <c r="H831">
        <f>IFERROR(SMALL(H191:H559,ROW()-ROW($H$562)+1),"")</f>
        <v>0</v>
      </c>
      <c r="K831">
        <f>IFERROR(SMALL(K191:K559,ROW()-ROW($K$562)+1),"")</f>
        <v>0</v>
      </c>
      <c r="L831">
        <f>IFERROR(SMALL(L191:L559,ROW()-ROW($L$562)+1),"")</f>
        <v>0</v>
      </c>
      <c r="M831">
        <f>IFERROR(SMALL(M191:M559,ROW()-ROW($M$562)+1),"")</f>
        <v>0</v>
      </c>
      <c r="N831">
        <f>IFERROR(SMALL(N191:N559,ROW()-ROW($N$562)+1),"")</f>
        <v>0</v>
      </c>
    </row>
    <row r="832" spans="5:14">
      <c r="E832">
        <f>IFERROR(SMALL(E191:E559,ROW()-ROW($E$562)+1),"")</f>
        <v>0</v>
      </c>
      <c r="F832">
        <f>IFERROR(SMALL(F191:F559,ROW()-ROW($F$562)+1),"")</f>
        <v>0</v>
      </c>
      <c r="G832">
        <f>IFERROR(SMALL(G191:G559,ROW()-ROW($G$562)+1),"")</f>
        <v>0</v>
      </c>
      <c r="H832">
        <f>IFERROR(SMALL(H191:H559,ROW()-ROW($H$562)+1),"")</f>
        <v>0</v>
      </c>
      <c r="K832">
        <f>IFERROR(SMALL(K191:K559,ROW()-ROW($K$562)+1),"")</f>
        <v>0</v>
      </c>
      <c r="L832">
        <f>IFERROR(SMALL(L191:L559,ROW()-ROW($L$562)+1),"")</f>
        <v>0</v>
      </c>
      <c r="M832">
        <f>IFERROR(SMALL(M191:M559,ROW()-ROW($M$562)+1),"")</f>
        <v>0</v>
      </c>
      <c r="N832">
        <f>IFERROR(SMALL(N191:N559,ROW()-ROW($N$562)+1),"")</f>
        <v>0</v>
      </c>
    </row>
    <row r="833" spans="5:14">
      <c r="E833">
        <f>IFERROR(SMALL(E191:E559,ROW()-ROW($E$562)+1),"")</f>
        <v>0</v>
      </c>
      <c r="F833">
        <f>IFERROR(SMALL(F191:F559,ROW()-ROW($F$562)+1),"")</f>
        <v>0</v>
      </c>
      <c r="G833">
        <f>IFERROR(SMALL(G191:G559,ROW()-ROW($G$562)+1),"")</f>
        <v>0</v>
      </c>
      <c r="H833">
        <f>IFERROR(SMALL(H191:H559,ROW()-ROW($H$562)+1),"")</f>
        <v>0</v>
      </c>
      <c r="K833">
        <f>IFERROR(SMALL(K191:K559,ROW()-ROW($K$562)+1),"")</f>
        <v>0</v>
      </c>
      <c r="L833">
        <f>IFERROR(SMALL(L191:L559,ROW()-ROW($L$562)+1),"")</f>
        <v>0</v>
      </c>
      <c r="M833">
        <f>IFERROR(SMALL(M191:M559,ROW()-ROW($M$562)+1),"")</f>
        <v>0</v>
      </c>
      <c r="N833">
        <f>IFERROR(SMALL(N191:N559,ROW()-ROW($N$562)+1),"")</f>
        <v>0</v>
      </c>
    </row>
    <row r="834" spans="5:14">
      <c r="E834">
        <f>IFERROR(SMALL(E191:E559,ROW()-ROW($E$562)+1),"")</f>
        <v>0</v>
      </c>
      <c r="F834">
        <f>IFERROR(SMALL(F191:F559,ROW()-ROW($F$562)+1),"")</f>
        <v>0</v>
      </c>
      <c r="G834">
        <f>IFERROR(SMALL(G191:G559,ROW()-ROW($G$562)+1),"")</f>
        <v>0</v>
      </c>
      <c r="H834">
        <f>IFERROR(SMALL(H191:H559,ROW()-ROW($H$562)+1),"")</f>
        <v>0</v>
      </c>
      <c r="K834">
        <f>IFERROR(SMALL(K191:K559,ROW()-ROW($K$562)+1),"")</f>
        <v>0</v>
      </c>
      <c r="L834">
        <f>IFERROR(SMALL(L191:L559,ROW()-ROW($L$562)+1),"")</f>
        <v>0</v>
      </c>
      <c r="M834">
        <f>IFERROR(SMALL(M191:M559,ROW()-ROW($M$562)+1),"")</f>
        <v>0</v>
      </c>
      <c r="N834">
        <f>IFERROR(SMALL(N191:N559,ROW()-ROW($N$562)+1),"")</f>
        <v>0</v>
      </c>
    </row>
    <row r="835" spans="5:14">
      <c r="E835">
        <f>IFERROR(SMALL(E191:E559,ROW()-ROW($E$562)+1),"")</f>
        <v>0</v>
      </c>
      <c r="F835">
        <f>IFERROR(SMALL(F191:F559,ROW()-ROW($F$562)+1),"")</f>
        <v>0</v>
      </c>
      <c r="G835">
        <f>IFERROR(SMALL(G191:G559,ROW()-ROW($G$562)+1),"")</f>
        <v>0</v>
      </c>
      <c r="H835">
        <f>IFERROR(SMALL(H191:H559,ROW()-ROW($H$562)+1),"")</f>
        <v>0</v>
      </c>
      <c r="K835">
        <f>IFERROR(SMALL(K191:K559,ROW()-ROW($K$562)+1),"")</f>
        <v>0</v>
      </c>
      <c r="L835">
        <f>IFERROR(SMALL(L191:L559,ROW()-ROW($L$562)+1),"")</f>
        <v>0</v>
      </c>
      <c r="M835">
        <f>IFERROR(SMALL(M191:M559,ROW()-ROW($M$562)+1),"")</f>
        <v>0</v>
      </c>
      <c r="N835">
        <f>IFERROR(SMALL(N191:N559,ROW()-ROW($N$562)+1),"")</f>
        <v>0</v>
      </c>
    </row>
    <row r="836" spans="5:14">
      <c r="E836">
        <f>IFERROR(SMALL(E191:E559,ROW()-ROW($E$562)+1),"")</f>
        <v>0</v>
      </c>
      <c r="F836">
        <f>IFERROR(SMALL(F191:F559,ROW()-ROW($F$562)+1),"")</f>
        <v>0</v>
      </c>
      <c r="G836">
        <f>IFERROR(SMALL(G191:G559,ROW()-ROW($G$562)+1),"")</f>
        <v>0</v>
      </c>
      <c r="H836">
        <f>IFERROR(SMALL(H191:H559,ROW()-ROW($H$562)+1),"")</f>
        <v>0</v>
      </c>
      <c r="K836">
        <f>IFERROR(SMALL(K191:K559,ROW()-ROW($K$562)+1),"")</f>
        <v>0</v>
      </c>
      <c r="L836">
        <f>IFERROR(SMALL(L191:L559,ROW()-ROW($L$562)+1),"")</f>
        <v>0</v>
      </c>
      <c r="M836">
        <f>IFERROR(SMALL(M191:M559,ROW()-ROW($M$562)+1),"")</f>
        <v>0</v>
      </c>
      <c r="N836">
        <f>IFERROR(SMALL(N191:N559,ROW()-ROW($N$562)+1),"")</f>
        <v>0</v>
      </c>
    </row>
    <row r="837" spans="5:14">
      <c r="E837">
        <f>IFERROR(SMALL(E191:E559,ROW()-ROW($E$562)+1),"")</f>
        <v>0</v>
      </c>
      <c r="F837">
        <f>IFERROR(SMALL(F191:F559,ROW()-ROW($F$562)+1),"")</f>
        <v>0</v>
      </c>
      <c r="G837">
        <f>IFERROR(SMALL(G191:G559,ROW()-ROW($G$562)+1),"")</f>
        <v>0</v>
      </c>
      <c r="H837">
        <f>IFERROR(SMALL(H191:H559,ROW()-ROW($H$562)+1),"")</f>
        <v>0</v>
      </c>
      <c r="K837">
        <f>IFERROR(SMALL(K191:K559,ROW()-ROW($K$562)+1),"")</f>
        <v>0</v>
      </c>
      <c r="L837">
        <f>IFERROR(SMALL(L191:L559,ROW()-ROW($L$562)+1),"")</f>
        <v>0</v>
      </c>
      <c r="M837">
        <f>IFERROR(SMALL(M191:M559,ROW()-ROW($M$562)+1),"")</f>
        <v>0</v>
      </c>
      <c r="N837">
        <f>IFERROR(SMALL(N191:N559,ROW()-ROW($N$562)+1),"")</f>
        <v>0</v>
      </c>
    </row>
    <row r="838" spans="5:14">
      <c r="E838">
        <f>IFERROR(SMALL(E191:E559,ROW()-ROW($E$562)+1),"")</f>
        <v>0</v>
      </c>
      <c r="F838">
        <f>IFERROR(SMALL(F191:F559,ROW()-ROW($F$562)+1),"")</f>
        <v>0</v>
      </c>
      <c r="G838">
        <f>IFERROR(SMALL(G191:G559,ROW()-ROW($G$562)+1),"")</f>
        <v>0</v>
      </c>
      <c r="H838">
        <f>IFERROR(SMALL(H191:H559,ROW()-ROW($H$562)+1),"")</f>
        <v>0</v>
      </c>
      <c r="K838">
        <f>IFERROR(SMALL(K191:K559,ROW()-ROW($K$562)+1),"")</f>
        <v>0</v>
      </c>
      <c r="L838">
        <f>IFERROR(SMALL(L191:L559,ROW()-ROW($L$562)+1),"")</f>
        <v>0</v>
      </c>
      <c r="M838">
        <f>IFERROR(SMALL(M191:M559,ROW()-ROW($M$562)+1),"")</f>
        <v>0</v>
      </c>
      <c r="N838">
        <f>IFERROR(SMALL(N191:N559,ROW()-ROW($N$562)+1),"")</f>
        <v>0</v>
      </c>
    </row>
    <row r="839" spans="5:14">
      <c r="E839">
        <f>IFERROR(SMALL(E191:E559,ROW()-ROW($E$562)+1),"")</f>
        <v>0</v>
      </c>
      <c r="F839">
        <f>IFERROR(SMALL(F191:F559,ROW()-ROW($F$562)+1),"")</f>
        <v>0</v>
      </c>
      <c r="G839">
        <f>IFERROR(SMALL(G191:G559,ROW()-ROW($G$562)+1),"")</f>
        <v>0</v>
      </c>
      <c r="H839">
        <f>IFERROR(SMALL(H191:H559,ROW()-ROW($H$562)+1),"")</f>
        <v>0</v>
      </c>
      <c r="K839">
        <f>IFERROR(SMALL(K191:K559,ROW()-ROW($K$562)+1),"")</f>
        <v>0</v>
      </c>
      <c r="L839">
        <f>IFERROR(SMALL(L191:L559,ROW()-ROW($L$562)+1),"")</f>
        <v>0</v>
      </c>
      <c r="M839">
        <f>IFERROR(SMALL(M191:M559,ROW()-ROW($M$562)+1),"")</f>
        <v>0</v>
      </c>
      <c r="N839">
        <f>IFERROR(SMALL(N191:N559,ROW()-ROW($N$562)+1),"")</f>
        <v>0</v>
      </c>
    </row>
    <row r="840" spans="5:14">
      <c r="E840">
        <f>IFERROR(SMALL(E191:E559,ROW()-ROW($E$562)+1),"")</f>
        <v>0</v>
      </c>
      <c r="F840">
        <f>IFERROR(SMALL(F191:F559,ROW()-ROW($F$562)+1),"")</f>
        <v>0</v>
      </c>
      <c r="G840">
        <f>IFERROR(SMALL(G191:G559,ROW()-ROW($G$562)+1),"")</f>
        <v>0</v>
      </c>
      <c r="H840">
        <f>IFERROR(SMALL(H191:H559,ROW()-ROW($H$562)+1),"")</f>
        <v>0</v>
      </c>
      <c r="K840">
        <f>IFERROR(SMALL(K191:K559,ROW()-ROW($K$562)+1),"")</f>
        <v>0</v>
      </c>
      <c r="L840">
        <f>IFERROR(SMALL(L191:L559,ROW()-ROW($L$562)+1),"")</f>
        <v>0</v>
      </c>
      <c r="M840">
        <f>IFERROR(SMALL(M191:M559,ROW()-ROW($M$562)+1),"")</f>
        <v>0</v>
      </c>
      <c r="N840">
        <f>IFERROR(SMALL(N191:N559,ROW()-ROW($N$562)+1),"")</f>
        <v>0</v>
      </c>
    </row>
    <row r="841" spans="5:14">
      <c r="E841">
        <f>IFERROR(SMALL(E191:E559,ROW()-ROW($E$562)+1),"")</f>
        <v>0</v>
      </c>
      <c r="F841">
        <f>IFERROR(SMALL(F191:F559,ROW()-ROW($F$562)+1),"")</f>
        <v>0</v>
      </c>
      <c r="G841">
        <f>IFERROR(SMALL(G191:G559,ROW()-ROW($G$562)+1),"")</f>
        <v>0</v>
      </c>
      <c r="H841">
        <f>IFERROR(SMALL(H191:H559,ROW()-ROW($H$562)+1),"")</f>
        <v>0</v>
      </c>
      <c r="K841">
        <f>IFERROR(SMALL(K191:K559,ROW()-ROW($K$562)+1),"")</f>
        <v>0</v>
      </c>
      <c r="L841">
        <f>IFERROR(SMALL(L191:L559,ROW()-ROW($L$562)+1),"")</f>
        <v>0</v>
      </c>
      <c r="M841">
        <f>IFERROR(SMALL(M191:M559,ROW()-ROW($M$562)+1),"")</f>
        <v>0</v>
      </c>
      <c r="N841">
        <f>IFERROR(SMALL(N191:N559,ROW()-ROW($N$562)+1),"")</f>
        <v>0</v>
      </c>
    </row>
    <row r="842" spans="5:14">
      <c r="E842">
        <f>IFERROR(SMALL(E191:E559,ROW()-ROW($E$562)+1),"")</f>
        <v>0</v>
      </c>
      <c r="F842">
        <f>IFERROR(SMALL(F191:F559,ROW()-ROW($F$562)+1),"")</f>
        <v>0</v>
      </c>
      <c r="G842">
        <f>IFERROR(SMALL(G191:G559,ROW()-ROW($G$562)+1),"")</f>
        <v>0</v>
      </c>
      <c r="H842">
        <f>IFERROR(SMALL(H191:H559,ROW()-ROW($H$562)+1),"")</f>
        <v>0</v>
      </c>
      <c r="K842">
        <f>IFERROR(SMALL(K191:K559,ROW()-ROW($K$562)+1),"")</f>
        <v>0</v>
      </c>
      <c r="L842">
        <f>IFERROR(SMALL(L191:L559,ROW()-ROW($L$562)+1),"")</f>
        <v>0</v>
      </c>
      <c r="M842">
        <f>IFERROR(SMALL(M191:M559,ROW()-ROW($M$562)+1),"")</f>
        <v>0</v>
      </c>
      <c r="N842">
        <f>IFERROR(SMALL(N191:N559,ROW()-ROW($N$562)+1),"")</f>
        <v>0</v>
      </c>
    </row>
    <row r="843" spans="5:14">
      <c r="E843">
        <f>IFERROR(SMALL(E191:E559,ROW()-ROW($E$562)+1),"")</f>
        <v>0</v>
      </c>
      <c r="F843">
        <f>IFERROR(SMALL(F191:F559,ROW()-ROW($F$562)+1),"")</f>
        <v>0</v>
      </c>
      <c r="G843">
        <f>IFERROR(SMALL(G191:G559,ROW()-ROW($G$562)+1),"")</f>
        <v>0</v>
      </c>
      <c r="H843">
        <f>IFERROR(SMALL(H191:H559,ROW()-ROW($H$562)+1),"")</f>
        <v>0</v>
      </c>
      <c r="K843">
        <f>IFERROR(SMALL(K191:K559,ROW()-ROW($K$562)+1),"")</f>
        <v>0</v>
      </c>
      <c r="L843">
        <f>IFERROR(SMALL(L191:L559,ROW()-ROW($L$562)+1),"")</f>
        <v>0</v>
      </c>
      <c r="M843">
        <f>IFERROR(SMALL(M191:M559,ROW()-ROW($M$562)+1),"")</f>
        <v>0</v>
      </c>
      <c r="N843">
        <f>IFERROR(SMALL(N191:N559,ROW()-ROW($N$562)+1),"")</f>
        <v>0</v>
      </c>
    </row>
    <row r="844" spans="5:14">
      <c r="E844">
        <f>IFERROR(SMALL(E191:E559,ROW()-ROW($E$562)+1),"")</f>
        <v>0</v>
      </c>
      <c r="F844">
        <f>IFERROR(SMALL(F191:F559,ROW()-ROW($F$562)+1),"")</f>
        <v>0</v>
      </c>
      <c r="G844">
        <f>IFERROR(SMALL(G191:G559,ROW()-ROW($G$562)+1),"")</f>
        <v>0</v>
      </c>
      <c r="H844">
        <f>IFERROR(SMALL(H191:H559,ROW()-ROW($H$562)+1),"")</f>
        <v>0</v>
      </c>
      <c r="K844">
        <f>IFERROR(SMALL(K191:K559,ROW()-ROW($K$562)+1),"")</f>
        <v>0</v>
      </c>
      <c r="L844">
        <f>IFERROR(SMALL(L191:L559,ROW()-ROW($L$562)+1),"")</f>
        <v>0</v>
      </c>
      <c r="M844">
        <f>IFERROR(SMALL(M191:M559,ROW()-ROW($M$562)+1),"")</f>
        <v>0</v>
      </c>
      <c r="N844">
        <f>IFERROR(SMALL(N191:N559,ROW()-ROW($N$562)+1),"")</f>
        <v>0</v>
      </c>
    </row>
    <row r="845" spans="5:14">
      <c r="E845">
        <f>IFERROR(SMALL(E191:E559,ROW()-ROW($E$562)+1),"")</f>
        <v>0</v>
      </c>
      <c r="F845">
        <f>IFERROR(SMALL(F191:F559,ROW()-ROW($F$562)+1),"")</f>
        <v>0</v>
      </c>
      <c r="G845">
        <f>IFERROR(SMALL(G191:G559,ROW()-ROW($G$562)+1),"")</f>
        <v>0</v>
      </c>
      <c r="H845">
        <f>IFERROR(SMALL(H191:H559,ROW()-ROW($H$562)+1),"")</f>
        <v>0</v>
      </c>
      <c r="K845">
        <f>IFERROR(SMALL(K191:K559,ROW()-ROW($K$562)+1),"")</f>
        <v>0</v>
      </c>
      <c r="L845">
        <f>IFERROR(SMALL(L191:L559,ROW()-ROW($L$562)+1),"")</f>
        <v>0</v>
      </c>
      <c r="M845">
        <f>IFERROR(SMALL(M191:M559,ROW()-ROW($M$562)+1),"")</f>
        <v>0</v>
      </c>
      <c r="N845">
        <f>IFERROR(SMALL(N191:N559,ROW()-ROW($N$562)+1),"")</f>
        <v>0</v>
      </c>
    </row>
    <row r="846" spans="5:14">
      <c r="E846">
        <f>IFERROR(SMALL(E191:E559,ROW()-ROW($E$562)+1),"")</f>
        <v>0</v>
      </c>
      <c r="F846">
        <f>IFERROR(SMALL(F191:F559,ROW()-ROW($F$562)+1),"")</f>
        <v>0</v>
      </c>
      <c r="G846">
        <f>IFERROR(SMALL(G191:G559,ROW()-ROW($G$562)+1),"")</f>
        <v>0</v>
      </c>
      <c r="H846">
        <f>IFERROR(SMALL(H191:H559,ROW()-ROW($H$562)+1),"")</f>
        <v>0</v>
      </c>
      <c r="K846">
        <f>IFERROR(SMALL(K191:K559,ROW()-ROW($K$562)+1),"")</f>
        <v>0</v>
      </c>
      <c r="L846">
        <f>IFERROR(SMALL(L191:L559,ROW()-ROW($L$562)+1),"")</f>
        <v>0</v>
      </c>
      <c r="M846">
        <f>IFERROR(SMALL(M191:M559,ROW()-ROW($M$562)+1),"")</f>
        <v>0</v>
      </c>
      <c r="N846">
        <f>IFERROR(SMALL(N191:N559,ROW()-ROW($N$562)+1),"")</f>
        <v>0</v>
      </c>
    </row>
    <row r="847" spans="5:14">
      <c r="E847">
        <f>IFERROR(SMALL(E191:E559,ROW()-ROW($E$562)+1),"")</f>
        <v>0</v>
      </c>
      <c r="F847">
        <f>IFERROR(SMALL(F191:F559,ROW()-ROW($F$562)+1),"")</f>
        <v>0</v>
      </c>
      <c r="G847">
        <f>IFERROR(SMALL(G191:G559,ROW()-ROW($G$562)+1),"")</f>
        <v>0</v>
      </c>
      <c r="H847">
        <f>IFERROR(SMALL(H191:H559,ROW()-ROW($H$562)+1),"")</f>
        <v>0</v>
      </c>
      <c r="K847">
        <f>IFERROR(SMALL(K191:K559,ROW()-ROW($K$562)+1),"")</f>
        <v>0</v>
      </c>
      <c r="L847">
        <f>IFERROR(SMALL(L191:L559,ROW()-ROW($L$562)+1),"")</f>
        <v>0</v>
      </c>
      <c r="M847">
        <f>IFERROR(SMALL(M191:M559,ROW()-ROW($M$562)+1),"")</f>
        <v>0</v>
      </c>
      <c r="N847">
        <f>IFERROR(SMALL(N191:N559,ROW()-ROW($N$562)+1),"")</f>
        <v>0</v>
      </c>
    </row>
    <row r="848" spans="5:14">
      <c r="E848">
        <f>IFERROR(SMALL(E191:E559,ROW()-ROW($E$562)+1),"")</f>
        <v>0</v>
      </c>
      <c r="F848">
        <f>IFERROR(SMALL(F191:F559,ROW()-ROW($F$562)+1),"")</f>
        <v>0</v>
      </c>
      <c r="G848">
        <f>IFERROR(SMALL(G191:G559,ROW()-ROW($G$562)+1),"")</f>
        <v>0</v>
      </c>
      <c r="H848">
        <f>IFERROR(SMALL(H191:H559,ROW()-ROW($H$562)+1),"")</f>
        <v>0</v>
      </c>
      <c r="K848">
        <f>IFERROR(SMALL(K191:K559,ROW()-ROW($K$562)+1),"")</f>
        <v>0</v>
      </c>
      <c r="L848">
        <f>IFERROR(SMALL(L191:L559,ROW()-ROW($L$562)+1),"")</f>
        <v>0</v>
      </c>
      <c r="M848">
        <f>IFERROR(SMALL(M191:M559,ROW()-ROW($M$562)+1),"")</f>
        <v>0</v>
      </c>
      <c r="N848">
        <f>IFERROR(SMALL(N191:N559,ROW()-ROW($N$562)+1),"")</f>
        <v>0</v>
      </c>
    </row>
    <row r="849" spans="5:14">
      <c r="E849">
        <f>IFERROR(SMALL(E191:E559,ROW()-ROW($E$562)+1),"")</f>
        <v>0</v>
      </c>
      <c r="F849">
        <f>IFERROR(SMALL(F191:F559,ROW()-ROW($F$562)+1),"")</f>
        <v>0</v>
      </c>
      <c r="G849">
        <f>IFERROR(SMALL(G191:G559,ROW()-ROW($G$562)+1),"")</f>
        <v>0</v>
      </c>
      <c r="H849">
        <f>IFERROR(SMALL(H191:H559,ROW()-ROW($H$562)+1),"")</f>
        <v>0</v>
      </c>
      <c r="K849">
        <f>IFERROR(SMALL(K191:K559,ROW()-ROW($K$562)+1),"")</f>
        <v>0</v>
      </c>
      <c r="L849">
        <f>IFERROR(SMALL(L191:L559,ROW()-ROW($L$562)+1),"")</f>
        <v>0</v>
      </c>
      <c r="M849">
        <f>IFERROR(SMALL(M191:M559,ROW()-ROW($M$562)+1),"")</f>
        <v>0</v>
      </c>
      <c r="N849">
        <f>IFERROR(SMALL(N191:N559,ROW()-ROW($N$562)+1),"")</f>
        <v>0</v>
      </c>
    </row>
    <row r="850" spans="5:14">
      <c r="E850">
        <f>IFERROR(SMALL(E191:E559,ROW()-ROW($E$562)+1),"")</f>
        <v>0</v>
      </c>
      <c r="F850">
        <f>IFERROR(SMALL(F191:F559,ROW()-ROW($F$562)+1),"")</f>
        <v>0</v>
      </c>
      <c r="G850">
        <f>IFERROR(SMALL(G191:G559,ROW()-ROW($G$562)+1),"")</f>
        <v>0</v>
      </c>
      <c r="H850">
        <f>IFERROR(SMALL(H191:H559,ROW()-ROW($H$562)+1),"")</f>
        <v>0</v>
      </c>
      <c r="K850">
        <f>IFERROR(SMALL(K191:K559,ROW()-ROW($K$562)+1),"")</f>
        <v>0</v>
      </c>
      <c r="L850">
        <f>IFERROR(SMALL(L191:L559,ROW()-ROW($L$562)+1),"")</f>
        <v>0</v>
      </c>
      <c r="M850">
        <f>IFERROR(SMALL(M191:M559,ROW()-ROW($M$562)+1),"")</f>
        <v>0</v>
      </c>
      <c r="N850">
        <f>IFERROR(SMALL(N191:N559,ROW()-ROW($N$562)+1),"")</f>
        <v>0</v>
      </c>
    </row>
    <row r="851" spans="5:14">
      <c r="E851">
        <f>IFERROR(SMALL(E191:E559,ROW()-ROW($E$562)+1),"")</f>
        <v>0</v>
      </c>
      <c r="F851">
        <f>IFERROR(SMALL(F191:F559,ROW()-ROW($F$562)+1),"")</f>
        <v>0</v>
      </c>
      <c r="G851">
        <f>IFERROR(SMALL(G191:G559,ROW()-ROW($G$562)+1),"")</f>
        <v>0</v>
      </c>
      <c r="H851">
        <f>IFERROR(SMALL(H191:H559,ROW()-ROW($H$562)+1),"")</f>
        <v>0</v>
      </c>
      <c r="K851">
        <f>IFERROR(SMALL(K191:K559,ROW()-ROW($K$562)+1),"")</f>
        <v>0</v>
      </c>
      <c r="L851">
        <f>IFERROR(SMALL(L191:L559,ROW()-ROW($L$562)+1),"")</f>
        <v>0</v>
      </c>
      <c r="M851">
        <f>IFERROR(SMALL(M191:M559,ROW()-ROW($M$562)+1),"")</f>
        <v>0</v>
      </c>
      <c r="N851">
        <f>IFERROR(SMALL(N191:N559,ROW()-ROW($N$562)+1),"")</f>
        <v>0</v>
      </c>
    </row>
    <row r="852" spans="5:14">
      <c r="E852">
        <f>IFERROR(SMALL(E191:E559,ROW()-ROW($E$562)+1),"")</f>
        <v>0</v>
      </c>
      <c r="F852">
        <f>IFERROR(SMALL(F191:F559,ROW()-ROW($F$562)+1),"")</f>
        <v>0</v>
      </c>
      <c r="G852">
        <f>IFERROR(SMALL(G191:G559,ROW()-ROW($G$562)+1),"")</f>
        <v>0</v>
      </c>
      <c r="H852">
        <f>IFERROR(SMALL(H191:H559,ROW()-ROW($H$562)+1),"")</f>
        <v>0</v>
      </c>
      <c r="K852">
        <f>IFERROR(SMALL(K191:K559,ROW()-ROW($K$562)+1),"")</f>
        <v>0</v>
      </c>
      <c r="L852">
        <f>IFERROR(SMALL(L191:L559,ROW()-ROW($L$562)+1),"")</f>
        <v>0</v>
      </c>
      <c r="M852">
        <f>IFERROR(SMALL(M191:M559,ROW()-ROW($M$562)+1),"")</f>
        <v>0</v>
      </c>
      <c r="N852">
        <f>IFERROR(SMALL(N191:N559,ROW()-ROW($N$562)+1),"")</f>
        <v>0</v>
      </c>
    </row>
    <row r="853" spans="5:14">
      <c r="E853">
        <f>IFERROR(SMALL(E191:E559,ROW()-ROW($E$562)+1),"")</f>
        <v>0</v>
      </c>
      <c r="F853">
        <f>IFERROR(SMALL(F191:F559,ROW()-ROW($F$562)+1),"")</f>
        <v>0</v>
      </c>
      <c r="G853">
        <f>IFERROR(SMALL(G191:G559,ROW()-ROW($G$562)+1),"")</f>
        <v>0</v>
      </c>
      <c r="H853">
        <f>IFERROR(SMALL(H191:H559,ROW()-ROW($H$562)+1),"")</f>
        <v>0</v>
      </c>
      <c r="K853">
        <f>IFERROR(SMALL(K191:K559,ROW()-ROW($K$562)+1),"")</f>
        <v>0</v>
      </c>
      <c r="L853">
        <f>IFERROR(SMALL(L191:L559,ROW()-ROW($L$562)+1),"")</f>
        <v>0</v>
      </c>
      <c r="M853">
        <f>IFERROR(SMALL(M191:M559,ROW()-ROW($M$562)+1),"")</f>
        <v>0</v>
      </c>
      <c r="N853">
        <f>IFERROR(SMALL(N191:N559,ROW()-ROW($N$562)+1),"")</f>
        <v>0</v>
      </c>
    </row>
    <row r="854" spans="5:14">
      <c r="E854">
        <f>IFERROR(SMALL(E191:E559,ROW()-ROW($E$562)+1),"")</f>
        <v>0</v>
      </c>
      <c r="F854">
        <f>IFERROR(SMALL(F191:F559,ROW()-ROW($F$562)+1),"")</f>
        <v>0</v>
      </c>
      <c r="G854">
        <f>IFERROR(SMALL(G191:G559,ROW()-ROW($G$562)+1),"")</f>
        <v>0</v>
      </c>
      <c r="H854">
        <f>IFERROR(SMALL(H191:H559,ROW()-ROW($H$562)+1),"")</f>
        <v>0</v>
      </c>
      <c r="K854">
        <f>IFERROR(SMALL(K191:K559,ROW()-ROW($K$562)+1),"")</f>
        <v>0</v>
      </c>
      <c r="L854">
        <f>IFERROR(SMALL(L191:L559,ROW()-ROW($L$562)+1),"")</f>
        <v>0</v>
      </c>
      <c r="M854">
        <f>IFERROR(SMALL(M191:M559,ROW()-ROW($M$562)+1),"")</f>
        <v>0</v>
      </c>
      <c r="N854">
        <f>IFERROR(SMALL(N191:N559,ROW()-ROW($N$562)+1),"")</f>
        <v>0</v>
      </c>
    </row>
    <row r="855" spans="5:14">
      <c r="E855">
        <f>IFERROR(SMALL(E191:E559,ROW()-ROW($E$562)+1),"")</f>
        <v>0</v>
      </c>
      <c r="F855">
        <f>IFERROR(SMALL(F191:F559,ROW()-ROW($F$562)+1),"")</f>
        <v>0</v>
      </c>
      <c r="G855">
        <f>IFERROR(SMALL(G191:G559,ROW()-ROW($G$562)+1),"")</f>
        <v>0</v>
      </c>
      <c r="H855">
        <f>IFERROR(SMALL(H191:H559,ROW()-ROW($H$562)+1),"")</f>
        <v>0</v>
      </c>
      <c r="K855">
        <f>IFERROR(SMALL(K191:K559,ROW()-ROW($K$562)+1),"")</f>
        <v>0</v>
      </c>
      <c r="L855">
        <f>IFERROR(SMALL(L191:L559,ROW()-ROW($L$562)+1),"")</f>
        <v>0</v>
      </c>
      <c r="M855">
        <f>IFERROR(SMALL(M191:M559,ROW()-ROW($M$562)+1),"")</f>
        <v>0</v>
      </c>
      <c r="N855">
        <f>IFERROR(SMALL(N191:N559,ROW()-ROW($N$562)+1),"")</f>
        <v>0</v>
      </c>
    </row>
    <row r="856" spans="5:14">
      <c r="E856">
        <f>IFERROR(SMALL(E191:E559,ROW()-ROW($E$562)+1),"")</f>
        <v>0</v>
      </c>
      <c r="F856">
        <f>IFERROR(SMALL(F191:F559,ROW()-ROW($F$562)+1),"")</f>
        <v>0</v>
      </c>
      <c r="G856">
        <f>IFERROR(SMALL(G191:G559,ROW()-ROW($G$562)+1),"")</f>
        <v>0</v>
      </c>
      <c r="H856">
        <f>IFERROR(SMALL(H191:H559,ROW()-ROW($H$562)+1),"")</f>
        <v>0</v>
      </c>
      <c r="K856">
        <f>IFERROR(SMALL(K191:K559,ROW()-ROW($K$562)+1),"")</f>
        <v>0</v>
      </c>
      <c r="L856">
        <f>IFERROR(SMALL(L191:L559,ROW()-ROW($L$562)+1),"")</f>
        <v>0</v>
      </c>
      <c r="M856">
        <f>IFERROR(SMALL(M191:M559,ROW()-ROW($M$562)+1),"")</f>
        <v>0</v>
      </c>
      <c r="N856">
        <f>IFERROR(SMALL(N191:N559,ROW()-ROW($N$562)+1),"")</f>
        <v>0</v>
      </c>
    </row>
    <row r="857" spans="5:14">
      <c r="E857">
        <f>IFERROR(SMALL(E191:E559,ROW()-ROW($E$562)+1),"")</f>
        <v>0</v>
      </c>
      <c r="F857">
        <f>IFERROR(SMALL(F191:F559,ROW()-ROW($F$562)+1),"")</f>
        <v>0</v>
      </c>
      <c r="G857">
        <f>IFERROR(SMALL(G191:G559,ROW()-ROW($G$562)+1),"")</f>
        <v>0</v>
      </c>
      <c r="H857">
        <f>IFERROR(SMALL(H191:H559,ROW()-ROW($H$562)+1),"")</f>
        <v>0</v>
      </c>
      <c r="K857">
        <f>IFERROR(SMALL(K191:K559,ROW()-ROW($K$562)+1),"")</f>
        <v>0</v>
      </c>
      <c r="L857">
        <f>IFERROR(SMALL(L191:L559,ROW()-ROW($L$562)+1),"")</f>
        <v>0</v>
      </c>
      <c r="M857">
        <f>IFERROR(SMALL(M191:M559,ROW()-ROW($M$562)+1),"")</f>
        <v>0</v>
      </c>
      <c r="N857">
        <f>IFERROR(SMALL(N191:N559,ROW()-ROW($N$562)+1),"")</f>
        <v>0</v>
      </c>
    </row>
    <row r="858" spans="5:14">
      <c r="E858">
        <f>IFERROR(SMALL(E191:E559,ROW()-ROW($E$562)+1),"")</f>
        <v>0</v>
      </c>
      <c r="F858">
        <f>IFERROR(SMALL(F191:F559,ROW()-ROW($F$562)+1),"")</f>
        <v>0</v>
      </c>
      <c r="G858">
        <f>IFERROR(SMALL(G191:G559,ROW()-ROW($G$562)+1),"")</f>
        <v>0</v>
      </c>
      <c r="H858">
        <f>IFERROR(SMALL(H191:H559,ROW()-ROW($H$562)+1),"")</f>
        <v>0</v>
      </c>
      <c r="K858">
        <f>IFERROR(SMALL(K191:K559,ROW()-ROW($K$562)+1),"")</f>
        <v>0</v>
      </c>
      <c r="L858">
        <f>IFERROR(SMALL(L191:L559,ROW()-ROW($L$562)+1),"")</f>
        <v>0</v>
      </c>
      <c r="M858">
        <f>IFERROR(SMALL(M191:M559,ROW()-ROW($M$562)+1),"")</f>
        <v>0</v>
      </c>
      <c r="N858">
        <f>IFERROR(SMALL(N191:N559,ROW()-ROW($N$562)+1),"")</f>
        <v>0</v>
      </c>
    </row>
    <row r="859" spans="5:14">
      <c r="E859">
        <f>IFERROR(SMALL(E191:E559,ROW()-ROW($E$562)+1),"")</f>
        <v>0</v>
      </c>
      <c r="F859">
        <f>IFERROR(SMALL(F191:F559,ROW()-ROW($F$562)+1),"")</f>
        <v>0</v>
      </c>
      <c r="G859">
        <f>IFERROR(SMALL(G191:G559,ROW()-ROW($G$562)+1),"")</f>
        <v>0</v>
      </c>
      <c r="H859">
        <f>IFERROR(SMALL(H191:H559,ROW()-ROW($H$562)+1),"")</f>
        <v>0</v>
      </c>
      <c r="K859">
        <f>IFERROR(SMALL(K191:K559,ROW()-ROW($K$562)+1),"")</f>
        <v>0</v>
      </c>
      <c r="L859">
        <f>IFERROR(SMALL(L191:L559,ROW()-ROW($L$562)+1),"")</f>
        <v>0</v>
      </c>
      <c r="M859">
        <f>IFERROR(SMALL(M191:M559,ROW()-ROW($M$562)+1),"")</f>
        <v>0</v>
      </c>
      <c r="N859">
        <f>IFERROR(SMALL(N191:N559,ROW()-ROW($N$562)+1),"")</f>
        <v>0</v>
      </c>
    </row>
    <row r="860" spans="5:14">
      <c r="E860">
        <f>IFERROR(SMALL(E191:E559,ROW()-ROW($E$562)+1),"")</f>
        <v>0</v>
      </c>
      <c r="F860">
        <f>IFERROR(SMALL(F191:F559,ROW()-ROW($F$562)+1),"")</f>
        <v>0</v>
      </c>
      <c r="G860">
        <f>IFERROR(SMALL(G191:G559,ROW()-ROW($G$562)+1),"")</f>
        <v>0</v>
      </c>
      <c r="H860">
        <f>IFERROR(SMALL(H191:H559,ROW()-ROW($H$562)+1),"")</f>
        <v>0</v>
      </c>
      <c r="K860">
        <f>IFERROR(SMALL(K191:K559,ROW()-ROW($K$562)+1),"")</f>
        <v>0</v>
      </c>
      <c r="L860">
        <f>IFERROR(SMALL(L191:L559,ROW()-ROW($L$562)+1),"")</f>
        <v>0</v>
      </c>
      <c r="M860">
        <f>IFERROR(SMALL(M191:M559,ROW()-ROW($M$562)+1),"")</f>
        <v>0</v>
      </c>
      <c r="N860">
        <f>IFERROR(SMALL(N191:N559,ROW()-ROW($N$562)+1),"")</f>
        <v>0</v>
      </c>
    </row>
    <row r="861" spans="5:14">
      <c r="E861">
        <f>IFERROR(SMALL(E191:E559,ROW()-ROW($E$562)+1),"")</f>
        <v>0</v>
      </c>
      <c r="F861">
        <f>IFERROR(SMALL(F191:F559,ROW()-ROW($F$562)+1),"")</f>
        <v>0</v>
      </c>
      <c r="G861">
        <f>IFERROR(SMALL(G191:G559,ROW()-ROW($G$562)+1),"")</f>
        <v>0</v>
      </c>
      <c r="H861">
        <f>IFERROR(SMALL(H191:H559,ROW()-ROW($H$562)+1),"")</f>
        <v>0</v>
      </c>
      <c r="K861">
        <f>IFERROR(SMALL(K191:K559,ROW()-ROW($K$562)+1),"")</f>
        <v>0</v>
      </c>
      <c r="L861">
        <f>IFERROR(SMALL(L191:L559,ROW()-ROW($L$562)+1),"")</f>
        <v>0</v>
      </c>
      <c r="M861">
        <f>IFERROR(SMALL(M191:M559,ROW()-ROW($M$562)+1),"")</f>
        <v>0</v>
      </c>
      <c r="N861">
        <f>IFERROR(SMALL(N191:N559,ROW()-ROW($N$562)+1),"")</f>
        <v>0</v>
      </c>
    </row>
    <row r="862" spans="5:14">
      <c r="E862">
        <f>IFERROR(SMALL(E191:E559,ROW()-ROW($E$562)+1),"")</f>
        <v>0</v>
      </c>
      <c r="F862">
        <f>IFERROR(SMALL(F191:F559,ROW()-ROW($F$562)+1),"")</f>
        <v>0</v>
      </c>
      <c r="G862">
        <f>IFERROR(SMALL(G191:G559,ROW()-ROW($G$562)+1),"")</f>
        <v>0</v>
      </c>
      <c r="H862">
        <f>IFERROR(SMALL(H191:H559,ROW()-ROW($H$562)+1),"")</f>
        <v>0</v>
      </c>
      <c r="K862">
        <f>IFERROR(SMALL(K191:K559,ROW()-ROW($K$562)+1),"")</f>
        <v>0</v>
      </c>
      <c r="L862">
        <f>IFERROR(SMALL(L191:L559,ROW()-ROW($L$562)+1),"")</f>
        <v>0</v>
      </c>
      <c r="M862">
        <f>IFERROR(SMALL(M191:M559,ROW()-ROW($M$562)+1),"")</f>
        <v>0</v>
      </c>
      <c r="N862">
        <f>IFERROR(SMALL(N191:N559,ROW()-ROW($N$562)+1),"")</f>
        <v>0</v>
      </c>
    </row>
    <row r="863" spans="5:14">
      <c r="E863">
        <f>IFERROR(SMALL(E191:E559,ROW()-ROW($E$562)+1),"")</f>
        <v>0</v>
      </c>
      <c r="F863">
        <f>IFERROR(SMALL(F191:F559,ROW()-ROW($F$562)+1),"")</f>
        <v>0</v>
      </c>
      <c r="G863">
        <f>IFERROR(SMALL(G191:G559,ROW()-ROW($G$562)+1),"")</f>
        <v>0</v>
      </c>
      <c r="H863">
        <f>IFERROR(SMALL(H191:H559,ROW()-ROW($H$562)+1),"")</f>
        <v>0</v>
      </c>
      <c r="K863">
        <f>IFERROR(SMALL(K191:K559,ROW()-ROW($K$562)+1),"")</f>
        <v>0</v>
      </c>
      <c r="L863">
        <f>IFERROR(SMALL(L191:L559,ROW()-ROW($L$562)+1),"")</f>
        <v>0</v>
      </c>
      <c r="M863">
        <f>IFERROR(SMALL(M191:M559,ROW()-ROW($M$562)+1),"")</f>
        <v>0</v>
      </c>
      <c r="N863">
        <f>IFERROR(SMALL(N191:N559,ROW()-ROW($N$562)+1),"")</f>
        <v>0</v>
      </c>
    </row>
    <row r="864" spans="5:14">
      <c r="E864">
        <f>IFERROR(SMALL(E191:E559,ROW()-ROW($E$562)+1),"")</f>
        <v>0</v>
      </c>
      <c r="F864">
        <f>IFERROR(SMALL(F191:F559,ROW()-ROW($F$562)+1),"")</f>
        <v>0</v>
      </c>
      <c r="G864">
        <f>IFERROR(SMALL(G191:G559,ROW()-ROW($G$562)+1),"")</f>
        <v>0</v>
      </c>
      <c r="H864">
        <f>IFERROR(SMALL(H191:H559,ROW()-ROW($H$562)+1),"")</f>
        <v>0</v>
      </c>
      <c r="K864">
        <f>IFERROR(SMALL(K191:K559,ROW()-ROW($K$562)+1),"")</f>
        <v>0</v>
      </c>
      <c r="L864">
        <f>IFERROR(SMALL(L191:L559,ROW()-ROW($L$562)+1),"")</f>
        <v>0</v>
      </c>
      <c r="M864">
        <f>IFERROR(SMALL(M191:M559,ROW()-ROW($M$562)+1),"")</f>
        <v>0</v>
      </c>
      <c r="N864">
        <f>IFERROR(SMALL(N191:N559,ROW()-ROW($N$562)+1),"")</f>
        <v>0</v>
      </c>
    </row>
    <row r="865" spans="5:14">
      <c r="E865">
        <f>IFERROR(SMALL(E191:E559,ROW()-ROW($E$562)+1),"")</f>
        <v>0</v>
      </c>
      <c r="F865">
        <f>IFERROR(SMALL(F191:F559,ROW()-ROW($F$562)+1),"")</f>
        <v>0</v>
      </c>
      <c r="G865">
        <f>IFERROR(SMALL(G191:G559,ROW()-ROW($G$562)+1),"")</f>
        <v>0</v>
      </c>
      <c r="H865">
        <f>IFERROR(SMALL(H191:H559,ROW()-ROW($H$562)+1),"")</f>
        <v>0</v>
      </c>
      <c r="K865">
        <f>IFERROR(SMALL(K191:K559,ROW()-ROW($K$562)+1),"")</f>
        <v>0</v>
      </c>
      <c r="L865">
        <f>IFERROR(SMALL(L191:L559,ROW()-ROW($L$562)+1),"")</f>
        <v>0</v>
      </c>
      <c r="M865">
        <f>IFERROR(SMALL(M191:M559,ROW()-ROW($M$562)+1),"")</f>
        <v>0</v>
      </c>
      <c r="N865">
        <f>IFERROR(SMALL(N191:N559,ROW()-ROW($N$562)+1),"")</f>
        <v>0</v>
      </c>
    </row>
    <row r="866" spans="5:14">
      <c r="E866">
        <f>IFERROR(SMALL(E191:E559,ROW()-ROW($E$562)+1),"")</f>
        <v>0</v>
      </c>
      <c r="F866">
        <f>IFERROR(SMALL(F191:F559,ROW()-ROW($F$562)+1),"")</f>
        <v>0</v>
      </c>
      <c r="G866">
        <f>IFERROR(SMALL(G191:G559,ROW()-ROW($G$562)+1),"")</f>
        <v>0</v>
      </c>
      <c r="H866">
        <f>IFERROR(SMALL(H191:H559,ROW()-ROW($H$562)+1),"")</f>
        <v>0</v>
      </c>
      <c r="K866">
        <f>IFERROR(SMALL(K191:K559,ROW()-ROW($K$562)+1),"")</f>
        <v>0</v>
      </c>
      <c r="L866">
        <f>IFERROR(SMALL(L191:L559,ROW()-ROW($L$562)+1),"")</f>
        <v>0</v>
      </c>
      <c r="M866">
        <f>IFERROR(SMALL(M191:M559,ROW()-ROW($M$562)+1),"")</f>
        <v>0</v>
      </c>
      <c r="N866">
        <f>IFERROR(SMALL(N191:N559,ROW()-ROW($N$562)+1),"")</f>
        <v>0</v>
      </c>
    </row>
    <row r="867" spans="5:14">
      <c r="E867">
        <f>IFERROR(SMALL(E191:E559,ROW()-ROW($E$562)+1),"")</f>
        <v>0</v>
      </c>
      <c r="F867">
        <f>IFERROR(SMALL(F191:F559,ROW()-ROW($F$562)+1),"")</f>
        <v>0</v>
      </c>
      <c r="G867">
        <f>IFERROR(SMALL(G191:G559,ROW()-ROW($G$562)+1),"")</f>
        <v>0</v>
      </c>
      <c r="H867">
        <f>IFERROR(SMALL(H191:H559,ROW()-ROW($H$562)+1),"")</f>
        <v>0</v>
      </c>
      <c r="K867">
        <f>IFERROR(SMALL(K191:K559,ROW()-ROW($K$562)+1),"")</f>
        <v>0</v>
      </c>
      <c r="L867">
        <f>IFERROR(SMALL(L191:L559,ROW()-ROW($L$562)+1),"")</f>
        <v>0</v>
      </c>
      <c r="M867">
        <f>IFERROR(SMALL(M191:M559,ROW()-ROW($M$562)+1),"")</f>
        <v>0</v>
      </c>
      <c r="N867">
        <f>IFERROR(SMALL(N191:N559,ROW()-ROW($N$562)+1),"")</f>
        <v>0</v>
      </c>
    </row>
    <row r="868" spans="5:14">
      <c r="E868">
        <f>IFERROR(SMALL(E191:E559,ROW()-ROW($E$562)+1),"")</f>
        <v>0</v>
      </c>
      <c r="F868">
        <f>IFERROR(SMALL(F191:F559,ROW()-ROW($F$562)+1),"")</f>
        <v>0</v>
      </c>
      <c r="G868">
        <f>IFERROR(SMALL(G191:G559,ROW()-ROW($G$562)+1),"")</f>
        <v>0</v>
      </c>
      <c r="H868">
        <f>IFERROR(SMALL(H191:H559,ROW()-ROW($H$562)+1),"")</f>
        <v>0</v>
      </c>
      <c r="K868">
        <f>IFERROR(SMALL(K191:K559,ROW()-ROW($K$562)+1),"")</f>
        <v>0</v>
      </c>
      <c r="L868">
        <f>IFERROR(SMALL(L191:L559,ROW()-ROW($L$562)+1),"")</f>
        <v>0</v>
      </c>
      <c r="M868">
        <f>IFERROR(SMALL(M191:M559,ROW()-ROW($M$562)+1),"")</f>
        <v>0</v>
      </c>
      <c r="N868">
        <f>IFERROR(SMALL(N191:N559,ROW()-ROW($N$562)+1),"")</f>
        <v>0</v>
      </c>
    </row>
    <row r="869" spans="5:14">
      <c r="E869">
        <f>IFERROR(SMALL(E191:E559,ROW()-ROW($E$562)+1),"")</f>
        <v>0</v>
      </c>
      <c r="F869">
        <f>IFERROR(SMALL(F191:F559,ROW()-ROW($F$562)+1),"")</f>
        <v>0</v>
      </c>
      <c r="G869">
        <f>IFERROR(SMALL(G191:G559,ROW()-ROW($G$562)+1),"")</f>
        <v>0</v>
      </c>
      <c r="H869">
        <f>IFERROR(SMALL(H191:H559,ROW()-ROW($H$562)+1),"")</f>
        <v>0</v>
      </c>
      <c r="K869">
        <f>IFERROR(SMALL(K191:K559,ROW()-ROW($K$562)+1),"")</f>
        <v>0</v>
      </c>
      <c r="L869">
        <f>IFERROR(SMALL(L191:L559,ROW()-ROW($L$562)+1),"")</f>
        <v>0</v>
      </c>
      <c r="M869">
        <f>IFERROR(SMALL(M191:M559,ROW()-ROW($M$562)+1),"")</f>
        <v>0</v>
      </c>
      <c r="N869">
        <f>IFERROR(SMALL(N191:N559,ROW()-ROW($N$562)+1),"")</f>
        <v>0</v>
      </c>
    </row>
    <row r="870" spans="5:14">
      <c r="E870">
        <f>IFERROR(SMALL(E191:E559,ROW()-ROW($E$562)+1),"")</f>
        <v>0</v>
      </c>
      <c r="F870">
        <f>IFERROR(SMALL(F191:F559,ROW()-ROW($F$562)+1),"")</f>
        <v>0</v>
      </c>
      <c r="G870">
        <f>IFERROR(SMALL(G191:G559,ROW()-ROW($G$562)+1),"")</f>
        <v>0</v>
      </c>
      <c r="H870">
        <f>IFERROR(SMALL(H191:H559,ROW()-ROW($H$562)+1),"")</f>
        <v>0</v>
      </c>
      <c r="K870">
        <f>IFERROR(SMALL(K191:K559,ROW()-ROW($K$562)+1),"")</f>
        <v>0</v>
      </c>
      <c r="L870">
        <f>IFERROR(SMALL(L191:L559,ROW()-ROW($L$562)+1),"")</f>
        <v>0</v>
      </c>
      <c r="M870">
        <f>IFERROR(SMALL(M191:M559,ROW()-ROW($M$562)+1),"")</f>
        <v>0</v>
      </c>
      <c r="N870">
        <f>IFERROR(SMALL(N191:N559,ROW()-ROW($N$562)+1),"")</f>
        <v>0</v>
      </c>
    </row>
    <row r="871" spans="5:14">
      <c r="E871">
        <f>IFERROR(SMALL(E191:E559,ROW()-ROW($E$562)+1),"")</f>
        <v>0</v>
      </c>
      <c r="F871">
        <f>IFERROR(SMALL(F191:F559,ROW()-ROW($F$562)+1),"")</f>
        <v>0</v>
      </c>
      <c r="G871">
        <f>IFERROR(SMALL(G191:G559,ROW()-ROW($G$562)+1),"")</f>
        <v>0</v>
      </c>
      <c r="H871">
        <f>IFERROR(SMALL(H191:H559,ROW()-ROW($H$562)+1),"")</f>
        <v>0</v>
      </c>
      <c r="K871">
        <f>IFERROR(SMALL(K191:K559,ROW()-ROW($K$562)+1),"")</f>
        <v>0</v>
      </c>
      <c r="L871">
        <f>IFERROR(SMALL(L191:L559,ROW()-ROW($L$562)+1),"")</f>
        <v>0</v>
      </c>
      <c r="M871">
        <f>IFERROR(SMALL(M191:M559,ROW()-ROW($M$562)+1),"")</f>
        <v>0</v>
      </c>
      <c r="N871">
        <f>IFERROR(SMALL(N191:N559,ROW()-ROW($N$562)+1),"")</f>
        <v>0</v>
      </c>
    </row>
    <row r="872" spans="5:14">
      <c r="E872">
        <f>IFERROR(SMALL(E191:E559,ROW()-ROW($E$562)+1),"")</f>
        <v>0</v>
      </c>
      <c r="F872">
        <f>IFERROR(SMALL(F191:F559,ROW()-ROW($F$562)+1),"")</f>
        <v>0</v>
      </c>
      <c r="G872">
        <f>IFERROR(SMALL(G191:G559,ROW()-ROW($G$562)+1),"")</f>
        <v>0</v>
      </c>
      <c r="H872">
        <f>IFERROR(SMALL(H191:H559,ROW()-ROW($H$562)+1),"")</f>
        <v>0</v>
      </c>
      <c r="K872">
        <f>IFERROR(SMALL(K191:K559,ROW()-ROW($K$562)+1),"")</f>
        <v>0</v>
      </c>
      <c r="L872">
        <f>IFERROR(SMALL(L191:L559,ROW()-ROW($L$562)+1),"")</f>
        <v>0</v>
      </c>
      <c r="M872">
        <f>IFERROR(SMALL(M191:M559,ROW()-ROW($M$562)+1),"")</f>
        <v>0</v>
      </c>
      <c r="N872">
        <f>IFERROR(SMALL(N191:N559,ROW()-ROW($N$562)+1),"")</f>
        <v>0</v>
      </c>
    </row>
    <row r="873" spans="5:14">
      <c r="E873">
        <f>IFERROR(SMALL(E191:E559,ROW()-ROW($E$562)+1),"")</f>
        <v>0</v>
      </c>
      <c r="F873">
        <f>IFERROR(SMALL(F191:F559,ROW()-ROW($F$562)+1),"")</f>
        <v>0</v>
      </c>
      <c r="G873">
        <f>IFERROR(SMALL(G191:G559,ROW()-ROW($G$562)+1),"")</f>
        <v>0</v>
      </c>
      <c r="H873">
        <f>IFERROR(SMALL(H191:H559,ROW()-ROW($H$562)+1),"")</f>
        <v>0</v>
      </c>
      <c r="K873">
        <f>IFERROR(SMALL(K191:K559,ROW()-ROW($K$562)+1),"")</f>
        <v>0</v>
      </c>
      <c r="L873">
        <f>IFERROR(SMALL(L191:L559,ROW()-ROW($L$562)+1),"")</f>
        <v>0</v>
      </c>
      <c r="M873">
        <f>IFERROR(SMALL(M191:M559,ROW()-ROW($M$562)+1),"")</f>
        <v>0</v>
      </c>
      <c r="N873">
        <f>IFERROR(SMALL(N191:N559,ROW()-ROW($N$562)+1),"")</f>
        <v>0</v>
      </c>
    </row>
    <row r="874" spans="5:14">
      <c r="E874">
        <f>IFERROR(SMALL(E191:E559,ROW()-ROW($E$562)+1),"")</f>
        <v>0</v>
      </c>
      <c r="F874">
        <f>IFERROR(SMALL(F191:F559,ROW()-ROW($F$562)+1),"")</f>
        <v>0</v>
      </c>
      <c r="G874">
        <f>IFERROR(SMALL(G191:G559,ROW()-ROW($G$562)+1),"")</f>
        <v>0</v>
      </c>
      <c r="H874">
        <f>IFERROR(SMALL(H191:H559,ROW()-ROW($H$562)+1),"")</f>
        <v>0</v>
      </c>
      <c r="K874">
        <f>IFERROR(SMALL(K191:K559,ROW()-ROW($K$562)+1),"")</f>
        <v>0</v>
      </c>
      <c r="L874">
        <f>IFERROR(SMALL(L191:L559,ROW()-ROW($L$562)+1),"")</f>
        <v>0</v>
      </c>
      <c r="M874">
        <f>IFERROR(SMALL(M191:M559,ROW()-ROW($M$562)+1),"")</f>
        <v>0</v>
      </c>
      <c r="N874">
        <f>IFERROR(SMALL(N191:N559,ROW()-ROW($N$562)+1),"")</f>
        <v>0</v>
      </c>
    </row>
    <row r="875" spans="5:14">
      <c r="E875">
        <f>IFERROR(SMALL(E191:E559,ROW()-ROW($E$562)+1),"")</f>
        <v>0</v>
      </c>
      <c r="F875">
        <f>IFERROR(SMALL(F191:F559,ROW()-ROW($F$562)+1),"")</f>
        <v>0</v>
      </c>
      <c r="G875">
        <f>IFERROR(SMALL(G191:G559,ROW()-ROW($G$562)+1),"")</f>
        <v>0</v>
      </c>
      <c r="H875">
        <f>IFERROR(SMALL(H191:H559,ROW()-ROW($H$562)+1),"")</f>
        <v>0</v>
      </c>
      <c r="K875">
        <f>IFERROR(SMALL(K191:K559,ROW()-ROW($K$562)+1),"")</f>
        <v>0</v>
      </c>
      <c r="L875">
        <f>IFERROR(SMALL(L191:L559,ROW()-ROW($L$562)+1),"")</f>
        <v>0</v>
      </c>
      <c r="M875">
        <f>IFERROR(SMALL(M191:M559,ROW()-ROW($M$562)+1),"")</f>
        <v>0</v>
      </c>
      <c r="N875">
        <f>IFERROR(SMALL(N191:N559,ROW()-ROW($N$562)+1),"")</f>
        <v>0</v>
      </c>
    </row>
    <row r="876" spans="5:14">
      <c r="E876">
        <f>IFERROR(SMALL(E191:E559,ROW()-ROW($E$562)+1),"")</f>
        <v>0</v>
      </c>
      <c r="F876">
        <f>IFERROR(SMALL(F191:F559,ROW()-ROW($F$562)+1),"")</f>
        <v>0</v>
      </c>
      <c r="G876">
        <f>IFERROR(SMALL(G191:G559,ROW()-ROW($G$562)+1),"")</f>
        <v>0</v>
      </c>
      <c r="H876">
        <f>IFERROR(SMALL(H191:H559,ROW()-ROW($H$562)+1),"")</f>
        <v>0</v>
      </c>
      <c r="K876">
        <f>IFERROR(SMALL(K191:K559,ROW()-ROW($K$562)+1),"")</f>
        <v>0</v>
      </c>
      <c r="L876">
        <f>IFERROR(SMALL(L191:L559,ROW()-ROW($L$562)+1),"")</f>
        <v>0</v>
      </c>
      <c r="M876">
        <f>IFERROR(SMALL(M191:M559,ROW()-ROW($M$562)+1),"")</f>
        <v>0</v>
      </c>
      <c r="N876">
        <f>IFERROR(SMALL(N191:N559,ROW()-ROW($N$562)+1),"")</f>
        <v>0</v>
      </c>
    </row>
    <row r="877" spans="5:14">
      <c r="E877">
        <f>IFERROR(SMALL(E191:E559,ROW()-ROW($E$562)+1),"")</f>
        <v>0</v>
      </c>
      <c r="F877">
        <f>IFERROR(SMALL(F191:F559,ROW()-ROW($F$562)+1),"")</f>
        <v>0</v>
      </c>
      <c r="G877">
        <f>IFERROR(SMALL(G191:G559,ROW()-ROW($G$562)+1),"")</f>
        <v>0</v>
      </c>
      <c r="H877">
        <f>IFERROR(SMALL(H191:H559,ROW()-ROW($H$562)+1),"")</f>
        <v>0</v>
      </c>
      <c r="K877">
        <f>IFERROR(SMALL(K191:K559,ROW()-ROW($K$562)+1),"")</f>
        <v>0</v>
      </c>
      <c r="L877">
        <f>IFERROR(SMALL(L191:L559,ROW()-ROW($L$562)+1),"")</f>
        <v>0</v>
      </c>
      <c r="M877">
        <f>IFERROR(SMALL(M191:M559,ROW()-ROW($M$562)+1),"")</f>
        <v>0</v>
      </c>
      <c r="N877">
        <f>IFERROR(SMALL(N191:N559,ROW()-ROW($N$562)+1),"")</f>
        <v>0</v>
      </c>
    </row>
    <row r="878" spans="5:14">
      <c r="E878">
        <f>IFERROR(SMALL(E191:E559,ROW()-ROW($E$562)+1),"")</f>
        <v>0</v>
      </c>
      <c r="F878">
        <f>IFERROR(SMALL(F191:F559,ROW()-ROW($F$562)+1),"")</f>
        <v>0</v>
      </c>
      <c r="G878">
        <f>IFERROR(SMALL(G191:G559,ROW()-ROW($G$562)+1),"")</f>
        <v>0</v>
      </c>
      <c r="H878">
        <f>IFERROR(SMALL(H191:H559,ROW()-ROW($H$562)+1),"")</f>
        <v>0</v>
      </c>
      <c r="K878">
        <f>IFERROR(SMALL(K191:K559,ROW()-ROW($K$562)+1),"")</f>
        <v>0</v>
      </c>
      <c r="L878">
        <f>IFERROR(SMALL(L191:L559,ROW()-ROW($L$562)+1),"")</f>
        <v>0</v>
      </c>
      <c r="M878">
        <f>IFERROR(SMALL(M191:M559,ROW()-ROW($M$562)+1),"")</f>
        <v>0</v>
      </c>
      <c r="N878">
        <f>IFERROR(SMALL(N191:N559,ROW()-ROW($N$562)+1),"")</f>
        <v>0</v>
      </c>
    </row>
    <row r="879" spans="5:14">
      <c r="E879">
        <f>IFERROR(SMALL(E191:E559,ROW()-ROW($E$562)+1),"")</f>
        <v>0</v>
      </c>
      <c r="F879">
        <f>IFERROR(SMALL(F191:F559,ROW()-ROW($F$562)+1),"")</f>
        <v>0</v>
      </c>
      <c r="G879">
        <f>IFERROR(SMALL(G191:G559,ROW()-ROW($G$562)+1),"")</f>
        <v>0</v>
      </c>
      <c r="H879">
        <f>IFERROR(SMALL(H191:H559,ROW()-ROW($H$562)+1),"")</f>
        <v>0</v>
      </c>
      <c r="K879">
        <f>IFERROR(SMALL(K191:K559,ROW()-ROW($K$562)+1),"")</f>
        <v>0</v>
      </c>
      <c r="L879">
        <f>IFERROR(SMALL(L191:L559,ROW()-ROW($L$562)+1),"")</f>
        <v>0</v>
      </c>
      <c r="M879">
        <f>IFERROR(SMALL(M191:M559,ROW()-ROW($M$562)+1),"")</f>
        <v>0</v>
      </c>
      <c r="N879">
        <f>IFERROR(SMALL(N191:N559,ROW()-ROW($N$562)+1),"")</f>
        <v>0</v>
      </c>
    </row>
    <row r="880" spans="5:14">
      <c r="E880">
        <f>IFERROR(SMALL(E191:E559,ROW()-ROW($E$562)+1),"")</f>
        <v>0</v>
      </c>
      <c r="F880">
        <f>IFERROR(SMALL(F191:F559,ROW()-ROW($F$562)+1),"")</f>
        <v>0</v>
      </c>
      <c r="G880">
        <f>IFERROR(SMALL(G191:G559,ROW()-ROW($G$562)+1),"")</f>
        <v>0</v>
      </c>
      <c r="H880">
        <f>IFERROR(SMALL(H191:H559,ROW()-ROW($H$562)+1),"")</f>
        <v>0</v>
      </c>
      <c r="K880">
        <f>IFERROR(SMALL(K191:K559,ROW()-ROW($K$562)+1),"")</f>
        <v>0</v>
      </c>
      <c r="L880">
        <f>IFERROR(SMALL(L191:L559,ROW()-ROW($L$562)+1),"")</f>
        <v>0</v>
      </c>
      <c r="M880">
        <f>IFERROR(SMALL(M191:M559,ROW()-ROW($M$562)+1),"")</f>
        <v>0</v>
      </c>
      <c r="N880">
        <f>IFERROR(SMALL(N191:N559,ROW()-ROW($N$562)+1),"")</f>
        <v>0</v>
      </c>
    </row>
    <row r="881" spans="5:14">
      <c r="E881">
        <f>IFERROR(SMALL(E191:E559,ROW()-ROW($E$562)+1),"")</f>
        <v>0</v>
      </c>
      <c r="F881">
        <f>IFERROR(SMALL(F191:F559,ROW()-ROW($F$562)+1),"")</f>
        <v>0</v>
      </c>
      <c r="G881">
        <f>IFERROR(SMALL(G191:G559,ROW()-ROW($G$562)+1),"")</f>
        <v>0</v>
      </c>
      <c r="H881">
        <f>IFERROR(SMALL(H191:H559,ROW()-ROW($H$562)+1),"")</f>
        <v>0</v>
      </c>
      <c r="K881">
        <f>IFERROR(SMALL(K191:K559,ROW()-ROW($K$562)+1),"")</f>
        <v>0</v>
      </c>
      <c r="L881">
        <f>IFERROR(SMALL(L191:L559,ROW()-ROW($L$562)+1),"")</f>
        <v>0</v>
      </c>
      <c r="M881">
        <f>IFERROR(SMALL(M191:M559,ROW()-ROW($M$562)+1),"")</f>
        <v>0</v>
      </c>
      <c r="N881">
        <f>IFERROR(SMALL(N191:N559,ROW()-ROW($N$562)+1),"")</f>
        <v>0</v>
      </c>
    </row>
    <row r="882" spans="5:14">
      <c r="E882">
        <f>IFERROR(SMALL(E191:E559,ROW()-ROW($E$562)+1),"")</f>
        <v>0</v>
      </c>
      <c r="F882">
        <f>IFERROR(SMALL(F191:F559,ROW()-ROW($F$562)+1),"")</f>
        <v>0</v>
      </c>
      <c r="G882">
        <f>IFERROR(SMALL(G191:G559,ROW()-ROW($G$562)+1),"")</f>
        <v>0</v>
      </c>
      <c r="H882">
        <f>IFERROR(SMALL(H191:H559,ROW()-ROW($H$562)+1),"")</f>
        <v>0</v>
      </c>
      <c r="K882">
        <f>IFERROR(SMALL(K191:K559,ROW()-ROW($K$562)+1),"")</f>
        <v>0</v>
      </c>
      <c r="L882">
        <f>IFERROR(SMALL(L191:L559,ROW()-ROW($L$562)+1),"")</f>
        <v>0</v>
      </c>
      <c r="M882">
        <f>IFERROR(SMALL(M191:M559,ROW()-ROW($M$562)+1),"")</f>
        <v>0</v>
      </c>
      <c r="N882">
        <f>IFERROR(SMALL(N191:N559,ROW()-ROW($N$562)+1),"")</f>
        <v>0</v>
      </c>
    </row>
    <row r="883" spans="5:14">
      <c r="E883">
        <f>IFERROR(SMALL(E191:E559,ROW()-ROW($E$562)+1),"")</f>
        <v>0</v>
      </c>
      <c r="F883">
        <f>IFERROR(SMALL(F191:F559,ROW()-ROW($F$562)+1),"")</f>
        <v>0</v>
      </c>
      <c r="G883">
        <f>IFERROR(SMALL(G191:G559,ROW()-ROW($G$562)+1),"")</f>
        <v>0</v>
      </c>
      <c r="H883">
        <f>IFERROR(SMALL(H191:H559,ROW()-ROW($H$562)+1),"")</f>
        <v>0</v>
      </c>
      <c r="K883">
        <f>IFERROR(SMALL(K191:K559,ROW()-ROW($K$562)+1),"")</f>
        <v>0</v>
      </c>
      <c r="L883">
        <f>IFERROR(SMALL(L191:L559,ROW()-ROW($L$562)+1),"")</f>
        <v>0</v>
      </c>
      <c r="M883">
        <f>IFERROR(SMALL(M191:M559,ROW()-ROW($M$562)+1),"")</f>
        <v>0</v>
      </c>
      <c r="N883">
        <f>IFERROR(SMALL(N191:N559,ROW()-ROW($N$562)+1),"")</f>
        <v>0</v>
      </c>
    </row>
    <row r="884" spans="5:14">
      <c r="E884">
        <f>IFERROR(SMALL(E191:E559,ROW()-ROW($E$562)+1),"")</f>
        <v>0</v>
      </c>
      <c r="F884">
        <f>IFERROR(SMALL(F191:F559,ROW()-ROW($F$562)+1),"")</f>
        <v>0</v>
      </c>
      <c r="G884">
        <f>IFERROR(SMALL(G191:G559,ROW()-ROW($G$562)+1),"")</f>
        <v>0</v>
      </c>
      <c r="H884">
        <f>IFERROR(SMALL(H191:H559,ROW()-ROW($H$562)+1),"")</f>
        <v>0</v>
      </c>
      <c r="K884">
        <f>IFERROR(SMALL(K191:K559,ROW()-ROW($K$562)+1),"")</f>
        <v>0</v>
      </c>
      <c r="L884">
        <f>IFERROR(SMALL(L191:L559,ROW()-ROW($L$562)+1),"")</f>
        <v>0</v>
      </c>
      <c r="M884">
        <f>IFERROR(SMALL(M191:M559,ROW()-ROW($M$562)+1),"")</f>
        <v>0</v>
      </c>
      <c r="N884">
        <f>IFERROR(SMALL(N191:N559,ROW()-ROW($N$562)+1),"")</f>
        <v>0</v>
      </c>
    </row>
    <row r="885" spans="5:14">
      <c r="E885">
        <f>IFERROR(SMALL(E191:E559,ROW()-ROW($E$562)+1),"")</f>
        <v>0</v>
      </c>
      <c r="F885">
        <f>IFERROR(SMALL(F191:F559,ROW()-ROW($F$562)+1),"")</f>
        <v>0</v>
      </c>
      <c r="G885">
        <f>IFERROR(SMALL(G191:G559,ROW()-ROW($G$562)+1),"")</f>
        <v>0</v>
      </c>
      <c r="H885">
        <f>IFERROR(SMALL(H191:H559,ROW()-ROW($H$562)+1),"")</f>
        <v>0</v>
      </c>
      <c r="K885">
        <f>IFERROR(SMALL(K191:K559,ROW()-ROW($K$562)+1),"")</f>
        <v>0</v>
      </c>
      <c r="L885">
        <f>IFERROR(SMALL(L191:L559,ROW()-ROW($L$562)+1),"")</f>
        <v>0</v>
      </c>
      <c r="M885">
        <f>IFERROR(SMALL(M191:M559,ROW()-ROW($M$562)+1),"")</f>
        <v>0</v>
      </c>
      <c r="N885">
        <f>IFERROR(SMALL(N191:N559,ROW()-ROW($N$562)+1),"")</f>
        <v>0</v>
      </c>
    </row>
    <row r="886" spans="5:14">
      <c r="E886">
        <f>IFERROR(SMALL(E191:E559,ROW()-ROW($E$562)+1),"")</f>
        <v>0</v>
      </c>
      <c r="F886">
        <f>IFERROR(SMALL(F191:F559,ROW()-ROW($F$562)+1),"")</f>
        <v>0</v>
      </c>
      <c r="G886">
        <f>IFERROR(SMALL(G191:G559,ROW()-ROW($G$562)+1),"")</f>
        <v>0</v>
      </c>
      <c r="H886">
        <f>IFERROR(SMALL(H191:H559,ROW()-ROW($H$562)+1),"")</f>
        <v>0</v>
      </c>
      <c r="K886">
        <f>IFERROR(SMALL(K191:K559,ROW()-ROW($K$562)+1),"")</f>
        <v>0</v>
      </c>
      <c r="L886">
        <f>IFERROR(SMALL(L191:L559,ROW()-ROW($L$562)+1),"")</f>
        <v>0</v>
      </c>
      <c r="M886">
        <f>IFERROR(SMALL(M191:M559,ROW()-ROW($M$562)+1),"")</f>
        <v>0</v>
      </c>
      <c r="N886">
        <f>IFERROR(SMALL(N191:N559,ROW()-ROW($N$562)+1),"")</f>
        <v>0</v>
      </c>
    </row>
    <row r="887" spans="5:14">
      <c r="E887">
        <f>IFERROR(SMALL(E191:E559,ROW()-ROW($E$562)+1),"")</f>
        <v>0</v>
      </c>
      <c r="F887">
        <f>IFERROR(SMALL(F191:F559,ROW()-ROW($F$562)+1),"")</f>
        <v>0</v>
      </c>
      <c r="G887">
        <f>IFERROR(SMALL(G191:G559,ROW()-ROW($G$562)+1),"")</f>
        <v>0</v>
      </c>
      <c r="H887">
        <f>IFERROR(SMALL(H191:H559,ROW()-ROW($H$562)+1),"")</f>
        <v>0</v>
      </c>
      <c r="K887">
        <f>IFERROR(SMALL(K191:K559,ROW()-ROW($K$562)+1),"")</f>
        <v>0</v>
      </c>
      <c r="L887">
        <f>IFERROR(SMALL(L191:L559,ROW()-ROW($L$562)+1),"")</f>
        <v>0</v>
      </c>
      <c r="M887">
        <f>IFERROR(SMALL(M191:M559,ROW()-ROW($M$562)+1),"")</f>
        <v>0</v>
      </c>
      <c r="N887">
        <f>IFERROR(SMALL(N191:N559,ROW()-ROW($N$562)+1),"")</f>
        <v>0</v>
      </c>
    </row>
    <row r="888" spans="5:14">
      <c r="E888">
        <f>IFERROR(SMALL(E191:E559,ROW()-ROW($E$562)+1),"")</f>
        <v>0</v>
      </c>
      <c r="F888">
        <f>IFERROR(SMALL(F191:F559,ROW()-ROW($F$562)+1),"")</f>
        <v>0</v>
      </c>
      <c r="G888">
        <f>IFERROR(SMALL(G191:G559,ROW()-ROW($G$562)+1),"")</f>
        <v>0</v>
      </c>
      <c r="H888">
        <f>IFERROR(SMALL(H191:H559,ROW()-ROW($H$562)+1),"")</f>
        <v>0</v>
      </c>
      <c r="K888">
        <f>IFERROR(SMALL(K191:K559,ROW()-ROW($K$562)+1),"")</f>
        <v>0</v>
      </c>
      <c r="L888">
        <f>IFERROR(SMALL(L191:L559,ROW()-ROW($L$562)+1),"")</f>
        <v>0</v>
      </c>
      <c r="M888">
        <f>IFERROR(SMALL(M191:M559,ROW()-ROW($M$562)+1),"")</f>
        <v>0</v>
      </c>
      <c r="N888">
        <f>IFERROR(SMALL(N191:N559,ROW()-ROW($N$562)+1),"")</f>
        <v>0</v>
      </c>
    </row>
    <row r="889" spans="5:14">
      <c r="E889">
        <f>IFERROR(SMALL(E191:E559,ROW()-ROW($E$562)+1),"")</f>
        <v>0</v>
      </c>
      <c r="F889">
        <f>IFERROR(SMALL(F191:F559,ROW()-ROW($F$562)+1),"")</f>
        <v>0</v>
      </c>
      <c r="G889">
        <f>IFERROR(SMALL(G191:G559,ROW()-ROW($G$562)+1),"")</f>
        <v>0</v>
      </c>
      <c r="H889">
        <f>IFERROR(SMALL(H191:H559,ROW()-ROW($H$562)+1),"")</f>
        <v>0</v>
      </c>
      <c r="K889">
        <f>IFERROR(SMALL(K191:K559,ROW()-ROW($K$562)+1),"")</f>
        <v>0</v>
      </c>
      <c r="L889">
        <f>IFERROR(SMALL(L191:L559,ROW()-ROW($L$562)+1),"")</f>
        <v>0</v>
      </c>
      <c r="M889">
        <f>IFERROR(SMALL(M191:M559,ROW()-ROW($M$562)+1),"")</f>
        <v>0</v>
      </c>
      <c r="N889">
        <f>IFERROR(SMALL(N191:N559,ROW()-ROW($N$562)+1),"")</f>
        <v>0</v>
      </c>
    </row>
    <row r="890" spans="5:14">
      <c r="E890">
        <f>IFERROR(SMALL(E191:E559,ROW()-ROW($E$562)+1),"")</f>
        <v>0</v>
      </c>
      <c r="F890">
        <f>IFERROR(SMALL(F191:F559,ROW()-ROW($F$562)+1),"")</f>
        <v>0</v>
      </c>
      <c r="G890">
        <f>IFERROR(SMALL(G191:G559,ROW()-ROW($G$562)+1),"")</f>
        <v>0</v>
      </c>
      <c r="H890">
        <f>IFERROR(SMALL(H191:H559,ROW()-ROW($H$562)+1),"")</f>
        <v>0</v>
      </c>
      <c r="K890">
        <f>IFERROR(SMALL(K191:K559,ROW()-ROW($K$562)+1),"")</f>
        <v>0</v>
      </c>
      <c r="L890">
        <f>IFERROR(SMALL(L191:L559,ROW()-ROW($L$562)+1),"")</f>
        <v>0</v>
      </c>
      <c r="M890">
        <f>IFERROR(SMALL(M191:M559,ROW()-ROW($M$562)+1),"")</f>
        <v>0</v>
      </c>
      <c r="N890">
        <f>IFERROR(SMALL(N191:N559,ROW()-ROW($N$562)+1),"")</f>
        <v>0</v>
      </c>
    </row>
    <row r="891" spans="5:14">
      <c r="E891">
        <f>IFERROR(SMALL(E191:E559,ROW()-ROW($E$562)+1),"")</f>
        <v>0</v>
      </c>
      <c r="F891">
        <f>IFERROR(SMALL(F191:F559,ROW()-ROW($F$562)+1),"")</f>
        <v>0</v>
      </c>
      <c r="G891">
        <f>IFERROR(SMALL(G191:G559,ROW()-ROW($G$562)+1),"")</f>
        <v>0</v>
      </c>
      <c r="H891">
        <f>IFERROR(SMALL(H191:H559,ROW()-ROW($H$562)+1),"")</f>
        <v>0</v>
      </c>
      <c r="K891">
        <f>IFERROR(SMALL(K191:K559,ROW()-ROW($K$562)+1),"")</f>
        <v>0</v>
      </c>
      <c r="L891">
        <f>IFERROR(SMALL(L191:L559,ROW()-ROW($L$562)+1),"")</f>
        <v>0</v>
      </c>
      <c r="M891">
        <f>IFERROR(SMALL(M191:M559,ROW()-ROW($M$562)+1),"")</f>
        <v>0</v>
      </c>
      <c r="N891">
        <f>IFERROR(SMALL(N191:N559,ROW()-ROW($N$562)+1),"")</f>
        <v>0</v>
      </c>
    </row>
    <row r="892" spans="5:14">
      <c r="E892">
        <f>IFERROR(SMALL(E191:E559,ROW()-ROW($E$562)+1),"")</f>
        <v>0</v>
      </c>
      <c r="F892">
        <f>IFERROR(SMALL(F191:F559,ROW()-ROW($F$562)+1),"")</f>
        <v>0</v>
      </c>
      <c r="G892">
        <f>IFERROR(SMALL(G191:G559,ROW()-ROW($G$562)+1),"")</f>
        <v>0</v>
      </c>
      <c r="H892">
        <f>IFERROR(SMALL(H191:H559,ROW()-ROW($H$562)+1),"")</f>
        <v>0</v>
      </c>
      <c r="K892">
        <f>IFERROR(SMALL(K191:K559,ROW()-ROW($K$562)+1),"")</f>
        <v>0</v>
      </c>
      <c r="L892">
        <f>IFERROR(SMALL(L191:L559,ROW()-ROW($L$562)+1),"")</f>
        <v>0</v>
      </c>
      <c r="M892">
        <f>IFERROR(SMALL(M191:M559,ROW()-ROW($M$562)+1),"")</f>
        <v>0</v>
      </c>
      <c r="N892">
        <f>IFERROR(SMALL(N191:N559,ROW()-ROW($N$562)+1),"")</f>
        <v>0</v>
      </c>
    </row>
    <row r="893" spans="5:14">
      <c r="E893">
        <f>IFERROR(SMALL(E191:E559,ROW()-ROW($E$562)+1),"")</f>
        <v>0</v>
      </c>
      <c r="F893">
        <f>IFERROR(SMALL(F191:F559,ROW()-ROW($F$562)+1),"")</f>
        <v>0</v>
      </c>
      <c r="G893">
        <f>IFERROR(SMALL(G191:G559,ROW()-ROW($G$562)+1),"")</f>
        <v>0</v>
      </c>
      <c r="H893">
        <f>IFERROR(SMALL(H191:H559,ROW()-ROW($H$562)+1),"")</f>
        <v>0</v>
      </c>
      <c r="K893">
        <f>IFERROR(SMALL(K191:K559,ROW()-ROW($K$562)+1),"")</f>
        <v>0</v>
      </c>
      <c r="L893">
        <f>IFERROR(SMALL(L191:L559,ROW()-ROW($L$562)+1),"")</f>
        <v>0</v>
      </c>
      <c r="M893">
        <f>IFERROR(SMALL(M191:M559,ROW()-ROW($M$562)+1),"")</f>
        <v>0</v>
      </c>
      <c r="N893">
        <f>IFERROR(SMALL(N191:N559,ROW()-ROW($N$562)+1),"")</f>
        <v>0</v>
      </c>
    </row>
    <row r="894" spans="5:14">
      <c r="E894">
        <f>IFERROR(SMALL(E191:E559,ROW()-ROW($E$562)+1),"")</f>
        <v>0</v>
      </c>
      <c r="F894">
        <f>IFERROR(SMALL(F191:F559,ROW()-ROW($F$562)+1),"")</f>
        <v>0</v>
      </c>
      <c r="G894">
        <f>IFERROR(SMALL(G191:G559,ROW()-ROW($G$562)+1),"")</f>
        <v>0</v>
      </c>
      <c r="H894">
        <f>IFERROR(SMALL(H191:H559,ROW()-ROW($H$562)+1),"")</f>
        <v>0</v>
      </c>
      <c r="K894">
        <f>IFERROR(SMALL(K191:K559,ROW()-ROW($K$562)+1),"")</f>
        <v>0</v>
      </c>
      <c r="L894">
        <f>IFERROR(SMALL(L191:L559,ROW()-ROW($L$562)+1),"")</f>
        <v>0</v>
      </c>
      <c r="M894">
        <f>IFERROR(SMALL(M191:M559,ROW()-ROW($M$562)+1),"")</f>
        <v>0</v>
      </c>
      <c r="N894">
        <f>IFERROR(SMALL(N191:N559,ROW()-ROW($N$562)+1),"")</f>
        <v>0</v>
      </c>
    </row>
    <row r="895" spans="5:14">
      <c r="E895">
        <f>IFERROR(SMALL(E191:E559,ROW()-ROW($E$562)+1),"")</f>
        <v>0</v>
      </c>
      <c r="F895">
        <f>IFERROR(SMALL(F191:F559,ROW()-ROW($F$562)+1),"")</f>
        <v>0</v>
      </c>
      <c r="G895">
        <f>IFERROR(SMALL(G191:G559,ROW()-ROW($G$562)+1),"")</f>
        <v>0</v>
      </c>
      <c r="H895">
        <f>IFERROR(SMALL(H191:H559,ROW()-ROW($H$562)+1),"")</f>
        <v>0</v>
      </c>
      <c r="K895">
        <f>IFERROR(SMALL(K191:K559,ROW()-ROW($K$562)+1),"")</f>
        <v>0</v>
      </c>
      <c r="L895">
        <f>IFERROR(SMALL(L191:L559,ROW()-ROW($L$562)+1),"")</f>
        <v>0</v>
      </c>
      <c r="M895">
        <f>IFERROR(SMALL(M191:M559,ROW()-ROW($M$562)+1),"")</f>
        <v>0</v>
      </c>
      <c r="N895">
        <f>IFERROR(SMALL(N191:N559,ROW()-ROW($N$562)+1),"")</f>
        <v>0</v>
      </c>
    </row>
    <row r="896" spans="5:14">
      <c r="E896">
        <f>IFERROR(SMALL(E191:E559,ROW()-ROW($E$562)+1),"")</f>
        <v>0</v>
      </c>
      <c r="F896">
        <f>IFERROR(SMALL(F191:F559,ROW()-ROW($F$562)+1),"")</f>
        <v>0</v>
      </c>
      <c r="G896">
        <f>IFERROR(SMALL(G191:G559,ROW()-ROW($G$562)+1),"")</f>
        <v>0</v>
      </c>
      <c r="H896">
        <f>IFERROR(SMALL(H191:H559,ROW()-ROW($H$562)+1),"")</f>
        <v>0</v>
      </c>
      <c r="K896">
        <f>IFERROR(SMALL(K191:K559,ROW()-ROW($K$562)+1),"")</f>
        <v>0</v>
      </c>
      <c r="L896">
        <f>IFERROR(SMALL(L191:L559,ROW()-ROW($L$562)+1),"")</f>
        <v>0</v>
      </c>
      <c r="M896">
        <f>IFERROR(SMALL(M191:M559,ROW()-ROW($M$562)+1),"")</f>
        <v>0</v>
      </c>
      <c r="N896">
        <f>IFERROR(SMALL(N191:N559,ROW()-ROW($N$562)+1),"")</f>
        <v>0</v>
      </c>
    </row>
    <row r="897" spans="5:14">
      <c r="E897">
        <f>IFERROR(SMALL(E191:E559,ROW()-ROW($E$562)+1),"")</f>
        <v>0</v>
      </c>
      <c r="F897">
        <f>IFERROR(SMALL(F191:F559,ROW()-ROW($F$562)+1),"")</f>
        <v>0</v>
      </c>
      <c r="G897">
        <f>IFERROR(SMALL(G191:G559,ROW()-ROW($G$562)+1),"")</f>
        <v>0</v>
      </c>
      <c r="H897">
        <f>IFERROR(SMALL(H191:H559,ROW()-ROW($H$562)+1),"")</f>
        <v>0</v>
      </c>
      <c r="K897">
        <f>IFERROR(SMALL(K191:K559,ROW()-ROW($K$562)+1),"")</f>
        <v>0</v>
      </c>
      <c r="L897">
        <f>IFERROR(SMALL(L191:L559,ROW()-ROW($L$562)+1),"")</f>
        <v>0</v>
      </c>
      <c r="M897">
        <f>IFERROR(SMALL(M191:M559,ROW()-ROW($M$562)+1),"")</f>
        <v>0</v>
      </c>
      <c r="N897">
        <f>IFERROR(SMALL(N191:N559,ROW()-ROW($N$562)+1),"")</f>
        <v>0</v>
      </c>
    </row>
    <row r="898" spans="5:14">
      <c r="E898">
        <f>IFERROR(SMALL(E191:E559,ROW()-ROW($E$562)+1),"")</f>
        <v>0</v>
      </c>
      <c r="F898">
        <f>IFERROR(SMALL(F191:F559,ROW()-ROW($F$562)+1),"")</f>
        <v>0</v>
      </c>
      <c r="G898">
        <f>IFERROR(SMALL(G191:G559,ROW()-ROW($G$562)+1),"")</f>
        <v>0</v>
      </c>
      <c r="H898">
        <f>IFERROR(SMALL(H191:H559,ROW()-ROW($H$562)+1),"")</f>
        <v>0</v>
      </c>
      <c r="K898">
        <f>IFERROR(SMALL(K191:K559,ROW()-ROW($K$562)+1),"")</f>
        <v>0</v>
      </c>
      <c r="L898">
        <f>IFERROR(SMALL(L191:L559,ROW()-ROW($L$562)+1),"")</f>
        <v>0</v>
      </c>
      <c r="M898">
        <f>IFERROR(SMALL(M191:M559,ROW()-ROW($M$562)+1),"")</f>
        <v>0</v>
      </c>
      <c r="N898">
        <f>IFERROR(SMALL(N191:N559,ROW()-ROW($N$562)+1),"")</f>
        <v>0</v>
      </c>
    </row>
    <row r="899" spans="5:14">
      <c r="E899">
        <f>IFERROR(SMALL(E191:E559,ROW()-ROW($E$562)+1),"")</f>
        <v>0</v>
      </c>
      <c r="F899">
        <f>IFERROR(SMALL(F191:F559,ROW()-ROW($F$562)+1),"")</f>
        <v>0</v>
      </c>
      <c r="G899">
        <f>IFERROR(SMALL(G191:G559,ROW()-ROW($G$562)+1),"")</f>
        <v>0</v>
      </c>
      <c r="H899">
        <f>IFERROR(SMALL(H191:H559,ROW()-ROW($H$562)+1),"")</f>
        <v>0</v>
      </c>
      <c r="K899">
        <f>IFERROR(SMALL(K191:K559,ROW()-ROW($K$562)+1),"")</f>
        <v>0</v>
      </c>
      <c r="L899">
        <f>IFERROR(SMALL(L191:L559,ROW()-ROW($L$562)+1),"")</f>
        <v>0</v>
      </c>
      <c r="M899">
        <f>IFERROR(SMALL(M191:M559,ROW()-ROW($M$562)+1),"")</f>
        <v>0</v>
      </c>
      <c r="N899">
        <f>IFERROR(SMALL(N191:N559,ROW()-ROW($N$562)+1),"")</f>
        <v>0</v>
      </c>
    </row>
    <row r="900" spans="5:14">
      <c r="E900">
        <f>IFERROR(SMALL(E191:E559,ROW()-ROW($E$562)+1),"")</f>
        <v>0</v>
      </c>
      <c r="F900">
        <f>IFERROR(SMALL(F191:F559,ROW()-ROW($F$562)+1),"")</f>
        <v>0</v>
      </c>
      <c r="G900">
        <f>IFERROR(SMALL(G191:G559,ROW()-ROW($G$562)+1),"")</f>
        <v>0</v>
      </c>
      <c r="H900">
        <f>IFERROR(SMALL(H191:H559,ROW()-ROW($H$562)+1),"")</f>
        <v>0</v>
      </c>
      <c r="K900">
        <f>IFERROR(SMALL(K191:K559,ROW()-ROW($K$562)+1),"")</f>
        <v>0</v>
      </c>
      <c r="L900">
        <f>IFERROR(SMALL(L191:L559,ROW()-ROW($L$562)+1),"")</f>
        <v>0</v>
      </c>
      <c r="M900">
        <f>IFERROR(SMALL(M191:M559,ROW()-ROW($M$562)+1),"")</f>
        <v>0</v>
      </c>
      <c r="N900">
        <f>IFERROR(SMALL(N191:N559,ROW()-ROW($N$562)+1),"")</f>
        <v>0</v>
      </c>
    </row>
    <row r="901" spans="5:14">
      <c r="E901">
        <f>IFERROR(SMALL(E191:E559,ROW()-ROW($E$562)+1),"")</f>
        <v>0</v>
      </c>
      <c r="F901">
        <f>IFERROR(SMALL(F191:F559,ROW()-ROW($F$562)+1),"")</f>
        <v>0</v>
      </c>
      <c r="G901">
        <f>IFERROR(SMALL(G191:G559,ROW()-ROW($G$562)+1),"")</f>
        <v>0</v>
      </c>
      <c r="H901">
        <f>IFERROR(SMALL(H191:H559,ROW()-ROW($H$562)+1),"")</f>
        <v>0</v>
      </c>
      <c r="K901">
        <f>IFERROR(SMALL(K191:K559,ROW()-ROW($K$562)+1),"")</f>
        <v>0</v>
      </c>
      <c r="L901">
        <f>IFERROR(SMALL(L191:L559,ROW()-ROW($L$562)+1),"")</f>
        <v>0</v>
      </c>
      <c r="M901">
        <f>IFERROR(SMALL(M191:M559,ROW()-ROW($M$562)+1),"")</f>
        <v>0</v>
      </c>
      <c r="N901">
        <f>IFERROR(SMALL(N191:N559,ROW()-ROW($N$562)+1),"")</f>
        <v>0</v>
      </c>
    </row>
    <row r="902" spans="5:14">
      <c r="E902">
        <f>IFERROR(SMALL(E191:E559,ROW()-ROW($E$562)+1),"")</f>
        <v>0</v>
      </c>
      <c r="F902">
        <f>IFERROR(SMALL(F191:F559,ROW()-ROW($F$562)+1),"")</f>
        <v>0</v>
      </c>
      <c r="G902">
        <f>IFERROR(SMALL(G191:G559,ROW()-ROW($G$562)+1),"")</f>
        <v>0</v>
      </c>
      <c r="H902">
        <f>IFERROR(SMALL(H191:H559,ROW()-ROW($H$562)+1),"")</f>
        <v>0</v>
      </c>
      <c r="K902">
        <f>IFERROR(SMALL(K191:K559,ROW()-ROW($K$562)+1),"")</f>
        <v>0</v>
      </c>
      <c r="L902">
        <f>IFERROR(SMALL(L191:L559,ROW()-ROW($L$562)+1),"")</f>
        <v>0</v>
      </c>
      <c r="M902">
        <f>IFERROR(SMALL(M191:M559,ROW()-ROW($M$562)+1),"")</f>
        <v>0</v>
      </c>
      <c r="N902">
        <f>IFERROR(SMALL(N191:N559,ROW()-ROW($N$562)+1),"")</f>
        <v>0</v>
      </c>
    </row>
    <row r="903" spans="5:14">
      <c r="E903">
        <f>IFERROR(SMALL(E191:E559,ROW()-ROW($E$562)+1),"")</f>
        <v>0</v>
      </c>
      <c r="F903">
        <f>IFERROR(SMALL(F191:F559,ROW()-ROW($F$562)+1),"")</f>
        <v>0</v>
      </c>
      <c r="G903">
        <f>IFERROR(SMALL(G191:G559,ROW()-ROW($G$562)+1),"")</f>
        <v>0</v>
      </c>
      <c r="H903">
        <f>IFERROR(SMALL(H191:H559,ROW()-ROW($H$562)+1),"")</f>
        <v>0</v>
      </c>
      <c r="K903">
        <f>IFERROR(SMALL(K191:K559,ROW()-ROW($K$562)+1),"")</f>
        <v>0</v>
      </c>
      <c r="L903">
        <f>IFERROR(SMALL(L191:L559,ROW()-ROW($L$562)+1),"")</f>
        <v>0</v>
      </c>
      <c r="M903">
        <f>IFERROR(SMALL(M191:M559,ROW()-ROW($M$562)+1),"")</f>
        <v>0</v>
      </c>
      <c r="N903">
        <f>IFERROR(SMALL(N191:N559,ROW()-ROW($N$562)+1),"")</f>
        <v>0</v>
      </c>
    </row>
    <row r="904" spans="5:14">
      <c r="E904">
        <f>IFERROR(SMALL(E191:E559,ROW()-ROW($E$562)+1),"")</f>
        <v>0</v>
      </c>
      <c r="F904">
        <f>IFERROR(SMALL(F191:F559,ROW()-ROW($F$562)+1),"")</f>
        <v>0</v>
      </c>
      <c r="G904">
        <f>IFERROR(SMALL(G191:G559,ROW()-ROW($G$562)+1),"")</f>
        <v>0</v>
      </c>
      <c r="H904">
        <f>IFERROR(SMALL(H191:H559,ROW()-ROW($H$562)+1),"")</f>
        <v>0</v>
      </c>
      <c r="K904">
        <f>IFERROR(SMALL(K191:K559,ROW()-ROW($K$562)+1),"")</f>
        <v>0</v>
      </c>
      <c r="L904">
        <f>IFERROR(SMALL(L191:L559,ROW()-ROW($L$562)+1),"")</f>
        <v>0</v>
      </c>
      <c r="M904">
        <f>IFERROR(SMALL(M191:M559,ROW()-ROW($M$562)+1),"")</f>
        <v>0</v>
      </c>
      <c r="N904">
        <f>IFERROR(SMALL(N191:N559,ROW()-ROW($N$562)+1),"")</f>
        <v>0</v>
      </c>
    </row>
    <row r="905" spans="5:14">
      <c r="E905">
        <f>IFERROR(SMALL(E191:E559,ROW()-ROW($E$562)+1),"")</f>
        <v>0</v>
      </c>
      <c r="F905">
        <f>IFERROR(SMALL(F191:F559,ROW()-ROW($F$562)+1),"")</f>
        <v>0</v>
      </c>
      <c r="G905">
        <f>IFERROR(SMALL(G191:G559,ROW()-ROW($G$562)+1),"")</f>
        <v>0</v>
      </c>
      <c r="H905">
        <f>IFERROR(SMALL(H191:H559,ROW()-ROW($H$562)+1),"")</f>
        <v>0</v>
      </c>
      <c r="K905">
        <f>IFERROR(SMALL(K191:K559,ROW()-ROW($K$562)+1),"")</f>
        <v>0</v>
      </c>
      <c r="L905">
        <f>IFERROR(SMALL(L191:L559,ROW()-ROW($L$562)+1),"")</f>
        <v>0</v>
      </c>
      <c r="M905">
        <f>IFERROR(SMALL(M191:M559,ROW()-ROW($M$562)+1),"")</f>
        <v>0</v>
      </c>
      <c r="N905">
        <f>IFERROR(SMALL(N191:N559,ROW()-ROW($N$562)+1),"")</f>
        <v>0</v>
      </c>
    </row>
    <row r="906" spans="5:14">
      <c r="E906">
        <f>IFERROR(SMALL(E191:E559,ROW()-ROW($E$562)+1),"")</f>
        <v>0</v>
      </c>
      <c r="F906">
        <f>IFERROR(SMALL(F191:F559,ROW()-ROW($F$562)+1),"")</f>
        <v>0</v>
      </c>
      <c r="G906">
        <f>IFERROR(SMALL(G191:G559,ROW()-ROW($G$562)+1),"")</f>
        <v>0</v>
      </c>
      <c r="H906">
        <f>IFERROR(SMALL(H191:H559,ROW()-ROW($H$562)+1),"")</f>
        <v>0</v>
      </c>
      <c r="K906">
        <f>IFERROR(SMALL(K191:K559,ROW()-ROW($K$562)+1),"")</f>
        <v>0</v>
      </c>
      <c r="L906">
        <f>IFERROR(SMALL(L191:L559,ROW()-ROW($L$562)+1),"")</f>
        <v>0</v>
      </c>
      <c r="M906">
        <f>IFERROR(SMALL(M191:M559,ROW()-ROW($M$562)+1),"")</f>
        <v>0</v>
      </c>
      <c r="N906">
        <f>IFERROR(SMALL(N191:N559,ROW()-ROW($N$562)+1),"")</f>
        <v>0</v>
      </c>
    </row>
    <row r="907" spans="5:14">
      <c r="E907">
        <f>IFERROR(SMALL(E191:E559,ROW()-ROW($E$562)+1),"")</f>
        <v>0</v>
      </c>
      <c r="F907">
        <f>IFERROR(SMALL(F191:F559,ROW()-ROW($F$562)+1),"")</f>
        <v>0</v>
      </c>
      <c r="G907">
        <f>IFERROR(SMALL(G191:G559,ROW()-ROW($G$562)+1),"")</f>
        <v>0</v>
      </c>
      <c r="H907">
        <f>IFERROR(SMALL(H191:H559,ROW()-ROW($H$562)+1),"")</f>
        <v>0</v>
      </c>
      <c r="K907">
        <f>IFERROR(SMALL(K191:K559,ROW()-ROW($K$562)+1),"")</f>
        <v>0</v>
      </c>
      <c r="L907">
        <f>IFERROR(SMALL(L191:L559,ROW()-ROW($L$562)+1),"")</f>
        <v>0</v>
      </c>
      <c r="M907">
        <f>IFERROR(SMALL(M191:M559,ROW()-ROW($M$562)+1),"")</f>
        <v>0</v>
      </c>
      <c r="N907">
        <f>IFERROR(SMALL(N191:N559,ROW()-ROW($N$562)+1),"")</f>
        <v>0</v>
      </c>
    </row>
    <row r="908" spans="5:14">
      <c r="E908">
        <f>IFERROR(SMALL(E191:E559,ROW()-ROW($E$562)+1),"")</f>
        <v>0</v>
      </c>
      <c r="F908">
        <f>IFERROR(SMALL(F191:F559,ROW()-ROW($F$562)+1),"")</f>
        <v>0</v>
      </c>
      <c r="G908">
        <f>IFERROR(SMALL(G191:G559,ROW()-ROW($G$562)+1),"")</f>
        <v>0</v>
      </c>
      <c r="H908">
        <f>IFERROR(SMALL(H191:H559,ROW()-ROW($H$562)+1),"")</f>
        <v>0</v>
      </c>
      <c r="K908">
        <f>IFERROR(SMALL(K191:K559,ROW()-ROW($K$562)+1),"")</f>
        <v>0</v>
      </c>
      <c r="L908">
        <f>IFERROR(SMALL(L191:L559,ROW()-ROW($L$562)+1),"")</f>
        <v>0</v>
      </c>
      <c r="M908">
        <f>IFERROR(SMALL(M191:M559,ROW()-ROW($M$562)+1),"")</f>
        <v>0</v>
      </c>
      <c r="N908">
        <f>IFERROR(SMALL(N191:N559,ROW()-ROW($N$562)+1),"")</f>
        <v>0</v>
      </c>
    </row>
    <row r="909" spans="5:14">
      <c r="E909">
        <f>IFERROR(SMALL(E191:E559,ROW()-ROW($E$562)+1),"")</f>
        <v>0</v>
      </c>
      <c r="F909">
        <f>IFERROR(SMALL(F191:F559,ROW()-ROW($F$562)+1),"")</f>
        <v>0</v>
      </c>
      <c r="G909">
        <f>IFERROR(SMALL(G191:G559,ROW()-ROW($G$562)+1),"")</f>
        <v>0</v>
      </c>
      <c r="H909">
        <f>IFERROR(SMALL(H191:H559,ROW()-ROW($H$562)+1),"")</f>
        <v>0</v>
      </c>
      <c r="K909">
        <f>IFERROR(SMALL(K191:K559,ROW()-ROW($K$562)+1),"")</f>
        <v>0</v>
      </c>
      <c r="L909">
        <f>IFERROR(SMALL(L191:L559,ROW()-ROW($L$562)+1),"")</f>
        <v>0</v>
      </c>
      <c r="M909">
        <f>IFERROR(SMALL(M191:M559,ROW()-ROW($M$562)+1),"")</f>
        <v>0</v>
      </c>
      <c r="N909">
        <f>IFERROR(SMALL(N191:N559,ROW()-ROW($N$562)+1),"")</f>
        <v>0</v>
      </c>
    </row>
    <row r="910" spans="5:14">
      <c r="E910">
        <f>IFERROR(SMALL(E191:E559,ROW()-ROW($E$562)+1),"")</f>
        <v>0</v>
      </c>
      <c r="F910">
        <f>IFERROR(SMALL(F191:F559,ROW()-ROW($F$562)+1),"")</f>
        <v>0</v>
      </c>
      <c r="G910">
        <f>IFERROR(SMALL(G191:G559,ROW()-ROW($G$562)+1),"")</f>
        <v>0</v>
      </c>
      <c r="H910">
        <f>IFERROR(SMALL(H191:H559,ROW()-ROW($H$562)+1),"")</f>
        <v>0</v>
      </c>
      <c r="K910">
        <f>IFERROR(SMALL(K191:K559,ROW()-ROW($K$562)+1),"")</f>
        <v>0</v>
      </c>
      <c r="L910">
        <f>IFERROR(SMALL(L191:L559,ROW()-ROW($L$562)+1),"")</f>
        <v>0</v>
      </c>
      <c r="M910">
        <f>IFERROR(SMALL(M191:M559,ROW()-ROW($M$562)+1),"")</f>
        <v>0</v>
      </c>
      <c r="N910">
        <f>IFERROR(SMALL(N191:N559,ROW()-ROW($N$562)+1),"")</f>
        <v>0</v>
      </c>
    </row>
    <row r="911" spans="5:14">
      <c r="E911">
        <f>IFERROR(SMALL(E191:E559,ROW()-ROW($E$562)+1),"")</f>
        <v>0</v>
      </c>
      <c r="F911">
        <f>IFERROR(SMALL(F191:F559,ROW()-ROW($F$562)+1),"")</f>
        <v>0</v>
      </c>
      <c r="G911">
        <f>IFERROR(SMALL(G191:G559,ROW()-ROW($G$562)+1),"")</f>
        <v>0</v>
      </c>
      <c r="H911">
        <f>IFERROR(SMALL(H191:H559,ROW()-ROW($H$562)+1),"")</f>
        <v>0</v>
      </c>
      <c r="K911">
        <f>IFERROR(SMALL(K191:K559,ROW()-ROW($K$562)+1),"")</f>
        <v>0</v>
      </c>
      <c r="L911">
        <f>IFERROR(SMALL(L191:L559,ROW()-ROW($L$562)+1),"")</f>
        <v>0</v>
      </c>
      <c r="M911">
        <f>IFERROR(SMALL(M191:M559,ROW()-ROW($M$562)+1),"")</f>
        <v>0</v>
      </c>
      <c r="N911">
        <f>IFERROR(SMALL(N191:N559,ROW()-ROW($N$562)+1),"")</f>
        <v>0</v>
      </c>
    </row>
    <row r="912" spans="5:14">
      <c r="E912">
        <f>IFERROR(SMALL(E191:E559,ROW()-ROW($E$562)+1),"")</f>
        <v>0</v>
      </c>
      <c r="F912">
        <f>IFERROR(SMALL(F191:F559,ROW()-ROW($F$562)+1),"")</f>
        <v>0</v>
      </c>
      <c r="G912">
        <f>IFERROR(SMALL(G191:G559,ROW()-ROW($G$562)+1),"")</f>
        <v>0</v>
      </c>
      <c r="H912">
        <f>IFERROR(SMALL(H191:H559,ROW()-ROW($H$562)+1),"")</f>
        <v>0</v>
      </c>
      <c r="K912">
        <f>IFERROR(SMALL(K191:K559,ROW()-ROW($K$562)+1),"")</f>
        <v>0</v>
      </c>
      <c r="L912">
        <f>IFERROR(SMALL(L191:L559,ROW()-ROW($L$562)+1),"")</f>
        <v>0</v>
      </c>
      <c r="M912">
        <f>IFERROR(SMALL(M191:M559,ROW()-ROW($M$562)+1),"")</f>
        <v>0</v>
      </c>
      <c r="N912">
        <f>IFERROR(SMALL(N191:N559,ROW()-ROW($N$562)+1),"")</f>
        <v>0</v>
      </c>
    </row>
    <row r="913" spans="5:14">
      <c r="E913">
        <f>IFERROR(SMALL(E191:E559,ROW()-ROW($E$562)+1),"")</f>
        <v>0</v>
      </c>
      <c r="F913">
        <f>IFERROR(SMALL(F191:F559,ROW()-ROW($F$562)+1),"")</f>
        <v>0</v>
      </c>
      <c r="G913">
        <f>IFERROR(SMALL(G191:G559,ROW()-ROW($G$562)+1),"")</f>
        <v>0</v>
      </c>
      <c r="H913">
        <f>IFERROR(SMALL(H191:H559,ROW()-ROW($H$562)+1),"")</f>
        <v>0</v>
      </c>
      <c r="K913">
        <f>IFERROR(SMALL(K191:K559,ROW()-ROW($K$562)+1),"")</f>
        <v>0</v>
      </c>
      <c r="L913">
        <f>IFERROR(SMALL(L191:L559,ROW()-ROW($L$562)+1),"")</f>
        <v>0</v>
      </c>
      <c r="M913">
        <f>IFERROR(SMALL(M191:M559,ROW()-ROW($M$562)+1),"")</f>
        <v>0</v>
      </c>
      <c r="N913">
        <f>IFERROR(SMALL(N191:N559,ROW()-ROW($N$562)+1),"")</f>
        <v>0</v>
      </c>
    </row>
    <row r="914" spans="5:14">
      <c r="E914">
        <f>IFERROR(SMALL(E191:E559,ROW()-ROW($E$562)+1),"")</f>
        <v>0</v>
      </c>
      <c r="F914">
        <f>IFERROR(SMALL(F191:F559,ROW()-ROW($F$562)+1),"")</f>
        <v>0</v>
      </c>
      <c r="G914">
        <f>IFERROR(SMALL(G191:G559,ROW()-ROW($G$562)+1),"")</f>
        <v>0</v>
      </c>
      <c r="H914">
        <f>IFERROR(SMALL(H191:H559,ROW()-ROW($H$562)+1),"")</f>
        <v>0</v>
      </c>
      <c r="K914">
        <f>IFERROR(SMALL(K191:K559,ROW()-ROW($K$562)+1),"")</f>
        <v>0</v>
      </c>
      <c r="L914">
        <f>IFERROR(SMALL(L191:L559,ROW()-ROW($L$562)+1),"")</f>
        <v>0</v>
      </c>
      <c r="M914">
        <f>IFERROR(SMALL(M191:M559,ROW()-ROW($M$562)+1),"")</f>
        <v>0</v>
      </c>
      <c r="N914">
        <f>IFERROR(SMALL(N191:N559,ROW()-ROW($N$562)+1),"")</f>
        <v>0</v>
      </c>
    </row>
    <row r="915" spans="5:14">
      <c r="E915">
        <f>IFERROR(SMALL(E191:E559,ROW()-ROW($E$562)+1),"")</f>
        <v>0</v>
      </c>
      <c r="F915">
        <f>IFERROR(SMALL(F191:F559,ROW()-ROW($F$562)+1),"")</f>
        <v>0</v>
      </c>
      <c r="G915">
        <f>IFERROR(SMALL(G191:G559,ROW()-ROW($G$562)+1),"")</f>
        <v>0</v>
      </c>
      <c r="H915">
        <f>IFERROR(SMALL(H191:H559,ROW()-ROW($H$562)+1),"")</f>
        <v>0</v>
      </c>
      <c r="K915">
        <f>IFERROR(SMALL(K191:K559,ROW()-ROW($K$562)+1),"")</f>
        <v>0</v>
      </c>
      <c r="L915">
        <f>IFERROR(SMALL(L191:L559,ROW()-ROW($L$562)+1),"")</f>
        <v>0</v>
      </c>
      <c r="M915">
        <f>IFERROR(SMALL(M191:M559,ROW()-ROW($M$562)+1),"")</f>
        <v>0</v>
      </c>
      <c r="N915">
        <f>IFERROR(SMALL(N191:N559,ROW()-ROW($N$562)+1),"")</f>
        <v>0</v>
      </c>
    </row>
    <row r="916" spans="5:14">
      <c r="E916">
        <f>IFERROR(SMALL(E191:E559,ROW()-ROW($E$562)+1),"")</f>
        <v>0</v>
      </c>
      <c r="F916">
        <f>IFERROR(SMALL(F191:F559,ROW()-ROW($F$562)+1),"")</f>
        <v>0</v>
      </c>
      <c r="G916">
        <f>IFERROR(SMALL(G191:G559,ROW()-ROW($G$562)+1),"")</f>
        <v>0</v>
      </c>
      <c r="H916">
        <f>IFERROR(SMALL(H191:H559,ROW()-ROW($H$562)+1),"")</f>
        <v>0</v>
      </c>
      <c r="K916">
        <f>IFERROR(SMALL(K191:K559,ROW()-ROW($K$562)+1),"")</f>
        <v>0</v>
      </c>
      <c r="L916">
        <f>IFERROR(SMALL(L191:L559,ROW()-ROW($L$562)+1),"")</f>
        <v>0</v>
      </c>
      <c r="M916">
        <f>IFERROR(SMALL(M191:M559,ROW()-ROW($M$562)+1),"")</f>
        <v>0</v>
      </c>
      <c r="N916">
        <f>IFERROR(SMALL(N191:N559,ROW()-ROW($N$562)+1),"")</f>
        <v>0</v>
      </c>
    </row>
    <row r="917" spans="5:14">
      <c r="E917">
        <f>IFERROR(SMALL(E191:E559,ROW()-ROW($E$562)+1),"")</f>
        <v>0</v>
      </c>
      <c r="F917">
        <f>IFERROR(SMALL(F191:F559,ROW()-ROW($F$562)+1),"")</f>
        <v>0</v>
      </c>
      <c r="G917">
        <f>IFERROR(SMALL(G191:G559,ROW()-ROW($G$562)+1),"")</f>
        <v>0</v>
      </c>
      <c r="H917">
        <f>IFERROR(SMALL(H191:H559,ROW()-ROW($H$562)+1),"")</f>
        <v>0</v>
      </c>
      <c r="K917">
        <f>IFERROR(SMALL(K191:K559,ROW()-ROW($K$562)+1),"")</f>
        <v>0</v>
      </c>
      <c r="L917">
        <f>IFERROR(SMALL(L191:L559,ROW()-ROW($L$562)+1),"")</f>
        <v>0</v>
      </c>
      <c r="M917">
        <f>IFERROR(SMALL(M191:M559,ROW()-ROW($M$562)+1),"")</f>
        <v>0</v>
      </c>
      <c r="N917">
        <f>IFERROR(SMALL(N191:N559,ROW()-ROW($N$562)+1),"")</f>
        <v>0</v>
      </c>
    </row>
    <row r="918" spans="5:14">
      <c r="E918">
        <f>IFERROR(SMALL(E191:E559,ROW()-ROW($E$562)+1),"")</f>
        <v>0</v>
      </c>
      <c r="F918">
        <f>IFERROR(SMALL(F191:F559,ROW()-ROW($F$562)+1),"")</f>
        <v>0</v>
      </c>
      <c r="G918">
        <f>IFERROR(SMALL(G191:G559,ROW()-ROW($G$562)+1),"")</f>
        <v>0</v>
      </c>
      <c r="H918">
        <f>IFERROR(SMALL(H191:H559,ROW()-ROW($H$562)+1),"")</f>
        <v>0</v>
      </c>
      <c r="K918">
        <f>IFERROR(SMALL(K191:K559,ROW()-ROW($K$562)+1),"")</f>
        <v>0</v>
      </c>
      <c r="L918">
        <f>IFERROR(SMALL(L191:L559,ROW()-ROW($L$562)+1),"")</f>
        <v>0</v>
      </c>
      <c r="M918">
        <f>IFERROR(SMALL(M191:M559,ROW()-ROW($M$562)+1),"")</f>
        <v>0</v>
      </c>
      <c r="N918">
        <f>IFERROR(SMALL(N191:N559,ROW()-ROW($N$562)+1),"")</f>
        <v>0</v>
      </c>
    </row>
    <row r="919" spans="5:14">
      <c r="E919">
        <f>IFERROR(SMALL(E191:E559,ROW()-ROW($E$562)+1),"")</f>
        <v>0</v>
      </c>
      <c r="F919">
        <f>IFERROR(SMALL(F191:F559,ROW()-ROW($F$562)+1),"")</f>
        <v>0</v>
      </c>
      <c r="G919">
        <f>IFERROR(SMALL(G191:G559,ROW()-ROW($G$562)+1),"")</f>
        <v>0</v>
      </c>
      <c r="H919">
        <f>IFERROR(SMALL(H191:H559,ROW()-ROW($H$562)+1),"")</f>
        <v>0</v>
      </c>
      <c r="K919">
        <f>IFERROR(SMALL(K191:K559,ROW()-ROW($K$562)+1),"")</f>
        <v>0</v>
      </c>
      <c r="L919">
        <f>IFERROR(SMALL(L191:L559,ROW()-ROW($L$562)+1),"")</f>
        <v>0</v>
      </c>
      <c r="M919">
        <f>IFERROR(SMALL(M191:M559,ROW()-ROW($M$562)+1),"")</f>
        <v>0</v>
      </c>
      <c r="N919">
        <f>IFERROR(SMALL(N191:N559,ROW()-ROW($N$562)+1),"")</f>
        <v>0</v>
      </c>
    </row>
    <row r="920" spans="5:14">
      <c r="E920">
        <f>IFERROR(SMALL(E191:E559,ROW()-ROW($E$562)+1),"")</f>
        <v>0</v>
      </c>
      <c r="F920">
        <f>IFERROR(SMALL(F191:F559,ROW()-ROW($F$562)+1),"")</f>
        <v>0</v>
      </c>
      <c r="G920">
        <f>IFERROR(SMALL(G191:G559,ROW()-ROW($G$562)+1),"")</f>
        <v>0</v>
      </c>
      <c r="H920">
        <f>IFERROR(SMALL(H191:H559,ROW()-ROW($H$562)+1),"")</f>
        <v>0</v>
      </c>
      <c r="K920">
        <f>IFERROR(SMALL(K191:K559,ROW()-ROW($K$562)+1),"")</f>
        <v>0</v>
      </c>
      <c r="L920">
        <f>IFERROR(SMALL(L191:L559,ROW()-ROW($L$562)+1),"")</f>
        <v>0</v>
      </c>
      <c r="M920">
        <f>IFERROR(SMALL(M191:M559,ROW()-ROW($M$562)+1),"")</f>
        <v>0</v>
      </c>
      <c r="N920">
        <f>IFERROR(SMALL(N191:N559,ROW()-ROW($N$562)+1),"")</f>
        <v>0</v>
      </c>
    </row>
    <row r="921" spans="5:14">
      <c r="E921">
        <f>IFERROR(SMALL(E191:E559,ROW()-ROW($E$562)+1),"")</f>
        <v>0</v>
      </c>
      <c r="F921">
        <f>IFERROR(SMALL(F191:F559,ROW()-ROW($F$562)+1),"")</f>
        <v>0</v>
      </c>
      <c r="G921">
        <f>IFERROR(SMALL(G191:G559,ROW()-ROW($G$562)+1),"")</f>
        <v>0</v>
      </c>
      <c r="H921">
        <f>IFERROR(SMALL(H191:H559,ROW()-ROW($H$562)+1),"")</f>
        <v>0</v>
      </c>
      <c r="K921">
        <f>IFERROR(SMALL(K191:K559,ROW()-ROW($K$562)+1),"")</f>
        <v>0</v>
      </c>
      <c r="L921">
        <f>IFERROR(SMALL(L191:L559,ROW()-ROW($L$562)+1),"")</f>
        <v>0</v>
      </c>
      <c r="M921">
        <f>IFERROR(SMALL(M191:M559,ROW()-ROW($M$562)+1),"")</f>
        <v>0</v>
      </c>
      <c r="N921">
        <f>IFERROR(SMALL(N191:N559,ROW()-ROW($N$562)+1),"")</f>
        <v>0</v>
      </c>
    </row>
    <row r="922" spans="5:14">
      <c r="E922">
        <f>IFERROR(SMALL(E191:E559,ROW()-ROW($E$562)+1),"")</f>
        <v>0</v>
      </c>
      <c r="F922">
        <f>IFERROR(SMALL(F191:F559,ROW()-ROW($F$562)+1),"")</f>
        <v>0</v>
      </c>
      <c r="G922">
        <f>IFERROR(SMALL(G191:G559,ROW()-ROW($G$562)+1),"")</f>
        <v>0</v>
      </c>
      <c r="H922">
        <f>IFERROR(SMALL(H191:H559,ROW()-ROW($H$562)+1),"")</f>
        <v>0</v>
      </c>
      <c r="K922">
        <f>IFERROR(SMALL(K191:K559,ROW()-ROW($K$562)+1),"")</f>
        <v>0</v>
      </c>
      <c r="L922">
        <f>IFERROR(SMALL(L191:L559,ROW()-ROW($L$562)+1),"")</f>
        <v>0</v>
      </c>
      <c r="M922">
        <f>IFERROR(SMALL(M191:M559,ROW()-ROW($M$562)+1),"")</f>
        <v>0</v>
      </c>
      <c r="N922">
        <f>IFERROR(SMALL(N191:N559,ROW()-ROW($N$562)+1),"")</f>
        <v>0</v>
      </c>
    </row>
    <row r="923" spans="5:14">
      <c r="E923">
        <f>IFERROR(SMALL(E191:E559,ROW()-ROW($E$562)+1),"")</f>
        <v>0</v>
      </c>
      <c r="F923">
        <f>IFERROR(SMALL(F191:F559,ROW()-ROW($F$562)+1),"")</f>
        <v>0</v>
      </c>
      <c r="G923">
        <f>IFERROR(SMALL(G191:G559,ROW()-ROW($G$562)+1),"")</f>
        <v>0</v>
      </c>
      <c r="H923">
        <f>IFERROR(SMALL(H191:H559,ROW()-ROW($H$562)+1),"")</f>
        <v>0</v>
      </c>
      <c r="K923">
        <f>IFERROR(SMALL(K191:K559,ROW()-ROW($K$562)+1),"")</f>
        <v>0</v>
      </c>
      <c r="L923">
        <f>IFERROR(SMALL(L191:L559,ROW()-ROW($L$562)+1),"")</f>
        <v>0</v>
      </c>
      <c r="M923">
        <f>IFERROR(SMALL(M191:M559,ROW()-ROW($M$562)+1),"")</f>
        <v>0</v>
      </c>
      <c r="N923">
        <f>IFERROR(SMALL(N191:N559,ROW()-ROW($N$562)+1),"")</f>
        <v>0</v>
      </c>
    </row>
    <row r="924" spans="5:14">
      <c r="E924">
        <f>IFERROR(SMALL(E191:E559,ROW()-ROW($E$562)+1),"")</f>
        <v>0</v>
      </c>
      <c r="F924">
        <f>IFERROR(SMALL(F191:F559,ROW()-ROW($F$562)+1),"")</f>
        <v>0</v>
      </c>
      <c r="G924">
        <f>IFERROR(SMALL(G191:G559,ROW()-ROW($G$562)+1),"")</f>
        <v>0</v>
      </c>
      <c r="H924">
        <f>IFERROR(SMALL(H191:H559,ROW()-ROW($H$562)+1),"")</f>
        <v>0</v>
      </c>
      <c r="K924">
        <f>IFERROR(SMALL(K191:K559,ROW()-ROW($K$562)+1),"")</f>
        <v>0</v>
      </c>
      <c r="L924">
        <f>IFERROR(SMALL(L191:L559,ROW()-ROW($L$562)+1),"")</f>
        <v>0</v>
      </c>
      <c r="M924">
        <f>IFERROR(SMALL(M191:M559,ROW()-ROW($M$562)+1),"")</f>
        <v>0</v>
      </c>
      <c r="N924">
        <f>IFERROR(SMALL(N191:N559,ROW()-ROW($N$562)+1),"")</f>
        <v>0</v>
      </c>
    </row>
    <row r="925" spans="5:14">
      <c r="E925">
        <f>IFERROR(SMALL(E191:E559,ROW()-ROW($E$562)+1),"")</f>
        <v>0</v>
      </c>
      <c r="F925">
        <f>IFERROR(SMALL(F191:F559,ROW()-ROW($F$562)+1),"")</f>
        <v>0</v>
      </c>
      <c r="G925">
        <f>IFERROR(SMALL(G191:G559,ROW()-ROW($G$562)+1),"")</f>
        <v>0</v>
      </c>
      <c r="H925">
        <f>IFERROR(SMALL(H191:H559,ROW()-ROW($H$562)+1),"")</f>
        <v>0</v>
      </c>
      <c r="K925">
        <f>IFERROR(SMALL(K191:K559,ROW()-ROW($K$562)+1),"")</f>
        <v>0</v>
      </c>
      <c r="L925">
        <f>IFERROR(SMALL(L191:L559,ROW()-ROW($L$562)+1),"")</f>
        <v>0</v>
      </c>
      <c r="M925">
        <f>IFERROR(SMALL(M191:M559,ROW()-ROW($M$562)+1),"")</f>
        <v>0</v>
      </c>
      <c r="N925">
        <f>IFERROR(SMALL(N191:N559,ROW()-ROW($N$562)+1),"")</f>
        <v>0</v>
      </c>
    </row>
    <row r="926" spans="5:14">
      <c r="E926">
        <f>IFERROR(SMALL(E191:E559,ROW()-ROW($E$562)+1),"")</f>
        <v>0</v>
      </c>
      <c r="F926">
        <f>IFERROR(SMALL(F191:F559,ROW()-ROW($F$562)+1),"")</f>
        <v>0</v>
      </c>
      <c r="G926">
        <f>IFERROR(SMALL(G191:G559,ROW()-ROW($G$562)+1),"")</f>
        <v>0</v>
      </c>
      <c r="H926">
        <f>IFERROR(SMALL(H191:H559,ROW()-ROW($H$562)+1),"")</f>
        <v>0</v>
      </c>
      <c r="K926">
        <f>IFERROR(SMALL(K191:K559,ROW()-ROW($K$562)+1),"")</f>
        <v>0</v>
      </c>
      <c r="L926">
        <f>IFERROR(SMALL(L191:L559,ROW()-ROW($L$562)+1),"")</f>
        <v>0</v>
      </c>
      <c r="M926">
        <f>IFERROR(SMALL(M191:M559,ROW()-ROW($M$562)+1),"")</f>
        <v>0</v>
      </c>
      <c r="N926">
        <f>IFERROR(SMALL(N191:N559,ROW()-ROW($N$562)+1),"")</f>
        <v>0</v>
      </c>
    </row>
    <row r="927" spans="5:14">
      <c r="E927">
        <f>IFERROR(SMALL(E191:E559,ROW()-ROW($E$562)+1),"")</f>
        <v>0</v>
      </c>
      <c r="F927">
        <f>IFERROR(SMALL(F191:F559,ROW()-ROW($F$562)+1),"")</f>
        <v>0</v>
      </c>
      <c r="G927">
        <f>IFERROR(SMALL(G191:G559,ROW()-ROW($G$562)+1),"")</f>
        <v>0</v>
      </c>
      <c r="H927">
        <f>IFERROR(SMALL(H191:H559,ROW()-ROW($H$562)+1),"")</f>
        <v>0</v>
      </c>
      <c r="K927">
        <f>IFERROR(SMALL(K191:K559,ROW()-ROW($K$562)+1),"")</f>
        <v>0</v>
      </c>
      <c r="L927">
        <f>IFERROR(SMALL(L191:L559,ROW()-ROW($L$562)+1),"")</f>
        <v>0</v>
      </c>
      <c r="M927">
        <f>IFERROR(SMALL(M191:M559,ROW()-ROW($M$562)+1),"")</f>
        <v>0</v>
      </c>
      <c r="N927">
        <f>IFERROR(SMALL(N191:N559,ROW()-ROW($N$562)+1),"")</f>
        <v>0</v>
      </c>
    </row>
    <row r="928" spans="5:14">
      <c r="E928">
        <f>IFERROR(SMALL(E191:E559,ROW()-ROW($E$562)+1),"")</f>
        <v>0</v>
      </c>
      <c r="F928">
        <f>IFERROR(SMALL(F191:F559,ROW()-ROW($F$562)+1),"")</f>
        <v>0</v>
      </c>
      <c r="G928">
        <f>IFERROR(SMALL(G191:G559,ROW()-ROW($G$562)+1),"")</f>
        <v>0</v>
      </c>
      <c r="H928">
        <f>IFERROR(SMALL(H191:H559,ROW()-ROW($H$562)+1),"")</f>
        <v>0</v>
      </c>
      <c r="K928">
        <f>IFERROR(SMALL(K191:K559,ROW()-ROW($K$562)+1),"")</f>
        <v>0</v>
      </c>
      <c r="L928">
        <f>IFERROR(SMALL(L191:L559,ROW()-ROW($L$562)+1),"")</f>
        <v>0</v>
      </c>
      <c r="M928">
        <f>IFERROR(SMALL(M191:M559,ROW()-ROW($M$562)+1),"")</f>
        <v>0</v>
      </c>
      <c r="N928">
        <f>IFERROR(SMALL(N191:N559,ROW()-ROW($N$562)+1),"")</f>
        <v>0</v>
      </c>
    </row>
    <row r="929" spans="4:14">
      <c r="E929">
        <f>IFERROR(SMALL(E191:E559,ROW()-ROW($E$562)+1),"")</f>
        <v>0</v>
      </c>
      <c r="F929">
        <f>IFERROR(SMALL(F191:F559,ROW()-ROW($F$562)+1),"")</f>
        <v>0</v>
      </c>
      <c r="G929">
        <f>IFERROR(SMALL(G191:G559,ROW()-ROW($G$562)+1),"")</f>
        <v>0</v>
      </c>
      <c r="H929">
        <f>IFERROR(SMALL(H191:H559,ROW()-ROW($H$562)+1),"")</f>
        <v>0</v>
      </c>
      <c r="K929">
        <f>IFERROR(SMALL(K191:K559,ROW()-ROW($K$562)+1),"")</f>
        <v>0</v>
      </c>
      <c r="L929">
        <f>IFERROR(SMALL(L191:L559,ROW()-ROW($L$562)+1),"")</f>
        <v>0</v>
      </c>
      <c r="M929">
        <f>IFERROR(SMALL(M191:M559,ROW()-ROW($M$562)+1),"")</f>
        <v>0</v>
      </c>
      <c r="N929">
        <f>IFERROR(SMALL(N191:N559,ROW()-ROW($N$562)+1),"")</f>
        <v>0</v>
      </c>
    </row>
    <row r="931" spans="4:14">
      <c r="D931" t="s">
        <v>209</v>
      </c>
      <c r="E931" t="s">
        <v>206</v>
      </c>
      <c r="F931" t="s">
        <v>211</v>
      </c>
      <c r="G931" t="s">
        <v>206</v>
      </c>
      <c r="H931" t="s">
        <v>212</v>
      </c>
      <c r="J931" t="s">
        <v>209</v>
      </c>
      <c r="K931" t="s">
        <v>206</v>
      </c>
      <c r="L931" t="s">
        <v>211</v>
      </c>
      <c r="M931" t="s">
        <v>206</v>
      </c>
      <c r="N931" t="s">
        <v>212</v>
      </c>
    </row>
    <row r="932" spans="4:14">
      <c r="E932">
        <f>IF(ISNA(F932),NA(),E562)</f>
        <v>0</v>
      </c>
      <c r="F932">
        <f>IF(F562="",NA(),F562)</f>
        <v>0</v>
      </c>
      <c r="G932">
        <f>IF(ISNA(H932),NA(),G562)</f>
        <v>0</v>
      </c>
      <c r="H932">
        <f>IF(H562="",NA(),H562)</f>
        <v>0</v>
      </c>
      <c r="K932">
        <f>IF(ISNA(L932),NA(),K562)</f>
        <v>0</v>
      </c>
      <c r="L932">
        <f>IF(L562="",NA(),L562)</f>
        <v>0</v>
      </c>
      <c r="M932">
        <f>IF(ISNA(N932),NA(),M562)</f>
        <v>0</v>
      </c>
      <c r="N932">
        <f>IF(N562="",NA(),N562)</f>
        <v>0</v>
      </c>
    </row>
    <row r="933" spans="4:14">
      <c r="E933">
        <f>IF(ISNA(F933),NA(),E563)</f>
        <v>0</v>
      </c>
      <c r="F933">
        <f>IF(OR(F563="",AND(F563=F562,F563=F564)),NA(), F563)</f>
        <v>0</v>
      </c>
      <c r="G933">
        <f>IF(ISNA(H933),NA(),G563)</f>
        <v>0</v>
      </c>
      <c r="H933">
        <f>IF(OR(H563="",AND(H563=H562,H563=H564)),NA(), H563)</f>
        <v>0</v>
      </c>
      <c r="K933">
        <f>IF(ISNA(L933),NA(),K563)</f>
        <v>0</v>
      </c>
      <c r="L933">
        <f>IF(OR(L563="",AND(L563=L562,L563=L564)),NA(), L563)</f>
        <v>0</v>
      </c>
      <c r="M933">
        <f>IF(ISNA(N933),NA(),M563)</f>
        <v>0</v>
      </c>
      <c r="N933">
        <f>IF(OR(N563="",AND(N563=N562,N563=N564)),NA(), N563)</f>
        <v>0</v>
      </c>
    </row>
    <row r="934" spans="4:14">
      <c r="E934">
        <f>IF(ISNA(F934),NA(),E564)</f>
        <v>0</v>
      </c>
      <c r="F934">
        <f>IF(OR(F564="",AND(F564=F563,F564=F565)),NA(), F564)</f>
        <v>0</v>
      </c>
      <c r="G934">
        <f>IF(ISNA(H934),NA(),G564)</f>
        <v>0</v>
      </c>
      <c r="H934">
        <f>IF(OR(H564="",AND(H564=H563,H564=H565)),NA(), H564)</f>
        <v>0</v>
      </c>
      <c r="K934">
        <f>IF(ISNA(L934),NA(),K564)</f>
        <v>0</v>
      </c>
      <c r="L934">
        <f>IF(OR(L564="",AND(L564=L563,L564=L565)),NA(), L564)</f>
        <v>0</v>
      </c>
      <c r="M934">
        <f>IF(ISNA(N934),NA(),M564)</f>
        <v>0</v>
      </c>
      <c r="N934">
        <f>IF(OR(N564="",AND(N564=N563,N564=N565)),NA(), N564)</f>
        <v>0</v>
      </c>
    </row>
    <row r="935" spans="4:14">
      <c r="E935">
        <f>IF(ISNA(F935),NA(),E565)</f>
        <v>0</v>
      </c>
      <c r="F935">
        <f>IF(OR(F565="",AND(F565=F564,F565=F566)),NA(), F565)</f>
        <v>0</v>
      </c>
      <c r="G935">
        <f>IF(ISNA(H935),NA(),G565)</f>
        <v>0</v>
      </c>
      <c r="H935">
        <f>IF(OR(H565="",AND(H565=H564,H565=H566)),NA(), H565)</f>
        <v>0</v>
      </c>
      <c r="K935">
        <f>IF(ISNA(L935),NA(),K565)</f>
        <v>0</v>
      </c>
      <c r="L935">
        <f>IF(OR(L565="",AND(L565=L564,L565=L566)),NA(), L565)</f>
        <v>0</v>
      </c>
      <c r="M935">
        <f>IF(ISNA(N935),NA(),M565)</f>
        <v>0</v>
      </c>
      <c r="N935">
        <f>IF(OR(N565="",AND(N565=N564,N565=N566)),NA(), N565)</f>
        <v>0</v>
      </c>
    </row>
    <row r="936" spans="4:14">
      <c r="E936">
        <f>IF(ISNA(F936),NA(),E566)</f>
        <v>0</v>
      </c>
      <c r="F936">
        <f>IF(OR(F566="",AND(F566=F565,F566=F567)),NA(), F566)</f>
        <v>0</v>
      </c>
      <c r="G936">
        <f>IF(ISNA(H936),NA(),G566)</f>
        <v>0</v>
      </c>
      <c r="H936">
        <f>IF(OR(H566="",AND(H566=H565,H566=H567)),NA(), H566)</f>
        <v>0</v>
      </c>
      <c r="K936">
        <f>IF(ISNA(L936),NA(),K566)</f>
        <v>0</v>
      </c>
      <c r="L936">
        <f>IF(OR(L566="",AND(L566=L565,L566=L567)),NA(), L566)</f>
        <v>0</v>
      </c>
      <c r="M936">
        <f>IF(ISNA(N936),NA(),M566)</f>
        <v>0</v>
      </c>
      <c r="N936">
        <f>IF(OR(N566="",AND(N566=N565,N566=N567)),NA(), N566)</f>
        <v>0</v>
      </c>
    </row>
    <row r="937" spans="4:14">
      <c r="E937">
        <f>IF(ISNA(F937),NA(),E567)</f>
        <v>0</v>
      </c>
      <c r="F937">
        <f>IF(OR(F567="",AND(F567=F566,F567=F568)),NA(), F567)</f>
        <v>0</v>
      </c>
      <c r="G937">
        <f>IF(ISNA(H937),NA(),G567)</f>
        <v>0</v>
      </c>
      <c r="H937">
        <f>IF(OR(H567="",AND(H567=H566,H567=H568)),NA(), H567)</f>
        <v>0</v>
      </c>
      <c r="K937">
        <f>IF(ISNA(L937),NA(),K567)</f>
        <v>0</v>
      </c>
      <c r="L937">
        <f>IF(OR(L567="",AND(L567=L566,L567=L568)),NA(), L567)</f>
        <v>0</v>
      </c>
      <c r="M937">
        <f>IF(ISNA(N937),NA(),M567)</f>
        <v>0</v>
      </c>
      <c r="N937">
        <f>IF(OR(N567="",AND(N567=N566,N567=N568)),NA(), N567)</f>
        <v>0</v>
      </c>
    </row>
    <row r="938" spans="4:14">
      <c r="E938">
        <f>IF(ISNA(F938),NA(),E568)</f>
        <v>0</v>
      </c>
      <c r="F938">
        <f>IF(OR(F568="",AND(F568=F567,F568=F569)),NA(), F568)</f>
        <v>0</v>
      </c>
      <c r="G938">
        <f>IF(ISNA(H938),NA(),G568)</f>
        <v>0</v>
      </c>
      <c r="H938">
        <f>IF(OR(H568="",AND(H568=H567,H568=H569)),NA(), H568)</f>
        <v>0</v>
      </c>
      <c r="K938">
        <f>IF(ISNA(L938),NA(),K568)</f>
        <v>0</v>
      </c>
      <c r="L938">
        <f>IF(OR(L568="",AND(L568=L567,L568=L569)),NA(), L568)</f>
        <v>0</v>
      </c>
      <c r="M938">
        <f>IF(ISNA(N938),NA(),M568)</f>
        <v>0</v>
      </c>
      <c r="N938">
        <f>IF(OR(N568="",AND(N568=N567,N568=N569)),NA(), N568)</f>
        <v>0</v>
      </c>
    </row>
    <row r="939" spans="4:14">
      <c r="E939">
        <f>IF(ISNA(F939),NA(),E569)</f>
        <v>0</v>
      </c>
      <c r="F939">
        <f>IF(OR(F569="",AND(F569=F568,F569=F570)),NA(), F569)</f>
        <v>0</v>
      </c>
      <c r="G939">
        <f>IF(ISNA(H939),NA(),G569)</f>
        <v>0</v>
      </c>
      <c r="H939">
        <f>IF(OR(H569="",AND(H569=H568,H569=H570)),NA(), H569)</f>
        <v>0</v>
      </c>
      <c r="K939">
        <f>IF(ISNA(L939),NA(),K569)</f>
        <v>0</v>
      </c>
      <c r="L939">
        <f>IF(OR(L569="",AND(L569=L568,L569=L570)),NA(), L569)</f>
        <v>0</v>
      </c>
      <c r="M939">
        <f>IF(ISNA(N939),NA(),M569)</f>
        <v>0</v>
      </c>
      <c r="N939">
        <f>IF(OR(N569="",AND(N569=N568,N569=N570)),NA(), N569)</f>
        <v>0</v>
      </c>
    </row>
    <row r="940" spans="4:14">
      <c r="E940">
        <f>IF(ISNA(F940),NA(),E570)</f>
        <v>0</v>
      </c>
      <c r="F940">
        <f>IF(OR(F570="",AND(F570=F569,F570=F571)),NA(), F570)</f>
        <v>0</v>
      </c>
      <c r="G940">
        <f>IF(ISNA(H940),NA(),G570)</f>
        <v>0</v>
      </c>
      <c r="H940">
        <f>IF(OR(H570="",AND(H570=H569,H570=H571)),NA(), H570)</f>
        <v>0</v>
      </c>
      <c r="K940">
        <f>IF(ISNA(L940),NA(),K570)</f>
        <v>0</v>
      </c>
      <c r="L940">
        <f>IF(OR(L570="",AND(L570=L569,L570=L571)),NA(), L570)</f>
        <v>0</v>
      </c>
      <c r="M940">
        <f>IF(ISNA(N940),NA(),M570)</f>
        <v>0</v>
      </c>
      <c r="N940">
        <f>IF(OR(N570="",AND(N570=N569,N570=N571)),NA(), N570)</f>
        <v>0</v>
      </c>
    </row>
    <row r="941" spans="4:14">
      <c r="E941">
        <f>IF(ISNA(F941),NA(),E571)</f>
        <v>0</v>
      </c>
      <c r="F941">
        <f>IF(OR(F571="",AND(F571=F570,F571=F572)),NA(), F571)</f>
        <v>0</v>
      </c>
      <c r="G941">
        <f>IF(ISNA(H941),NA(),G571)</f>
        <v>0</v>
      </c>
      <c r="H941">
        <f>IF(OR(H571="",AND(H571=H570,H571=H572)),NA(), H571)</f>
        <v>0</v>
      </c>
      <c r="K941">
        <f>IF(ISNA(L941),NA(),K571)</f>
        <v>0</v>
      </c>
      <c r="L941">
        <f>IF(OR(L571="",AND(L571=L570,L571=L572)),NA(), L571)</f>
        <v>0</v>
      </c>
      <c r="M941">
        <f>IF(ISNA(N941),NA(),M571)</f>
        <v>0</v>
      </c>
      <c r="N941">
        <f>IF(OR(N571="",AND(N571=N570,N571=N572)),NA(), N571)</f>
        <v>0</v>
      </c>
    </row>
    <row r="942" spans="4:14">
      <c r="E942">
        <f>IF(ISNA(F942),NA(),E572)</f>
        <v>0</v>
      </c>
      <c r="F942">
        <f>IF(OR(F572="",AND(F572=F571,F572=F573)),NA(), F572)</f>
        <v>0</v>
      </c>
      <c r="G942">
        <f>IF(ISNA(H942),NA(),G572)</f>
        <v>0</v>
      </c>
      <c r="H942">
        <f>IF(OR(H572="",AND(H572=H571,H572=H573)),NA(), H572)</f>
        <v>0</v>
      </c>
      <c r="K942">
        <f>IF(ISNA(L942),NA(),K572)</f>
        <v>0</v>
      </c>
      <c r="L942">
        <f>IF(OR(L572="",AND(L572=L571,L572=L573)),NA(), L572)</f>
        <v>0</v>
      </c>
      <c r="M942">
        <f>IF(ISNA(N942),NA(),M572)</f>
        <v>0</v>
      </c>
      <c r="N942">
        <f>IF(OR(N572="",AND(N572=N571,N572=N573)),NA(), N572)</f>
        <v>0</v>
      </c>
    </row>
    <row r="943" spans="4:14">
      <c r="E943">
        <f>IF(ISNA(F943),NA(),E573)</f>
        <v>0</v>
      </c>
      <c r="F943">
        <f>IF(OR(F573="",AND(F573=F572,F573=F574)),NA(), F573)</f>
        <v>0</v>
      </c>
      <c r="G943">
        <f>IF(ISNA(H943),NA(),G573)</f>
        <v>0</v>
      </c>
      <c r="H943">
        <f>IF(OR(H573="",AND(H573=H572,H573=H574)),NA(), H573)</f>
        <v>0</v>
      </c>
      <c r="K943">
        <f>IF(ISNA(L943),NA(),K573)</f>
        <v>0</v>
      </c>
      <c r="L943">
        <f>IF(OR(L573="",AND(L573=L572,L573=L574)),NA(), L573)</f>
        <v>0</v>
      </c>
      <c r="M943">
        <f>IF(ISNA(N943),NA(),M573)</f>
        <v>0</v>
      </c>
      <c r="N943">
        <f>IF(OR(N573="",AND(N573=N572,N573=N574)),NA(), N573)</f>
        <v>0</v>
      </c>
    </row>
    <row r="944" spans="4:14">
      <c r="E944">
        <f>IF(ISNA(F944),NA(),E574)</f>
        <v>0</v>
      </c>
      <c r="F944">
        <f>IF(OR(F574="",AND(F574=F573,F574=F575)),NA(), F574)</f>
        <v>0</v>
      </c>
      <c r="G944">
        <f>IF(ISNA(H944),NA(),G574)</f>
        <v>0</v>
      </c>
      <c r="H944">
        <f>IF(OR(H574="",AND(H574=H573,H574=H575)),NA(), H574)</f>
        <v>0</v>
      </c>
      <c r="K944">
        <f>IF(ISNA(L944),NA(),K574)</f>
        <v>0</v>
      </c>
      <c r="L944">
        <f>IF(OR(L574="",AND(L574=L573,L574=L575)),NA(), L574)</f>
        <v>0</v>
      </c>
      <c r="M944">
        <f>IF(ISNA(N944),NA(),M574)</f>
        <v>0</v>
      </c>
      <c r="N944">
        <f>IF(OR(N574="",AND(N574=N573,N574=N575)),NA(), N574)</f>
        <v>0</v>
      </c>
    </row>
    <row r="945" spans="5:14">
      <c r="E945">
        <f>IF(ISNA(F945),NA(),E575)</f>
        <v>0</v>
      </c>
      <c r="F945">
        <f>IF(OR(F575="",AND(F575=F574,F575=F576)),NA(), F575)</f>
        <v>0</v>
      </c>
      <c r="G945">
        <f>IF(ISNA(H945),NA(),G575)</f>
        <v>0</v>
      </c>
      <c r="H945">
        <f>IF(OR(H575="",AND(H575=H574,H575=H576)),NA(), H575)</f>
        <v>0</v>
      </c>
      <c r="K945">
        <f>IF(ISNA(L945),NA(),K575)</f>
        <v>0</v>
      </c>
      <c r="L945">
        <f>IF(OR(L575="",AND(L575=L574,L575=L576)),NA(), L575)</f>
        <v>0</v>
      </c>
      <c r="M945">
        <f>IF(ISNA(N945),NA(),M575)</f>
        <v>0</v>
      </c>
      <c r="N945">
        <f>IF(OR(N575="",AND(N575=N574,N575=N576)),NA(), N575)</f>
        <v>0</v>
      </c>
    </row>
    <row r="946" spans="5:14">
      <c r="E946">
        <f>IF(ISNA(F946),NA(),E576)</f>
        <v>0</v>
      </c>
      <c r="F946">
        <f>IF(OR(F576="",AND(F576=F575,F576=F577)),NA(), F576)</f>
        <v>0</v>
      </c>
      <c r="G946">
        <f>IF(ISNA(H946),NA(),G576)</f>
        <v>0</v>
      </c>
      <c r="H946">
        <f>IF(OR(H576="",AND(H576=H575,H576=H577)),NA(), H576)</f>
        <v>0</v>
      </c>
      <c r="K946">
        <f>IF(ISNA(L946),NA(),K576)</f>
        <v>0</v>
      </c>
      <c r="L946">
        <f>IF(OR(L576="",AND(L576=L575,L576=L577)),NA(), L576)</f>
        <v>0</v>
      </c>
      <c r="M946">
        <f>IF(ISNA(N946),NA(),M576)</f>
        <v>0</v>
      </c>
      <c r="N946">
        <f>IF(OR(N576="",AND(N576=N575,N576=N577)),NA(), N576)</f>
        <v>0</v>
      </c>
    </row>
    <row r="947" spans="5:14">
      <c r="E947">
        <f>IF(ISNA(F947),NA(),E577)</f>
        <v>0</v>
      </c>
      <c r="F947">
        <f>IF(OR(F577="",AND(F577=F576,F577=F578)),NA(), F577)</f>
        <v>0</v>
      </c>
      <c r="G947">
        <f>IF(ISNA(H947),NA(),G577)</f>
        <v>0</v>
      </c>
      <c r="H947">
        <f>IF(OR(H577="",AND(H577=H576,H577=H578)),NA(), H577)</f>
        <v>0</v>
      </c>
      <c r="K947">
        <f>IF(ISNA(L947),NA(),K577)</f>
        <v>0</v>
      </c>
      <c r="L947">
        <f>IF(OR(L577="",AND(L577=L576,L577=L578)),NA(), L577)</f>
        <v>0</v>
      </c>
      <c r="M947">
        <f>IF(ISNA(N947),NA(),M577)</f>
        <v>0</v>
      </c>
      <c r="N947">
        <f>IF(OR(N577="",AND(N577=N576,N577=N578)),NA(), N577)</f>
        <v>0</v>
      </c>
    </row>
    <row r="948" spans="5:14">
      <c r="E948">
        <f>IF(ISNA(F948),NA(),E578)</f>
        <v>0</v>
      </c>
      <c r="F948">
        <f>IF(OR(F578="",AND(F578=F577,F578=F579)),NA(), F578)</f>
        <v>0</v>
      </c>
      <c r="G948">
        <f>IF(ISNA(H948),NA(),G578)</f>
        <v>0</v>
      </c>
      <c r="H948">
        <f>IF(OR(H578="",AND(H578=H577,H578=H579)),NA(), H578)</f>
        <v>0</v>
      </c>
      <c r="K948">
        <f>IF(ISNA(L948),NA(),K578)</f>
        <v>0</v>
      </c>
      <c r="L948">
        <f>IF(OR(L578="",AND(L578=L577,L578=L579)),NA(), L578)</f>
        <v>0</v>
      </c>
      <c r="M948">
        <f>IF(ISNA(N948),NA(),M578)</f>
        <v>0</v>
      </c>
      <c r="N948">
        <f>IF(OR(N578="",AND(N578=N577,N578=N579)),NA(), N578)</f>
        <v>0</v>
      </c>
    </row>
    <row r="949" spans="5:14">
      <c r="E949">
        <f>IF(ISNA(F949),NA(),E579)</f>
        <v>0</v>
      </c>
      <c r="F949">
        <f>IF(OR(F579="",AND(F579=F578,F579=F580)),NA(), F579)</f>
        <v>0</v>
      </c>
      <c r="G949">
        <f>IF(ISNA(H949),NA(),G579)</f>
        <v>0</v>
      </c>
      <c r="H949">
        <f>IF(OR(H579="",AND(H579=H578,H579=H580)),NA(), H579)</f>
        <v>0</v>
      </c>
      <c r="K949">
        <f>IF(ISNA(L949),NA(),K579)</f>
        <v>0</v>
      </c>
      <c r="L949">
        <f>IF(OR(L579="",AND(L579=L578,L579=L580)),NA(), L579)</f>
        <v>0</v>
      </c>
      <c r="M949">
        <f>IF(ISNA(N949),NA(),M579)</f>
        <v>0</v>
      </c>
      <c r="N949">
        <f>IF(OR(N579="",AND(N579=N578,N579=N580)),NA(), N579)</f>
        <v>0</v>
      </c>
    </row>
    <row r="950" spans="5:14">
      <c r="E950">
        <f>IF(ISNA(F950),NA(),E580)</f>
        <v>0</v>
      </c>
      <c r="F950">
        <f>IF(OR(F580="",AND(F580=F579,F580=F581)),NA(), F580)</f>
        <v>0</v>
      </c>
      <c r="G950">
        <f>IF(ISNA(H950),NA(),G580)</f>
        <v>0</v>
      </c>
      <c r="H950">
        <f>IF(OR(H580="",AND(H580=H579,H580=H581)),NA(), H580)</f>
        <v>0</v>
      </c>
      <c r="K950">
        <f>IF(ISNA(L950),NA(),K580)</f>
        <v>0</v>
      </c>
      <c r="L950">
        <f>IF(OR(L580="",AND(L580=L579,L580=L581)),NA(), L580)</f>
        <v>0</v>
      </c>
      <c r="M950">
        <f>IF(ISNA(N950),NA(),M580)</f>
        <v>0</v>
      </c>
      <c r="N950">
        <f>IF(OR(N580="",AND(N580=N579,N580=N581)),NA(), N580)</f>
        <v>0</v>
      </c>
    </row>
    <row r="951" spans="5:14">
      <c r="E951">
        <f>IF(ISNA(F951),NA(),E581)</f>
        <v>0</v>
      </c>
      <c r="F951">
        <f>IF(OR(F581="",AND(F581=F580,F581=F582)),NA(), F581)</f>
        <v>0</v>
      </c>
      <c r="G951">
        <f>IF(ISNA(H951),NA(),G581)</f>
        <v>0</v>
      </c>
      <c r="H951">
        <f>IF(OR(H581="",AND(H581=H580,H581=H582)),NA(), H581)</f>
        <v>0</v>
      </c>
      <c r="K951">
        <f>IF(ISNA(L951),NA(),K581)</f>
        <v>0</v>
      </c>
      <c r="L951">
        <f>IF(OR(L581="",AND(L581=L580,L581=L582)),NA(), L581)</f>
        <v>0</v>
      </c>
      <c r="M951">
        <f>IF(ISNA(N951),NA(),M581)</f>
        <v>0</v>
      </c>
      <c r="N951">
        <f>IF(OR(N581="",AND(N581=N580,N581=N582)),NA(), N581)</f>
        <v>0</v>
      </c>
    </row>
    <row r="952" spans="5:14">
      <c r="E952">
        <f>IF(ISNA(F952),NA(),E582)</f>
        <v>0</v>
      </c>
      <c r="F952">
        <f>IF(OR(F582="",AND(F582=F581,F582=F583)),NA(), F582)</f>
        <v>0</v>
      </c>
      <c r="G952">
        <f>IF(ISNA(H952),NA(),G582)</f>
        <v>0</v>
      </c>
      <c r="H952">
        <f>IF(OR(H582="",AND(H582=H581,H582=H583)),NA(), H582)</f>
        <v>0</v>
      </c>
      <c r="K952">
        <f>IF(ISNA(L952),NA(),K582)</f>
        <v>0</v>
      </c>
      <c r="L952">
        <f>IF(OR(L582="",AND(L582=L581,L582=L583)),NA(), L582)</f>
        <v>0</v>
      </c>
      <c r="M952">
        <f>IF(ISNA(N952),NA(),M582)</f>
        <v>0</v>
      </c>
      <c r="N952">
        <f>IF(OR(N582="",AND(N582=N581,N582=N583)),NA(), N582)</f>
        <v>0</v>
      </c>
    </row>
    <row r="953" spans="5:14">
      <c r="E953">
        <f>IF(ISNA(F953),NA(),E583)</f>
        <v>0</v>
      </c>
      <c r="F953">
        <f>IF(OR(F583="",AND(F583=F582,F583=F584)),NA(), F583)</f>
        <v>0</v>
      </c>
      <c r="G953">
        <f>IF(ISNA(H953),NA(),G583)</f>
        <v>0</v>
      </c>
      <c r="H953">
        <f>IF(OR(H583="",AND(H583=H582,H583=H584)),NA(), H583)</f>
        <v>0</v>
      </c>
      <c r="K953">
        <f>IF(ISNA(L953),NA(),K583)</f>
        <v>0</v>
      </c>
      <c r="L953">
        <f>IF(OR(L583="",AND(L583=L582,L583=L584)),NA(), L583)</f>
        <v>0</v>
      </c>
      <c r="M953">
        <f>IF(ISNA(N953),NA(),M583)</f>
        <v>0</v>
      </c>
      <c r="N953">
        <f>IF(OR(N583="",AND(N583=N582,N583=N584)),NA(), N583)</f>
        <v>0</v>
      </c>
    </row>
    <row r="954" spans="5:14">
      <c r="E954">
        <f>IF(ISNA(F954),NA(),E584)</f>
        <v>0</v>
      </c>
      <c r="F954">
        <f>IF(OR(F584="",AND(F584=F583,F584=F585)),NA(), F584)</f>
        <v>0</v>
      </c>
      <c r="G954">
        <f>IF(ISNA(H954),NA(),G584)</f>
        <v>0</v>
      </c>
      <c r="H954">
        <f>IF(OR(H584="",AND(H584=H583,H584=H585)),NA(), H584)</f>
        <v>0</v>
      </c>
      <c r="K954">
        <f>IF(ISNA(L954),NA(),K584)</f>
        <v>0</v>
      </c>
      <c r="L954">
        <f>IF(OR(L584="",AND(L584=L583,L584=L585)),NA(), L584)</f>
        <v>0</v>
      </c>
      <c r="M954">
        <f>IF(ISNA(N954),NA(),M584)</f>
        <v>0</v>
      </c>
      <c r="N954">
        <f>IF(OR(N584="",AND(N584=N583,N584=N585)),NA(), N584)</f>
        <v>0</v>
      </c>
    </row>
    <row r="955" spans="5:14">
      <c r="E955">
        <f>IF(ISNA(F955),NA(),E585)</f>
        <v>0</v>
      </c>
      <c r="F955">
        <f>IF(OR(F585="",AND(F585=F584,F585=F586)),NA(), F585)</f>
        <v>0</v>
      </c>
      <c r="G955">
        <f>IF(ISNA(H955),NA(),G585)</f>
        <v>0</v>
      </c>
      <c r="H955">
        <f>IF(OR(H585="",AND(H585=H584,H585=H586)),NA(), H585)</f>
        <v>0</v>
      </c>
      <c r="K955">
        <f>IF(ISNA(L955),NA(),K585)</f>
        <v>0</v>
      </c>
      <c r="L955">
        <f>IF(OR(L585="",AND(L585=L584,L585=L586)),NA(), L585)</f>
        <v>0</v>
      </c>
      <c r="M955">
        <f>IF(ISNA(N955),NA(),M585)</f>
        <v>0</v>
      </c>
      <c r="N955">
        <f>IF(OR(N585="",AND(N585=N584,N585=N586)),NA(), N585)</f>
        <v>0</v>
      </c>
    </row>
    <row r="956" spans="5:14">
      <c r="E956">
        <f>IF(ISNA(F956),NA(),E586)</f>
        <v>0</v>
      </c>
      <c r="F956">
        <f>IF(OR(F586="",AND(F586=F585,F586=F587)),NA(), F586)</f>
        <v>0</v>
      </c>
      <c r="G956">
        <f>IF(ISNA(H956),NA(),G586)</f>
        <v>0</v>
      </c>
      <c r="H956">
        <f>IF(OR(H586="",AND(H586=H585,H586=H587)),NA(), H586)</f>
        <v>0</v>
      </c>
      <c r="K956">
        <f>IF(ISNA(L956),NA(),K586)</f>
        <v>0</v>
      </c>
      <c r="L956">
        <f>IF(OR(L586="",AND(L586=L585,L586=L587)),NA(), L586)</f>
        <v>0</v>
      </c>
      <c r="M956">
        <f>IF(ISNA(N956),NA(),M586)</f>
        <v>0</v>
      </c>
      <c r="N956">
        <f>IF(OR(N586="",AND(N586=N585,N586=N587)),NA(), N586)</f>
        <v>0</v>
      </c>
    </row>
    <row r="957" spans="5:14">
      <c r="E957">
        <f>IF(ISNA(F957),NA(),E587)</f>
        <v>0</v>
      </c>
      <c r="F957">
        <f>IF(OR(F587="",AND(F587=F586,F587=F588)),NA(), F587)</f>
        <v>0</v>
      </c>
      <c r="G957">
        <f>IF(ISNA(H957),NA(),G587)</f>
        <v>0</v>
      </c>
      <c r="H957">
        <f>IF(OR(H587="",AND(H587=H586,H587=H588)),NA(), H587)</f>
        <v>0</v>
      </c>
      <c r="K957">
        <f>IF(ISNA(L957),NA(),K587)</f>
        <v>0</v>
      </c>
      <c r="L957">
        <f>IF(OR(L587="",AND(L587=L586,L587=L588)),NA(), L587)</f>
        <v>0</v>
      </c>
      <c r="M957">
        <f>IF(ISNA(N957),NA(),M587)</f>
        <v>0</v>
      </c>
      <c r="N957">
        <f>IF(OR(N587="",AND(N587=N586,N587=N588)),NA(), N587)</f>
        <v>0</v>
      </c>
    </row>
    <row r="958" spans="5:14">
      <c r="E958">
        <f>IF(ISNA(F958),NA(),E588)</f>
        <v>0</v>
      </c>
      <c r="F958">
        <f>IF(OR(F588="",AND(F588=F587,F588=F589)),NA(), F588)</f>
        <v>0</v>
      </c>
      <c r="G958">
        <f>IF(ISNA(H958),NA(),G588)</f>
        <v>0</v>
      </c>
      <c r="H958">
        <f>IF(OR(H588="",AND(H588=H587,H588=H589)),NA(), H588)</f>
        <v>0</v>
      </c>
      <c r="K958">
        <f>IF(ISNA(L958),NA(),K588)</f>
        <v>0</v>
      </c>
      <c r="L958">
        <f>IF(OR(L588="",AND(L588=L587,L588=L589)),NA(), L588)</f>
        <v>0</v>
      </c>
      <c r="M958">
        <f>IF(ISNA(N958),NA(),M588)</f>
        <v>0</v>
      </c>
      <c r="N958">
        <f>IF(OR(N588="",AND(N588=N587,N588=N589)),NA(), N588)</f>
        <v>0</v>
      </c>
    </row>
    <row r="959" spans="5:14">
      <c r="E959">
        <f>IF(ISNA(F959),NA(),E589)</f>
        <v>0</v>
      </c>
      <c r="F959">
        <f>IF(OR(F589="",AND(F589=F588,F589=F590)),NA(), F589)</f>
        <v>0</v>
      </c>
      <c r="G959">
        <f>IF(ISNA(H959),NA(),G589)</f>
        <v>0</v>
      </c>
      <c r="H959">
        <f>IF(OR(H589="",AND(H589=H588,H589=H590)),NA(), H589)</f>
        <v>0</v>
      </c>
      <c r="K959">
        <f>IF(ISNA(L959),NA(),K589)</f>
        <v>0</v>
      </c>
      <c r="L959">
        <f>IF(OR(L589="",AND(L589=L588,L589=L590)),NA(), L589)</f>
        <v>0</v>
      </c>
      <c r="M959">
        <f>IF(ISNA(N959),NA(),M589)</f>
        <v>0</v>
      </c>
      <c r="N959">
        <f>IF(OR(N589="",AND(N589=N588,N589=N590)),NA(), N589)</f>
        <v>0</v>
      </c>
    </row>
    <row r="960" spans="5:14">
      <c r="E960">
        <f>IF(ISNA(F960),NA(),E590)</f>
        <v>0</v>
      </c>
      <c r="F960">
        <f>IF(OR(F590="",AND(F590=F589,F590=F591)),NA(), F590)</f>
        <v>0</v>
      </c>
      <c r="G960">
        <f>IF(ISNA(H960),NA(),G590)</f>
        <v>0</v>
      </c>
      <c r="H960">
        <f>IF(OR(H590="",AND(H590=H589,H590=H591)),NA(), H590)</f>
        <v>0</v>
      </c>
      <c r="K960">
        <f>IF(ISNA(L960),NA(),K590)</f>
        <v>0</v>
      </c>
      <c r="L960">
        <f>IF(OR(L590="",AND(L590=L589,L590=L591)),NA(), L590)</f>
        <v>0</v>
      </c>
      <c r="M960">
        <f>IF(ISNA(N960),NA(),M590)</f>
        <v>0</v>
      </c>
      <c r="N960">
        <f>IF(OR(N590="",AND(N590=N589,N590=N591)),NA(), N590)</f>
        <v>0</v>
      </c>
    </row>
    <row r="961" spans="5:14">
      <c r="E961">
        <f>IF(ISNA(F961),NA(),E591)</f>
        <v>0</v>
      </c>
      <c r="F961">
        <f>IF(OR(F591="",AND(F591=F590,F591=F592)),NA(), F591)</f>
        <v>0</v>
      </c>
      <c r="G961">
        <f>IF(ISNA(H961),NA(),G591)</f>
        <v>0</v>
      </c>
      <c r="H961">
        <f>IF(OR(H591="",AND(H591=H590,H591=H592)),NA(), H591)</f>
        <v>0</v>
      </c>
      <c r="K961">
        <f>IF(ISNA(L961),NA(),K591)</f>
        <v>0</v>
      </c>
      <c r="L961">
        <f>IF(OR(L591="",AND(L591=L590,L591=L592)),NA(), L591)</f>
        <v>0</v>
      </c>
      <c r="M961">
        <f>IF(ISNA(N961),NA(),M591)</f>
        <v>0</v>
      </c>
      <c r="N961">
        <f>IF(OR(N591="",AND(N591=N590,N591=N592)),NA(), N591)</f>
        <v>0</v>
      </c>
    </row>
    <row r="962" spans="5:14">
      <c r="E962">
        <f>IF(ISNA(F962),NA(),E592)</f>
        <v>0</v>
      </c>
      <c r="F962">
        <f>IF(OR(F592="",AND(F592=F591,F592=F593)),NA(), F592)</f>
        <v>0</v>
      </c>
      <c r="G962">
        <f>IF(ISNA(H962),NA(),G592)</f>
        <v>0</v>
      </c>
      <c r="H962">
        <f>IF(OR(H592="",AND(H592=H591,H592=H593)),NA(), H592)</f>
        <v>0</v>
      </c>
      <c r="K962">
        <f>IF(ISNA(L962),NA(),K592)</f>
        <v>0</v>
      </c>
      <c r="L962">
        <f>IF(OR(L592="",AND(L592=L591,L592=L593)),NA(), L592)</f>
        <v>0</v>
      </c>
      <c r="M962">
        <f>IF(ISNA(N962),NA(),M592)</f>
        <v>0</v>
      </c>
      <c r="N962">
        <f>IF(OR(N592="",AND(N592=N591,N592=N593)),NA(), N592)</f>
        <v>0</v>
      </c>
    </row>
    <row r="963" spans="5:14">
      <c r="E963">
        <f>IF(ISNA(F963),NA(),E593)</f>
        <v>0</v>
      </c>
      <c r="F963">
        <f>IF(OR(F593="",AND(F593=F592,F593=F594)),NA(), F593)</f>
        <v>0</v>
      </c>
      <c r="G963">
        <f>IF(ISNA(H963),NA(),G593)</f>
        <v>0</v>
      </c>
      <c r="H963">
        <f>IF(OR(H593="",AND(H593=H592,H593=H594)),NA(), H593)</f>
        <v>0</v>
      </c>
      <c r="K963">
        <f>IF(ISNA(L963),NA(),K593)</f>
        <v>0</v>
      </c>
      <c r="L963">
        <f>IF(OR(L593="",AND(L593=L592,L593=L594)),NA(), L593)</f>
        <v>0</v>
      </c>
      <c r="M963">
        <f>IF(ISNA(N963),NA(),M593)</f>
        <v>0</v>
      </c>
      <c r="N963">
        <f>IF(OR(N593="",AND(N593=N592,N593=N594)),NA(), N593)</f>
        <v>0</v>
      </c>
    </row>
    <row r="964" spans="5:14">
      <c r="E964">
        <f>IF(ISNA(F964),NA(),E594)</f>
        <v>0</v>
      </c>
      <c r="F964">
        <f>IF(OR(F594="",AND(F594=F593,F594=F595)),NA(), F594)</f>
        <v>0</v>
      </c>
      <c r="G964">
        <f>IF(ISNA(H964),NA(),G594)</f>
        <v>0</v>
      </c>
      <c r="H964">
        <f>IF(OR(H594="",AND(H594=H593,H594=H595)),NA(), H594)</f>
        <v>0</v>
      </c>
      <c r="K964">
        <f>IF(ISNA(L964),NA(),K594)</f>
        <v>0</v>
      </c>
      <c r="L964">
        <f>IF(OR(L594="",AND(L594=L593,L594=L595)),NA(), L594)</f>
        <v>0</v>
      </c>
      <c r="M964">
        <f>IF(ISNA(N964),NA(),M594)</f>
        <v>0</v>
      </c>
      <c r="N964">
        <f>IF(OR(N594="",AND(N594=N593,N594=N595)),NA(), N594)</f>
        <v>0</v>
      </c>
    </row>
    <row r="965" spans="5:14">
      <c r="E965">
        <f>IF(ISNA(F965),NA(),E595)</f>
        <v>0</v>
      </c>
      <c r="F965">
        <f>IF(OR(F595="",AND(F595=F594,F595=F596)),NA(), F595)</f>
        <v>0</v>
      </c>
      <c r="G965">
        <f>IF(ISNA(H965),NA(),G595)</f>
        <v>0</v>
      </c>
      <c r="H965">
        <f>IF(OR(H595="",AND(H595=H594,H595=H596)),NA(), H595)</f>
        <v>0</v>
      </c>
      <c r="K965">
        <f>IF(ISNA(L965),NA(),K595)</f>
        <v>0</v>
      </c>
      <c r="L965">
        <f>IF(OR(L595="",AND(L595=L594,L595=L596)),NA(), L595)</f>
        <v>0</v>
      </c>
      <c r="M965">
        <f>IF(ISNA(N965),NA(),M595)</f>
        <v>0</v>
      </c>
      <c r="N965">
        <f>IF(OR(N595="",AND(N595=N594,N595=N596)),NA(), N595)</f>
        <v>0</v>
      </c>
    </row>
    <row r="966" spans="5:14">
      <c r="E966">
        <f>IF(ISNA(F966),NA(),E596)</f>
        <v>0</v>
      </c>
      <c r="F966">
        <f>IF(OR(F596="",AND(F596=F595,F596=F597)),NA(), F596)</f>
        <v>0</v>
      </c>
      <c r="G966">
        <f>IF(ISNA(H966),NA(),G596)</f>
        <v>0</v>
      </c>
      <c r="H966">
        <f>IF(OR(H596="",AND(H596=H595,H596=H597)),NA(), H596)</f>
        <v>0</v>
      </c>
      <c r="K966">
        <f>IF(ISNA(L966),NA(),K596)</f>
        <v>0</v>
      </c>
      <c r="L966">
        <f>IF(OR(L596="",AND(L596=L595,L596=L597)),NA(), L596)</f>
        <v>0</v>
      </c>
      <c r="M966">
        <f>IF(ISNA(N966),NA(),M596)</f>
        <v>0</v>
      </c>
      <c r="N966">
        <f>IF(OR(N596="",AND(N596=N595,N596=N597)),NA(), N596)</f>
        <v>0</v>
      </c>
    </row>
    <row r="967" spans="5:14">
      <c r="E967">
        <f>IF(ISNA(F967),NA(),E597)</f>
        <v>0</v>
      </c>
      <c r="F967">
        <f>IF(OR(F597="",AND(F597=F596,F597=F598)),NA(), F597)</f>
        <v>0</v>
      </c>
      <c r="G967">
        <f>IF(ISNA(H967),NA(),G597)</f>
        <v>0</v>
      </c>
      <c r="H967">
        <f>IF(OR(H597="",AND(H597=H596,H597=H598)),NA(), H597)</f>
        <v>0</v>
      </c>
      <c r="K967">
        <f>IF(ISNA(L967),NA(),K597)</f>
        <v>0</v>
      </c>
      <c r="L967">
        <f>IF(OR(L597="",AND(L597=L596,L597=L598)),NA(), L597)</f>
        <v>0</v>
      </c>
      <c r="M967">
        <f>IF(ISNA(N967),NA(),M597)</f>
        <v>0</v>
      </c>
      <c r="N967">
        <f>IF(OR(N597="",AND(N597=N596,N597=N598)),NA(), N597)</f>
        <v>0</v>
      </c>
    </row>
    <row r="968" spans="5:14">
      <c r="E968">
        <f>IF(ISNA(F968),NA(),E598)</f>
        <v>0</v>
      </c>
      <c r="F968">
        <f>IF(OR(F598="",AND(F598=F597,F598=F599)),NA(), F598)</f>
        <v>0</v>
      </c>
      <c r="G968">
        <f>IF(ISNA(H968),NA(),G598)</f>
        <v>0</v>
      </c>
      <c r="H968">
        <f>IF(OR(H598="",AND(H598=H597,H598=H599)),NA(), H598)</f>
        <v>0</v>
      </c>
      <c r="K968">
        <f>IF(ISNA(L968),NA(),K598)</f>
        <v>0</v>
      </c>
      <c r="L968">
        <f>IF(OR(L598="",AND(L598=L597,L598=L599)),NA(), L598)</f>
        <v>0</v>
      </c>
      <c r="M968">
        <f>IF(ISNA(N968),NA(),M598)</f>
        <v>0</v>
      </c>
      <c r="N968">
        <f>IF(OR(N598="",AND(N598=N597,N598=N599)),NA(), N598)</f>
        <v>0</v>
      </c>
    </row>
    <row r="969" spans="5:14">
      <c r="E969">
        <f>IF(ISNA(F969),NA(),E599)</f>
        <v>0</v>
      </c>
      <c r="F969">
        <f>IF(OR(F599="",AND(F599=F598,F599=F600)),NA(), F599)</f>
        <v>0</v>
      </c>
      <c r="G969">
        <f>IF(ISNA(H969),NA(),G599)</f>
        <v>0</v>
      </c>
      <c r="H969">
        <f>IF(OR(H599="",AND(H599=H598,H599=H600)),NA(), H599)</f>
        <v>0</v>
      </c>
      <c r="K969">
        <f>IF(ISNA(L969),NA(),K599)</f>
        <v>0</v>
      </c>
      <c r="L969">
        <f>IF(OR(L599="",AND(L599=L598,L599=L600)),NA(), L599)</f>
        <v>0</v>
      </c>
      <c r="M969">
        <f>IF(ISNA(N969),NA(),M599)</f>
        <v>0</v>
      </c>
      <c r="N969">
        <f>IF(OR(N599="",AND(N599=N598,N599=N600)),NA(), N599)</f>
        <v>0</v>
      </c>
    </row>
    <row r="970" spans="5:14">
      <c r="E970">
        <f>IF(ISNA(F970),NA(),E600)</f>
        <v>0</v>
      </c>
      <c r="F970">
        <f>IF(OR(F600="",AND(F600=F599,F600=F601)),NA(), F600)</f>
        <v>0</v>
      </c>
      <c r="G970">
        <f>IF(ISNA(H970),NA(),G600)</f>
        <v>0</v>
      </c>
      <c r="H970">
        <f>IF(OR(H600="",AND(H600=H599,H600=H601)),NA(), H600)</f>
        <v>0</v>
      </c>
      <c r="K970">
        <f>IF(ISNA(L970),NA(),K600)</f>
        <v>0</v>
      </c>
      <c r="L970">
        <f>IF(OR(L600="",AND(L600=L599,L600=L601)),NA(), L600)</f>
        <v>0</v>
      </c>
      <c r="M970">
        <f>IF(ISNA(N970),NA(),M600)</f>
        <v>0</v>
      </c>
      <c r="N970">
        <f>IF(OR(N600="",AND(N600=N599,N600=N601)),NA(), N600)</f>
        <v>0</v>
      </c>
    </row>
    <row r="971" spans="5:14">
      <c r="E971">
        <f>IF(ISNA(F971),NA(),E601)</f>
        <v>0</v>
      </c>
      <c r="F971">
        <f>IF(OR(F601="",AND(F601=F600,F601=F602)),NA(), F601)</f>
        <v>0</v>
      </c>
      <c r="G971">
        <f>IF(ISNA(H971),NA(),G601)</f>
        <v>0</v>
      </c>
      <c r="H971">
        <f>IF(OR(H601="",AND(H601=H600,H601=H602)),NA(), H601)</f>
        <v>0</v>
      </c>
      <c r="K971">
        <f>IF(ISNA(L971),NA(),K601)</f>
        <v>0</v>
      </c>
      <c r="L971">
        <f>IF(OR(L601="",AND(L601=L600,L601=L602)),NA(), L601)</f>
        <v>0</v>
      </c>
      <c r="M971">
        <f>IF(ISNA(N971),NA(),M601)</f>
        <v>0</v>
      </c>
      <c r="N971">
        <f>IF(OR(N601="",AND(N601=N600,N601=N602)),NA(), N601)</f>
        <v>0</v>
      </c>
    </row>
    <row r="972" spans="5:14">
      <c r="E972">
        <f>IF(ISNA(F972),NA(),E602)</f>
        <v>0</v>
      </c>
      <c r="F972">
        <f>IF(OR(F602="",AND(F602=F601,F602=F603)),NA(), F602)</f>
        <v>0</v>
      </c>
      <c r="G972">
        <f>IF(ISNA(H972),NA(),G602)</f>
        <v>0</v>
      </c>
      <c r="H972">
        <f>IF(OR(H602="",AND(H602=H601,H602=H603)),NA(), H602)</f>
        <v>0</v>
      </c>
      <c r="K972">
        <f>IF(ISNA(L972),NA(),K602)</f>
        <v>0</v>
      </c>
      <c r="L972">
        <f>IF(OR(L602="",AND(L602=L601,L602=L603)),NA(), L602)</f>
        <v>0</v>
      </c>
      <c r="M972">
        <f>IF(ISNA(N972),NA(),M602)</f>
        <v>0</v>
      </c>
      <c r="N972">
        <f>IF(OR(N602="",AND(N602=N601,N602=N603)),NA(), N602)</f>
        <v>0</v>
      </c>
    </row>
    <row r="973" spans="5:14">
      <c r="E973">
        <f>IF(ISNA(F973),NA(),E603)</f>
        <v>0</v>
      </c>
      <c r="F973">
        <f>IF(OR(F603="",AND(F603=F602,F603=F604)),NA(), F603)</f>
        <v>0</v>
      </c>
      <c r="G973">
        <f>IF(ISNA(H973),NA(),G603)</f>
        <v>0</v>
      </c>
      <c r="H973">
        <f>IF(OR(H603="",AND(H603=H602,H603=H604)),NA(), H603)</f>
        <v>0</v>
      </c>
      <c r="K973">
        <f>IF(ISNA(L973),NA(),K603)</f>
        <v>0</v>
      </c>
      <c r="L973">
        <f>IF(OR(L603="",AND(L603=L602,L603=L604)),NA(), L603)</f>
        <v>0</v>
      </c>
      <c r="M973">
        <f>IF(ISNA(N973),NA(),M603)</f>
        <v>0</v>
      </c>
      <c r="N973">
        <f>IF(OR(N603="",AND(N603=N602,N603=N604)),NA(), N603)</f>
        <v>0</v>
      </c>
    </row>
    <row r="974" spans="5:14">
      <c r="E974">
        <f>IF(ISNA(F974),NA(),E604)</f>
        <v>0</v>
      </c>
      <c r="F974">
        <f>IF(OR(F604="",AND(F604=F603,F604=F605)),NA(), F604)</f>
        <v>0</v>
      </c>
      <c r="G974">
        <f>IF(ISNA(H974),NA(),G604)</f>
        <v>0</v>
      </c>
      <c r="H974">
        <f>IF(OR(H604="",AND(H604=H603,H604=H605)),NA(), H604)</f>
        <v>0</v>
      </c>
      <c r="K974">
        <f>IF(ISNA(L974),NA(),K604)</f>
        <v>0</v>
      </c>
      <c r="L974">
        <f>IF(OR(L604="",AND(L604=L603,L604=L605)),NA(), L604)</f>
        <v>0</v>
      </c>
      <c r="M974">
        <f>IF(ISNA(N974),NA(),M604)</f>
        <v>0</v>
      </c>
      <c r="N974">
        <f>IF(OR(N604="",AND(N604=N603,N604=N605)),NA(), N604)</f>
        <v>0</v>
      </c>
    </row>
    <row r="975" spans="5:14">
      <c r="E975">
        <f>IF(ISNA(F975),NA(),E605)</f>
        <v>0</v>
      </c>
      <c r="F975">
        <f>IF(OR(F605="",AND(F605=F604,F605=F606)),NA(), F605)</f>
        <v>0</v>
      </c>
      <c r="G975">
        <f>IF(ISNA(H975),NA(),G605)</f>
        <v>0</v>
      </c>
      <c r="H975">
        <f>IF(OR(H605="",AND(H605=H604,H605=H606)),NA(), H605)</f>
        <v>0</v>
      </c>
      <c r="K975">
        <f>IF(ISNA(L975),NA(),K605)</f>
        <v>0</v>
      </c>
      <c r="L975">
        <f>IF(OR(L605="",AND(L605=L604,L605=L606)),NA(), L605)</f>
        <v>0</v>
      </c>
      <c r="M975">
        <f>IF(ISNA(N975),NA(),M605)</f>
        <v>0</v>
      </c>
      <c r="N975">
        <f>IF(OR(N605="",AND(N605=N604,N605=N606)),NA(), N605)</f>
        <v>0</v>
      </c>
    </row>
    <row r="976" spans="5:14">
      <c r="E976">
        <f>IF(ISNA(F976),NA(),E606)</f>
        <v>0</v>
      </c>
      <c r="F976">
        <f>IF(OR(F606="",AND(F606=F605,F606=F607)),NA(), F606)</f>
        <v>0</v>
      </c>
      <c r="G976">
        <f>IF(ISNA(H976),NA(),G606)</f>
        <v>0</v>
      </c>
      <c r="H976">
        <f>IF(OR(H606="",AND(H606=H605,H606=H607)),NA(), H606)</f>
        <v>0</v>
      </c>
      <c r="K976">
        <f>IF(ISNA(L976),NA(),K606)</f>
        <v>0</v>
      </c>
      <c r="L976">
        <f>IF(OR(L606="",AND(L606=L605,L606=L607)),NA(), L606)</f>
        <v>0</v>
      </c>
      <c r="M976">
        <f>IF(ISNA(N976),NA(),M606)</f>
        <v>0</v>
      </c>
      <c r="N976">
        <f>IF(OR(N606="",AND(N606=N605,N606=N607)),NA(), N606)</f>
        <v>0</v>
      </c>
    </row>
    <row r="977" spans="5:14">
      <c r="E977">
        <f>IF(ISNA(F977),NA(),E607)</f>
        <v>0</v>
      </c>
      <c r="F977">
        <f>IF(OR(F607="",AND(F607=F606,F607=F608)),NA(), F607)</f>
        <v>0</v>
      </c>
      <c r="G977">
        <f>IF(ISNA(H977),NA(),G607)</f>
        <v>0</v>
      </c>
      <c r="H977">
        <f>IF(OR(H607="",AND(H607=H606,H607=H608)),NA(), H607)</f>
        <v>0</v>
      </c>
      <c r="K977">
        <f>IF(ISNA(L977),NA(),K607)</f>
        <v>0</v>
      </c>
      <c r="L977">
        <f>IF(OR(L607="",AND(L607=L606,L607=L608)),NA(), L607)</f>
        <v>0</v>
      </c>
      <c r="M977">
        <f>IF(ISNA(N977),NA(),M607)</f>
        <v>0</v>
      </c>
      <c r="N977">
        <f>IF(OR(N607="",AND(N607=N606,N607=N608)),NA(), N607)</f>
        <v>0</v>
      </c>
    </row>
    <row r="978" spans="5:14">
      <c r="E978">
        <f>IF(ISNA(F978),NA(),E608)</f>
        <v>0</v>
      </c>
      <c r="F978">
        <f>IF(OR(F608="",AND(F608=F607,F608=F609)),NA(), F608)</f>
        <v>0</v>
      </c>
      <c r="G978">
        <f>IF(ISNA(H978),NA(),G608)</f>
        <v>0</v>
      </c>
      <c r="H978">
        <f>IF(OR(H608="",AND(H608=H607,H608=H609)),NA(), H608)</f>
        <v>0</v>
      </c>
      <c r="K978">
        <f>IF(ISNA(L978),NA(),K608)</f>
        <v>0</v>
      </c>
      <c r="L978">
        <f>IF(OR(L608="",AND(L608=L607,L608=L609)),NA(), L608)</f>
        <v>0</v>
      </c>
      <c r="M978">
        <f>IF(ISNA(N978),NA(),M608)</f>
        <v>0</v>
      </c>
      <c r="N978">
        <f>IF(OR(N608="",AND(N608=N607,N608=N609)),NA(), N608)</f>
        <v>0</v>
      </c>
    </row>
    <row r="979" spans="5:14">
      <c r="E979">
        <f>IF(ISNA(F979),NA(),E609)</f>
        <v>0</v>
      </c>
      <c r="F979">
        <f>IF(OR(F609="",AND(F609=F608,F609=F610)),NA(), F609)</f>
        <v>0</v>
      </c>
      <c r="G979">
        <f>IF(ISNA(H979),NA(),G609)</f>
        <v>0</v>
      </c>
      <c r="H979">
        <f>IF(OR(H609="",AND(H609=H608,H609=H610)),NA(), H609)</f>
        <v>0</v>
      </c>
      <c r="K979">
        <f>IF(ISNA(L979),NA(),K609)</f>
        <v>0</v>
      </c>
      <c r="L979">
        <f>IF(OR(L609="",AND(L609=L608,L609=L610)),NA(), L609)</f>
        <v>0</v>
      </c>
      <c r="M979">
        <f>IF(ISNA(N979),NA(),M609)</f>
        <v>0</v>
      </c>
      <c r="N979">
        <f>IF(OR(N609="",AND(N609=N608,N609=N610)),NA(), N609)</f>
        <v>0</v>
      </c>
    </row>
    <row r="980" spans="5:14">
      <c r="E980">
        <f>IF(ISNA(F980),NA(),E610)</f>
        <v>0</v>
      </c>
      <c r="F980">
        <f>IF(OR(F610="",AND(F610=F609,F610=F611)),NA(), F610)</f>
        <v>0</v>
      </c>
      <c r="G980">
        <f>IF(ISNA(H980),NA(),G610)</f>
        <v>0</v>
      </c>
      <c r="H980">
        <f>IF(OR(H610="",AND(H610=H609,H610=H611)),NA(), H610)</f>
        <v>0</v>
      </c>
      <c r="K980">
        <f>IF(ISNA(L980),NA(),K610)</f>
        <v>0</v>
      </c>
      <c r="L980">
        <f>IF(OR(L610="",AND(L610=L609,L610=L611)),NA(), L610)</f>
        <v>0</v>
      </c>
      <c r="M980">
        <f>IF(ISNA(N980),NA(),M610)</f>
        <v>0</v>
      </c>
      <c r="N980">
        <f>IF(OR(N610="",AND(N610=N609,N610=N611)),NA(), N610)</f>
        <v>0</v>
      </c>
    </row>
    <row r="981" spans="5:14">
      <c r="E981">
        <f>IF(ISNA(F981),NA(),E611)</f>
        <v>0</v>
      </c>
      <c r="F981">
        <f>IF(OR(F611="",AND(F611=F610,F611=F612)),NA(), F611)</f>
        <v>0</v>
      </c>
      <c r="G981">
        <f>IF(ISNA(H981),NA(),G611)</f>
        <v>0</v>
      </c>
      <c r="H981">
        <f>IF(OR(H611="",AND(H611=H610,H611=H612)),NA(), H611)</f>
        <v>0</v>
      </c>
      <c r="K981">
        <f>IF(ISNA(L981),NA(),K611)</f>
        <v>0</v>
      </c>
      <c r="L981">
        <f>IF(OR(L611="",AND(L611=L610,L611=L612)),NA(), L611)</f>
        <v>0</v>
      </c>
      <c r="M981">
        <f>IF(ISNA(N981),NA(),M611)</f>
        <v>0</v>
      </c>
      <c r="N981">
        <f>IF(OR(N611="",AND(N611=N610,N611=N612)),NA(), N611)</f>
        <v>0</v>
      </c>
    </row>
    <row r="982" spans="5:14">
      <c r="E982">
        <f>IF(ISNA(F982),NA(),E612)</f>
        <v>0</v>
      </c>
      <c r="F982">
        <f>IF(OR(F612="",AND(F612=F611,F612=F613)),NA(), F612)</f>
        <v>0</v>
      </c>
      <c r="G982">
        <f>IF(ISNA(H982),NA(),G612)</f>
        <v>0</v>
      </c>
      <c r="H982">
        <f>IF(OR(H612="",AND(H612=H611,H612=H613)),NA(), H612)</f>
        <v>0</v>
      </c>
      <c r="K982">
        <f>IF(ISNA(L982),NA(),K612)</f>
        <v>0</v>
      </c>
      <c r="L982">
        <f>IF(OR(L612="",AND(L612=L611,L612=L613)),NA(), L612)</f>
        <v>0</v>
      </c>
      <c r="M982">
        <f>IF(ISNA(N982),NA(),M612)</f>
        <v>0</v>
      </c>
      <c r="N982">
        <f>IF(OR(N612="",AND(N612=N611,N612=N613)),NA(), N612)</f>
        <v>0</v>
      </c>
    </row>
    <row r="983" spans="5:14">
      <c r="E983">
        <f>IF(ISNA(F983),NA(),E613)</f>
        <v>0</v>
      </c>
      <c r="F983">
        <f>IF(OR(F613="",AND(F613=F612,F613=F614)),NA(), F613)</f>
        <v>0</v>
      </c>
      <c r="G983">
        <f>IF(ISNA(H983),NA(),G613)</f>
        <v>0</v>
      </c>
      <c r="H983">
        <f>IF(OR(H613="",AND(H613=H612,H613=H614)),NA(), H613)</f>
        <v>0</v>
      </c>
      <c r="K983">
        <f>IF(ISNA(L983),NA(),K613)</f>
        <v>0</v>
      </c>
      <c r="L983">
        <f>IF(OR(L613="",AND(L613=L612,L613=L614)),NA(), L613)</f>
        <v>0</v>
      </c>
      <c r="M983">
        <f>IF(ISNA(N983),NA(),M613)</f>
        <v>0</v>
      </c>
      <c r="N983">
        <f>IF(OR(N613="",AND(N613=N612,N613=N614)),NA(), N613)</f>
        <v>0</v>
      </c>
    </row>
    <row r="984" spans="5:14">
      <c r="E984">
        <f>IF(ISNA(F984),NA(),E614)</f>
        <v>0</v>
      </c>
      <c r="F984">
        <f>IF(OR(F614="",AND(F614=F613,F614=F615)),NA(), F614)</f>
        <v>0</v>
      </c>
      <c r="G984">
        <f>IF(ISNA(H984),NA(),G614)</f>
        <v>0</v>
      </c>
      <c r="H984">
        <f>IF(OR(H614="",AND(H614=H613,H614=H615)),NA(), H614)</f>
        <v>0</v>
      </c>
      <c r="K984">
        <f>IF(ISNA(L984),NA(),K614)</f>
        <v>0</v>
      </c>
      <c r="L984">
        <f>IF(OR(L614="",AND(L614=L613,L614=L615)),NA(), L614)</f>
        <v>0</v>
      </c>
      <c r="M984">
        <f>IF(ISNA(N984),NA(),M614)</f>
        <v>0</v>
      </c>
      <c r="N984">
        <f>IF(OR(N614="",AND(N614=N613,N614=N615)),NA(), N614)</f>
        <v>0</v>
      </c>
    </row>
    <row r="985" spans="5:14">
      <c r="E985">
        <f>IF(ISNA(F985),NA(),E615)</f>
        <v>0</v>
      </c>
      <c r="F985">
        <f>IF(OR(F615="",AND(F615=F614,F615=F616)),NA(), F615)</f>
        <v>0</v>
      </c>
      <c r="G985">
        <f>IF(ISNA(H985),NA(),G615)</f>
        <v>0</v>
      </c>
      <c r="H985">
        <f>IF(OR(H615="",AND(H615=H614,H615=H616)),NA(), H615)</f>
        <v>0</v>
      </c>
      <c r="K985">
        <f>IF(ISNA(L985),NA(),K615)</f>
        <v>0</v>
      </c>
      <c r="L985">
        <f>IF(OR(L615="",AND(L615=L614,L615=L616)),NA(), L615)</f>
        <v>0</v>
      </c>
      <c r="M985">
        <f>IF(ISNA(N985),NA(),M615)</f>
        <v>0</v>
      </c>
      <c r="N985">
        <f>IF(OR(N615="",AND(N615=N614,N615=N616)),NA(), N615)</f>
        <v>0</v>
      </c>
    </row>
    <row r="986" spans="5:14">
      <c r="E986">
        <f>IF(ISNA(F986),NA(),E616)</f>
        <v>0</v>
      </c>
      <c r="F986">
        <f>IF(OR(F616="",AND(F616=F615,F616=F617)),NA(), F616)</f>
        <v>0</v>
      </c>
      <c r="G986">
        <f>IF(ISNA(H986),NA(),G616)</f>
        <v>0</v>
      </c>
      <c r="H986">
        <f>IF(OR(H616="",AND(H616=H615,H616=H617)),NA(), H616)</f>
        <v>0</v>
      </c>
      <c r="K986">
        <f>IF(ISNA(L986),NA(),K616)</f>
        <v>0</v>
      </c>
      <c r="L986">
        <f>IF(OR(L616="",AND(L616=L615,L616=L617)),NA(), L616)</f>
        <v>0</v>
      </c>
      <c r="M986">
        <f>IF(ISNA(N986),NA(),M616)</f>
        <v>0</v>
      </c>
      <c r="N986">
        <f>IF(OR(N616="",AND(N616=N615,N616=N617)),NA(), N616)</f>
        <v>0</v>
      </c>
    </row>
    <row r="987" spans="5:14">
      <c r="E987">
        <f>IF(ISNA(F987),NA(),E617)</f>
        <v>0</v>
      </c>
      <c r="F987">
        <f>IF(OR(F617="",AND(F617=F616,F617=F618)),NA(), F617)</f>
        <v>0</v>
      </c>
      <c r="G987">
        <f>IF(ISNA(H987),NA(),G617)</f>
        <v>0</v>
      </c>
      <c r="H987">
        <f>IF(OR(H617="",AND(H617=H616,H617=H618)),NA(), H617)</f>
        <v>0</v>
      </c>
      <c r="K987">
        <f>IF(ISNA(L987),NA(),K617)</f>
        <v>0</v>
      </c>
      <c r="L987">
        <f>IF(OR(L617="",AND(L617=L616,L617=L618)),NA(), L617)</f>
        <v>0</v>
      </c>
      <c r="M987">
        <f>IF(ISNA(N987),NA(),M617)</f>
        <v>0</v>
      </c>
      <c r="N987">
        <f>IF(OR(N617="",AND(N617=N616,N617=N618)),NA(), N617)</f>
        <v>0</v>
      </c>
    </row>
    <row r="988" spans="5:14">
      <c r="E988">
        <f>IF(ISNA(F988),NA(),E618)</f>
        <v>0</v>
      </c>
      <c r="F988">
        <f>IF(OR(F618="",AND(F618=F617,F618=F619)),NA(), F618)</f>
        <v>0</v>
      </c>
      <c r="G988">
        <f>IF(ISNA(H988),NA(),G618)</f>
        <v>0</v>
      </c>
      <c r="H988">
        <f>IF(OR(H618="",AND(H618=H617,H618=H619)),NA(), H618)</f>
        <v>0</v>
      </c>
      <c r="K988">
        <f>IF(ISNA(L988),NA(),K618)</f>
        <v>0</v>
      </c>
      <c r="L988">
        <f>IF(OR(L618="",AND(L618=L617,L618=L619)),NA(), L618)</f>
        <v>0</v>
      </c>
      <c r="M988">
        <f>IF(ISNA(N988),NA(),M618)</f>
        <v>0</v>
      </c>
      <c r="N988">
        <f>IF(OR(N618="",AND(N618=N617,N618=N619)),NA(), N618)</f>
        <v>0</v>
      </c>
    </row>
    <row r="989" spans="5:14">
      <c r="E989">
        <f>IF(ISNA(F989),NA(),E619)</f>
        <v>0</v>
      </c>
      <c r="F989">
        <f>IF(OR(F619="",AND(F619=F618,F619=F620)),NA(), F619)</f>
        <v>0</v>
      </c>
      <c r="G989">
        <f>IF(ISNA(H989),NA(),G619)</f>
        <v>0</v>
      </c>
      <c r="H989">
        <f>IF(OR(H619="",AND(H619=H618,H619=H620)),NA(), H619)</f>
        <v>0</v>
      </c>
      <c r="K989">
        <f>IF(ISNA(L989),NA(),K619)</f>
        <v>0</v>
      </c>
      <c r="L989">
        <f>IF(OR(L619="",AND(L619=L618,L619=L620)),NA(), L619)</f>
        <v>0</v>
      </c>
      <c r="M989">
        <f>IF(ISNA(N989),NA(),M619)</f>
        <v>0</v>
      </c>
      <c r="N989">
        <f>IF(OR(N619="",AND(N619=N618,N619=N620)),NA(), N619)</f>
        <v>0</v>
      </c>
    </row>
    <row r="990" spans="5:14">
      <c r="E990">
        <f>IF(ISNA(F990),NA(),E620)</f>
        <v>0</v>
      </c>
      <c r="F990">
        <f>IF(OR(F620="",AND(F620=F619,F620=F621)),NA(), F620)</f>
        <v>0</v>
      </c>
      <c r="G990">
        <f>IF(ISNA(H990),NA(),G620)</f>
        <v>0</v>
      </c>
      <c r="H990">
        <f>IF(OR(H620="",AND(H620=H619,H620=H621)),NA(), H620)</f>
        <v>0</v>
      </c>
      <c r="K990">
        <f>IF(ISNA(L990),NA(),K620)</f>
        <v>0</v>
      </c>
      <c r="L990">
        <f>IF(OR(L620="",AND(L620=L619,L620=L621)),NA(), L620)</f>
        <v>0</v>
      </c>
      <c r="M990">
        <f>IF(ISNA(N990),NA(),M620)</f>
        <v>0</v>
      </c>
      <c r="N990">
        <f>IF(OR(N620="",AND(N620=N619,N620=N621)),NA(), N620)</f>
        <v>0</v>
      </c>
    </row>
    <row r="991" spans="5:14">
      <c r="E991">
        <f>IF(ISNA(F991),NA(),E621)</f>
        <v>0</v>
      </c>
      <c r="F991">
        <f>IF(OR(F621="",AND(F621=F620,F621=F622)),NA(), F621)</f>
        <v>0</v>
      </c>
      <c r="G991">
        <f>IF(ISNA(H991),NA(),G621)</f>
        <v>0</v>
      </c>
      <c r="H991">
        <f>IF(OR(H621="",AND(H621=H620,H621=H622)),NA(), H621)</f>
        <v>0</v>
      </c>
      <c r="K991">
        <f>IF(ISNA(L991),NA(),K621)</f>
        <v>0</v>
      </c>
      <c r="L991">
        <f>IF(OR(L621="",AND(L621=L620,L621=L622)),NA(), L621)</f>
        <v>0</v>
      </c>
      <c r="M991">
        <f>IF(ISNA(N991),NA(),M621)</f>
        <v>0</v>
      </c>
      <c r="N991">
        <f>IF(OR(N621="",AND(N621=N620,N621=N622)),NA(), N621)</f>
        <v>0</v>
      </c>
    </row>
    <row r="992" spans="5:14">
      <c r="E992">
        <f>IF(ISNA(F992),NA(),E622)</f>
        <v>0</v>
      </c>
      <c r="F992">
        <f>IF(OR(F622="",AND(F622=F621,F622=F623)),NA(), F622)</f>
        <v>0</v>
      </c>
      <c r="G992">
        <f>IF(ISNA(H992),NA(),G622)</f>
        <v>0</v>
      </c>
      <c r="H992">
        <f>IF(OR(H622="",AND(H622=H621,H622=H623)),NA(), H622)</f>
        <v>0</v>
      </c>
      <c r="K992">
        <f>IF(ISNA(L992),NA(),K622)</f>
        <v>0</v>
      </c>
      <c r="L992">
        <f>IF(OR(L622="",AND(L622=L621,L622=L623)),NA(), L622)</f>
        <v>0</v>
      </c>
      <c r="M992">
        <f>IF(ISNA(N992),NA(),M622)</f>
        <v>0</v>
      </c>
      <c r="N992">
        <f>IF(OR(N622="",AND(N622=N621,N622=N623)),NA(), N622)</f>
        <v>0</v>
      </c>
    </row>
    <row r="993" spans="5:14">
      <c r="E993">
        <f>IF(ISNA(F993),NA(),E623)</f>
        <v>0</v>
      </c>
      <c r="F993">
        <f>IF(OR(F623="",AND(F623=F622,F623=F624)),NA(), F623)</f>
        <v>0</v>
      </c>
      <c r="G993">
        <f>IF(ISNA(H993),NA(),G623)</f>
        <v>0</v>
      </c>
      <c r="H993">
        <f>IF(OR(H623="",AND(H623=H622,H623=H624)),NA(), H623)</f>
        <v>0</v>
      </c>
      <c r="K993">
        <f>IF(ISNA(L993),NA(),K623)</f>
        <v>0</v>
      </c>
      <c r="L993">
        <f>IF(OR(L623="",AND(L623=L622,L623=L624)),NA(), L623)</f>
        <v>0</v>
      </c>
      <c r="M993">
        <f>IF(ISNA(N993),NA(),M623)</f>
        <v>0</v>
      </c>
      <c r="N993">
        <f>IF(OR(N623="",AND(N623=N622,N623=N624)),NA(), N623)</f>
        <v>0</v>
      </c>
    </row>
    <row r="994" spans="5:14">
      <c r="E994">
        <f>IF(ISNA(F994),NA(),E624)</f>
        <v>0</v>
      </c>
      <c r="F994">
        <f>IF(OR(F624="",AND(F624=F623,F624=F625)),NA(), F624)</f>
        <v>0</v>
      </c>
      <c r="G994">
        <f>IF(ISNA(H994),NA(),G624)</f>
        <v>0</v>
      </c>
      <c r="H994">
        <f>IF(OR(H624="",AND(H624=H623,H624=H625)),NA(), H624)</f>
        <v>0</v>
      </c>
      <c r="K994">
        <f>IF(ISNA(L994),NA(),K624)</f>
        <v>0</v>
      </c>
      <c r="L994">
        <f>IF(OR(L624="",AND(L624=L623,L624=L625)),NA(), L624)</f>
        <v>0</v>
      </c>
      <c r="M994">
        <f>IF(ISNA(N994),NA(),M624)</f>
        <v>0</v>
      </c>
      <c r="N994">
        <f>IF(OR(N624="",AND(N624=N623,N624=N625)),NA(), N624)</f>
        <v>0</v>
      </c>
    </row>
    <row r="995" spans="5:14">
      <c r="E995">
        <f>IF(ISNA(F995),NA(),E625)</f>
        <v>0</v>
      </c>
      <c r="F995">
        <f>IF(OR(F625="",AND(F625=F624,F625=F626)),NA(), F625)</f>
        <v>0</v>
      </c>
      <c r="G995">
        <f>IF(ISNA(H995),NA(),G625)</f>
        <v>0</v>
      </c>
      <c r="H995">
        <f>IF(OR(H625="",AND(H625=H624,H625=H626)),NA(), H625)</f>
        <v>0</v>
      </c>
      <c r="K995">
        <f>IF(ISNA(L995),NA(),K625)</f>
        <v>0</v>
      </c>
      <c r="L995">
        <f>IF(OR(L625="",AND(L625=L624,L625=L626)),NA(), L625)</f>
        <v>0</v>
      </c>
      <c r="M995">
        <f>IF(ISNA(N995),NA(),M625)</f>
        <v>0</v>
      </c>
      <c r="N995">
        <f>IF(OR(N625="",AND(N625=N624,N625=N626)),NA(), N625)</f>
        <v>0</v>
      </c>
    </row>
    <row r="996" spans="5:14">
      <c r="E996">
        <f>IF(ISNA(F996),NA(),E626)</f>
        <v>0</v>
      </c>
      <c r="F996">
        <f>IF(OR(F626="",AND(F626=F625,F626=F627)),NA(), F626)</f>
        <v>0</v>
      </c>
      <c r="G996">
        <f>IF(ISNA(H996),NA(),G626)</f>
        <v>0</v>
      </c>
      <c r="H996">
        <f>IF(OR(H626="",AND(H626=H625,H626=H627)),NA(), H626)</f>
        <v>0</v>
      </c>
      <c r="K996">
        <f>IF(ISNA(L996),NA(),K626)</f>
        <v>0</v>
      </c>
      <c r="L996">
        <f>IF(OR(L626="",AND(L626=L625,L626=L627)),NA(), L626)</f>
        <v>0</v>
      </c>
      <c r="M996">
        <f>IF(ISNA(N996),NA(),M626)</f>
        <v>0</v>
      </c>
      <c r="N996">
        <f>IF(OR(N626="",AND(N626=N625,N626=N627)),NA(), N626)</f>
        <v>0</v>
      </c>
    </row>
    <row r="997" spans="5:14">
      <c r="E997">
        <f>IF(ISNA(F997),NA(),E627)</f>
        <v>0</v>
      </c>
      <c r="F997">
        <f>IF(OR(F627="",AND(F627=F626,F627=F628)),NA(), F627)</f>
        <v>0</v>
      </c>
      <c r="G997">
        <f>IF(ISNA(H997),NA(),G627)</f>
        <v>0</v>
      </c>
      <c r="H997">
        <f>IF(OR(H627="",AND(H627=H626,H627=H628)),NA(), H627)</f>
        <v>0</v>
      </c>
      <c r="K997">
        <f>IF(ISNA(L997),NA(),K627)</f>
        <v>0</v>
      </c>
      <c r="L997">
        <f>IF(OR(L627="",AND(L627=L626,L627=L628)),NA(), L627)</f>
        <v>0</v>
      </c>
      <c r="M997">
        <f>IF(ISNA(N997),NA(),M627)</f>
        <v>0</v>
      </c>
      <c r="N997">
        <f>IF(OR(N627="",AND(N627=N626,N627=N628)),NA(), N627)</f>
        <v>0</v>
      </c>
    </row>
    <row r="998" spans="5:14">
      <c r="E998">
        <f>IF(ISNA(F998),NA(),E628)</f>
        <v>0</v>
      </c>
      <c r="F998">
        <f>IF(OR(F628="",AND(F628=F627,F628=F629)),NA(), F628)</f>
        <v>0</v>
      </c>
      <c r="G998">
        <f>IF(ISNA(H998),NA(),G628)</f>
        <v>0</v>
      </c>
      <c r="H998">
        <f>IF(OR(H628="",AND(H628=H627,H628=H629)),NA(), H628)</f>
        <v>0</v>
      </c>
      <c r="K998">
        <f>IF(ISNA(L998),NA(),K628)</f>
        <v>0</v>
      </c>
      <c r="L998">
        <f>IF(OR(L628="",AND(L628=L627,L628=L629)),NA(), L628)</f>
        <v>0</v>
      </c>
      <c r="M998">
        <f>IF(ISNA(N998),NA(),M628)</f>
        <v>0</v>
      </c>
      <c r="N998">
        <f>IF(OR(N628="",AND(N628=N627,N628=N629)),NA(), N628)</f>
        <v>0</v>
      </c>
    </row>
    <row r="999" spans="5:14">
      <c r="E999">
        <f>IF(ISNA(F999),NA(),E629)</f>
        <v>0</v>
      </c>
      <c r="F999">
        <f>IF(OR(F629="",AND(F629=F628,F629=F630)),NA(), F629)</f>
        <v>0</v>
      </c>
      <c r="G999">
        <f>IF(ISNA(H999),NA(),G629)</f>
        <v>0</v>
      </c>
      <c r="H999">
        <f>IF(OR(H629="",AND(H629=H628,H629=H630)),NA(), H629)</f>
        <v>0</v>
      </c>
      <c r="K999">
        <f>IF(ISNA(L999),NA(),K629)</f>
        <v>0</v>
      </c>
      <c r="L999">
        <f>IF(OR(L629="",AND(L629=L628,L629=L630)),NA(), L629)</f>
        <v>0</v>
      </c>
      <c r="M999">
        <f>IF(ISNA(N999),NA(),M629)</f>
        <v>0</v>
      </c>
      <c r="N999">
        <f>IF(OR(N629="",AND(N629=N628,N629=N630)),NA(), N629)</f>
        <v>0</v>
      </c>
    </row>
    <row r="1000" spans="5:14">
      <c r="E1000">
        <f>IF(ISNA(F1000),NA(),E630)</f>
        <v>0</v>
      </c>
      <c r="F1000">
        <f>IF(OR(F630="",AND(F630=F629,F630=F631)),NA(), F630)</f>
        <v>0</v>
      </c>
      <c r="G1000">
        <f>IF(ISNA(H1000),NA(),G630)</f>
        <v>0</v>
      </c>
      <c r="H1000">
        <f>IF(OR(H630="",AND(H630=H629,H630=H631)),NA(), H630)</f>
        <v>0</v>
      </c>
      <c r="K1000">
        <f>IF(ISNA(L1000),NA(),K630)</f>
        <v>0</v>
      </c>
      <c r="L1000">
        <f>IF(OR(L630="",AND(L630=L629,L630=L631)),NA(), L630)</f>
        <v>0</v>
      </c>
      <c r="M1000">
        <f>IF(ISNA(N1000),NA(),M630)</f>
        <v>0</v>
      </c>
      <c r="N1000">
        <f>IF(OR(N630="",AND(N630=N629,N630=N631)),NA(), N630)</f>
        <v>0</v>
      </c>
    </row>
    <row r="1001" spans="5:14">
      <c r="E1001">
        <f>IF(ISNA(F1001),NA(),E631)</f>
        <v>0</v>
      </c>
      <c r="F1001">
        <f>IF(OR(F631="",AND(F631=F630,F631=F632)),NA(), F631)</f>
        <v>0</v>
      </c>
      <c r="G1001">
        <f>IF(ISNA(H1001),NA(),G631)</f>
        <v>0</v>
      </c>
      <c r="H1001">
        <f>IF(OR(H631="",AND(H631=H630,H631=H632)),NA(), H631)</f>
        <v>0</v>
      </c>
      <c r="K1001">
        <f>IF(ISNA(L1001),NA(),K631)</f>
        <v>0</v>
      </c>
      <c r="L1001">
        <f>IF(OR(L631="",AND(L631=L630,L631=L632)),NA(), L631)</f>
        <v>0</v>
      </c>
      <c r="M1001">
        <f>IF(ISNA(N1001),NA(),M631)</f>
        <v>0</v>
      </c>
      <c r="N1001">
        <f>IF(OR(N631="",AND(N631=N630,N631=N632)),NA(), N631)</f>
        <v>0</v>
      </c>
    </row>
    <row r="1002" spans="5:14">
      <c r="E1002">
        <f>IF(ISNA(F1002),NA(),E632)</f>
        <v>0</v>
      </c>
      <c r="F1002">
        <f>IF(OR(F632="",AND(F632=F631,F632=F633)),NA(), F632)</f>
        <v>0</v>
      </c>
      <c r="G1002">
        <f>IF(ISNA(H1002),NA(),G632)</f>
        <v>0</v>
      </c>
      <c r="H1002">
        <f>IF(OR(H632="",AND(H632=H631,H632=H633)),NA(), H632)</f>
        <v>0</v>
      </c>
      <c r="K1002">
        <f>IF(ISNA(L1002),NA(),K632)</f>
        <v>0</v>
      </c>
      <c r="L1002">
        <f>IF(OR(L632="",AND(L632=L631,L632=L633)),NA(), L632)</f>
        <v>0</v>
      </c>
      <c r="M1002">
        <f>IF(ISNA(N1002),NA(),M632)</f>
        <v>0</v>
      </c>
      <c r="N1002">
        <f>IF(OR(N632="",AND(N632=N631,N632=N633)),NA(), N632)</f>
        <v>0</v>
      </c>
    </row>
    <row r="1003" spans="5:14">
      <c r="E1003">
        <f>IF(ISNA(F1003),NA(),E633)</f>
        <v>0</v>
      </c>
      <c r="F1003">
        <f>IF(OR(F633="",AND(F633=F632,F633=F634)),NA(), F633)</f>
        <v>0</v>
      </c>
      <c r="G1003">
        <f>IF(ISNA(H1003),NA(),G633)</f>
        <v>0</v>
      </c>
      <c r="H1003">
        <f>IF(OR(H633="",AND(H633=H632,H633=H634)),NA(), H633)</f>
        <v>0</v>
      </c>
      <c r="K1003">
        <f>IF(ISNA(L1003),NA(),K633)</f>
        <v>0</v>
      </c>
      <c r="L1003">
        <f>IF(OR(L633="",AND(L633=L632,L633=L634)),NA(), L633)</f>
        <v>0</v>
      </c>
      <c r="M1003">
        <f>IF(ISNA(N1003),NA(),M633)</f>
        <v>0</v>
      </c>
      <c r="N1003">
        <f>IF(OR(N633="",AND(N633=N632,N633=N634)),NA(), N633)</f>
        <v>0</v>
      </c>
    </row>
    <row r="1004" spans="5:14">
      <c r="E1004">
        <f>IF(ISNA(F1004),NA(),E634)</f>
        <v>0</v>
      </c>
      <c r="F1004">
        <f>IF(OR(F634="",AND(F634=F633,F634=F635)),NA(), F634)</f>
        <v>0</v>
      </c>
      <c r="G1004">
        <f>IF(ISNA(H1004),NA(),G634)</f>
        <v>0</v>
      </c>
      <c r="H1004">
        <f>IF(OR(H634="",AND(H634=H633,H634=H635)),NA(), H634)</f>
        <v>0</v>
      </c>
      <c r="K1004">
        <f>IF(ISNA(L1004),NA(),K634)</f>
        <v>0</v>
      </c>
      <c r="L1004">
        <f>IF(OR(L634="",AND(L634=L633,L634=L635)),NA(), L634)</f>
        <v>0</v>
      </c>
      <c r="M1004">
        <f>IF(ISNA(N1004),NA(),M634)</f>
        <v>0</v>
      </c>
      <c r="N1004">
        <f>IF(OR(N634="",AND(N634=N633,N634=N635)),NA(), N634)</f>
        <v>0</v>
      </c>
    </row>
    <row r="1005" spans="5:14">
      <c r="E1005">
        <f>IF(ISNA(F1005),NA(),E635)</f>
        <v>0</v>
      </c>
      <c r="F1005">
        <f>IF(OR(F635="",AND(F635=F634,F635=F636)),NA(), F635)</f>
        <v>0</v>
      </c>
      <c r="G1005">
        <f>IF(ISNA(H1005),NA(),G635)</f>
        <v>0</v>
      </c>
      <c r="H1005">
        <f>IF(OR(H635="",AND(H635=H634,H635=H636)),NA(), H635)</f>
        <v>0</v>
      </c>
      <c r="K1005">
        <f>IF(ISNA(L1005),NA(),K635)</f>
        <v>0</v>
      </c>
      <c r="L1005">
        <f>IF(OR(L635="",AND(L635=L634,L635=L636)),NA(), L635)</f>
        <v>0</v>
      </c>
      <c r="M1005">
        <f>IF(ISNA(N1005),NA(),M635)</f>
        <v>0</v>
      </c>
      <c r="N1005">
        <f>IF(OR(N635="",AND(N635=N634,N635=N636)),NA(), N635)</f>
        <v>0</v>
      </c>
    </row>
    <row r="1006" spans="5:14">
      <c r="E1006">
        <f>IF(ISNA(F1006),NA(),E636)</f>
        <v>0</v>
      </c>
      <c r="F1006">
        <f>IF(OR(F636="",AND(F636=F635,F636=F637)),NA(), F636)</f>
        <v>0</v>
      </c>
      <c r="G1006">
        <f>IF(ISNA(H1006),NA(),G636)</f>
        <v>0</v>
      </c>
      <c r="H1006">
        <f>IF(OR(H636="",AND(H636=H635,H636=H637)),NA(), H636)</f>
        <v>0</v>
      </c>
      <c r="K1006">
        <f>IF(ISNA(L1006),NA(),K636)</f>
        <v>0</v>
      </c>
      <c r="L1006">
        <f>IF(OR(L636="",AND(L636=L635,L636=L637)),NA(), L636)</f>
        <v>0</v>
      </c>
      <c r="M1006">
        <f>IF(ISNA(N1006),NA(),M636)</f>
        <v>0</v>
      </c>
      <c r="N1006">
        <f>IF(OR(N636="",AND(N636=N635,N636=N637)),NA(), N636)</f>
        <v>0</v>
      </c>
    </row>
    <row r="1007" spans="5:14">
      <c r="E1007">
        <f>IF(ISNA(F1007),NA(),E637)</f>
        <v>0</v>
      </c>
      <c r="F1007">
        <f>IF(OR(F637="",AND(F637=F636,F637=F638)),NA(), F637)</f>
        <v>0</v>
      </c>
      <c r="G1007">
        <f>IF(ISNA(H1007),NA(),G637)</f>
        <v>0</v>
      </c>
      <c r="H1007">
        <f>IF(OR(H637="",AND(H637=H636,H637=H638)),NA(), H637)</f>
        <v>0</v>
      </c>
      <c r="K1007">
        <f>IF(ISNA(L1007),NA(),K637)</f>
        <v>0</v>
      </c>
      <c r="L1007">
        <f>IF(OR(L637="",AND(L637=L636,L637=L638)),NA(), L637)</f>
        <v>0</v>
      </c>
      <c r="M1007">
        <f>IF(ISNA(N1007),NA(),M637)</f>
        <v>0</v>
      </c>
      <c r="N1007">
        <f>IF(OR(N637="",AND(N637=N636,N637=N638)),NA(), N637)</f>
        <v>0</v>
      </c>
    </row>
    <row r="1008" spans="5:14">
      <c r="E1008">
        <f>IF(ISNA(F1008),NA(),E638)</f>
        <v>0</v>
      </c>
      <c r="F1008">
        <f>IF(OR(F638="",AND(F638=F637,F638=F639)),NA(), F638)</f>
        <v>0</v>
      </c>
      <c r="G1008">
        <f>IF(ISNA(H1008),NA(),G638)</f>
        <v>0</v>
      </c>
      <c r="H1008">
        <f>IF(OR(H638="",AND(H638=H637,H638=H639)),NA(), H638)</f>
        <v>0</v>
      </c>
      <c r="K1008">
        <f>IF(ISNA(L1008),NA(),K638)</f>
        <v>0</v>
      </c>
      <c r="L1008">
        <f>IF(OR(L638="",AND(L638=L637,L638=L639)),NA(), L638)</f>
        <v>0</v>
      </c>
      <c r="M1008">
        <f>IF(ISNA(N1008),NA(),M638)</f>
        <v>0</v>
      </c>
      <c r="N1008">
        <f>IF(OR(N638="",AND(N638=N637,N638=N639)),NA(), N638)</f>
        <v>0</v>
      </c>
    </row>
    <row r="1009" spans="5:14">
      <c r="E1009">
        <f>IF(ISNA(F1009),NA(),E639)</f>
        <v>0</v>
      </c>
      <c r="F1009">
        <f>IF(OR(F639="",AND(F639=F638,F639=F640)),NA(), F639)</f>
        <v>0</v>
      </c>
      <c r="G1009">
        <f>IF(ISNA(H1009),NA(),G639)</f>
        <v>0</v>
      </c>
      <c r="H1009">
        <f>IF(OR(H639="",AND(H639=H638,H639=H640)),NA(), H639)</f>
        <v>0</v>
      </c>
      <c r="K1009">
        <f>IF(ISNA(L1009),NA(),K639)</f>
        <v>0</v>
      </c>
      <c r="L1009">
        <f>IF(OR(L639="",AND(L639=L638,L639=L640)),NA(), L639)</f>
        <v>0</v>
      </c>
      <c r="M1009">
        <f>IF(ISNA(N1009),NA(),M639)</f>
        <v>0</v>
      </c>
      <c r="N1009">
        <f>IF(OR(N639="",AND(N639=N638,N639=N640)),NA(), N639)</f>
        <v>0</v>
      </c>
    </row>
    <row r="1010" spans="5:14">
      <c r="E1010">
        <f>IF(ISNA(F1010),NA(),E640)</f>
        <v>0</v>
      </c>
      <c r="F1010">
        <f>IF(OR(F640="",AND(F640=F639,F640=F641)),NA(), F640)</f>
        <v>0</v>
      </c>
      <c r="G1010">
        <f>IF(ISNA(H1010),NA(),G640)</f>
        <v>0</v>
      </c>
      <c r="H1010">
        <f>IF(OR(H640="",AND(H640=H639,H640=H641)),NA(), H640)</f>
        <v>0</v>
      </c>
      <c r="K1010">
        <f>IF(ISNA(L1010),NA(),K640)</f>
        <v>0</v>
      </c>
      <c r="L1010">
        <f>IF(OR(L640="",AND(L640=L639,L640=L641)),NA(), L640)</f>
        <v>0</v>
      </c>
      <c r="M1010">
        <f>IF(ISNA(N1010),NA(),M640)</f>
        <v>0</v>
      </c>
      <c r="N1010">
        <f>IF(OR(N640="",AND(N640=N639,N640=N641)),NA(), N640)</f>
        <v>0</v>
      </c>
    </row>
    <row r="1011" spans="5:14">
      <c r="E1011">
        <f>IF(ISNA(F1011),NA(),E641)</f>
        <v>0</v>
      </c>
      <c r="F1011">
        <f>IF(OR(F641="",AND(F641=F640,F641=F642)),NA(), F641)</f>
        <v>0</v>
      </c>
      <c r="G1011">
        <f>IF(ISNA(H1011),NA(),G641)</f>
        <v>0</v>
      </c>
      <c r="H1011">
        <f>IF(OR(H641="",AND(H641=H640,H641=H642)),NA(), H641)</f>
        <v>0</v>
      </c>
      <c r="K1011">
        <f>IF(ISNA(L1011),NA(),K641)</f>
        <v>0</v>
      </c>
      <c r="L1011">
        <f>IF(OR(L641="",AND(L641=L640,L641=L642)),NA(), L641)</f>
        <v>0</v>
      </c>
      <c r="M1011">
        <f>IF(ISNA(N1011),NA(),M641)</f>
        <v>0</v>
      </c>
      <c r="N1011">
        <f>IF(OR(N641="",AND(N641=N640,N641=N642)),NA(), N641)</f>
        <v>0</v>
      </c>
    </row>
    <row r="1012" spans="5:14">
      <c r="E1012">
        <f>IF(ISNA(F1012),NA(),E642)</f>
        <v>0</v>
      </c>
      <c r="F1012">
        <f>IF(OR(F642="",AND(F642=F641,F642=F643)),NA(), F642)</f>
        <v>0</v>
      </c>
      <c r="G1012">
        <f>IF(ISNA(H1012),NA(),G642)</f>
        <v>0</v>
      </c>
      <c r="H1012">
        <f>IF(OR(H642="",AND(H642=H641,H642=H643)),NA(), H642)</f>
        <v>0</v>
      </c>
      <c r="K1012">
        <f>IF(ISNA(L1012),NA(),K642)</f>
        <v>0</v>
      </c>
      <c r="L1012">
        <f>IF(OR(L642="",AND(L642=L641,L642=L643)),NA(), L642)</f>
        <v>0</v>
      </c>
      <c r="M1012">
        <f>IF(ISNA(N1012),NA(),M642)</f>
        <v>0</v>
      </c>
      <c r="N1012">
        <f>IF(OR(N642="",AND(N642=N641,N642=N643)),NA(), N642)</f>
        <v>0</v>
      </c>
    </row>
    <row r="1013" spans="5:14">
      <c r="E1013">
        <f>IF(ISNA(F1013),NA(),E643)</f>
        <v>0</v>
      </c>
      <c r="F1013">
        <f>IF(OR(F643="",AND(F643=F642,F643=F644)),NA(), F643)</f>
        <v>0</v>
      </c>
      <c r="G1013">
        <f>IF(ISNA(H1013),NA(),G643)</f>
        <v>0</v>
      </c>
      <c r="H1013">
        <f>IF(OR(H643="",AND(H643=H642,H643=H644)),NA(), H643)</f>
        <v>0</v>
      </c>
      <c r="K1013">
        <f>IF(ISNA(L1013),NA(),K643)</f>
        <v>0</v>
      </c>
      <c r="L1013">
        <f>IF(OR(L643="",AND(L643=L642,L643=L644)),NA(), L643)</f>
        <v>0</v>
      </c>
      <c r="M1013">
        <f>IF(ISNA(N1013),NA(),M643)</f>
        <v>0</v>
      </c>
      <c r="N1013">
        <f>IF(OR(N643="",AND(N643=N642,N643=N644)),NA(), N643)</f>
        <v>0</v>
      </c>
    </row>
    <row r="1014" spans="5:14">
      <c r="E1014">
        <f>IF(ISNA(F1014),NA(),E644)</f>
        <v>0</v>
      </c>
      <c r="F1014">
        <f>IF(OR(F644="",AND(F644=F643,F644=F645)),NA(), F644)</f>
        <v>0</v>
      </c>
      <c r="G1014">
        <f>IF(ISNA(H1014),NA(),G644)</f>
        <v>0</v>
      </c>
      <c r="H1014">
        <f>IF(OR(H644="",AND(H644=H643,H644=H645)),NA(), H644)</f>
        <v>0</v>
      </c>
      <c r="K1014">
        <f>IF(ISNA(L1014),NA(),K644)</f>
        <v>0</v>
      </c>
      <c r="L1014">
        <f>IF(OR(L644="",AND(L644=L643,L644=L645)),NA(), L644)</f>
        <v>0</v>
      </c>
      <c r="M1014">
        <f>IF(ISNA(N1014),NA(),M644)</f>
        <v>0</v>
      </c>
      <c r="N1014">
        <f>IF(OR(N644="",AND(N644=N643,N644=N645)),NA(), N644)</f>
        <v>0</v>
      </c>
    </row>
    <row r="1015" spans="5:14">
      <c r="E1015">
        <f>IF(ISNA(F1015),NA(),E645)</f>
        <v>0</v>
      </c>
      <c r="F1015">
        <f>IF(OR(F645="",AND(F645=F644,F645=F646)),NA(), F645)</f>
        <v>0</v>
      </c>
      <c r="G1015">
        <f>IF(ISNA(H1015),NA(),G645)</f>
        <v>0</v>
      </c>
      <c r="H1015">
        <f>IF(OR(H645="",AND(H645=H644,H645=H646)),NA(), H645)</f>
        <v>0</v>
      </c>
      <c r="K1015">
        <f>IF(ISNA(L1015),NA(),K645)</f>
        <v>0</v>
      </c>
      <c r="L1015">
        <f>IF(OR(L645="",AND(L645=L644,L645=L646)),NA(), L645)</f>
        <v>0</v>
      </c>
      <c r="M1015">
        <f>IF(ISNA(N1015),NA(),M645)</f>
        <v>0</v>
      </c>
      <c r="N1015">
        <f>IF(OR(N645="",AND(N645=N644,N645=N646)),NA(), N645)</f>
        <v>0</v>
      </c>
    </row>
    <row r="1016" spans="5:14">
      <c r="E1016">
        <f>IF(ISNA(F1016),NA(),E646)</f>
        <v>0</v>
      </c>
      <c r="F1016">
        <f>IF(OR(F646="",AND(F646=F645,F646=F647)),NA(), F646)</f>
        <v>0</v>
      </c>
      <c r="G1016">
        <f>IF(ISNA(H1016),NA(),G646)</f>
        <v>0</v>
      </c>
      <c r="H1016">
        <f>IF(OR(H646="",AND(H646=H645,H646=H647)),NA(), H646)</f>
        <v>0</v>
      </c>
      <c r="K1016">
        <f>IF(ISNA(L1016),NA(),K646)</f>
        <v>0</v>
      </c>
      <c r="L1016">
        <f>IF(OR(L646="",AND(L646=L645,L646=L647)),NA(), L646)</f>
        <v>0</v>
      </c>
      <c r="M1016">
        <f>IF(ISNA(N1016),NA(),M646)</f>
        <v>0</v>
      </c>
      <c r="N1016">
        <f>IF(OR(N646="",AND(N646=N645,N646=N647)),NA(), N646)</f>
        <v>0</v>
      </c>
    </row>
    <row r="1017" spans="5:14">
      <c r="E1017">
        <f>IF(ISNA(F1017),NA(),E647)</f>
        <v>0</v>
      </c>
      <c r="F1017">
        <f>IF(OR(F647="",AND(F647=F646,F647=F648)),NA(), F647)</f>
        <v>0</v>
      </c>
      <c r="G1017">
        <f>IF(ISNA(H1017),NA(),G647)</f>
        <v>0</v>
      </c>
      <c r="H1017">
        <f>IF(OR(H647="",AND(H647=H646,H647=H648)),NA(), H647)</f>
        <v>0</v>
      </c>
      <c r="K1017">
        <f>IF(ISNA(L1017),NA(),K647)</f>
        <v>0</v>
      </c>
      <c r="L1017">
        <f>IF(OR(L647="",AND(L647=L646,L647=L648)),NA(), L647)</f>
        <v>0</v>
      </c>
      <c r="M1017">
        <f>IF(ISNA(N1017),NA(),M647)</f>
        <v>0</v>
      </c>
      <c r="N1017">
        <f>IF(OR(N647="",AND(N647=N646,N647=N648)),NA(), N647)</f>
        <v>0</v>
      </c>
    </row>
    <row r="1018" spans="5:14">
      <c r="E1018">
        <f>IF(ISNA(F1018),NA(),E648)</f>
        <v>0</v>
      </c>
      <c r="F1018">
        <f>IF(OR(F648="",AND(F648=F647,F648=F649)),NA(), F648)</f>
        <v>0</v>
      </c>
      <c r="G1018">
        <f>IF(ISNA(H1018),NA(),G648)</f>
        <v>0</v>
      </c>
      <c r="H1018">
        <f>IF(OR(H648="",AND(H648=H647,H648=H649)),NA(), H648)</f>
        <v>0</v>
      </c>
      <c r="K1018">
        <f>IF(ISNA(L1018),NA(),K648)</f>
        <v>0</v>
      </c>
      <c r="L1018">
        <f>IF(OR(L648="",AND(L648=L647,L648=L649)),NA(), L648)</f>
        <v>0</v>
      </c>
      <c r="M1018">
        <f>IF(ISNA(N1018),NA(),M648)</f>
        <v>0</v>
      </c>
      <c r="N1018">
        <f>IF(OR(N648="",AND(N648=N647,N648=N649)),NA(), N648)</f>
        <v>0</v>
      </c>
    </row>
    <row r="1019" spans="5:14">
      <c r="E1019">
        <f>IF(ISNA(F1019),NA(),E649)</f>
        <v>0</v>
      </c>
      <c r="F1019">
        <f>IF(OR(F649="",AND(F649=F648,F649=F650)),NA(), F649)</f>
        <v>0</v>
      </c>
      <c r="G1019">
        <f>IF(ISNA(H1019),NA(),G649)</f>
        <v>0</v>
      </c>
      <c r="H1019">
        <f>IF(OR(H649="",AND(H649=H648,H649=H650)),NA(), H649)</f>
        <v>0</v>
      </c>
      <c r="K1019">
        <f>IF(ISNA(L1019),NA(),K649)</f>
        <v>0</v>
      </c>
      <c r="L1019">
        <f>IF(OR(L649="",AND(L649=L648,L649=L650)),NA(), L649)</f>
        <v>0</v>
      </c>
      <c r="M1019">
        <f>IF(ISNA(N1019),NA(),M649)</f>
        <v>0</v>
      </c>
      <c r="N1019">
        <f>IF(OR(N649="",AND(N649=N648,N649=N650)),NA(), N649)</f>
        <v>0</v>
      </c>
    </row>
    <row r="1020" spans="5:14">
      <c r="E1020">
        <f>IF(ISNA(F1020),NA(),E650)</f>
        <v>0</v>
      </c>
      <c r="F1020">
        <f>IF(OR(F650="",AND(F650=F649,F650=F651)),NA(), F650)</f>
        <v>0</v>
      </c>
      <c r="G1020">
        <f>IF(ISNA(H1020),NA(),G650)</f>
        <v>0</v>
      </c>
      <c r="H1020">
        <f>IF(OR(H650="",AND(H650=H649,H650=H651)),NA(), H650)</f>
        <v>0</v>
      </c>
      <c r="K1020">
        <f>IF(ISNA(L1020),NA(),K650)</f>
        <v>0</v>
      </c>
      <c r="L1020">
        <f>IF(OR(L650="",AND(L650=L649,L650=L651)),NA(), L650)</f>
        <v>0</v>
      </c>
      <c r="M1020">
        <f>IF(ISNA(N1020),NA(),M650)</f>
        <v>0</v>
      </c>
      <c r="N1020">
        <f>IF(OR(N650="",AND(N650=N649,N650=N651)),NA(), N650)</f>
        <v>0</v>
      </c>
    </row>
    <row r="1021" spans="5:14">
      <c r="E1021">
        <f>IF(ISNA(F1021),NA(),E651)</f>
        <v>0</v>
      </c>
      <c r="F1021">
        <f>IF(OR(F651="",AND(F651=F650,F651=F652)),NA(), F651)</f>
        <v>0</v>
      </c>
      <c r="G1021">
        <f>IF(ISNA(H1021),NA(),G651)</f>
        <v>0</v>
      </c>
      <c r="H1021">
        <f>IF(OR(H651="",AND(H651=H650,H651=H652)),NA(), H651)</f>
        <v>0</v>
      </c>
      <c r="K1021">
        <f>IF(ISNA(L1021),NA(),K651)</f>
        <v>0</v>
      </c>
      <c r="L1021">
        <f>IF(OR(L651="",AND(L651=L650,L651=L652)),NA(), L651)</f>
        <v>0</v>
      </c>
      <c r="M1021">
        <f>IF(ISNA(N1021),NA(),M651)</f>
        <v>0</v>
      </c>
      <c r="N1021">
        <f>IF(OR(N651="",AND(N651=N650,N651=N652)),NA(), N651)</f>
        <v>0</v>
      </c>
    </row>
    <row r="1022" spans="5:14">
      <c r="E1022">
        <f>IF(ISNA(F1022),NA(),E652)</f>
        <v>0</v>
      </c>
      <c r="F1022">
        <f>IF(OR(F652="",AND(F652=F651,F652=F653)),NA(), F652)</f>
        <v>0</v>
      </c>
      <c r="G1022">
        <f>IF(ISNA(H1022),NA(),G652)</f>
        <v>0</v>
      </c>
      <c r="H1022">
        <f>IF(OR(H652="",AND(H652=H651,H652=H653)),NA(), H652)</f>
        <v>0</v>
      </c>
      <c r="K1022">
        <f>IF(ISNA(L1022),NA(),K652)</f>
        <v>0</v>
      </c>
      <c r="L1022">
        <f>IF(OR(L652="",AND(L652=L651,L652=L653)),NA(), L652)</f>
        <v>0</v>
      </c>
      <c r="M1022">
        <f>IF(ISNA(N1022),NA(),M652)</f>
        <v>0</v>
      </c>
      <c r="N1022">
        <f>IF(OR(N652="",AND(N652=N651,N652=N653)),NA(), N652)</f>
        <v>0</v>
      </c>
    </row>
    <row r="1023" spans="5:14">
      <c r="E1023">
        <f>IF(ISNA(F1023),NA(),E653)</f>
        <v>0</v>
      </c>
      <c r="F1023">
        <f>IF(OR(F653="",AND(F653=F652,F653=F654)),NA(), F653)</f>
        <v>0</v>
      </c>
      <c r="G1023">
        <f>IF(ISNA(H1023),NA(),G653)</f>
        <v>0</v>
      </c>
      <c r="H1023">
        <f>IF(OR(H653="",AND(H653=H652,H653=H654)),NA(), H653)</f>
        <v>0</v>
      </c>
      <c r="K1023">
        <f>IF(ISNA(L1023),NA(),K653)</f>
        <v>0</v>
      </c>
      <c r="L1023">
        <f>IF(OR(L653="",AND(L653=L652,L653=L654)),NA(), L653)</f>
        <v>0</v>
      </c>
      <c r="M1023">
        <f>IF(ISNA(N1023),NA(),M653)</f>
        <v>0</v>
      </c>
      <c r="N1023">
        <f>IF(OR(N653="",AND(N653=N652,N653=N654)),NA(), N653)</f>
        <v>0</v>
      </c>
    </row>
    <row r="1024" spans="5:14">
      <c r="E1024">
        <f>IF(ISNA(F1024),NA(),E654)</f>
        <v>0</v>
      </c>
      <c r="F1024">
        <f>IF(OR(F654="",AND(F654=F653,F654=F655)),NA(), F654)</f>
        <v>0</v>
      </c>
      <c r="G1024">
        <f>IF(ISNA(H1024),NA(),G654)</f>
        <v>0</v>
      </c>
      <c r="H1024">
        <f>IF(OR(H654="",AND(H654=H653,H654=H655)),NA(), H654)</f>
        <v>0</v>
      </c>
      <c r="K1024">
        <f>IF(ISNA(L1024),NA(),K654)</f>
        <v>0</v>
      </c>
      <c r="L1024">
        <f>IF(OR(L654="",AND(L654=L653,L654=L655)),NA(), L654)</f>
        <v>0</v>
      </c>
      <c r="M1024">
        <f>IF(ISNA(N1024),NA(),M654)</f>
        <v>0</v>
      </c>
      <c r="N1024">
        <f>IF(OR(N654="",AND(N654=N653,N654=N655)),NA(), N654)</f>
        <v>0</v>
      </c>
    </row>
    <row r="1025" spans="5:14">
      <c r="E1025">
        <f>IF(ISNA(F1025),NA(),E655)</f>
        <v>0</v>
      </c>
      <c r="F1025">
        <f>IF(OR(F655="",AND(F655=F654,F655=F656)),NA(), F655)</f>
        <v>0</v>
      </c>
      <c r="G1025">
        <f>IF(ISNA(H1025),NA(),G655)</f>
        <v>0</v>
      </c>
      <c r="H1025">
        <f>IF(OR(H655="",AND(H655=H654,H655=H656)),NA(), H655)</f>
        <v>0</v>
      </c>
      <c r="K1025">
        <f>IF(ISNA(L1025),NA(),K655)</f>
        <v>0</v>
      </c>
      <c r="L1025">
        <f>IF(OR(L655="",AND(L655=L654,L655=L656)),NA(), L655)</f>
        <v>0</v>
      </c>
      <c r="M1025">
        <f>IF(ISNA(N1025),NA(),M655)</f>
        <v>0</v>
      </c>
      <c r="N1025">
        <f>IF(OR(N655="",AND(N655=N654,N655=N656)),NA(), N655)</f>
        <v>0</v>
      </c>
    </row>
    <row r="1026" spans="5:14">
      <c r="E1026">
        <f>IF(ISNA(F1026),NA(),E656)</f>
        <v>0</v>
      </c>
      <c r="F1026">
        <f>IF(OR(F656="",AND(F656=F655,F656=F657)),NA(), F656)</f>
        <v>0</v>
      </c>
      <c r="G1026">
        <f>IF(ISNA(H1026),NA(),G656)</f>
        <v>0</v>
      </c>
      <c r="H1026">
        <f>IF(OR(H656="",AND(H656=H655,H656=H657)),NA(), H656)</f>
        <v>0</v>
      </c>
      <c r="K1026">
        <f>IF(ISNA(L1026),NA(),K656)</f>
        <v>0</v>
      </c>
      <c r="L1026">
        <f>IF(OR(L656="",AND(L656=L655,L656=L657)),NA(), L656)</f>
        <v>0</v>
      </c>
      <c r="M1026">
        <f>IF(ISNA(N1026),NA(),M656)</f>
        <v>0</v>
      </c>
      <c r="N1026">
        <f>IF(OR(N656="",AND(N656=N655,N656=N657)),NA(), N656)</f>
        <v>0</v>
      </c>
    </row>
    <row r="1027" spans="5:14">
      <c r="E1027">
        <f>IF(ISNA(F1027),NA(),E657)</f>
        <v>0</v>
      </c>
      <c r="F1027">
        <f>IF(OR(F657="",AND(F657=F656,F657=F658)),NA(), F657)</f>
        <v>0</v>
      </c>
      <c r="G1027">
        <f>IF(ISNA(H1027),NA(),G657)</f>
        <v>0</v>
      </c>
      <c r="H1027">
        <f>IF(OR(H657="",AND(H657=H656,H657=H658)),NA(), H657)</f>
        <v>0</v>
      </c>
      <c r="K1027">
        <f>IF(ISNA(L1027),NA(),K657)</f>
        <v>0</v>
      </c>
      <c r="L1027">
        <f>IF(OR(L657="",AND(L657=L656,L657=L658)),NA(), L657)</f>
        <v>0</v>
      </c>
      <c r="M1027">
        <f>IF(ISNA(N1027),NA(),M657)</f>
        <v>0</v>
      </c>
      <c r="N1027">
        <f>IF(OR(N657="",AND(N657=N656,N657=N658)),NA(), N657)</f>
        <v>0</v>
      </c>
    </row>
    <row r="1028" spans="5:14">
      <c r="E1028">
        <f>IF(ISNA(F1028),NA(),E658)</f>
        <v>0</v>
      </c>
      <c r="F1028">
        <f>IF(OR(F658="",AND(F658=F657,F658=F659)),NA(), F658)</f>
        <v>0</v>
      </c>
      <c r="G1028">
        <f>IF(ISNA(H1028),NA(),G658)</f>
        <v>0</v>
      </c>
      <c r="H1028">
        <f>IF(OR(H658="",AND(H658=H657,H658=H659)),NA(), H658)</f>
        <v>0</v>
      </c>
      <c r="K1028">
        <f>IF(ISNA(L1028),NA(),K658)</f>
        <v>0</v>
      </c>
      <c r="L1028">
        <f>IF(OR(L658="",AND(L658=L657,L658=L659)),NA(), L658)</f>
        <v>0</v>
      </c>
      <c r="M1028">
        <f>IF(ISNA(N1028),NA(),M658)</f>
        <v>0</v>
      </c>
      <c r="N1028">
        <f>IF(OR(N658="",AND(N658=N657,N658=N659)),NA(), N658)</f>
        <v>0</v>
      </c>
    </row>
    <row r="1029" spans="5:14">
      <c r="E1029">
        <f>IF(ISNA(F1029),NA(),E659)</f>
        <v>0</v>
      </c>
      <c r="F1029">
        <f>IF(OR(F659="",AND(F659=F658,F659=F660)),NA(), F659)</f>
        <v>0</v>
      </c>
      <c r="G1029">
        <f>IF(ISNA(H1029),NA(),G659)</f>
        <v>0</v>
      </c>
      <c r="H1029">
        <f>IF(OR(H659="",AND(H659=H658,H659=H660)),NA(), H659)</f>
        <v>0</v>
      </c>
      <c r="K1029">
        <f>IF(ISNA(L1029),NA(),K659)</f>
        <v>0</v>
      </c>
      <c r="L1029">
        <f>IF(OR(L659="",AND(L659=L658,L659=L660)),NA(), L659)</f>
        <v>0</v>
      </c>
      <c r="M1029">
        <f>IF(ISNA(N1029),NA(),M659)</f>
        <v>0</v>
      </c>
      <c r="N1029">
        <f>IF(OR(N659="",AND(N659=N658,N659=N660)),NA(), N659)</f>
        <v>0</v>
      </c>
    </row>
    <row r="1030" spans="5:14">
      <c r="E1030">
        <f>IF(ISNA(F1030),NA(),E660)</f>
        <v>0</v>
      </c>
      <c r="F1030">
        <f>IF(OR(F660="",AND(F660=F659,F660=F661)),NA(), F660)</f>
        <v>0</v>
      </c>
      <c r="G1030">
        <f>IF(ISNA(H1030),NA(),G660)</f>
        <v>0</v>
      </c>
      <c r="H1030">
        <f>IF(OR(H660="",AND(H660=H659,H660=H661)),NA(), H660)</f>
        <v>0</v>
      </c>
      <c r="K1030">
        <f>IF(ISNA(L1030),NA(),K660)</f>
        <v>0</v>
      </c>
      <c r="L1030">
        <f>IF(OR(L660="",AND(L660=L659,L660=L661)),NA(), L660)</f>
        <v>0</v>
      </c>
      <c r="M1030">
        <f>IF(ISNA(N1030),NA(),M660)</f>
        <v>0</v>
      </c>
      <c r="N1030">
        <f>IF(OR(N660="",AND(N660=N659,N660=N661)),NA(), N660)</f>
        <v>0</v>
      </c>
    </row>
    <row r="1031" spans="5:14">
      <c r="E1031">
        <f>IF(ISNA(F1031),NA(),E661)</f>
        <v>0</v>
      </c>
      <c r="F1031">
        <f>IF(OR(F661="",AND(F661=F660,F661=F662)),NA(), F661)</f>
        <v>0</v>
      </c>
      <c r="G1031">
        <f>IF(ISNA(H1031),NA(),G661)</f>
        <v>0</v>
      </c>
      <c r="H1031">
        <f>IF(OR(H661="",AND(H661=H660,H661=H662)),NA(), H661)</f>
        <v>0</v>
      </c>
      <c r="K1031">
        <f>IF(ISNA(L1031),NA(),K661)</f>
        <v>0</v>
      </c>
      <c r="L1031">
        <f>IF(OR(L661="",AND(L661=L660,L661=L662)),NA(), L661)</f>
        <v>0</v>
      </c>
      <c r="M1031">
        <f>IF(ISNA(N1031),NA(),M661)</f>
        <v>0</v>
      </c>
      <c r="N1031">
        <f>IF(OR(N661="",AND(N661=N660,N661=N662)),NA(), N661)</f>
        <v>0</v>
      </c>
    </row>
    <row r="1032" spans="5:14">
      <c r="E1032">
        <f>IF(ISNA(F1032),NA(),E662)</f>
        <v>0</v>
      </c>
      <c r="F1032">
        <f>IF(OR(F662="",AND(F662=F661,F662=F663)),NA(), F662)</f>
        <v>0</v>
      </c>
      <c r="G1032">
        <f>IF(ISNA(H1032),NA(),G662)</f>
        <v>0</v>
      </c>
      <c r="H1032">
        <f>IF(OR(H662="",AND(H662=H661,H662=H663)),NA(), H662)</f>
        <v>0</v>
      </c>
      <c r="K1032">
        <f>IF(ISNA(L1032),NA(),K662)</f>
        <v>0</v>
      </c>
      <c r="L1032">
        <f>IF(OR(L662="",AND(L662=L661,L662=L663)),NA(), L662)</f>
        <v>0</v>
      </c>
      <c r="M1032">
        <f>IF(ISNA(N1032),NA(),M662)</f>
        <v>0</v>
      </c>
      <c r="N1032">
        <f>IF(OR(N662="",AND(N662=N661,N662=N663)),NA(), N662)</f>
        <v>0</v>
      </c>
    </row>
    <row r="1033" spans="5:14">
      <c r="E1033">
        <f>IF(ISNA(F1033),NA(),E663)</f>
        <v>0</v>
      </c>
      <c r="F1033">
        <f>IF(OR(F663="",AND(F663=F662,F663=F664)),NA(), F663)</f>
        <v>0</v>
      </c>
      <c r="G1033">
        <f>IF(ISNA(H1033),NA(),G663)</f>
        <v>0</v>
      </c>
      <c r="H1033">
        <f>IF(OR(H663="",AND(H663=H662,H663=H664)),NA(), H663)</f>
        <v>0</v>
      </c>
      <c r="K1033">
        <f>IF(ISNA(L1033),NA(),K663)</f>
        <v>0</v>
      </c>
      <c r="L1033">
        <f>IF(OR(L663="",AND(L663=L662,L663=L664)),NA(), L663)</f>
        <v>0</v>
      </c>
      <c r="M1033">
        <f>IF(ISNA(N1033),NA(),M663)</f>
        <v>0</v>
      </c>
      <c r="N1033">
        <f>IF(OR(N663="",AND(N663=N662,N663=N664)),NA(), N663)</f>
        <v>0</v>
      </c>
    </row>
    <row r="1034" spans="5:14">
      <c r="E1034">
        <f>IF(ISNA(F1034),NA(),E664)</f>
        <v>0</v>
      </c>
      <c r="F1034">
        <f>IF(OR(F664="",AND(F664=F663,F664=F665)),NA(), F664)</f>
        <v>0</v>
      </c>
      <c r="G1034">
        <f>IF(ISNA(H1034),NA(),G664)</f>
        <v>0</v>
      </c>
      <c r="H1034">
        <f>IF(OR(H664="",AND(H664=H663,H664=H665)),NA(), H664)</f>
        <v>0</v>
      </c>
      <c r="K1034">
        <f>IF(ISNA(L1034),NA(),K664)</f>
        <v>0</v>
      </c>
      <c r="L1034">
        <f>IF(OR(L664="",AND(L664=L663,L664=L665)),NA(), L664)</f>
        <v>0</v>
      </c>
      <c r="M1034">
        <f>IF(ISNA(N1034),NA(),M664)</f>
        <v>0</v>
      </c>
      <c r="N1034">
        <f>IF(OR(N664="",AND(N664=N663,N664=N665)),NA(), N664)</f>
        <v>0</v>
      </c>
    </row>
    <row r="1035" spans="5:14">
      <c r="E1035">
        <f>IF(ISNA(F1035),NA(),E665)</f>
        <v>0</v>
      </c>
      <c r="F1035">
        <f>IF(OR(F665="",AND(F665=F664,F665=F666)),NA(), F665)</f>
        <v>0</v>
      </c>
      <c r="G1035">
        <f>IF(ISNA(H1035),NA(),G665)</f>
        <v>0</v>
      </c>
      <c r="H1035">
        <f>IF(OR(H665="",AND(H665=H664,H665=H666)),NA(), H665)</f>
        <v>0</v>
      </c>
      <c r="K1035">
        <f>IF(ISNA(L1035),NA(),K665)</f>
        <v>0</v>
      </c>
      <c r="L1035">
        <f>IF(OR(L665="",AND(L665=L664,L665=L666)),NA(), L665)</f>
        <v>0</v>
      </c>
      <c r="M1035">
        <f>IF(ISNA(N1035),NA(),M665)</f>
        <v>0</v>
      </c>
      <c r="N1035">
        <f>IF(OR(N665="",AND(N665=N664,N665=N666)),NA(), N665)</f>
        <v>0</v>
      </c>
    </row>
    <row r="1036" spans="5:14">
      <c r="E1036">
        <f>IF(ISNA(F1036),NA(),E666)</f>
        <v>0</v>
      </c>
      <c r="F1036">
        <f>IF(OR(F666="",AND(F666=F665,F666=F667)),NA(), F666)</f>
        <v>0</v>
      </c>
      <c r="G1036">
        <f>IF(ISNA(H1036),NA(),G666)</f>
        <v>0</v>
      </c>
      <c r="H1036">
        <f>IF(OR(H666="",AND(H666=H665,H666=H667)),NA(), H666)</f>
        <v>0</v>
      </c>
      <c r="K1036">
        <f>IF(ISNA(L1036),NA(),K666)</f>
        <v>0</v>
      </c>
      <c r="L1036">
        <f>IF(OR(L666="",AND(L666=L665,L666=L667)),NA(), L666)</f>
        <v>0</v>
      </c>
      <c r="M1036">
        <f>IF(ISNA(N1036),NA(),M666)</f>
        <v>0</v>
      </c>
      <c r="N1036">
        <f>IF(OR(N666="",AND(N666=N665,N666=N667)),NA(), N666)</f>
        <v>0</v>
      </c>
    </row>
    <row r="1037" spans="5:14">
      <c r="E1037">
        <f>IF(ISNA(F1037),NA(),E667)</f>
        <v>0</v>
      </c>
      <c r="F1037">
        <f>IF(OR(F667="",AND(F667=F666,F667=F668)),NA(), F667)</f>
        <v>0</v>
      </c>
      <c r="G1037">
        <f>IF(ISNA(H1037),NA(),G667)</f>
        <v>0</v>
      </c>
      <c r="H1037">
        <f>IF(OR(H667="",AND(H667=H666,H667=H668)),NA(), H667)</f>
        <v>0</v>
      </c>
      <c r="K1037">
        <f>IF(ISNA(L1037),NA(),K667)</f>
        <v>0</v>
      </c>
      <c r="L1037">
        <f>IF(OR(L667="",AND(L667=L666,L667=L668)),NA(), L667)</f>
        <v>0</v>
      </c>
      <c r="M1037">
        <f>IF(ISNA(N1037),NA(),M667)</f>
        <v>0</v>
      </c>
      <c r="N1037">
        <f>IF(OR(N667="",AND(N667=N666,N667=N668)),NA(), N667)</f>
        <v>0</v>
      </c>
    </row>
    <row r="1038" spans="5:14">
      <c r="E1038">
        <f>IF(ISNA(F1038),NA(),E668)</f>
        <v>0</v>
      </c>
      <c r="F1038">
        <f>IF(OR(F668="",AND(F668=F667,F668=F669)),NA(), F668)</f>
        <v>0</v>
      </c>
      <c r="G1038">
        <f>IF(ISNA(H1038),NA(),G668)</f>
        <v>0</v>
      </c>
      <c r="H1038">
        <f>IF(OR(H668="",AND(H668=H667,H668=H669)),NA(), H668)</f>
        <v>0</v>
      </c>
      <c r="K1038">
        <f>IF(ISNA(L1038),NA(),K668)</f>
        <v>0</v>
      </c>
      <c r="L1038">
        <f>IF(OR(L668="",AND(L668=L667,L668=L669)),NA(), L668)</f>
        <v>0</v>
      </c>
      <c r="M1038">
        <f>IF(ISNA(N1038),NA(),M668)</f>
        <v>0</v>
      </c>
      <c r="N1038">
        <f>IF(OR(N668="",AND(N668=N667,N668=N669)),NA(), N668)</f>
        <v>0</v>
      </c>
    </row>
    <row r="1039" spans="5:14">
      <c r="E1039">
        <f>IF(ISNA(F1039),NA(),E669)</f>
        <v>0</v>
      </c>
      <c r="F1039">
        <f>IF(OR(F669="",AND(F669=F668,F669=F670)),NA(), F669)</f>
        <v>0</v>
      </c>
      <c r="G1039">
        <f>IF(ISNA(H1039),NA(),G669)</f>
        <v>0</v>
      </c>
      <c r="H1039">
        <f>IF(OR(H669="",AND(H669=H668,H669=H670)),NA(), H669)</f>
        <v>0</v>
      </c>
      <c r="K1039">
        <f>IF(ISNA(L1039),NA(),K669)</f>
        <v>0</v>
      </c>
      <c r="L1039">
        <f>IF(OR(L669="",AND(L669=L668,L669=L670)),NA(), L669)</f>
        <v>0</v>
      </c>
      <c r="M1039">
        <f>IF(ISNA(N1039),NA(),M669)</f>
        <v>0</v>
      </c>
      <c r="N1039">
        <f>IF(OR(N669="",AND(N669=N668,N669=N670)),NA(), N669)</f>
        <v>0</v>
      </c>
    </row>
    <row r="1040" spans="5:14">
      <c r="E1040">
        <f>IF(ISNA(F1040),NA(),E670)</f>
        <v>0</v>
      </c>
      <c r="F1040">
        <f>IF(OR(F670="",AND(F670=F669,F670=F671)),NA(), F670)</f>
        <v>0</v>
      </c>
      <c r="G1040">
        <f>IF(ISNA(H1040),NA(),G670)</f>
        <v>0</v>
      </c>
      <c r="H1040">
        <f>IF(OR(H670="",AND(H670=H669,H670=H671)),NA(), H670)</f>
        <v>0</v>
      </c>
      <c r="K1040">
        <f>IF(ISNA(L1040),NA(),K670)</f>
        <v>0</v>
      </c>
      <c r="L1040">
        <f>IF(OR(L670="",AND(L670=L669,L670=L671)),NA(), L670)</f>
        <v>0</v>
      </c>
      <c r="M1040">
        <f>IF(ISNA(N1040),NA(),M670)</f>
        <v>0</v>
      </c>
      <c r="N1040">
        <f>IF(OR(N670="",AND(N670=N669,N670=N671)),NA(), N670)</f>
        <v>0</v>
      </c>
    </row>
    <row r="1041" spans="5:14">
      <c r="E1041">
        <f>IF(ISNA(F1041),NA(),E671)</f>
        <v>0</v>
      </c>
      <c r="F1041">
        <f>IF(OR(F671="",AND(F671=F670,F671=F672)),NA(), F671)</f>
        <v>0</v>
      </c>
      <c r="G1041">
        <f>IF(ISNA(H1041),NA(),G671)</f>
        <v>0</v>
      </c>
      <c r="H1041">
        <f>IF(OR(H671="",AND(H671=H670,H671=H672)),NA(), H671)</f>
        <v>0</v>
      </c>
      <c r="K1041">
        <f>IF(ISNA(L1041),NA(),K671)</f>
        <v>0</v>
      </c>
      <c r="L1041">
        <f>IF(OR(L671="",AND(L671=L670,L671=L672)),NA(), L671)</f>
        <v>0</v>
      </c>
      <c r="M1041">
        <f>IF(ISNA(N1041),NA(),M671)</f>
        <v>0</v>
      </c>
      <c r="N1041">
        <f>IF(OR(N671="",AND(N671=N670,N671=N672)),NA(), N671)</f>
        <v>0</v>
      </c>
    </row>
    <row r="1042" spans="5:14">
      <c r="E1042">
        <f>IF(ISNA(F1042),NA(),E672)</f>
        <v>0</v>
      </c>
      <c r="F1042">
        <f>IF(OR(F672="",AND(F672=F671,F672=F673)),NA(), F672)</f>
        <v>0</v>
      </c>
      <c r="G1042">
        <f>IF(ISNA(H1042),NA(),G672)</f>
        <v>0</v>
      </c>
      <c r="H1042">
        <f>IF(OR(H672="",AND(H672=H671,H672=H673)),NA(), H672)</f>
        <v>0</v>
      </c>
      <c r="K1042">
        <f>IF(ISNA(L1042),NA(),K672)</f>
        <v>0</v>
      </c>
      <c r="L1042">
        <f>IF(OR(L672="",AND(L672=L671,L672=L673)),NA(), L672)</f>
        <v>0</v>
      </c>
      <c r="M1042">
        <f>IF(ISNA(N1042),NA(),M672)</f>
        <v>0</v>
      </c>
      <c r="N1042">
        <f>IF(OR(N672="",AND(N672=N671,N672=N673)),NA(), N672)</f>
        <v>0</v>
      </c>
    </row>
    <row r="1043" spans="5:14">
      <c r="E1043">
        <f>IF(ISNA(F1043),NA(),E673)</f>
        <v>0</v>
      </c>
      <c r="F1043">
        <f>IF(OR(F673="",AND(F673=F672,F673=F674)),NA(), F673)</f>
        <v>0</v>
      </c>
      <c r="G1043">
        <f>IF(ISNA(H1043),NA(),G673)</f>
        <v>0</v>
      </c>
      <c r="H1043">
        <f>IF(OR(H673="",AND(H673=H672,H673=H674)),NA(), H673)</f>
        <v>0</v>
      </c>
      <c r="K1043">
        <f>IF(ISNA(L1043),NA(),K673)</f>
        <v>0</v>
      </c>
      <c r="L1043">
        <f>IF(OR(L673="",AND(L673=L672,L673=L674)),NA(), L673)</f>
        <v>0</v>
      </c>
      <c r="M1043">
        <f>IF(ISNA(N1043),NA(),M673)</f>
        <v>0</v>
      </c>
      <c r="N1043">
        <f>IF(OR(N673="",AND(N673=N672,N673=N674)),NA(), N673)</f>
        <v>0</v>
      </c>
    </row>
    <row r="1044" spans="5:14">
      <c r="E1044">
        <f>IF(ISNA(F1044),NA(),E674)</f>
        <v>0</v>
      </c>
      <c r="F1044">
        <f>IF(OR(F674="",AND(F674=F673,F674=F675)),NA(), F674)</f>
        <v>0</v>
      </c>
      <c r="G1044">
        <f>IF(ISNA(H1044),NA(),G674)</f>
        <v>0</v>
      </c>
      <c r="H1044">
        <f>IF(OR(H674="",AND(H674=H673,H674=H675)),NA(), H674)</f>
        <v>0</v>
      </c>
      <c r="K1044">
        <f>IF(ISNA(L1044),NA(),K674)</f>
        <v>0</v>
      </c>
      <c r="L1044">
        <f>IF(OR(L674="",AND(L674=L673,L674=L675)),NA(), L674)</f>
        <v>0</v>
      </c>
      <c r="M1044">
        <f>IF(ISNA(N1044),NA(),M674)</f>
        <v>0</v>
      </c>
      <c r="N1044">
        <f>IF(OR(N674="",AND(N674=N673,N674=N675)),NA(), N674)</f>
        <v>0</v>
      </c>
    </row>
    <row r="1045" spans="5:14">
      <c r="E1045">
        <f>IF(ISNA(F1045),NA(),E675)</f>
        <v>0</v>
      </c>
      <c r="F1045">
        <f>IF(OR(F675="",AND(F675=F674,F675=F676)),NA(), F675)</f>
        <v>0</v>
      </c>
      <c r="G1045">
        <f>IF(ISNA(H1045),NA(),G675)</f>
        <v>0</v>
      </c>
      <c r="H1045">
        <f>IF(OR(H675="",AND(H675=H674,H675=H676)),NA(), H675)</f>
        <v>0</v>
      </c>
      <c r="K1045">
        <f>IF(ISNA(L1045),NA(),K675)</f>
        <v>0</v>
      </c>
      <c r="L1045">
        <f>IF(OR(L675="",AND(L675=L674,L675=L676)),NA(), L675)</f>
        <v>0</v>
      </c>
      <c r="M1045">
        <f>IF(ISNA(N1045),NA(),M675)</f>
        <v>0</v>
      </c>
      <c r="N1045">
        <f>IF(OR(N675="",AND(N675=N674,N675=N676)),NA(), N675)</f>
        <v>0</v>
      </c>
    </row>
    <row r="1046" spans="5:14">
      <c r="E1046">
        <f>IF(ISNA(F1046),NA(),E676)</f>
        <v>0</v>
      </c>
      <c r="F1046">
        <f>IF(OR(F676="",AND(F676=F675,F676=F677)),NA(), F676)</f>
        <v>0</v>
      </c>
      <c r="G1046">
        <f>IF(ISNA(H1046),NA(),G676)</f>
        <v>0</v>
      </c>
      <c r="H1046">
        <f>IF(OR(H676="",AND(H676=H675,H676=H677)),NA(), H676)</f>
        <v>0</v>
      </c>
      <c r="K1046">
        <f>IF(ISNA(L1046),NA(),K676)</f>
        <v>0</v>
      </c>
      <c r="L1046">
        <f>IF(OR(L676="",AND(L676=L675,L676=L677)),NA(), L676)</f>
        <v>0</v>
      </c>
      <c r="M1046">
        <f>IF(ISNA(N1046),NA(),M676)</f>
        <v>0</v>
      </c>
      <c r="N1046">
        <f>IF(OR(N676="",AND(N676=N675,N676=N677)),NA(), N676)</f>
        <v>0</v>
      </c>
    </row>
    <row r="1047" spans="5:14">
      <c r="E1047">
        <f>IF(ISNA(F1047),NA(),E677)</f>
        <v>0</v>
      </c>
      <c r="F1047">
        <f>IF(OR(F677="",AND(F677=F676,F677=F678)),NA(), F677)</f>
        <v>0</v>
      </c>
      <c r="G1047">
        <f>IF(ISNA(H1047),NA(),G677)</f>
        <v>0</v>
      </c>
      <c r="H1047">
        <f>IF(OR(H677="",AND(H677=H676,H677=H678)),NA(), H677)</f>
        <v>0</v>
      </c>
      <c r="K1047">
        <f>IF(ISNA(L1047),NA(),K677)</f>
        <v>0</v>
      </c>
      <c r="L1047">
        <f>IF(OR(L677="",AND(L677=L676,L677=L678)),NA(), L677)</f>
        <v>0</v>
      </c>
      <c r="M1047">
        <f>IF(ISNA(N1047),NA(),M677)</f>
        <v>0</v>
      </c>
      <c r="N1047">
        <f>IF(OR(N677="",AND(N677=N676,N677=N678)),NA(), N677)</f>
        <v>0</v>
      </c>
    </row>
    <row r="1048" spans="5:14">
      <c r="E1048">
        <f>IF(ISNA(F1048),NA(),E678)</f>
        <v>0</v>
      </c>
      <c r="F1048">
        <f>IF(OR(F678="",AND(F678=F677,F678=F679)),NA(), F678)</f>
        <v>0</v>
      </c>
      <c r="G1048">
        <f>IF(ISNA(H1048),NA(),G678)</f>
        <v>0</v>
      </c>
      <c r="H1048">
        <f>IF(OR(H678="",AND(H678=H677,H678=H679)),NA(), H678)</f>
        <v>0</v>
      </c>
      <c r="K1048">
        <f>IF(ISNA(L1048),NA(),K678)</f>
        <v>0</v>
      </c>
      <c r="L1048">
        <f>IF(OR(L678="",AND(L678=L677,L678=L679)),NA(), L678)</f>
        <v>0</v>
      </c>
      <c r="M1048">
        <f>IF(ISNA(N1048),NA(),M678)</f>
        <v>0</v>
      </c>
      <c r="N1048">
        <f>IF(OR(N678="",AND(N678=N677,N678=N679)),NA(), N678)</f>
        <v>0</v>
      </c>
    </row>
    <row r="1049" spans="5:14">
      <c r="E1049">
        <f>IF(ISNA(F1049),NA(),E679)</f>
        <v>0</v>
      </c>
      <c r="F1049">
        <f>IF(OR(F679="",AND(F679=F678,F679=F680)),NA(), F679)</f>
        <v>0</v>
      </c>
      <c r="G1049">
        <f>IF(ISNA(H1049),NA(),G679)</f>
        <v>0</v>
      </c>
      <c r="H1049">
        <f>IF(OR(H679="",AND(H679=H678,H679=H680)),NA(), H679)</f>
        <v>0</v>
      </c>
      <c r="K1049">
        <f>IF(ISNA(L1049),NA(),K679)</f>
        <v>0</v>
      </c>
      <c r="L1049">
        <f>IF(OR(L679="",AND(L679=L678,L679=L680)),NA(), L679)</f>
        <v>0</v>
      </c>
      <c r="M1049">
        <f>IF(ISNA(N1049),NA(),M679)</f>
        <v>0</v>
      </c>
      <c r="N1049">
        <f>IF(OR(N679="",AND(N679=N678,N679=N680)),NA(), N679)</f>
        <v>0</v>
      </c>
    </row>
    <row r="1050" spans="5:14">
      <c r="E1050">
        <f>IF(ISNA(F1050),NA(),E680)</f>
        <v>0</v>
      </c>
      <c r="F1050">
        <f>IF(OR(F680="",AND(F680=F679,F680=F681)),NA(), F680)</f>
        <v>0</v>
      </c>
      <c r="G1050">
        <f>IF(ISNA(H1050),NA(),G680)</f>
        <v>0</v>
      </c>
      <c r="H1050">
        <f>IF(OR(H680="",AND(H680=H679,H680=H681)),NA(), H680)</f>
        <v>0</v>
      </c>
      <c r="K1050">
        <f>IF(ISNA(L1050),NA(),K680)</f>
        <v>0</v>
      </c>
      <c r="L1050">
        <f>IF(OR(L680="",AND(L680=L679,L680=L681)),NA(), L680)</f>
        <v>0</v>
      </c>
      <c r="M1050">
        <f>IF(ISNA(N1050),NA(),M680)</f>
        <v>0</v>
      </c>
      <c r="N1050">
        <f>IF(OR(N680="",AND(N680=N679,N680=N681)),NA(), N680)</f>
        <v>0</v>
      </c>
    </row>
    <row r="1051" spans="5:14">
      <c r="E1051">
        <f>IF(ISNA(F1051),NA(),E681)</f>
        <v>0</v>
      </c>
      <c r="F1051">
        <f>IF(OR(F681="",AND(F681=F680,F681=F682)),NA(), F681)</f>
        <v>0</v>
      </c>
      <c r="G1051">
        <f>IF(ISNA(H1051),NA(),G681)</f>
        <v>0</v>
      </c>
      <c r="H1051">
        <f>IF(OR(H681="",AND(H681=H680,H681=H682)),NA(), H681)</f>
        <v>0</v>
      </c>
      <c r="K1051">
        <f>IF(ISNA(L1051),NA(),K681)</f>
        <v>0</v>
      </c>
      <c r="L1051">
        <f>IF(OR(L681="",AND(L681=L680,L681=L682)),NA(), L681)</f>
        <v>0</v>
      </c>
      <c r="M1051">
        <f>IF(ISNA(N1051),NA(),M681)</f>
        <v>0</v>
      </c>
      <c r="N1051">
        <f>IF(OR(N681="",AND(N681=N680,N681=N682)),NA(), N681)</f>
        <v>0</v>
      </c>
    </row>
    <row r="1052" spans="5:14">
      <c r="E1052">
        <f>IF(ISNA(F1052),NA(),E682)</f>
        <v>0</v>
      </c>
      <c r="F1052">
        <f>IF(OR(F682="",AND(F682=F681,F682=F683)),NA(), F682)</f>
        <v>0</v>
      </c>
      <c r="G1052">
        <f>IF(ISNA(H1052),NA(),G682)</f>
        <v>0</v>
      </c>
      <c r="H1052">
        <f>IF(OR(H682="",AND(H682=H681,H682=H683)),NA(), H682)</f>
        <v>0</v>
      </c>
      <c r="K1052">
        <f>IF(ISNA(L1052),NA(),K682)</f>
        <v>0</v>
      </c>
      <c r="L1052">
        <f>IF(OR(L682="",AND(L682=L681,L682=L683)),NA(), L682)</f>
        <v>0</v>
      </c>
      <c r="M1052">
        <f>IF(ISNA(N1052),NA(),M682)</f>
        <v>0</v>
      </c>
      <c r="N1052">
        <f>IF(OR(N682="",AND(N682=N681,N682=N683)),NA(), N682)</f>
        <v>0</v>
      </c>
    </row>
    <row r="1053" spans="5:14">
      <c r="E1053">
        <f>IF(ISNA(F1053),NA(),E683)</f>
        <v>0</v>
      </c>
      <c r="F1053">
        <f>IF(OR(F683="",AND(F683=F682,F683=F684)),NA(), F683)</f>
        <v>0</v>
      </c>
      <c r="G1053">
        <f>IF(ISNA(H1053),NA(),G683)</f>
        <v>0</v>
      </c>
      <c r="H1053">
        <f>IF(OR(H683="",AND(H683=H682,H683=H684)),NA(), H683)</f>
        <v>0</v>
      </c>
      <c r="K1053">
        <f>IF(ISNA(L1053),NA(),K683)</f>
        <v>0</v>
      </c>
      <c r="L1053">
        <f>IF(OR(L683="",AND(L683=L682,L683=L684)),NA(), L683)</f>
        <v>0</v>
      </c>
      <c r="M1053">
        <f>IF(ISNA(N1053),NA(),M683)</f>
        <v>0</v>
      </c>
      <c r="N1053">
        <f>IF(OR(N683="",AND(N683=N682,N683=N684)),NA(), N683)</f>
        <v>0</v>
      </c>
    </row>
    <row r="1054" spans="5:14">
      <c r="E1054">
        <f>IF(ISNA(F1054),NA(),E684)</f>
        <v>0</v>
      </c>
      <c r="F1054">
        <f>IF(OR(F684="",AND(F684=F683,F684=F685)),NA(), F684)</f>
        <v>0</v>
      </c>
      <c r="G1054">
        <f>IF(ISNA(H1054),NA(),G684)</f>
        <v>0</v>
      </c>
      <c r="H1054">
        <f>IF(OR(H684="",AND(H684=H683,H684=H685)),NA(), H684)</f>
        <v>0</v>
      </c>
      <c r="K1054">
        <f>IF(ISNA(L1054),NA(),K684)</f>
        <v>0</v>
      </c>
      <c r="L1054">
        <f>IF(OR(L684="",AND(L684=L683,L684=L685)),NA(), L684)</f>
        <v>0</v>
      </c>
      <c r="M1054">
        <f>IF(ISNA(N1054),NA(),M684)</f>
        <v>0</v>
      </c>
      <c r="N1054">
        <f>IF(OR(N684="",AND(N684=N683,N684=N685)),NA(), N684)</f>
        <v>0</v>
      </c>
    </row>
    <row r="1055" spans="5:14">
      <c r="E1055">
        <f>IF(ISNA(F1055),NA(),E685)</f>
        <v>0</v>
      </c>
      <c r="F1055">
        <f>IF(OR(F685="",AND(F685=F684,F685=F686)),NA(), F685)</f>
        <v>0</v>
      </c>
      <c r="G1055">
        <f>IF(ISNA(H1055),NA(),G685)</f>
        <v>0</v>
      </c>
      <c r="H1055">
        <f>IF(OR(H685="",AND(H685=H684,H685=H686)),NA(), H685)</f>
        <v>0</v>
      </c>
      <c r="K1055">
        <f>IF(ISNA(L1055),NA(),K685)</f>
        <v>0</v>
      </c>
      <c r="L1055">
        <f>IF(OR(L685="",AND(L685=L684,L685=L686)),NA(), L685)</f>
        <v>0</v>
      </c>
      <c r="M1055">
        <f>IF(ISNA(N1055),NA(),M685)</f>
        <v>0</v>
      </c>
      <c r="N1055">
        <f>IF(OR(N685="",AND(N685=N684,N685=N686)),NA(), N685)</f>
        <v>0</v>
      </c>
    </row>
    <row r="1056" spans="5:14">
      <c r="E1056">
        <f>IF(ISNA(F1056),NA(),E686)</f>
        <v>0</v>
      </c>
      <c r="F1056">
        <f>IF(OR(F686="",AND(F686=F685,F686=F687)),NA(), F686)</f>
        <v>0</v>
      </c>
      <c r="G1056">
        <f>IF(ISNA(H1056),NA(),G686)</f>
        <v>0</v>
      </c>
      <c r="H1056">
        <f>IF(OR(H686="",AND(H686=H685,H686=H687)),NA(), H686)</f>
        <v>0</v>
      </c>
      <c r="K1056">
        <f>IF(ISNA(L1056),NA(),K686)</f>
        <v>0</v>
      </c>
      <c r="L1056">
        <f>IF(OR(L686="",AND(L686=L685,L686=L687)),NA(), L686)</f>
        <v>0</v>
      </c>
      <c r="M1056">
        <f>IF(ISNA(N1056),NA(),M686)</f>
        <v>0</v>
      </c>
      <c r="N1056">
        <f>IF(OR(N686="",AND(N686=N685,N686=N687)),NA(), N686)</f>
        <v>0</v>
      </c>
    </row>
    <row r="1057" spans="5:14">
      <c r="E1057">
        <f>IF(ISNA(F1057),NA(),E687)</f>
        <v>0</v>
      </c>
      <c r="F1057">
        <f>IF(OR(F687="",AND(F687=F686,F687=F688)),NA(), F687)</f>
        <v>0</v>
      </c>
      <c r="G1057">
        <f>IF(ISNA(H1057),NA(),G687)</f>
        <v>0</v>
      </c>
      <c r="H1057">
        <f>IF(OR(H687="",AND(H687=H686,H687=H688)),NA(), H687)</f>
        <v>0</v>
      </c>
      <c r="K1057">
        <f>IF(ISNA(L1057),NA(),K687)</f>
        <v>0</v>
      </c>
      <c r="L1057">
        <f>IF(OR(L687="",AND(L687=L686,L687=L688)),NA(), L687)</f>
        <v>0</v>
      </c>
      <c r="M1057">
        <f>IF(ISNA(N1057),NA(),M687)</f>
        <v>0</v>
      </c>
      <c r="N1057">
        <f>IF(OR(N687="",AND(N687=N686,N687=N688)),NA(), N687)</f>
        <v>0</v>
      </c>
    </row>
    <row r="1058" spans="5:14">
      <c r="E1058">
        <f>IF(ISNA(F1058),NA(),E688)</f>
        <v>0</v>
      </c>
      <c r="F1058">
        <f>IF(OR(F688="",AND(F688=F687,F688=F689)),NA(), F688)</f>
        <v>0</v>
      </c>
      <c r="G1058">
        <f>IF(ISNA(H1058),NA(),G688)</f>
        <v>0</v>
      </c>
      <c r="H1058">
        <f>IF(OR(H688="",AND(H688=H687,H688=H689)),NA(), H688)</f>
        <v>0</v>
      </c>
      <c r="K1058">
        <f>IF(ISNA(L1058),NA(),K688)</f>
        <v>0</v>
      </c>
      <c r="L1058">
        <f>IF(OR(L688="",AND(L688=L687,L688=L689)),NA(), L688)</f>
        <v>0</v>
      </c>
      <c r="M1058">
        <f>IF(ISNA(N1058),NA(),M688)</f>
        <v>0</v>
      </c>
      <c r="N1058">
        <f>IF(OR(N688="",AND(N688=N687,N688=N689)),NA(), N688)</f>
        <v>0</v>
      </c>
    </row>
    <row r="1059" spans="5:14">
      <c r="E1059">
        <f>IF(ISNA(F1059),NA(),E689)</f>
        <v>0</v>
      </c>
      <c r="F1059">
        <f>IF(OR(F689="",AND(F689=F688,F689=F690)),NA(), F689)</f>
        <v>0</v>
      </c>
      <c r="G1059">
        <f>IF(ISNA(H1059),NA(),G689)</f>
        <v>0</v>
      </c>
      <c r="H1059">
        <f>IF(OR(H689="",AND(H689=H688,H689=H690)),NA(), H689)</f>
        <v>0</v>
      </c>
      <c r="K1059">
        <f>IF(ISNA(L1059),NA(),K689)</f>
        <v>0</v>
      </c>
      <c r="L1059">
        <f>IF(OR(L689="",AND(L689=L688,L689=L690)),NA(), L689)</f>
        <v>0</v>
      </c>
      <c r="M1059">
        <f>IF(ISNA(N1059),NA(),M689)</f>
        <v>0</v>
      </c>
      <c r="N1059">
        <f>IF(OR(N689="",AND(N689=N688,N689=N690)),NA(), N689)</f>
        <v>0</v>
      </c>
    </row>
    <row r="1060" spans="5:14">
      <c r="E1060">
        <f>IF(ISNA(F1060),NA(),E690)</f>
        <v>0</v>
      </c>
      <c r="F1060">
        <f>IF(OR(F690="",AND(F690=F689,F690=F691)),NA(), F690)</f>
        <v>0</v>
      </c>
      <c r="G1060">
        <f>IF(ISNA(H1060),NA(),G690)</f>
        <v>0</v>
      </c>
      <c r="H1060">
        <f>IF(OR(H690="",AND(H690=H689,H690=H691)),NA(), H690)</f>
        <v>0</v>
      </c>
      <c r="K1060">
        <f>IF(ISNA(L1060),NA(),K690)</f>
        <v>0</v>
      </c>
      <c r="L1060">
        <f>IF(OR(L690="",AND(L690=L689,L690=L691)),NA(), L690)</f>
        <v>0</v>
      </c>
      <c r="M1060">
        <f>IF(ISNA(N1060),NA(),M690)</f>
        <v>0</v>
      </c>
      <c r="N1060">
        <f>IF(OR(N690="",AND(N690=N689,N690=N691)),NA(), N690)</f>
        <v>0</v>
      </c>
    </row>
    <row r="1061" spans="5:14">
      <c r="E1061">
        <f>IF(ISNA(F1061),NA(),E691)</f>
        <v>0</v>
      </c>
      <c r="F1061">
        <f>IF(OR(F691="",AND(F691=F690,F691=F692)),NA(), F691)</f>
        <v>0</v>
      </c>
      <c r="G1061">
        <f>IF(ISNA(H1061),NA(),G691)</f>
        <v>0</v>
      </c>
      <c r="H1061">
        <f>IF(OR(H691="",AND(H691=H690,H691=H692)),NA(), H691)</f>
        <v>0</v>
      </c>
      <c r="K1061">
        <f>IF(ISNA(L1061),NA(),K691)</f>
        <v>0</v>
      </c>
      <c r="L1061">
        <f>IF(OR(L691="",AND(L691=L690,L691=L692)),NA(), L691)</f>
        <v>0</v>
      </c>
      <c r="M1061">
        <f>IF(ISNA(N1061),NA(),M691)</f>
        <v>0</v>
      </c>
      <c r="N1061">
        <f>IF(OR(N691="",AND(N691=N690,N691=N692)),NA(), N691)</f>
        <v>0</v>
      </c>
    </row>
    <row r="1062" spans="5:14">
      <c r="E1062">
        <f>IF(ISNA(F1062),NA(),E692)</f>
        <v>0</v>
      </c>
      <c r="F1062">
        <f>IF(OR(F692="",AND(F692=F691,F692=F693)),NA(), F692)</f>
        <v>0</v>
      </c>
      <c r="G1062">
        <f>IF(ISNA(H1062),NA(),G692)</f>
        <v>0</v>
      </c>
      <c r="H1062">
        <f>IF(OR(H692="",AND(H692=H691,H692=H693)),NA(), H692)</f>
        <v>0</v>
      </c>
      <c r="K1062">
        <f>IF(ISNA(L1062),NA(),K692)</f>
        <v>0</v>
      </c>
      <c r="L1062">
        <f>IF(OR(L692="",AND(L692=L691,L692=L693)),NA(), L692)</f>
        <v>0</v>
      </c>
      <c r="M1062">
        <f>IF(ISNA(N1062),NA(),M692)</f>
        <v>0</v>
      </c>
      <c r="N1062">
        <f>IF(OR(N692="",AND(N692=N691,N692=N693)),NA(), N692)</f>
        <v>0</v>
      </c>
    </row>
    <row r="1063" spans="5:14">
      <c r="E1063">
        <f>IF(ISNA(F1063),NA(),E693)</f>
        <v>0</v>
      </c>
      <c r="F1063">
        <f>IF(OR(F693="",AND(F693=F692,F693=F694)),NA(), F693)</f>
        <v>0</v>
      </c>
      <c r="G1063">
        <f>IF(ISNA(H1063),NA(),G693)</f>
        <v>0</v>
      </c>
      <c r="H1063">
        <f>IF(OR(H693="",AND(H693=H692,H693=H694)),NA(), H693)</f>
        <v>0</v>
      </c>
      <c r="K1063">
        <f>IF(ISNA(L1063),NA(),K693)</f>
        <v>0</v>
      </c>
      <c r="L1063">
        <f>IF(OR(L693="",AND(L693=L692,L693=L694)),NA(), L693)</f>
        <v>0</v>
      </c>
      <c r="M1063">
        <f>IF(ISNA(N1063),NA(),M693)</f>
        <v>0</v>
      </c>
      <c r="N1063">
        <f>IF(OR(N693="",AND(N693=N692,N693=N694)),NA(), N693)</f>
        <v>0</v>
      </c>
    </row>
    <row r="1064" spans="5:14">
      <c r="E1064">
        <f>IF(ISNA(F1064),NA(),E694)</f>
        <v>0</v>
      </c>
      <c r="F1064">
        <f>IF(OR(F694="",AND(F694=F693,F694=F695)),NA(), F694)</f>
        <v>0</v>
      </c>
      <c r="G1064">
        <f>IF(ISNA(H1064),NA(),G694)</f>
        <v>0</v>
      </c>
      <c r="H1064">
        <f>IF(OR(H694="",AND(H694=H693,H694=H695)),NA(), H694)</f>
        <v>0</v>
      </c>
      <c r="K1064">
        <f>IF(ISNA(L1064),NA(),K694)</f>
        <v>0</v>
      </c>
      <c r="L1064">
        <f>IF(OR(L694="",AND(L694=L693,L694=L695)),NA(), L694)</f>
        <v>0</v>
      </c>
      <c r="M1064">
        <f>IF(ISNA(N1064),NA(),M694)</f>
        <v>0</v>
      </c>
      <c r="N1064">
        <f>IF(OR(N694="",AND(N694=N693,N694=N695)),NA(), N694)</f>
        <v>0</v>
      </c>
    </row>
    <row r="1065" spans="5:14">
      <c r="E1065">
        <f>IF(ISNA(F1065),NA(),E695)</f>
        <v>0</v>
      </c>
      <c r="F1065">
        <f>IF(OR(F695="",AND(F695=F694,F695=F696)),NA(), F695)</f>
        <v>0</v>
      </c>
      <c r="G1065">
        <f>IF(ISNA(H1065),NA(),G695)</f>
        <v>0</v>
      </c>
      <c r="H1065">
        <f>IF(OR(H695="",AND(H695=H694,H695=H696)),NA(), H695)</f>
        <v>0</v>
      </c>
      <c r="K1065">
        <f>IF(ISNA(L1065),NA(),K695)</f>
        <v>0</v>
      </c>
      <c r="L1065">
        <f>IF(OR(L695="",AND(L695=L694,L695=L696)),NA(), L695)</f>
        <v>0</v>
      </c>
      <c r="M1065">
        <f>IF(ISNA(N1065),NA(),M695)</f>
        <v>0</v>
      </c>
      <c r="N1065">
        <f>IF(OR(N695="",AND(N695=N694,N695=N696)),NA(), N695)</f>
        <v>0</v>
      </c>
    </row>
    <row r="1066" spans="5:14">
      <c r="E1066">
        <f>IF(ISNA(F1066),NA(),E696)</f>
        <v>0</v>
      </c>
      <c r="F1066">
        <f>IF(OR(F696="",AND(F696=F695,F696=F697)),NA(), F696)</f>
        <v>0</v>
      </c>
      <c r="G1066">
        <f>IF(ISNA(H1066),NA(),G696)</f>
        <v>0</v>
      </c>
      <c r="H1066">
        <f>IF(OR(H696="",AND(H696=H695,H696=H697)),NA(), H696)</f>
        <v>0</v>
      </c>
      <c r="K1066">
        <f>IF(ISNA(L1066),NA(),K696)</f>
        <v>0</v>
      </c>
      <c r="L1066">
        <f>IF(OR(L696="",AND(L696=L695,L696=L697)),NA(), L696)</f>
        <v>0</v>
      </c>
      <c r="M1066">
        <f>IF(ISNA(N1066),NA(),M696)</f>
        <v>0</v>
      </c>
      <c r="N1066">
        <f>IF(OR(N696="",AND(N696=N695,N696=N697)),NA(), N696)</f>
        <v>0</v>
      </c>
    </row>
    <row r="1067" spans="5:14">
      <c r="E1067">
        <f>IF(ISNA(F1067),NA(),E697)</f>
        <v>0</v>
      </c>
      <c r="F1067">
        <f>IF(OR(F697="",AND(F697=F696,F697=F698)),NA(), F697)</f>
        <v>0</v>
      </c>
      <c r="G1067">
        <f>IF(ISNA(H1067),NA(),G697)</f>
        <v>0</v>
      </c>
      <c r="H1067">
        <f>IF(OR(H697="",AND(H697=H696,H697=H698)),NA(), H697)</f>
        <v>0</v>
      </c>
      <c r="K1067">
        <f>IF(ISNA(L1067),NA(),K697)</f>
        <v>0</v>
      </c>
      <c r="L1067">
        <f>IF(OR(L697="",AND(L697=L696,L697=L698)),NA(), L697)</f>
        <v>0</v>
      </c>
      <c r="M1067">
        <f>IF(ISNA(N1067),NA(),M697)</f>
        <v>0</v>
      </c>
      <c r="N1067">
        <f>IF(OR(N697="",AND(N697=N696,N697=N698)),NA(), N697)</f>
        <v>0</v>
      </c>
    </row>
    <row r="1068" spans="5:14">
      <c r="E1068">
        <f>IF(ISNA(F1068),NA(),E698)</f>
        <v>0</v>
      </c>
      <c r="F1068">
        <f>IF(OR(F698="",AND(F698=F697,F698=F699)),NA(), F698)</f>
        <v>0</v>
      </c>
      <c r="G1068">
        <f>IF(ISNA(H1068),NA(),G698)</f>
        <v>0</v>
      </c>
      <c r="H1068">
        <f>IF(OR(H698="",AND(H698=H697,H698=H699)),NA(), H698)</f>
        <v>0</v>
      </c>
      <c r="K1068">
        <f>IF(ISNA(L1068),NA(),K698)</f>
        <v>0</v>
      </c>
      <c r="L1068">
        <f>IF(OR(L698="",AND(L698=L697,L698=L699)),NA(), L698)</f>
        <v>0</v>
      </c>
      <c r="M1068">
        <f>IF(ISNA(N1068),NA(),M698)</f>
        <v>0</v>
      </c>
      <c r="N1068">
        <f>IF(OR(N698="",AND(N698=N697,N698=N699)),NA(), N698)</f>
        <v>0</v>
      </c>
    </row>
    <row r="1069" spans="5:14">
      <c r="E1069">
        <f>IF(ISNA(F1069),NA(),E699)</f>
        <v>0</v>
      </c>
      <c r="F1069">
        <f>IF(OR(F699="",AND(F699=F698,F699=F700)),NA(), F699)</f>
        <v>0</v>
      </c>
      <c r="G1069">
        <f>IF(ISNA(H1069),NA(),G699)</f>
        <v>0</v>
      </c>
      <c r="H1069">
        <f>IF(OR(H699="",AND(H699=H698,H699=H700)),NA(), H699)</f>
        <v>0</v>
      </c>
      <c r="K1069">
        <f>IF(ISNA(L1069),NA(),K699)</f>
        <v>0</v>
      </c>
      <c r="L1069">
        <f>IF(OR(L699="",AND(L699=L698,L699=L700)),NA(), L699)</f>
        <v>0</v>
      </c>
      <c r="M1069">
        <f>IF(ISNA(N1069),NA(),M699)</f>
        <v>0</v>
      </c>
      <c r="N1069">
        <f>IF(OR(N699="",AND(N699=N698,N699=N700)),NA(), N699)</f>
        <v>0</v>
      </c>
    </row>
    <row r="1070" spans="5:14">
      <c r="E1070">
        <f>IF(ISNA(F1070),NA(),E700)</f>
        <v>0</v>
      </c>
      <c r="F1070">
        <f>IF(OR(F700="",AND(F700=F699,F700=F701)),NA(), F700)</f>
        <v>0</v>
      </c>
      <c r="G1070">
        <f>IF(ISNA(H1070),NA(),G700)</f>
        <v>0</v>
      </c>
      <c r="H1070">
        <f>IF(OR(H700="",AND(H700=H699,H700=H701)),NA(), H700)</f>
        <v>0</v>
      </c>
      <c r="K1070">
        <f>IF(ISNA(L1070),NA(),K700)</f>
        <v>0</v>
      </c>
      <c r="L1070">
        <f>IF(OR(L700="",AND(L700=L699,L700=L701)),NA(), L700)</f>
        <v>0</v>
      </c>
      <c r="M1070">
        <f>IF(ISNA(N1070),NA(),M700)</f>
        <v>0</v>
      </c>
      <c r="N1070">
        <f>IF(OR(N700="",AND(N700=N699,N700=N701)),NA(), N700)</f>
        <v>0</v>
      </c>
    </row>
    <row r="1071" spans="5:14">
      <c r="E1071">
        <f>IF(ISNA(F1071),NA(),E701)</f>
        <v>0</v>
      </c>
      <c r="F1071">
        <f>IF(OR(F701="",AND(F701=F700,F701=F702)),NA(), F701)</f>
        <v>0</v>
      </c>
      <c r="G1071">
        <f>IF(ISNA(H1071),NA(),G701)</f>
        <v>0</v>
      </c>
      <c r="H1071">
        <f>IF(OR(H701="",AND(H701=H700,H701=H702)),NA(), H701)</f>
        <v>0</v>
      </c>
      <c r="K1071">
        <f>IF(ISNA(L1071),NA(),K701)</f>
        <v>0</v>
      </c>
      <c r="L1071">
        <f>IF(OR(L701="",AND(L701=L700,L701=L702)),NA(), L701)</f>
        <v>0</v>
      </c>
      <c r="M1071">
        <f>IF(ISNA(N1071),NA(),M701)</f>
        <v>0</v>
      </c>
      <c r="N1071">
        <f>IF(OR(N701="",AND(N701=N700,N701=N702)),NA(), N701)</f>
        <v>0</v>
      </c>
    </row>
    <row r="1072" spans="5:14">
      <c r="E1072">
        <f>IF(ISNA(F1072),NA(),E702)</f>
        <v>0</v>
      </c>
      <c r="F1072">
        <f>IF(OR(F702="",AND(F702=F701,F702=F703)),NA(), F702)</f>
        <v>0</v>
      </c>
      <c r="G1072">
        <f>IF(ISNA(H1072),NA(),G702)</f>
        <v>0</v>
      </c>
      <c r="H1072">
        <f>IF(OR(H702="",AND(H702=H701,H702=H703)),NA(), H702)</f>
        <v>0</v>
      </c>
      <c r="K1072">
        <f>IF(ISNA(L1072),NA(),K702)</f>
        <v>0</v>
      </c>
      <c r="L1072">
        <f>IF(OR(L702="",AND(L702=L701,L702=L703)),NA(), L702)</f>
        <v>0</v>
      </c>
      <c r="M1072">
        <f>IF(ISNA(N1072),NA(),M702)</f>
        <v>0</v>
      </c>
      <c r="N1072">
        <f>IF(OR(N702="",AND(N702=N701,N702=N703)),NA(), N702)</f>
        <v>0</v>
      </c>
    </row>
    <row r="1073" spans="5:14">
      <c r="E1073">
        <f>IF(ISNA(F1073),NA(),E703)</f>
        <v>0</v>
      </c>
      <c r="F1073">
        <f>IF(OR(F703="",AND(F703=F702,F703=F704)),NA(), F703)</f>
        <v>0</v>
      </c>
      <c r="G1073">
        <f>IF(ISNA(H1073),NA(),G703)</f>
        <v>0</v>
      </c>
      <c r="H1073">
        <f>IF(OR(H703="",AND(H703=H702,H703=H704)),NA(), H703)</f>
        <v>0</v>
      </c>
      <c r="K1073">
        <f>IF(ISNA(L1073),NA(),K703)</f>
        <v>0</v>
      </c>
      <c r="L1073">
        <f>IF(OR(L703="",AND(L703=L702,L703=L704)),NA(), L703)</f>
        <v>0</v>
      </c>
      <c r="M1073">
        <f>IF(ISNA(N1073),NA(),M703)</f>
        <v>0</v>
      </c>
      <c r="N1073">
        <f>IF(OR(N703="",AND(N703=N702,N703=N704)),NA(), N703)</f>
        <v>0</v>
      </c>
    </row>
    <row r="1074" spans="5:14">
      <c r="E1074">
        <f>IF(ISNA(F1074),NA(),E704)</f>
        <v>0</v>
      </c>
      <c r="F1074">
        <f>IF(OR(F704="",AND(F704=F703,F704=F705)),NA(), F704)</f>
        <v>0</v>
      </c>
      <c r="G1074">
        <f>IF(ISNA(H1074),NA(),G704)</f>
        <v>0</v>
      </c>
      <c r="H1074">
        <f>IF(OR(H704="",AND(H704=H703,H704=H705)),NA(), H704)</f>
        <v>0</v>
      </c>
      <c r="K1074">
        <f>IF(ISNA(L1074),NA(),K704)</f>
        <v>0</v>
      </c>
      <c r="L1074">
        <f>IF(OR(L704="",AND(L704=L703,L704=L705)),NA(), L704)</f>
        <v>0</v>
      </c>
      <c r="M1074">
        <f>IF(ISNA(N1074),NA(),M704)</f>
        <v>0</v>
      </c>
      <c r="N1074">
        <f>IF(OR(N704="",AND(N704=N703,N704=N705)),NA(), N704)</f>
        <v>0</v>
      </c>
    </row>
    <row r="1075" spans="5:14">
      <c r="E1075">
        <f>IF(ISNA(F1075),NA(),E705)</f>
        <v>0</v>
      </c>
      <c r="F1075">
        <f>IF(OR(F705="",AND(F705=F704,F705=F706)),NA(), F705)</f>
        <v>0</v>
      </c>
      <c r="G1075">
        <f>IF(ISNA(H1075),NA(),G705)</f>
        <v>0</v>
      </c>
      <c r="H1075">
        <f>IF(OR(H705="",AND(H705=H704,H705=H706)),NA(), H705)</f>
        <v>0</v>
      </c>
      <c r="K1075">
        <f>IF(ISNA(L1075),NA(),K705)</f>
        <v>0</v>
      </c>
      <c r="L1075">
        <f>IF(OR(L705="",AND(L705=L704,L705=L706)),NA(), L705)</f>
        <v>0</v>
      </c>
      <c r="M1075">
        <f>IF(ISNA(N1075),NA(),M705)</f>
        <v>0</v>
      </c>
      <c r="N1075">
        <f>IF(OR(N705="",AND(N705=N704,N705=N706)),NA(), N705)</f>
        <v>0</v>
      </c>
    </row>
    <row r="1076" spans="5:14">
      <c r="E1076">
        <f>IF(ISNA(F1076),NA(),E706)</f>
        <v>0</v>
      </c>
      <c r="F1076">
        <f>IF(OR(F706="",AND(F706=F705,F706=F707)),NA(), F706)</f>
        <v>0</v>
      </c>
      <c r="G1076">
        <f>IF(ISNA(H1076),NA(),G706)</f>
        <v>0</v>
      </c>
      <c r="H1076">
        <f>IF(OR(H706="",AND(H706=H705,H706=H707)),NA(), H706)</f>
        <v>0</v>
      </c>
      <c r="K1076">
        <f>IF(ISNA(L1076),NA(),K706)</f>
        <v>0</v>
      </c>
      <c r="L1076">
        <f>IF(OR(L706="",AND(L706=L705,L706=L707)),NA(), L706)</f>
        <v>0</v>
      </c>
      <c r="M1076">
        <f>IF(ISNA(N1076),NA(),M706)</f>
        <v>0</v>
      </c>
      <c r="N1076">
        <f>IF(OR(N706="",AND(N706=N705,N706=N707)),NA(), N706)</f>
        <v>0</v>
      </c>
    </row>
    <row r="1077" spans="5:14">
      <c r="E1077">
        <f>IF(ISNA(F1077),NA(),E707)</f>
        <v>0</v>
      </c>
      <c r="F1077">
        <f>IF(OR(F707="",AND(F707=F706,F707=F708)),NA(), F707)</f>
        <v>0</v>
      </c>
      <c r="G1077">
        <f>IF(ISNA(H1077),NA(),G707)</f>
        <v>0</v>
      </c>
      <c r="H1077">
        <f>IF(OR(H707="",AND(H707=H706,H707=H708)),NA(), H707)</f>
        <v>0</v>
      </c>
      <c r="K1077">
        <f>IF(ISNA(L1077),NA(),K707)</f>
        <v>0</v>
      </c>
      <c r="L1077">
        <f>IF(OR(L707="",AND(L707=L706,L707=L708)),NA(), L707)</f>
        <v>0</v>
      </c>
      <c r="M1077">
        <f>IF(ISNA(N1077),NA(),M707)</f>
        <v>0</v>
      </c>
      <c r="N1077">
        <f>IF(OR(N707="",AND(N707=N706,N707=N708)),NA(), N707)</f>
        <v>0</v>
      </c>
    </row>
    <row r="1078" spans="5:14">
      <c r="E1078">
        <f>IF(ISNA(F1078),NA(),E708)</f>
        <v>0</v>
      </c>
      <c r="F1078">
        <f>IF(OR(F708="",AND(F708=F707,F708=F709)),NA(), F708)</f>
        <v>0</v>
      </c>
      <c r="G1078">
        <f>IF(ISNA(H1078),NA(),G708)</f>
        <v>0</v>
      </c>
      <c r="H1078">
        <f>IF(OR(H708="",AND(H708=H707,H708=H709)),NA(), H708)</f>
        <v>0</v>
      </c>
      <c r="K1078">
        <f>IF(ISNA(L1078),NA(),K708)</f>
        <v>0</v>
      </c>
      <c r="L1078">
        <f>IF(OR(L708="",AND(L708=L707,L708=L709)),NA(), L708)</f>
        <v>0</v>
      </c>
      <c r="M1078">
        <f>IF(ISNA(N1078),NA(),M708)</f>
        <v>0</v>
      </c>
      <c r="N1078">
        <f>IF(OR(N708="",AND(N708=N707,N708=N709)),NA(), N708)</f>
        <v>0</v>
      </c>
    </row>
    <row r="1079" spans="5:14">
      <c r="E1079">
        <f>IF(ISNA(F1079),NA(),E709)</f>
        <v>0</v>
      </c>
      <c r="F1079">
        <f>IF(OR(F709="",AND(F709=F708,F709=F710)),NA(), F709)</f>
        <v>0</v>
      </c>
      <c r="G1079">
        <f>IF(ISNA(H1079),NA(),G709)</f>
        <v>0</v>
      </c>
      <c r="H1079">
        <f>IF(OR(H709="",AND(H709=H708,H709=H710)),NA(), H709)</f>
        <v>0</v>
      </c>
      <c r="K1079">
        <f>IF(ISNA(L1079),NA(),K709)</f>
        <v>0</v>
      </c>
      <c r="L1079">
        <f>IF(OR(L709="",AND(L709=L708,L709=L710)),NA(), L709)</f>
        <v>0</v>
      </c>
      <c r="M1079">
        <f>IF(ISNA(N1079),NA(),M709)</f>
        <v>0</v>
      </c>
      <c r="N1079">
        <f>IF(OR(N709="",AND(N709=N708,N709=N710)),NA(), N709)</f>
        <v>0</v>
      </c>
    </row>
    <row r="1080" spans="5:14">
      <c r="E1080">
        <f>IF(ISNA(F1080),NA(),E710)</f>
        <v>0</v>
      </c>
      <c r="F1080">
        <f>IF(OR(F710="",AND(F710=F709,F710=F711)),NA(), F710)</f>
        <v>0</v>
      </c>
      <c r="G1080">
        <f>IF(ISNA(H1080),NA(),G710)</f>
        <v>0</v>
      </c>
      <c r="H1080">
        <f>IF(OR(H710="",AND(H710=H709,H710=H711)),NA(), H710)</f>
        <v>0</v>
      </c>
      <c r="K1080">
        <f>IF(ISNA(L1080),NA(),K710)</f>
        <v>0</v>
      </c>
      <c r="L1080">
        <f>IF(OR(L710="",AND(L710=L709,L710=L711)),NA(), L710)</f>
        <v>0</v>
      </c>
      <c r="M1080">
        <f>IF(ISNA(N1080),NA(),M710)</f>
        <v>0</v>
      </c>
      <c r="N1080">
        <f>IF(OR(N710="",AND(N710=N709,N710=N711)),NA(), N710)</f>
        <v>0</v>
      </c>
    </row>
    <row r="1081" spans="5:14">
      <c r="E1081">
        <f>IF(ISNA(F1081),NA(),E711)</f>
        <v>0</v>
      </c>
      <c r="F1081">
        <f>IF(OR(F711="",AND(F711=F710,F711=F712)),NA(), F711)</f>
        <v>0</v>
      </c>
      <c r="G1081">
        <f>IF(ISNA(H1081),NA(),G711)</f>
        <v>0</v>
      </c>
      <c r="H1081">
        <f>IF(OR(H711="",AND(H711=H710,H711=H712)),NA(), H711)</f>
        <v>0</v>
      </c>
      <c r="K1081">
        <f>IF(ISNA(L1081),NA(),K711)</f>
        <v>0</v>
      </c>
      <c r="L1081">
        <f>IF(OR(L711="",AND(L711=L710,L711=L712)),NA(), L711)</f>
        <v>0</v>
      </c>
      <c r="M1081">
        <f>IF(ISNA(N1081),NA(),M711)</f>
        <v>0</v>
      </c>
      <c r="N1081">
        <f>IF(OR(N711="",AND(N711=N710,N711=N712)),NA(), N711)</f>
        <v>0</v>
      </c>
    </row>
    <row r="1082" spans="5:14">
      <c r="E1082">
        <f>IF(ISNA(F1082),NA(),E712)</f>
        <v>0</v>
      </c>
      <c r="F1082">
        <f>IF(OR(F712="",AND(F712=F711,F712=F713)),NA(), F712)</f>
        <v>0</v>
      </c>
      <c r="G1082">
        <f>IF(ISNA(H1082),NA(),G712)</f>
        <v>0</v>
      </c>
      <c r="H1082">
        <f>IF(OR(H712="",AND(H712=H711,H712=H713)),NA(), H712)</f>
        <v>0</v>
      </c>
      <c r="K1082">
        <f>IF(ISNA(L1082),NA(),K712)</f>
        <v>0</v>
      </c>
      <c r="L1082">
        <f>IF(OR(L712="",AND(L712=L711,L712=L713)),NA(), L712)</f>
        <v>0</v>
      </c>
      <c r="M1082">
        <f>IF(ISNA(N1082),NA(),M712)</f>
        <v>0</v>
      </c>
      <c r="N1082">
        <f>IF(OR(N712="",AND(N712=N711,N712=N713)),NA(), N712)</f>
        <v>0</v>
      </c>
    </row>
    <row r="1083" spans="5:14">
      <c r="E1083">
        <f>IF(ISNA(F1083),NA(),E713)</f>
        <v>0</v>
      </c>
      <c r="F1083">
        <f>IF(OR(F713="",AND(F713=F712,F713=F714)),NA(), F713)</f>
        <v>0</v>
      </c>
      <c r="G1083">
        <f>IF(ISNA(H1083),NA(),G713)</f>
        <v>0</v>
      </c>
      <c r="H1083">
        <f>IF(OR(H713="",AND(H713=H712,H713=H714)),NA(), H713)</f>
        <v>0</v>
      </c>
      <c r="K1083">
        <f>IF(ISNA(L1083),NA(),K713)</f>
        <v>0</v>
      </c>
      <c r="L1083">
        <f>IF(OR(L713="",AND(L713=L712,L713=L714)),NA(), L713)</f>
        <v>0</v>
      </c>
      <c r="M1083">
        <f>IF(ISNA(N1083),NA(),M713)</f>
        <v>0</v>
      </c>
      <c r="N1083">
        <f>IF(OR(N713="",AND(N713=N712,N713=N714)),NA(), N713)</f>
        <v>0</v>
      </c>
    </row>
    <row r="1084" spans="5:14">
      <c r="E1084">
        <f>IF(ISNA(F1084),NA(),E714)</f>
        <v>0</v>
      </c>
      <c r="F1084">
        <f>IF(OR(F714="",AND(F714=F713,F714=F715)),NA(), F714)</f>
        <v>0</v>
      </c>
      <c r="G1084">
        <f>IF(ISNA(H1084),NA(),G714)</f>
        <v>0</v>
      </c>
      <c r="H1084">
        <f>IF(OR(H714="",AND(H714=H713,H714=H715)),NA(), H714)</f>
        <v>0</v>
      </c>
      <c r="K1084">
        <f>IF(ISNA(L1084),NA(),K714)</f>
        <v>0</v>
      </c>
      <c r="L1084">
        <f>IF(OR(L714="",AND(L714=L713,L714=L715)),NA(), L714)</f>
        <v>0</v>
      </c>
      <c r="M1084">
        <f>IF(ISNA(N1084),NA(),M714)</f>
        <v>0</v>
      </c>
      <c r="N1084">
        <f>IF(OR(N714="",AND(N714=N713,N714=N715)),NA(), N714)</f>
        <v>0</v>
      </c>
    </row>
    <row r="1085" spans="5:14">
      <c r="E1085">
        <f>IF(ISNA(F1085),NA(),E715)</f>
        <v>0</v>
      </c>
      <c r="F1085">
        <f>IF(OR(F715="",AND(F715=F714,F715=F716)),NA(), F715)</f>
        <v>0</v>
      </c>
      <c r="G1085">
        <f>IF(ISNA(H1085),NA(),G715)</f>
        <v>0</v>
      </c>
      <c r="H1085">
        <f>IF(OR(H715="",AND(H715=H714,H715=H716)),NA(), H715)</f>
        <v>0</v>
      </c>
      <c r="K1085">
        <f>IF(ISNA(L1085),NA(),K715)</f>
        <v>0</v>
      </c>
      <c r="L1085">
        <f>IF(OR(L715="",AND(L715=L714,L715=L716)),NA(), L715)</f>
        <v>0</v>
      </c>
      <c r="M1085">
        <f>IF(ISNA(N1085),NA(),M715)</f>
        <v>0</v>
      </c>
      <c r="N1085">
        <f>IF(OR(N715="",AND(N715=N714,N715=N716)),NA(), N715)</f>
        <v>0</v>
      </c>
    </row>
    <row r="1086" spans="5:14">
      <c r="E1086">
        <f>IF(ISNA(F1086),NA(),E716)</f>
        <v>0</v>
      </c>
      <c r="F1086">
        <f>IF(OR(F716="",AND(F716=F715,F716=F717)),NA(), F716)</f>
        <v>0</v>
      </c>
      <c r="G1086">
        <f>IF(ISNA(H1086),NA(),G716)</f>
        <v>0</v>
      </c>
      <c r="H1086">
        <f>IF(OR(H716="",AND(H716=H715,H716=H717)),NA(), H716)</f>
        <v>0</v>
      </c>
      <c r="K1086">
        <f>IF(ISNA(L1086),NA(),K716)</f>
        <v>0</v>
      </c>
      <c r="L1086">
        <f>IF(OR(L716="",AND(L716=L715,L716=L717)),NA(), L716)</f>
        <v>0</v>
      </c>
      <c r="M1086">
        <f>IF(ISNA(N1086),NA(),M716)</f>
        <v>0</v>
      </c>
      <c r="N1086">
        <f>IF(OR(N716="",AND(N716=N715,N716=N717)),NA(), N716)</f>
        <v>0</v>
      </c>
    </row>
    <row r="1087" spans="5:14">
      <c r="E1087">
        <f>IF(ISNA(F1087),NA(),E717)</f>
        <v>0</v>
      </c>
      <c r="F1087">
        <f>IF(OR(F717="",AND(F717=F716,F717=F718)),NA(), F717)</f>
        <v>0</v>
      </c>
      <c r="G1087">
        <f>IF(ISNA(H1087),NA(),G717)</f>
        <v>0</v>
      </c>
      <c r="H1087">
        <f>IF(OR(H717="",AND(H717=H716,H717=H718)),NA(), H717)</f>
        <v>0</v>
      </c>
      <c r="K1087">
        <f>IF(ISNA(L1087),NA(),K717)</f>
        <v>0</v>
      </c>
      <c r="L1087">
        <f>IF(OR(L717="",AND(L717=L716,L717=L718)),NA(), L717)</f>
        <v>0</v>
      </c>
      <c r="M1087">
        <f>IF(ISNA(N1087),NA(),M717)</f>
        <v>0</v>
      </c>
      <c r="N1087">
        <f>IF(OR(N717="",AND(N717=N716,N717=N718)),NA(), N717)</f>
        <v>0</v>
      </c>
    </row>
    <row r="1088" spans="5:14">
      <c r="E1088">
        <f>IF(ISNA(F1088),NA(),E718)</f>
        <v>0</v>
      </c>
      <c r="F1088">
        <f>IF(OR(F718="",AND(F718=F717,F718=F719)),NA(), F718)</f>
        <v>0</v>
      </c>
      <c r="G1088">
        <f>IF(ISNA(H1088),NA(),G718)</f>
        <v>0</v>
      </c>
      <c r="H1088">
        <f>IF(OR(H718="",AND(H718=H717,H718=H719)),NA(), H718)</f>
        <v>0</v>
      </c>
      <c r="K1088">
        <f>IF(ISNA(L1088),NA(),K718)</f>
        <v>0</v>
      </c>
      <c r="L1088">
        <f>IF(OR(L718="",AND(L718=L717,L718=L719)),NA(), L718)</f>
        <v>0</v>
      </c>
      <c r="M1088">
        <f>IF(ISNA(N1088),NA(),M718)</f>
        <v>0</v>
      </c>
      <c r="N1088">
        <f>IF(OR(N718="",AND(N718=N717,N718=N719)),NA(), N718)</f>
        <v>0</v>
      </c>
    </row>
    <row r="1089" spans="5:14">
      <c r="E1089">
        <f>IF(ISNA(F1089),NA(),E719)</f>
        <v>0</v>
      </c>
      <c r="F1089">
        <f>IF(OR(F719="",AND(F719=F718,F719=F720)),NA(), F719)</f>
        <v>0</v>
      </c>
      <c r="G1089">
        <f>IF(ISNA(H1089),NA(),G719)</f>
        <v>0</v>
      </c>
      <c r="H1089">
        <f>IF(OR(H719="",AND(H719=H718,H719=H720)),NA(), H719)</f>
        <v>0</v>
      </c>
      <c r="K1089">
        <f>IF(ISNA(L1089),NA(),K719)</f>
        <v>0</v>
      </c>
      <c r="L1089">
        <f>IF(OR(L719="",AND(L719=L718,L719=L720)),NA(), L719)</f>
        <v>0</v>
      </c>
      <c r="M1089">
        <f>IF(ISNA(N1089),NA(),M719)</f>
        <v>0</v>
      </c>
      <c r="N1089">
        <f>IF(OR(N719="",AND(N719=N718,N719=N720)),NA(), N719)</f>
        <v>0</v>
      </c>
    </row>
    <row r="1090" spans="5:14">
      <c r="E1090">
        <f>IF(ISNA(F1090),NA(),E720)</f>
        <v>0</v>
      </c>
      <c r="F1090">
        <f>IF(OR(F720="",AND(F720=F719,F720=F721)),NA(), F720)</f>
        <v>0</v>
      </c>
      <c r="G1090">
        <f>IF(ISNA(H1090),NA(),G720)</f>
        <v>0</v>
      </c>
      <c r="H1090">
        <f>IF(OR(H720="",AND(H720=H719,H720=H721)),NA(), H720)</f>
        <v>0</v>
      </c>
      <c r="K1090">
        <f>IF(ISNA(L1090),NA(),K720)</f>
        <v>0</v>
      </c>
      <c r="L1090">
        <f>IF(OR(L720="",AND(L720=L719,L720=L721)),NA(), L720)</f>
        <v>0</v>
      </c>
      <c r="M1090">
        <f>IF(ISNA(N1090),NA(),M720)</f>
        <v>0</v>
      </c>
      <c r="N1090">
        <f>IF(OR(N720="",AND(N720=N719,N720=N721)),NA(), N720)</f>
        <v>0</v>
      </c>
    </row>
    <row r="1091" spans="5:14">
      <c r="E1091">
        <f>IF(ISNA(F1091),NA(),E721)</f>
        <v>0</v>
      </c>
      <c r="F1091">
        <f>IF(OR(F721="",AND(F721=F720,F721=F722)),NA(), F721)</f>
        <v>0</v>
      </c>
      <c r="G1091">
        <f>IF(ISNA(H1091),NA(),G721)</f>
        <v>0</v>
      </c>
      <c r="H1091">
        <f>IF(OR(H721="",AND(H721=H720,H721=H722)),NA(), H721)</f>
        <v>0</v>
      </c>
      <c r="K1091">
        <f>IF(ISNA(L1091),NA(),K721)</f>
        <v>0</v>
      </c>
      <c r="L1091">
        <f>IF(OR(L721="",AND(L721=L720,L721=L722)),NA(), L721)</f>
        <v>0</v>
      </c>
      <c r="M1091">
        <f>IF(ISNA(N1091),NA(),M721)</f>
        <v>0</v>
      </c>
      <c r="N1091">
        <f>IF(OR(N721="",AND(N721=N720,N721=N722)),NA(), N721)</f>
        <v>0</v>
      </c>
    </row>
    <row r="1092" spans="5:14">
      <c r="E1092">
        <f>IF(ISNA(F1092),NA(),E722)</f>
        <v>0</v>
      </c>
      <c r="F1092">
        <f>IF(OR(F722="",AND(F722=F721,F722=F723)),NA(), F722)</f>
        <v>0</v>
      </c>
      <c r="G1092">
        <f>IF(ISNA(H1092),NA(),G722)</f>
        <v>0</v>
      </c>
      <c r="H1092">
        <f>IF(OR(H722="",AND(H722=H721,H722=H723)),NA(), H722)</f>
        <v>0</v>
      </c>
      <c r="K1092">
        <f>IF(ISNA(L1092),NA(),K722)</f>
        <v>0</v>
      </c>
      <c r="L1092">
        <f>IF(OR(L722="",AND(L722=L721,L722=L723)),NA(), L722)</f>
        <v>0</v>
      </c>
      <c r="M1092">
        <f>IF(ISNA(N1092),NA(),M722)</f>
        <v>0</v>
      </c>
      <c r="N1092">
        <f>IF(OR(N722="",AND(N722=N721,N722=N723)),NA(), N722)</f>
        <v>0</v>
      </c>
    </row>
    <row r="1093" spans="5:14">
      <c r="E1093">
        <f>IF(ISNA(F1093),NA(),E723)</f>
        <v>0</v>
      </c>
      <c r="F1093">
        <f>IF(OR(F723="",AND(F723=F722,F723=F724)),NA(), F723)</f>
        <v>0</v>
      </c>
      <c r="G1093">
        <f>IF(ISNA(H1093),NA(),G723)</f>
        <v>0</v>
      </c>
      <c r="H1093">
        <f>IF(OR(H723="",AND(H723=H722,H723=H724)),NA(), H723)</f>
        <v>0</v>
      </c>
      <c r="K1093">
        <f>IF(ISNA(L1093),NA(),K723)</f>
        <v>0</v>
      </c>
      <c r="L1093">
        <f>IF(OR(L723="",AND(L723=L722,L723=L724)),NA(), L723)</f>
        <v>0</v>
      </c>
      <c r="M1093">
        <f>IF(ISNA(N1093),NA(),M723)</f>
        <v>0</v>
      </c>
      <c r="N1093">
        <f>IF(OR(N723="",AND(N723=N722,N723=N724)),NA(), N723)</f>
        <v>0</v>
      </c>
    </row>
    <row r="1094" spans="5:14">
      <c r="E1094">
        <f>IF(ISNA(F1094),NA(),E724)</f>
        <v>0</v>
      </c>
      <c r="F1094">
        <f>IF(OR(F724="",AND(F724=F723,F724=F725)),NA(), F724)</f>
        <v>0</v>
      </c>
      <c r="G1094">
        <f>IF(ISNA(H1094),NA(),G724)</f>
        <v>0</v>
      </c>
      <c r="H1094">
        <f>IF(OR(H724="",AND(H724=H723,H724=H725)),NA(), H724)</f>
        <v>0</v>
      </c>
      <c r="K1094">
        <f>IF(ISNA(L1094),NA(),K724)</f>
        <v>0</v>
      </c>
      <c r="L1094">
        <f>IF(OR(L724="",AND(L724=L723,L724=L725)),NA(), L724)</f>
        <v>0</v>
      </c>
      <c r="M1094">
        <f>IF(ISNA(N1094),NA(),M724)</f>
        <v>0</v>
      </c>
      <c r="N1094">
        <f>IF(OR(N724="",AND(N724=N723,N724=N725)),NA(), N724)</f>
        <v>0</v>
      </c>
    </row>
    <row r="1095" spans="5:14">
      <c r="E1095">
        <f>IF(ISNA(F1095),NA(),E725)</f>
        <v>0</v>
      </c>
      <c r="F1095">
        <f>IF(OR(F725="",AND(F725=F724,F725=F726)),NA(), F725)</f>
        <v>0</v>
      </c>
      <c r="G1095">
        <f>IF(ISNA(H1095),NA(),G725)</f>
        <v>0</v>
      </c>
      <c r="H1095">
        <f>IF(OR(H725="",AND(H725=H724,H725=H726)),NA(), H725)</f>
        <v>0</v>
      </c>
      <c r="K1095">
        <f>IF(ISNA(L1095),NA(),K725)</f>
        <v>0</v>
      </c>
      <c r="L1095">
        <f>IF(OR(L725="",AND(L725=L724,L725=L726)),NA(), L725)</f>
        <v>0</v>
      </c>
      <c r="M1095">
        <f>IF(ISNA(N1095),NA(),M725)</f>
        <v>0</v>
      </c>
      <c r="N1095">
        <f>IF(OR(N725="",AND(N725=N724,N725=N726)),NA(), N725)</f>
        <v>0</v>
      </c>
    </row>
    <row r="1096" spans="5:14">
      <c r="E1096">
        <f>IF(ISNA(F1096),NA(),E726)</f>
        <v>0</v>
      </c>
      <c r="F1096">
        <f>IF(OR(F726="",AND(F726=F725,F726=F727)),NA(), F726)</f>
        <v>0</v>
      </c>
      <c r="G1096">
        <f>IF(ISNA(H1096),NA(),G726)</f>
        <v>0</v>
      </c>
      <c r="H1096">
        <f>IF(OR(H726="",AND(H726=H725,H726=H727)),NA(), H726)</f>
        <v>0</v>
      </c>
      <c r="K1096">
        <f>IF(ISNA(L1096),NA(),K726)</f>
        <v>0</v>
      </c>
      <c r="L1096">
        <f>IF(OR(L726="",AND(L726=L725,L726=L727)),NA(), L726)</f>
        <v>0</v>
      </c>
      <c r="M1096">
        <f>IF(ISNA(N1096),NA(),M726)</f>
        <v>0</v>
      </c>
      <c r="N1096">
        <f>IF(OR(N726="",AND(N726=N725,N726=N727)),NA(), N726)</f>
        <v>0</v>
      </c>
    </row>
    <row r="1097" spans="5:14">
      <c r="E1097">
        <f>IF(ISNA(F1097),NA(),E727)</f>
        <v>0</v>
      </c>
      <c r="F1097">
        <f>IF(OR(F727="",AND(F727=F726,F727=F728)),NA(), F727)</f>
        <v>0</v>
      </c>
      <c r="G1097">
        <f>IF(ISNA(H1097),NA(),G727)</f>
        <v>0</v>
      </c>
      <c r="H1097">
        <f>IF(OR(H727="",AND(H727=H726,H727=H728)),NA(), H727)</f>
        <v>0</v>
      </c>
      <c r="K1097">
        <f>IF(ISNA(L1097),NA(),K727)</f>
        <v>0</v>
      </c>
      <c r="L1097">
        <f>IF(OR(L727="",AND(L727=L726,L727=L728)),NA(), L727)</f>
        <v>0</v>
      </c>
      <c r="M1097">
        <f>IF(ISNA(N1097),NA(),M727)</f>
        <v>0</v>
      </c>
      <c r="N1097">
        <f>IF(OR(N727="",AND(N727=N726,N727=N728)),NA(), N727)</f>
        <v>0</v>
      </c>
    </row>
    <row r="1098" spans="5:14">
      <c r="E1098">
        <f>IF(ISNA(F1098),NA(),E728)</f>
        <v>0</v>
      </c>
      <c r="F1098">
        <f>IF(OR(F728="",AND(F728=F727,F728=F729)),NA(), F728)</f>
        <v>0</v>
      </c>
      <c r="G1098">
        <f>IF(ISNA(H1098),NA(),G728)</f>
        <v>0</v>
      </c>
      <c r="H1098">
        <f>IF(OR(H728="",AND(H728=H727,H728=H729)),NA(), H728)</f>
        <v>0</v>
      </c>
      <c r="K1098">
        <f>IF(ISNA(L1098),NA(),K728)</f>
        <v>0</v>
      </c>
      <c r="L1098">
        <f>IF(OR(L728="",AND(L728=L727,L728=L729)),NA(), L728)</f>
        <v>0</v>
      </c>
      <c r="M1098">
        <f>IF(ISNA(N1098),NA(),M728)</f>
        <v>0</v>
      </c>
      <c r="N1098">
        <f>IF(OR(N728="",AND(N728=N727,N728=N729)),NA(), N728)</f>
        <v>0</v>
      </c>
    </row>
    <row r="1099" spans="5:14">
      <c r="E1099">
        <f>IF(ISNA(F1099),NA(),E729)</f>
        <v>0</v>
      </c>
      <c r="F1099">
        <f>IF(OR(F729="",AND(F729=F728,F729=F730)),NA(), F729)</f>
        <v>0</v>
      </c>
      <c r="G1099">
        <f>IF(ISNA(H1099),NA(),G729)</f>
        <v>0</v>
      </c>
      <c r="H1099">
        <f>IF(OR(H729="",AND(H729=H728,H729=H730)),NA(), H729)</f>
        <v>0</v>
      </c>
      <c r="K1099">
        <f>IF(ISNA(L1099),NA(),K729)</f>
        <v>0</v>
      </c>
      <c r="L1099">
        <f>IF(OR(L729="",AND(L729=L728,L729=L730)),NA(), L729)</f>
        <v>0</v>
      </c>
      <c r="M1099">
        <f>IF(ISNA(N1099),NA(),M729)</f>
        <v>0</v>
      </c>
      <c r="N1099">
        <f>IF(OR(N729="",AND(N729=N728,N729=N730)),NA(), N729)</f>
        <v>0</v>
      </c>
    </row>
    <row r="1100" spans="5:14">
      <c r="E1100">
        <f>IF(ISNA(F1100),NA(),E730)</f>
        <v>0</v>
      </c>
      <c r="F1100">
        <f>IF(OR(F730="",AND(F730=F729,F730=F731)),NA(), F730)</f>
        <v>0</v>
      </c>
      <c r="G1100">
        <f>IF(ISNA(H1100),NA(),G730)</f>
        <v>0</v>
      </c>
      <c r="H1100">
        <f>IF(OR(H730="",AND(H730=H729,H730=H731)),NA(), H730)</f>
        <v>0</v>
      </c>
      <c r="K1100">
        <f>IF(ISNA(L1100),NA(),K730)</f>
        <v>0</v>
      </c>
      <c r="L1100">
        <f>IF(OR(L730="",AND(L730=L729,L730=L731)),NA(), L730)</f>
        <v>0</v>
      </c>
      <c r="M1100">
        <f>IF(ISNA(N1100),NA(),M730)</f>
        <v>0</v>
      </c>
      <c r="N1100">
        <f>IF(OR(N730="",AND(N730=N729,N730=N731)),NA(), N730)</f>
        <v>0</v>
      </c>
    </row>
    <row r="1101" spans="5:14">
      <c r="E1101">
        <f>IF(ISNA(F1101),NA(),E731)</f>
        <v>0</v>
      </c>
      <c r="F1101">
        <f>IF(OR(F731="",AND(F731=F730,F731=F732)),NA(), F731)</f>
        <v>0</v>
      </c>
      <c r="G1101">
        <f>IF(ISNA(H1101),NA(),G731)</f>
        <v>0</v>
      </c>
      <c r="H1101">
        <f>IF(OR(H731="",AND(H731=H730,H731=H732)),NA(), H731)</f>
        <v>0</v>
      </c>
      <c r="K1101">
        <f>IF(ISNA(L1101),NA(),K731)</f>
        <v>0</v>
      </c>
      <c r="L1101">
        <f>IF(OR(L731="",AND(L731=L730,L731=L732)),NA(), L731)</f>
        <v>0</v>
      </c>
      <c r="M1101">
        <f>IF(ISNA(N1101),NA(),M731)</f>
        <v>0</v>
      </c>
      <c r="N1101">
        <f>IF(OR(N731="",AND(N731=N730,N731=N732)),NA(), N731)</f>
        <v>0</v>
      </c>
    </row>
    <row r="1102" spans="5:14">
      <c r="E1102">
        <f>IF(ISNA(F1102),NA(),E732)</f>
        <v>0</v>
      </c>
      <c r="F1102">
        <f>IF(OR(F732="",AND(F732=F731,F732=F733)),NA(), F732)</f>
        <v>0</v>
      </c>
      <c r="G1102">
        <f>IF(ISNA(H1102),NA(),G732)</f>
        <v>0</v>
      </c>
      <c r="H1102">
        <f>IF(OR(H732="",AND(H732=H731,H732=H733)),NA(), H732)</f>
        <v>0</v>
      </c>
      <c r="K1102">
        <f>IF(ISNA(L1102),NA(),K732)</f>
        <v>0</v>
      </c>
      <c r="L1102">
        <f>IF(OR(L732="",AND(L732=L731,L732=L733)),NA(), L732)</f>
        <v>0</v>
      </c>
      <c r="M1102">
        <f>IF(ISNA(N1102),NA(),M732)</f>
        <v>0</v>
      </c>
      <c r="N1102">
        <f>IF(OR(N732="",AND(N732=N731,N732=N733)),NA(), N732)</f>
        <v>0</v>
      </c>
    </row>
    <row r="1103" spans="5:14">
      <c r="E1103">
        <f>IF(ISNA(F1103),NA(),E733)</f>
        <v>0</v>
      </c>
      <c r="F1103">
        <f>IF(OR(F733="",AND(F733=F732,F733=F734)),NA(), F733)</f>
        <v>0</v>
      </c>
      <c r="G1103">
        <f>IF(ISNA(H1103),NA(),G733)</f>
        <v>0</v>
      </c>
      <c r="H1103">
        <f>IF(OR(H733="",AND(H733=H732,H733=H734)),NA(), H733)</f>
        <v>0</v>
      </c>
      <c r="K1103">
        <f>IF(ISNA(L1103),NA(),K733)</f>
        <v>0</v>
      </c>
      <c r="L1103">
        <f>IF(OR(L733="",AND(L733=L732,L733=L734)),NA(), L733)</f>
        <v>0</v>
      </c>
      <c r="M1103">
        <f>IF(ISNA(N1103),NA(),M733)</f>
        <v>0</v>
      </c>
      <c r="N1103">
        <f>IF(OR(N733="",AND(N733=N732,N733=N734)),NA(), N733)</f>
        <v>0</v>
      </c>
    </row>
    <row r="1104" spans="5:14">
      <c r="E1104">
        <f>IF(ISNA(F1104),NA(),E734)</f>
        <v>0</v>
      </c>
      <c r="F1104">
        <f>IF(OR(F734="",AND(F734=F733,F734=F735)),NA(), F734)</f>
        <v>0</v>
      </c>
      <c r="G1104">
        <f>IF(ISNA(H1104),NA(),G734)</f>
        <v>0</v>
      </c>
      <c r="H1104">
        <f>IF(OR(H734="",AND(H734=H733,H734=H735)),NA(), H734)</f>
        <v>0</v>
      </c>
      <c r="K1104">
        <f>IF(ISNA(L1104),NA(),K734)</f>
        <v>0</v>
      </c>
      <c r="L1104">
        <f>IF(OR(L734="",AND(L734=L733,L734=L735)),NA(), L734)</f>
        <v>0</v>
      </c>
      <c r="M1104">
        <f>IF(ISNA(N1104),NA(),M734)</f>
        <v>0</v>
      </c>
      <c r="N1104">
        <f>IF(OR(N734="",AND(N734=N733,N734=N735)),NA(), N734)</f>
        <v>0</v>
      </c>
    </row>
    <row r="1105" spans="5:14">
      <c r="E1105">
        <f>IF(ISNA(F1105),NA(),E735)</f>
        <v>0</v>
      </c>
      <c r="F1105">
        <f>IF(OR(F735="",AND(F735=F734,F735=F736)),NA(), F735)</f>
        <v>0</v>
      </c>
      <c r="G1105">
        <f>IF(ISNA(H1105),NA(),G735)</f>
        <v>0</v>
      </c>
      <c r="H1105">
        <f>IF(OR(H735="",AND(H735=H734,H735=H736)),NA(), H735)</f>
        <v>0</v>
      </c>
      <c r="K1105">
        <f>IF(ISNA(L1105),NA(),K735)</f>
        <v>0</v>
      </c>
      <c r="L1105">
        <f>IF(OR(L735="",AND(L735=L734,L735=L736)),NA(), L735)</f>
        <v>0</v>
      </c>
      <c r="M1105">
        <f>IF(ISNA(N1105),NA(),M735)</f>
        <v>0</v>
      </c>
      <c r="N1105">
        <f>IF(OR(N735="",AND(N735=N734,N735=N736)),NA(), N735)</f>
        <v>0</v>
      </c>
    </row>
    <row r="1106" spans="5:14">
      <c r="E1106">
        <f>IF(ISNA(F1106),NA(),E736)</f>
        <v>0</v>
      </c>
      <c r="F1106">
        <f>IF(OR(F736="",AND(F736=F735,F736=F737)),NA(), F736)</f>
        <v>0</v>
      </c>
      <c r="G1106">
        <f>IF(ISNA(H1106),NA(),G736)</f>
        <v>0</v>
      </c>
      <c r="H1106">
        <f>IF(OR(H736="",AND(H736=H735,H736=H737)),NA(), H736)</f>
        <v>0</v>
      </c>
      <c r="K1106">
        <f>IF(ISNA(L1106),NA(),K736)</f>
        <v>0</v>
      </c>
      <c r="L1106">
        <f>IF(OR(L736="",AND(L736=L735,L736=L737)),NA(), L736)</f>
        <v>0</v>
      </c>
      <c r="M1106">
        <f>IF(ISNA(N1106),NA(),M736)</f>
        <v>0</v>
      </c>
      <c r="N1106">
        <f>IF(OR(N736="",AND(N736=N735,N736=N737)),NA(), N736)</f>
        <v>0</v>
      </c>
    </row>
    <row r="1107" spans="5:14">
      <c r="E1107">
        <f>IF(ISNA(F1107),NA(),E737)</f>
        <v>0</v>
      </c>
      <c r="F1107">
        <f>IF(OR(F737="",AND(F737=F736,F737=F738)),NA(), F737)</f>
        <v>0</v>
      </c>
      <c r="G1107">
        <f>IF(ISNA(H1107),NA(),G737)</f>
        <v>0</v>
      </c>
      <c r="H1107">
        <f>IF(OR(H737="",AND(H737=H736,H737=H738)),NA(), H737)</f>
        <v>0</v>
      </c>
      <c r="K1107">
        <f>IF(ISNA(L1107),NA(),K737)</f>
        <v>0</v>
      </c>
      <c r="L1107">
        <f>IF(OR(L737="",AND(L737=L736,L737=L738)),NA(), L737)</f>
        <v>0</v>
      </c>
      <c r="M1107">
        <f>IF(ISNA(N1107),NA(),M737)</f>
        <v>0</v>
      </c>
      <c r="N1107">
        <f>IF(OR(N737="",AND(N737=N736,N737=N738)),NA(), N737)</f>
        <v>0</v>
      </c>
    </row>
    <row r="1108" spans="5:14">
      <c r="E1108">
        <f>IF(ISNA(F1108),NA(),E738)</f>
        <v>0</v>
      </c>
      <c r="F1108">
        <f>IF(OR(F738="",AND(F738=F737,F738=F739)),NA(), F738)</f>
        <v>0</v>
      </c>
      <c r="G1108">
        <f>IF(ISNA(H1108),NA(),G738)</f>
        <v>0</v>
      </c>
      <c r="H1108">
        <f>IF(OR(H738="",AND(H738=H737,H738=H739)),NA(), H738)</f>
        <v>0</v>
      </c>
      <c r="K1108">
        <f>IF(ISNA(L1108),NA(),K738)</f>
        <v>0</v>
      </c>
      <c r="L1108">
        <f>IF(OR(L738="",AND(L738=L737,L738=L739)),NA(), L738)</f>
        <v>0</v>
      </c>
      <c r="M1108">
        <f>IF(ISNA(N1108),NA(),M738)</f>
        <v>0</v>
      </c>
      <c r="N1108">
        <f>IF(OR(N738="",AND(N738=N737,N738=N739)),NA(), N738)</f>
        <v>0</v>
      </c>
    </row>
    <row r="1109" spans="5:14">
      <c r="E1109">
        <f>IF(ISNA(F1109),NA(),E739)</f>
        <v>0</v>
      </c>
      <c r="F1109">
        <f>IF(OR(F739="",AND(F739=F738,F739=F740)),NA(), F739)</f>
        <v>0</v>
      </c>
      <c r="G1109">
        <f>IF(ISNA(H1109),NA(),G739)</f>
        <v>0</v>
      </c>
      <c r="H1109">
        <f>IF(OR(H739="",AND(H739=H738,H739=H740)),NA(), H739)</f>
        <v>0</v>
      </c>
      <c r="K1109">
        <f>IF(ISNA(L1109),NA(),K739)</f>
        <v>0</v>
      </c>
      <c r="L1109">
        <f>IF(OR(L739="",AND(L739=L738,L739=L740)),NA(), L739)</f>
        <v>0</v>
      </c>
      <c r="M1109">
        <f>IF(ISNA(N1109),NA(),M739)</f>
        <v>0</v>
      </c>
      <c r="N1109">
        <f>IF(OR(N739="",AND(N739=N738,N739=N740)),NA(), N739)</f>
        <v>0</v>
      </c>
    </row>
    <row r="1110" spans="5:14">
      <c r="E1110">
        <f>IF(ISNA(F1110),NA(),E740)</f>
        <v>0</v>
      </c>
      <c r="F1110">
        <f>IF(OR(F740="",AND(F740=F739,F740=F741)),NA(), F740)</f>
        <v>0</v>
      </c>
      <c r="G1110">
        <f>IF(ISNA(H1110),NA(),G740)</f>
        <v>0</v>
      </c>
      <c r="H1110">
        <f>IF(OR(H740="",AND(H740=H739,H740=H741)),NA(), H740)</f>
        <v>0</v>
      </c>
      <c r="K1110">
        <f>IF(ISNA(L1110),NA(),K740)</f>
        <v>0</v>
      </c>
      <c r="L1110">
        <f>IF(OR(L740="",AND(L740=L739,L740=L741)),NA(), L740)</f>
        <v>0</v>
      </c>
      <c r="M1110">
        <f>IF(ISNA(N1110),NA(),M740)</f>
        <v>0</v>
      </c>
      <c r="N1110">
        <f>IF(OR(N740="",AND(N740=N739,N740=N741)),NA(), N740)</f>
        <v>0</v>
      </c>
    </row>
    <row r="1111" spans="5:14">
      <c r="E1111">
        <f>IF(ISNA(F1111),NA(),E741)</f>
        <v>0</v>
      </c>
      <c r="F1111">
        <f>IF(OR(F741="",AND(F741=F740,F741=F742)),NA(), F741)</f>
        <v>0</v>
      </c>
      <c r="G1111">
        <f>IF(ISNA(H1111),NA(),G741)</f>
        <v>0</v>
      </c>
      <c r="H1111">
        <f>IF(OR(H741="",AND(H741=H740,H741=H742)),NA(), H741)</f>
        <v>0</v>
      </c>
      <c r="K1111">
        <f>IF(ISNA(L1111),NA(),K741)</f>
        <v>0</v>
      </c>
      <c r="L1111">
        <f>IF(OR(L741="",AND(L741=L740,L741=L742)),NA(), L741)</f>
        <v>0</v>
      </c>
      <c r="M1111">
        <f>IF(ISNA(N1111),NA(),M741)</f>
        <v>0</v>
      </c>
      <c r="N1111">
        <f>IF(OR(N741="",AND(N741=N740,N741=N742)),NA(), N741)</f>
        <v>0</v>
      </c>
    </row>
    <row r="1112" spans="5:14">
      <c r="E1112">
        <f>IF(ISNA(F1112),NA(),E742)</f>
        <v>0</v>
      </c>
      <c r="F1112">
        <f>IF(OR(F742="",AND(F742=F741,F742=F743)),NA(), F742)</f>
        <v>0</v>
      </c>
      <c r="G1112">
        <f>IF(ISNA(H1112),NA(),G742)</f>
        <v>0</v>
      </c>
      <c r="H1112">
        <f>IF(OR(H742="",AND(H742=H741,H742=H743)),NA(), H742)</f>
        <v>0</v>
      </c>
      <c r="K1112">
        <f>IF(ISNA(L1112),NA(),K742)</f>
        <v>0</v>
      </c>
      <c r="L1112">
        <f>IF(OR(L742="",AND(L742=L741,L742=L743)),NA(), L742)</f>
        <v>0</v>
      </c>
      <c r="M1112">
        <f>IF(ISNA(N1112),NA(),M742)</f>
        <v>0</v>
      </c>
      <c r="N1112">
        <f>IF(OR(N742="",AND(N742=N741,N742=N743)),NA(), N742)</f>
        <v>0</v>
      </c>
    </row>
    <row r="1113" spans="5:14">
      <c r="E1113">
        <f>IF(ISNA(F1113),NA(),E743)</f>
        <v>0</v>
      </c>
      <c r="F1113">
        <f>IF(OR(F743="",AND(F743=F742,F743=F744)),NA(), F743)</f>
        <v>0</v>
      </c>
      <c r="G1113">
        <f>IF(ISNA(H1113),NA(),G743)</f>
        <v>0</v>
      </c>
      <c r="H1113">
        <f>IF(OR(H743="",AND(H743=H742,H743=H744)),NA(), H743)</f>
        <v>0</v>
      </c>
      <c r="K1113">
        <f>IF(ISNA(L1113),NA(),K743)</f>
        <v>0</v>
      </c>
      <c r="L1113">
        <f>IF(OR(L743="",AND(L743=L742,L743=L744)),NA(), L743)</f>
        <v>0</v>
      </c>
      <c r="M1113">
        <f>IF(ISNA(N1113),NA(),M743)</f>
        <v>0</v>
      </c>
      <c r="N1113">
        <f>IF(OR(N743="",AND(N743=N742,N743=N744)),NA(), N743)</f>
        <v>0</v>
      </c>
    </row>
    <row r="1114" spans="5:14">
      <c r="E1114">
        <f>IF(ISNA(F1114),NA(),E744)</f>
        <v>0</v>
      </c>
      <c r="F1114">
        <f>IF(OR(F744="",AND(F744=F743,F744=F745)),NA(), F744)</f>
        <v>0</v>
      </c>
      <c r="G1114">
        <f>IF(ISNA(H1114),NA(),G744)</f>
        <v>0</v>
      </c>
      <c r="H1114">
        <f>IF(OR(H744="",AND(H744=H743,H744=H745)),NA(), H744)</f>
        <v>0</v>
      </c>
      <c r="K1114">
        <f>IF(ISNA(L1114),NA(),K744)</f>
        <v>0</v>
      </c>
      <c r="L1114">
        <f>IF(OR(L744="",AND(L744=L743,L744=L745)),NA(), L744)</f>
        <v>0</v>
      </c>
      <c r="M1114">
        <f>IF(ISNA(N1114),NA(),M744)</f>
        <v>0</v>
      </c>
      <c r="N1114">
        <f>IF(OR(N744="",AND(N744=N743,N744=N745)),NA(), N744)</f>
        <v>0</v>
      </c>
    </row>
    <row r="1115" spans="5:14">
      <c r="E1115">
        <f>IF(ISNA(F1115),NA(),E745)</f>
        <v>0</v>
      </c>
      <c r="F1115">
        <f>IF(OR(F745="",AND(F745=F744,F745=F746)),NA(), F745)</f>
        <v>0</v>
      </c>
      <c r="G1115">
        <f>IF(ISNA(H1115),NA(),G745)</f>
        <v>0</v>
      </c>
      <c r="H1115">
        <f>IF(OR(H745="",AND(H745=H744,H745=H746)),NA(), H745)</f>
        <v>0</v>
      </c>
      <c r="K1115">
        <f>IF(ISNA(L1115),NA(),K745)</f>
        <v>0</v>
      </c>
      <c r="L1115">
        <f>IF(OR(L745="",AND(L745=L744,L745=L746)),NA(), L745)</f>
        <v>0</v>
      </c>
      <c r="M1115">
        <f>IF(ISNA(N1115),NA(),M745)</f>
        <v>0</v>
      </c>
      <c r="N1115">
        <f>IF(OR(N745="",AND(N745=N744,N745=N746)),NA(), N745)</f>
        <v>0</v>
      </c>
    </row>
    <row r="1116" spans="5:14">
      <c r="E1116">
        <f>IF(ISNA(F1116),NA(),E746)</f>
        <v>0</v>
      </c>
      <c r="F1116">
        <f>IF(OR(F746="",AND(F746=F745,F746=F747)),NA(), F746)</f>
        <v>0</v>
      </c>
      <c r="G1116">
        <f>IF(ISNA(H1116),NA(),G746)</f>
        <v>0</v>
      </c>
      <c r="H1116">
        <f>IF(OR(H746="",AND(H746=H745,H746=H747)),NA(), H746)</f>
        <v>0</v>
      </c>
      <c r="K1116">
        <f>IF(ISNA(L1116),NA(),K746)</f>
        <v>0</v>
      </c>
      <c r="L1116">
        <f>IF(OR(L746="",AND(L746=L745,L746=L747)),NA(), L746)</f>
        <v>0</v>
      </c>
      <c r="M1116">
        <f>IF(ISNA(N1116),NA(),M746)</f>
        <v>0</v>
      </c>
      <c r="N1116">
        <f>IF(OR(N746="",AND(N746=N745,N746=N747)),NA(), N746)</f>
        <v>0</v>
      </c>
    </row>
    <row r="1117" spans="5:14">
      <c r="E1117">
        <f>IF(ISNA(F1117),NA(),E747)</f>
        <v>0</v>
      </c>
      <c r="F1117">
        <f>IF(OR(F747="",AND(F747=F746,F747=F748)),NA(), F747)</f>
        <v>0</v>
      </c>
      <c r="G1117">
        <f>IF(ISNA(H1117),NA(),G747)</f>
        <v>0</v>
      </c>
      <c r="H1117">
        <f>IF(OR(H747="",AND(H747=H746,H747=H748)),NA(), H747)</f>
        <v>0</v>
      </c>
      <c r="K1117">
        <f>IF(ISNA(L1117),NA(),K747)</f>
        <v>0</v>
      </c>
      <c r="L1117">
        <f>IF(OR(L747="",AND(L747=L746,L747=L748)),NA(), L747)</f>
        <v>0</v>
      </c>
      <c r="M1117">
        <f>IF(ISNA(N1117),NA(),M747)</f>
        <v>0</v>
      </c>
      <c r="N1117">
        <f>IF(OR(N747="",AND(N747=N746,N747=N748)),NA(), N747)</f>
        <v>0</v>
      </c>
    </row>
    <row r="1118" spans="5:14">
      <c r="E1118">
        <f>IF(ISNA(F1118),NA(),E748)</f>
        <v>0</v>
      </c>
      <c r="F1118">
        <f>IF(OR(F748="",AND(F748=F747,F748=F749)),NA(), F748)</f>
        <v>0</v>
      </c>
      <c r="G1118">
        <f>IF(ISNA(H1118),NA(),G748)</f>
        <v>0</v>
      </c>
      <c r="H1118">
        <f>IF(OR(H748="",AND(H748=H747,H748=H749)),NA(), H748)</f>
        <v>0</v>
      </c>
      <c r="K1118">
        <f>IF(ISNA(L1118),NA(),K748)</f>
        <v>0</v>
      </c>
      <c r="L1118">
        <f>IF(OR(L748="",AND(L748=L747,L748=L749)),NA(), L748)</f>
        <v>0</v>
      </c>
      <c r="M1118">
        <f>IF(ISNA(N1118),NA(),M748)</f>
        <v>0</v>
      </c>
      <c r="N1118">
        <f>IF(OR(N748="",AND(N748=N747,N748=N749)),NA(), N748)</f>
        <v>0</v>
      </c>
    </row>
    <row r="1119" spans="5:14">
      <c r="E1119">
        <f>IF(ISNA(F1119),NA(),E749)</f>
        <v>0</v>
      </c>
      <c r="F1119">
        <f>IF(OR(F749="",AND(F749=F748,F749=F750)),NA(), F749)</f>
        <v>0</v>
      </c>
      <c r="G1119">
        <f>IF(ISNA(H1119),NA(),G749)</f>
        <v>0</v>
      </c>
      <c r="H1119">
        <f>IF(OR(H749="",AND(H749=H748,H749=H750)),NA(), H749)</f>
        <v>0</v>
      </c>
      <c r="K1119">
        <f>IF(ISNA(L1119),NA(),K749)</f>
        <v>0</v>
      </c>
      <c r="L1119">
        <f>IF(OR(L749="",AND(L749=L748,L749=L750)),NA(), L749)</f>
        <v>0</v>
      </c>
      <c r="M1119">
        <f>IF(ISNA(N1119),NA(),M749)</f>
        <v>0</v>
      </c>
      <c r="N1119">
        <f>IF(OR(N749="",AND(N749=N748,N749=N750)),NA(), N749)</f>
        <v>0</v>
      </c>
    </row>
    <row r="1120" spans="5:14">
      <c r="E1120">
        <f>IF(ISNA(F1120),NA(),E750)</f>
        <v>0</v>
      </c>
      <c r="F1120">
        <f>IF(OR(F750="",AND(F750=F749,F750=F751)),NA(), F750)</f>
        <v>0</v>
      </c>
      <c r="G1120">
        <f>IF(ISNA(H1120),NA(),G750)</f>
        <v>0</v>
      </c>
      <c r="H1120">
        <f>IF(OR(H750="",AND(H750=H749,H750=H751)),NA(), H750)</f>
        <v>0</v>
      </c>
      <c r="K1120">
        <f>IF(ISNA(L1120),NA(),K750)</f>
        <v>0</v>
      </c>
      <c r="L1120">
        <f>IF(OR(L750="",AND(L750=L749,L750=L751)),NA(), L750)</f>
        <v>0</v>
      </c>
      <c r="M1120">
        <f>IF(ISNA(N1120),NA(),M750)</f>
        <v>0</v>
      </c>
      <c r="N1120">
        <f>IF(OR(N750="",AND(N750=N749,N750=N751)),NA(), N750)</f>
        <v>0</v>
      </c>
    </row>
    <row r="1121" spans="5:14">
      <c r="E1121">
        <f>IF(ISNA(F1121),NA(),E751)</f>
        <v>0</v>
      </c>
      <c r="F1121">
        <f>IF(OR(F751="",AND(F751=F750,F751=F752)),NA(), F751)</f>
        <v>0</v>
      </c>
      <c r="G1121">
        <f>IF(ISNA(H1121),NA(),G751)</f>
        <v>0</v>
      </c>
      <c r="H1121">
        <f>IF(OR(H751="",AND(H751=H750,H751=H752)),NA(), H751)</f>
        <v>0</v>
      </c>
      <c r="K1121">
        <f>IF(ISNA(L1121),NA(),K751)</f>
        <v>0</v>
      </c>
      <c r="L1121">
        <f>IF(OR(L751="",AND(L751=L750,L751=L752)),NA(), L751)</f>
        <v>0</v>
      </c>
      <c r="M1121">
        <f>IF(ISNA(N1121),NA(),M751)</f>
        <v>0</v>
      </c>
      <c r="N1121">
        <f>IF(OR(N751="",AND(N751=N750,N751=N752)),NA(), N751)</f>
        <v>0</v>
      </c>
    </row>
    <row r="1122" spans="5:14">
      <c r="E1122">
        <f>IF(ISNA(F1122),NA(),E752)</f>
        <v>0</v>
      </c>
      <c r="F1122">
        <f>IF(OR(F752="",AND(F752=F751,F752=F753)),NA(), F752)</f>
        <v>0</v>
      </c>
      <c r="G1122">
        <f>IF(ISNA(H1122),NA(),G752)</f>
        <v>0</v>
      </c>
      <c r="H1122">
        <f>IF(OR(H752="",AND(H752=H751,H752=H753)),NA(), H752)</f>
        <v>0</v>
      </c>
      <c r="K1122">
        <f>IF(ISNA(L1122),NA(),K752)</f>
        <v>0</v>
      </c>
      <c r="L1122">
        <f>IF(OR(L752="",AND(L752=L751,L752=L753)),NA(), L752)</f>
        <v>0</v>
      </c>
      <c r="M1122">
        <f>IF(ISNA(N1122),NA(),M752)</f>
        <v>0</v>
      </c>
      <c r="N1122">
        <f>IF(OR(N752="",AND(N752=N751,N752=N753)),NA(), N752)</f>
        <v>0</v>
      </c>
    </row>
    <row r="1123" spans="5:14">
      <c r="E1123">
        <f>IF(ISNA(F1123),NA(),E753)</f>
        <v>0</v>
      </c>
      <c r="F1123">
        <f>IF(OR(F753="",AND(F753=F752,F753=F754)),NA(), F753)</f>
        <v>0</v>
      </c>
      <c r="G1123">
        <f>IF(ISNA(H1123),NA(),G753)</f>
        <v>0</v>
      </c>
      <c r="H1123">
        <f>IF(OR(H753="",AND(H753=H752,H753=H754)),NA(), H753)</f>
        <v>0</v>
      </c>
      <c r="K1123">
        <f>IF(ISNA(L1123),NA(),K753)</f>
        <v>0</v>
      </c>
      <c r="L1123">
        <f>IF(OR(L753="",AND(L753=L752,L753=L754)),NA(), L753)</f>
        <v>0</v>
      </c>
      <c r="M1123">
        <f>IF(ISNA(N1123),NA(),M753)</f>
        <v>0</v>
      </c>
      <c r="N1123">
        <f>IF(OR(N753="",AND(N753=N752,N753=N754)),NA(), N753)</f>
        <v>0</v>
      </c>
    </row>
    <row r="1124" spans="5:14">
      <c r="E1124">
        <f>IF(ISNA(F1124),NA(),E754)</f>
        <v>0</v>
      </c>
      <c r="F1124">
        <f>IF(OR(F754="",AND(F754=F753,F754=F755)),NA(), F754)</f>
        <v>0</v>
      </c>
      <c r="G1124">
        <f>IF(ISNA(H1124),NA(),G754)</f>
        <v>0</v>
      </c>
      <c r="H1124">
        <f>IF(OR(H754="",AND(H754=H753,H754=H755)),NA(), H754)</f>
        <v>0</v>
      </c>
      <c r="K1124">
        <f>IF(ISNA(L1124),NA(),K754)</f>
        <v>0</v>
      </c>
      <c r="L1124">
        <f>IF(OR(L754="",AND(L754=L753,L754=L755)),NA(), L754)</f>
        <v>0</v>
      </c>
      <c r="M1124">
        <f>IF(ISNA(N1124),NA(),M754)</f>
        <v>0</v>
      </c>
      <c r="N1124">
        <f>IF(OR(N754="",AND(N754=N753,N754=N755)),NA(), N754)</f>
        <v>0</v>
      </c>
    </row>
    <row r="1125" spans="5:14">
      <c r="E1125">
        <f>IF(ISNA(F1125),NA(),E755)</f>
        <v>0</v>
      </c>
      <c r="F1125">
        <f>IF(OR(F755="",AND(F755=F754,F755=F756)),NA(), F755)</f>
        <v>0</v>
      </c>
      <c r="G1125">
        <f>IF(ISNA(H1125),NA(),G755)</f>
        <v>0</v>
      </c>
      <c r="H1125">
        <f>IF(OR(H755="",AND(H755=H754,H755=H756)),NA(), H755)</f>
        <v>0</v>
      </c>
      <c r="K1125">
        <f>IF(ISNA(L1125),NA(),K755)</f>
        <v>0</v>
      </c>
      <c r="L1125">
        <f>IF(OR(L755="",AND(L755=L754,L755=L756)),NA(), L755)</f>
        <v>0</v>
      </c>
      <c r="M1125">
        <f>IF(ISNA(N1125),NA(),M755)</f>
        <v>0</v>
      </c>
      <c r="N1125">
        <f>IF(OR(N755="",AND(N755=N754,N755=N756)),NA(), N755)</f>
        <v>0</v>
      </c>
    </row>
    <row r="1126" spans="5:14">
      <c r="E1126">
        <f>IF(ISNA(F1126),NA(),E756)</f>
        <v>0</v>
      </c>
      <c r="F1126">
        <f>IF(OR(F756="",AND(F756=F755,F756=F757)),NA(), F756)</f>
        <v>0</v>
      </c>
      <c r="G1126">
        <f>IF(ISNA(H1126),NA(),G756)</f>
        <v>0</v>
      </c>
      <c r="H1126">
        <f>IF(OR(H756="",AND(H756=H755,H756=H757)),NA(), H756)</f>
        <v>0</v>
      </c>
      <c r="K1126">
        <f>IF(ISNA(L1126),NA(),K756)</f>
        <v>0</v>
      </c>
      <c r="L1126">
        <f>IF(OR(L756="",AND(L756=L755,L756=L757)),NA(), L756)</f>
        <v>0</v>
      </c>
      <c r="M1126">
        <f>IF(ISNA(N1126),NA(),M756)</f>
        <v>0</v>
      </c>
      <c r="N1126">
        <f>IF(OR(N756="",AND(N756=N755,N756=N757)),NA(), N756)</f>
        <v>0</v>
      </c>
    </row>
    <row r="1127" spans="5:14">
      <c r="E1127">
        <f>IF(ISNA(F1127),NA(),E757)</f>
        <v>0</v>
      </c>
      <c r="F1127">
        <f>IF(OR(F757="",AND(F757=F756,F757=F758)),NA(), F757)</f>
        <v>0</v>
      </c>
      <c r="G1127">
        <f>IF(ISNA(H1127),NA(),G757)</f>
        <v>0</v>
      </c>
      <c r="H1127">
        <f>IF(OR(H757="",AND(H757=H756,H757=H758)),NA(), H757)</f>
        <v>0</v>
      </c>
      <c r="K1127">
        <f>IF(ISNA(L1127),NA(),K757)</f>
        <v>0</v>
      </c>
      <c r="L1127">
        <f>IF(OR(L757="",AND(L757=L756,L757=L758)),NA(), L757)</f>
        <v>0</v>
      </c>
      <c r="M1127">
        <f>IF(ISNA(N1127),NA(),M757)</f>
        <v>0</v>
      </c>
      <c r="N1127">
        <f>IF(OR(N757="",AND(N757=N756,N757=N758)),NA(), N757)</f>
        <v>0</v>
      </c>
    </row>
    <row r="1128" spans="5:14">
      <c r="E1128">
        <f>IF(ISNA(F1128),NA(),E758)</f>
        <v>0</v>
      </c>
      <c r="F1128">
        <f>IF(OR(F758="",AND(F758=F757,F758=F759)),NA(), F758)</f>
        <v>0</v>
      </c>
      <c r="G1128">
        <f>IF(ISNA(H1128),NA(),G758)</f>
        <v>0</v>
      </c>
      <c r="H1128">
        <f>IF(OR(H758="",AND(H758=H757,H758=H759)),NA(), H758)</f>
        <v>0</v>
      </c>
      <c r="K1128">
        <f>IF(ISNA(L1128),NA(),K758)</f>
        <v>0</v>
      </c>
      <c r="L1128">
        <f>IF(OR(L758="",AND(L758=L757,L758=L759)),NA(), L758)</f>
        <v>0</v>
      </c>
      <c r="M1128">
        <f>IF(ISNA(N1128),NA(),M758)</f>
        <v>0</v>
      </c>
      <c r="N1128">
        <f>IF(OR(N758="",AND(N758=N757,N758=N759)),NA(), N758)</f>
        <v>0</v>
      </c>
    </row>
    <row r="1129" spans="5:14">
      <c r="E1129">
        <f>IF(ISNA(F1129),NA(),E759)</f>
        <v>0</v>
      </c>
      <c r="F1129">
        <f>IF(OR(F759="",AND(F759=F758,F759=F760)),NA(), F759)</f>
        <v>0</v>
      </c>
      <c r="G1129">
        <f>IF(ISNA(H1129),NA(),G759)</f>
        <v>0</v>
      </c>
      <c r="H1129">
        <f>IF(OR(H759="",AND(H759=H758,H759=H760)),NA(), H759)</f>
        <v>0</v>
      </c>
      <c r="K1129">
        <f>IF(ISNA(L1129),NA(),K759)</f>
        <v>0</v>
      </c>
      <c r="L1129">
        <f>IF(OR(L759="",AND(L759=L758,L759=L760)),NA(), L759)</f>
        <v>0</v>
      </c>
      <c r="M1129">
        <f>IF(ISNA(N1129),NA(),M759)</f>
        <v>0</v>
      </c>
      <c r="N1129">
        <f>IF(OR(N759="",AND(N759=N758,N759=N760)),NA(), N759)</f>
        <v>0</v>
      </c>
    </row>
    <row r="1130" spans="5:14">
      <c r="E1130">
        <f>IF(ISNA(F1130),NA(),E760)</f>
        <v>0</v>
      </c>
      <c r="F1130">
        <f>IF(OR(F760="",AND(F760=F759,F760=F761)),NA(), F760)</f>
        <v>0</v>
      </c>
      <c r="G1130">
        <f>IF(ISNA(H1130),NA(),G760)</f>
        <v>0</v>
      </c>
      <c r="H1130">
        <f>IF(OR(H760="",AND(H760=H759,H760=H761)),NA(), H760)</f>
        <v>0</v>
      </c>
      <c r="K1130">
        <f>IF(ISNA(L1130),NA(),K760)</f>
        <v>0</v>
      </c>
      <c r="L1130">
        <f>IF(OR(L760="",AND(L760=L759,L760=L761)),NA(), L760)</f>
        <v>0</v>
      </c>
      <c r="M1130">
        <f>IF(ISNA(N1130),NA(),M760)</f>
        <v>0</v>
      </c>
      <c r="N1130">
        <f>IF(OR(N760="",AND(N760=N759,N760=N761)),NA(), N760)</f>
        <v>0</v>
      </c>
    </row>
    <row r="1131" spans="5:14">
      <c r="E1131">
        <f>IF(ISNA(F1131),NA(),E761)</f>
        <v>0</v>
      </c>
      <c r="F1131">
        <f>IF(OR(F761="",AND(F761=F760,F761=F762)),NA(), F761)</f>
        <v>0</v>
      </c>
      <c r="G1131">
        <f>IF(ISNA(H1131),NA(),G761)</f>
        <v>0</v>
      </c>
      <c r="H1131">
        <f>IF(OR(H761="",AND(H761=H760,H761=H762)),NA(), H761)</f>
        <v>0</v>
      </c>
      <c r="K1131">
        <f>IF(ISNA(L1131),NA(),K761)</f>
        <v>0</v>
      </c>
      <c r="L1131">
        <f>IF(OR(L761="",AND(L761=L760,L761=L762)),NA(), L761)</f>
        <v>0</v>
      </c>
      <c r="M1131">
        <f>IF(ISNA(N1131),NA(),M761)</f>
        <v>0</v>
      </c>
      <c r="N1131">
        <f>IF(OR(N761="",AND(N761=N760,N761=N762)),NA(), N761)</f>
        <v>0</v>
      </c>
    </row>
    <row r="1132" spans="5:14">
      <c r="E1132">
        <f>IF(ISNA(F1132),NA(),E762)</f>
        <v>0</v>
      </c>
      <c r="F1132">
        <f>IF(OR(F762="",AND(F762=F761,F762=F763)),NA(), F762)</f>
        <v>0</v>
      </c>
      <c r="G1132">
        <f>IF(ISNA(H1132),NA(),G762)</f>
        <v>0</v>
      </c>
      <c r="H1132">
        <f>IF(OR(H762="",AND(H762=H761,H762=H763)),NA(), H762)</f>
        <v>0</v>
      </c>
      <c r="K1132">
        <f>IF(ISNA(L1132),NA(),K762)</f>
        <v>0</v>
      </c>
      <c r="L1132">
        <f>IF(OR(L762="",AND(L762=L761,L762=L763)),NA(), L762)</f>
        <v>0</v>
      </c>
      <c r="M1132">
        <f>IF(ISNA(N1132),NA(),M762)</f>
        <v>0</v>
      </c>
      <c r="N1132">
        <f>IF(OR(N762="",AND(N762=N761,N762=N763)),NA(), N762)</f>
        <v>0</v>
      </c>
    </row>
    <row r="1133" spans="5:14">
      <c r="E1133">
        <f>IF(ISNA(F1133),NA(),E763)</f>
        <v>0</v>
      </c>
      <c r="F1133">
        <f>IF(OR(F763="",AND(F763=F762,F763=F764)),NA(), F763)</f>
        <v>0</v>
      </c>
      <c r="G1133">
        <f>IF(ISNA(H1133),NA(),G763)</f>
        <v>0</v>
      </c>
      <c r="H1133">
        <f>IF(OR(H763="",AND(H763=H762,H763=H764)),NA(), H763)</f>
        <v>0</v>
      </c>
      <c r="K1133">
        <f>IF(ISNA(L1133),NA(),K763)</f>
        <v>0</v>
      </c>
      <c r="L1133">
        <f>IF(OR(L763="",AND(L763=L762,L763=L764)),NA(), L763)</f>
        <v>0</v>
      </c>
      <c r="M1133">
        <f>IF(ISNA(N1133),NA(),M763)</f>
        <v>0</v>
      </c>
      <c r="N1133">
        <f>IF(OR(N763="",AND(N763=N762,N763=N764)),NA(), N763)</f>
        <v>0</v>
      </c>
    </row>
    <row r="1134" spans="5:14">
      <c r="E1134">
        <f>IF(ISNA(F1134),NA(),E764)</f>
        <v>0</v>
      </c>
      <c r="F1134">
        <f>IF(OR(F764="",AND(F764=F763,F764=F765)),NA(), F764)</f>
        <v>0</v>
      </c>
      <c r="G1134">
        <f>IF(ISNA(H1134),NA(),G764)</f>
        <v>0</v>
      </c>
      <c r="H1134">
        <f>IF(OR(H764="",AND(H764=H763,H764=H765)),NA(), H764)</f>
        <v>0</v>
      </c>
      <c r="K1134">
        <f>IF(ISNA(L1134),NA(),K764)</f>
        <v>0</v>
      </c>
      <c r="L1134">
        <f>IF(OR(L764="",AND(L764=L763,L764=L765)),NA(), L764)</f>
        <v>0</v>
      </c>
      <c r="M1134">
        <f>IF(ISNA(N1134),NA(),M764)</f>
        <v>0</v>
      </c>
      <c r="N1134">
        <f>IF(OR(N764="",AND(N764=N763,N764=N765)),NA(), N764)</f>
        <v>0</v>
      </c>
    </row>
    <row r="1135" spans="5:14">
      <c r="E1135">
        <f>IF(ISNA(F1135),NA(),E765)</f>
        <v>0</v>
      </c>
      <c r="F1135">
        <f>IF(OR(F765="",AND(F765=F764,F765=F766)),NA(), F765)</f>
        <v>0</v>
      </c>
      <c r="G1135">
        <f>IF(ISNA(H1135),NA(),G765)</f>
        <v>0</v>
      </c>
      <c r="H1135">
        <f>IF(OR(H765="",AND(H765=H764,H765=H766)),NA(), H765)</f>
        <v>0</v>
      </c>
      <c r="K1135">
        <f>IF(ISNA(L1135),NA(),K765)</f>
        <v>0</v>
      </c>
      <c r="L1135">
        <f>IF(OR(L765="",AND(L765=L764,L765=L766)),NA(), L765)</f>
        <v>0</v>
      </c>
      <c r="M1135">
        <f>IF(ISNA(N1135),NA(),M765)</f>
        <v>0</v>
      </c>
      <c r="N1135">
        <f>IF(OR(N765="",AND(N765=N764,N765=N766)),NA(), N765)</f>
        <v>0</v>
      </c>
    </row>
    <row r="1136" spans="5:14">
      <c r="E1136">
        <f>IF(ISNA(F1136),NA(),E766)</f>
        <v>0</v>
      </c>
      <c r="F1136">
        <f>IF(OR(F766="",AND(F766=F765,F766=F767)),NA(), F766)</f>
        <v>0</v>
      </c>
      <c r="G1136">
        <f>IF(ISNA(H1136),NA(),G766)</f>
        <v>0</v>
      </c>
      <c r="H1136">
        <f>IF(OR(H766="",AND(H766=H765,H766=H767)),NA(), H766)</f>
        <v>0</v>
      </c>
      <c r="K1136">
        <f>IF(ISNA(L1136),NA(),K766)</f>
        <v>0</v>
      </c>
      <c r="L1136">
        <f>IF(OR(L766="",AND(L766=L765,L766=L767)),NA(), L766)</f>
        <v>0</v>
      </c>
      <c r="M1136">
        <f>IF(ISNA(N1136),NA(),M766)</f>
        <v>0</v>
      </c>
      <c r="N1136">
        <f>IF(OR(N766="",AND(N766=N765,N766=N767)),NA(), N766)</f>
        <v>0</v>
      </c>
    </row>
    <row r="1137" spans="5:14">
      <c r="E1137">
        <f>IF(ISNA(F1137),NA(),E767)</f>
        <v>0</v>
      </c>
      <c r="F1137">
        <f>IF(OR(F767="",AND(F767=F766,F767=F768)),NA(), F767)</f>
        <v>0</v>
      </c>
      <c r="G1137">
        <f>IF(ISNA(H1137),NA(),G767)</f>
        <v>0</v>
      </c>
      <c r="H1137">
        <f>IF(OR(H767="",AND(H767=H766,H767=H768)),NA(), H767)</f>
        <v>0</v>
      </c>
      <c r="K1137">
        <f>IF(ISNA(L1137),NA(),K767)</f>
        <v>0</v>
      </c>
      <c r="L1137">
        <f>IF(OR(L767="",AND(L767=L766,L767=L768)),NA(), L767)</f>
        <v>0</v>
      </c>
      <c r="M1137">
        <f>IF(ISNA(N1137),NA(),M767)</f>
        <v>0</v>
      </c>
      <c r="N1137">
        <f>IF(OR(N767="",AND(N767=N766,N767=N768)),NA(), N767)</f>
        <v>0</v>
      </c>
    </row>
    <row r="1138" spans="5:14">
      <c r="E1138">
        <f>IF(ISNA(F1138),NA(),E768)</f>
        <v>0</v>
      </c>
      <c r="F1138">
        <f>IF(OR(F768="",AND(F768=F767,F768=F769)),NA(), F768)</f>
        <v>0</v>
      </c>
      <c r="G1138">
        <f>IF(ISNA(H1138),NA(),G768)</f>
        <v>0</v>
      </c>
      <c r="H1138">
        <f>IF(OR(H768="",AND(H768=H767,H768=H769)),NA(), H768)</f>
        <v>0</v>
      </c>
      <c r="K1138">
        <f>IF(ISNA(L1138),NA(),K768)</f>
        <v>0</v>
      </c>
      <c r="L1138">
        <f>IF(OR(L768="",AND(L768=L767,L768=L769)),NA(), L768)</f>
        <v>0</v>
      </c>
      <c r="M1138">
        <f>IF(ISNA(N1138),NA(),M768)</f>
        <v>0</v>
      </c>
      <c r="N1138">
        <f>IF(OR(N768="",AND(N768=N767,N768=N769)),NA(), N768)</f>
        <v>0</v>
      </c>
    </row>
    <row r="1139" spans="5:14">
      <c r="E1139">
        <f>IF(ISNA(F1139),NA(),E769)</f>
        <v>0</v>
      </c>
      <c r="F1139">
        <f>IF(OR(F769="",AND(F769=F768,F769=F770)),NA(), F769)</f>
        <v>0</v>
      </c>
      <c r="G1139">
        <f>IF(ISNA(H1139),NA(),G769)</f>
        <v>0</v>
      </c>
      <c r="H1139">
        <f>IF(OR(H769="",AND(H769=H768,H769=H770)),NA(), H769)</f>
        <v>0</v>
      </c>
      <c r="K1139">
        <f>IF(ISNA(L1139),NA(),K769)</f>
        <v>0</v>
      </c>
      <c r="L1139">
        <f>IF(OR(L769="",AND(L769=L768,L769=L770)),NA(), L769)</f>
        <v>0</v>
      </c>
      <c r="M1139">
        <f>IF(ISNA(N1139),NA(),M769)</f>
        <v>0</v>
      </c>
      <c r="N1139">
        <f>IF(OR(N769="",AND(N769=N768,N769=N770)),NA(), N769)</f>
        <v>0</v>
      </c>
    </row>
    <row r="1140" spans="5:14">
      <c r="E1140">
        <f>IF(ISNA(F1140),NA(),E770)</f>
        <v>0</v>
      </c>
      <c r="F1140">
        <f>IF(OR(F770="",AND(F770=F769,F770=F771)),NA(), F770)</f>
        <v>0</v>
      </c>
      <c r="G1140">
        <f>IF(ISNA(H1140),NA(),G770)</f>
        <v>0</v>
      </c>
      <c r="H1140">
        <f>IF(OR(H770="",AND(H770=H769,H770=H771)),NA(), H770)</f>
        <v>0</v>
      </c>
      <c r="K1140">
        <f>IF(ISNA(L1140),NA(),K770)</f>
        <v>0</v>
      </c>
      <c r="L1140">
        <f>IF(OR(L770="",AND(L770=L769,L770=L771)),NA(), L770)</f>
        <v>0</v>
      </c>
      <c r="M1140">
        <f>IF(ISNA(N1140),NA(),M770)</f>
        <v>0</v>
      </c>
      <c r="N1140">
        <f>IF(OR(N770="",AND(N770=N769,N770=N771)),NA(), N770)</f>
        <v>0</v>
      </c>
    </row>
    <row r="1141" spans="5:14">
      <c r="E1141">
        <f>IF(ISNA(F1141),NA(),E771)</f>
        <v>0</v>
      </c>
      <c r="F1141">
        <f>IF(OR(F771="",AND(F771=F770,F771=F772)),NA(), F771)</f>
        <v>0</v>
      </c>
      <c r="G1141">
        <f>IF(ISNA(H1141),NA(),G771)</f>
        <v>0</v>
      </c>
      <c r="H1141">
        <f>IF(OR(H771="",AND(H771=H770,H771=H772)),NA(), H771)</f>
        <v>0</v>
      </c>
      <c r="K1141">
        <f>IF(ISNA(L1141),NA(),K771)</f>
        <v>0</v>
      </c>
      <c r="L1141">
        <f>IF(OR(L771="",AND(L771=L770,L771=L772)),NA(), L771)</f>
        <v>0</v>
      </c>
      <c r="M1141">
        <f>IF(ISNA(N1141),NA(),M771)</f>
        <v>0</v>
      </c>
      <c r="N1141">
        <f>IF(OR(N771="",AND(N771=N770,N771=N772)),NA(), N771)</f>
        <v>0</v>
      </c>
    </row>
    <row r="1142" spans="5:14">
      <c r="E1142">
        <f>IF(ISNA(F1142),NA(),E772)</f>
        <v>0</v>
      </c>
      <c r="F1142">
        <f>IF(OR(F772="",AND(F772=F771,F772=F773)),NA(), F772)</f>
        <v>0</v>
      </c>
      <c r="G1142">
        <f>IF(ISNA(H1142),NA(),G772)</f>
        <v>0</v>
      </c>
      <c r="H1142">
        <f>IF(OR(H772="",AND(H772=H771,H772=H773)),NA(), H772)</f>
        <v>0</v>
      </c>
      <c r="K1142">
        <f>IF(ISNA(L1142),NA(),K772)</f>
        <v>0</v>
      </c>
      <c r="L1142">
        <f>IF(OR(L772="",AND(L772=L771,L772=L773)),NA(), L772)</f>
        <v>0</v>
      </c>
      <c r="M1142">
        <f>IF(ISNA(N1142),NA(),M772)</f>
        <v>0</v>
      </c>
      <c r="N1142">
        <f>IF(OR(N772="",AND(N772=N771,N772=N773)),NA(), N772)</f>
        <v>0</v>
      </c>
    </row>
    <row r="1143" spans="5:14">
      <c r="E1143">
        <f>IF(ISNA(F1143),NA(),E773)</f>
        <v>0</v>
      </c>
      <c r="F1143">
        <f>IF(OR(F773="",AND(F773=F772,F773=F774)),NA(), F773)</f>
        <v>0</v>
      </c>
      <c r="G1143">
        <f>IF(ISNA(H1143),NA(),G773)</f>
        <v>0</v>
      </c>
      <c r="H1143">
        <f>IF(OR(H773="",AND(H773=H772,H773=H774)),NA(), H773)</f>
        <v>0</v>
      </c>
      <c r="K1143">
        <f>IF(ISNA(L1143),NA(),K773)</f>
        <v>0</v>
      </c>
      <c r="L1143">
        <f>IF(OR(L773="",AND(L773=L772,L773=L774)),NA(), L773)</f>
        <v>0</v>
      </c>
      <c r="M1143">
        <f>IF(ISNA(N1143),NA(),M773)</f>
        <v>0</v>
      </c>
      <c r="N1143">
        <f>IF(OR(N773="",AND(N773=N772,N773=N774)),NA(), N773)</f>
        <v>0</v>
      </c>
    </row>
    <row r="1144" spans="5:14">
      <c r="E1144">
        <f>IF(ISNA(F1144),NA(),E774)</f>
        <v>0</v>
      </c>
      <c r="F1144">
        <f>IF(OR(F774="",AND(F774=F773,F774=F775)),NA(), F774)</f>
        <v>0</v>
      </c>
      <c r="G1144">
        <f>IF(ISNA(H1144),NA(),G774)</f>
        <v>0</v>
      </c>
      <c r="H1144">
        <f>IF(OR(H774="",AND(H774=H773,H774=H775)),NA(), H774)</f>
        <v>0</v>
      </c>
      <c r="K1144">
        <f>IF(ISNA(L1144),NA(),K774)</f>
        <v>0</v>
      </c>
      <c r="L1144">
        <f>IF(OR(L774="",AND(L774=L773,L774=L775)),NA(), L774)</f>
        <v>0</v>
      </c>
      <c r="M1144">
        <f>IF(ISNA(N1144),NA(),M774)</f>
        <v>0</v>
      </c>
      <c r="N1144">
        <f>IF(OR(N774="",AND(N774=N773,N774=N775)),NA(), N774)</f>
        <v>0</v>
      </c>
    </row>
    <row r="1145" spans="5:14">
      <c r="E1145">
        <f>IF(ISNA(F1145),NA(),E775)</f>
        <v>0</v>
      </c>
      <c r="F1145">
        <f>IF(OR(F775="",AND(F775=F774,F775=F776)),NA(), F775)</f>
        <v>0</v>
      </c>
      <c r="G1145">
        <f>IF(ISNA(H1145),NA(),G775)</f>
        <v>0</v>
      </c>
      <c r="H1145">
        <f>IF(OR(H775="",AND(H775=H774,H775=H776)),NA(), H775)</f>
        <v>0</v>
      </c>
      <c r="K1145">
        <f>IF(ISNA(L1145),NA(),K775)</f>
        <v>0</v>
      </c>
      <c r="L1145">
        <f>IF(OR(L775="",AND(L775=L774,L775=L776)),NA(), L775)</f>
        <v>0</v>
      </c>
      <c r="M1145">
        <f>IF(ISNA(N1145),NA(),M775)</f>
        <v>0</v>
      </c>
      <c r="N1145">
        <f>IF(OR(N775="",AND(N775=N774,N775=N776)),NA(), N775)</f>
        <v>0</v>
      </c>
    </row>
    <row r="1146" spans="5:14">
      <c r="E1146">
        <f>IF(ISNA(F1146),NA(),E776)</f>
        <v>0</v>
      </c>
      <c r="F1146">
        <f>IF(OR(F776="",AND(F776=F775,F776=F777)),NA(), F776)</f>
        <v>0</v>
      </c>
      <c r="G1146">
        <f>IF(ISNA(H1146),NA(),G776)</f>
        <v>0</v>
      </c>
      <c r="H1146">
        <f>IF(OR(H776="",AND(H776=H775,H776=H777)),NA(), H776)</f>
        <v>0</v>
      </c>
      <c r="K1146">
        <f>IF(ISNA(L1146),NA(),K776)</f>
        <v>0</v>
      </c>
      <c r="L1146">
        <f>IF(OR(L776="",AND(L776=L775,L776=L777)),NA(), L776)</f>
        <v>0</v>
      </c>
      <c r="M1146">
        <f>IF(ISNA(N1146),NA(),M776)</f>
        <v>0</v>
      </c>
      <c r="N1146">
        <f>IF(OR(N776="",AND(N776=N775,N776=N777)),NA(), N776)</f>
        <v>0</v>
      </c>
    </row>
    <row r="1147" spans="5:14">
      <c r="E1147">
        <f>IF(ISNA(F1147),NA(),E777)</f>
        <v>0</v>
      </c>
      <c r="F1147">
        <f>IF(OR(F777="",AND(F777=F776,F777=F778)),NA(), F777)</f>
        <v>0</v>
      </c>
      <c r="G1147">
        <f>IF(ISNA(H1147),NA(),G777)</f>
        <v>0</v>
      </c>
      <c r="H1147">
        <f>IF(OR(H777="",AND(H777=H776,H777=H778)),NA(), H777)</f>
        <v>0</v>
      </c>
      <c r="K1147">
        <f>IF(ISNA(L1147),NA(),K777)</f>
        <v>0</v>
      </c>
      <c r="L1147">
        <f>IF(OR(L777="",AND(L777=L776,L777=L778)),NA(), L777)</f>
        <v>0</v>
      </c>
      <c r="M1147">
        <f>IF(ISNA(N1147),NA(),M777)</f>
        <v>0</v>
      </c>
      <c r="N1147">
        <f>IF(OR(N777="",AND(N777=N776,N777=N778)),NA(), N777)</f>
        <v>0</v>
      </c>
    </row>
    <row r="1148" spans="5:14">
      <c r="E1148">
        <f>IF(ISNA(F1148),NA(),E778)</f>
        <v>0</v>
      </c>
      <c r="F1148">
        <f>IF(OR(F778="",AND(F778=F777,F778=F779)),NA(), F778)</f>
        <v>0</v>
      </c>
      <c r="G1148">
        <f>IF(ISNA(H1148),NA(),G778)</f>
        <v>0</v>
      </c>
      <c r="H1148">
        <f>IF(OR(H778="",AND(H778=H777,H778=H779)),NA(), H778)</f>
        <v>0</v>
      </c>
      <c r="K1148">
        <f>IF(ISNA(L1148),NA(),K778)</f>
        <v>0</v>
      </c>
      <c r="L1148">
        <f>IF(OR(L778="",AND(L778=L777,L778=L779)),NA(), L778)</f>
        <v>0</v>
      </c>
      <c r="M1148">
        <f>IF(ISNA(N1148),NA(),M778)</f>
        <v>0</v>
      </c>
      <c r="N1148">
        <f>IF(OR(N778="",AND(N778=N777,N778=N779)),NA(), N778)</f>
        <v>0</v>
      </c>
    </row>
    <row r="1149" spans="5:14">
      <c r="E1149">
        <f>IF(ISNA(F1149),NA(),E779)</f>
        <v>0</v>
      </c>
      <c r="F1149">
        <f>IF(OR(F779="",AND(F779=F778,F779=F780)),NA(), F779)</f>
        <v>0</v>
      </c>
      <c r="G1149">
        <f>IF(ISNA(H1149),NA(),G779)</f>
        <v>0</v>
      </c>
      <c r="H1149">
        <f>IF(OR(H779="",AND(H779=H778,H779=H780)),NA(), H779)</f>
        <v>0</v>
      </c>
      <c r="K1149">
        <f>IF(ISNA(L1149),NA(),K779)</f>
        <v>0</v>
      </c>
      <c r="L1149">
        <f>IF(OR(L779="",AND(L779=L778,L779=L780)),NA(), L779)</f>
        <v>0</v>
      </c>
      <c r="M1149">
        <f>IF(ISNA(N1149),NA(),M779)</f>
        <v>0</v>
      </c>
      <c r="N1149">
        <f>IF(OR(N779="",AND(N779=N778,N779=N780)),NA(), N779)</f>
        <v>0</v>
      </c>
    </row>
    <row r="1150" spans="5:14">
      <c r="E1150">
        <f>IF(ISNA(F1150),NA(),E780)</f>
        <v>0</v>
      </c>
      <c r="F1150">
        <f>IF(OR(F780="",AND(F780=F779,F780=F781)),NA(), F780)</f>
        <v>0</v>
      </c>
      <c r="G1150">
        <f>IF(ISNA(H1150),NA(),G780)</f>
        <v>0</v>
      </c>
      <c r="H1150">
        <f>IF(OR(H780="",AND(H780=H779,H780=H781)),NA(), H780)</f>
        <v>0</v>
      </c>
      <c r="K1150">
        <f>IF(ISNA(L1150),NA(),K780)</f>
        <v>0</v>
      </c>
      <c r="L1150">
        <f>IF(OR(L780="",AND(L780=L779,L780=L781)),NA(), L780)</f>
        <v>0</v>
      </c>
      <c r="M1150">
        <f>IF(ISNA(N1150),NA(),M780)</f>
        <v>0</v>
      </c>
      <c r="N1150">
        <f>IF(OR(N780="",AND(N780=N779,N780=N781)),NA(), N780)</f>
        <v>0</v>
      </c>
    </row>
    <row r="1151" spans="5:14">
      <c r="E1151">
        <f>IF(ISNA(F1151),NA(),E781)</f>
        <v>0</v>
      </c>
      <c r="F1151">
        <f>IF(OR(F781="",AND(F781=F780,F781=F782)),NA(), F781)</f>
        <v>0</v>
      </c>
      <c r="G1151">
        <f>IF(ISNA(H1151),NA(),G781)</f>
        <v>0</v>
      </c>
      <c r="H1151">
        <f>IF(OR(H781="",AND(H781=H780,H781=H782)),NA(), H781)</f>
        <v>0</v>
      </c>
      <c r="K1151">
        <f>IF(ISNA(L1151),NA(),K781)</f>
        <v>0</v>
      </c>
      <c r="L1151">
        <f>IF(OR(L781="",AND(L781=L780,L781=L782)),NA(), L781)</f>
        <v>0</v>
      </c>
      <c r="M1151">
        <f>IF(ISNA(N1151),NA(),M781)</f>
        <v>0</v>
      </c>
      <c r="N1151">
        <f>IF(OR(N781="",AND(N781=N780,N781=N782)),NA(), N781)</f>
        <v>0</v>
      </c>
    </row>
    <row r="1152" spans="5:14">
      <c r="E1152">
        <f>IF(ISNA(F1152),NA(),E782)</f>
        <v>0</v>
      </c>
      <c r="F1152">
        <f>IF(OR(F782="",AND(F782=F781,F782=F783)),NA(), F782)</f>
        <v>0</v>
      </c>
      <c r="G1152">
        <f>IF(ISNA(H1152),NA(),G782)</f>
        <v>0</v>
      </c>
      <c r="H1152">
        <f>IF(OR(H782="",AND(H782=H781,H782=H783)),NA(), H782)</f>
        <v>0</v>
      </c>
      <c r="K1152">
        <f>IF(ISNA(L1152),NA(),K782)</f>
        <v>0</v>
      </c>
      <c r="L1152">
        <f>IF(OR(L782="",AND(L782=L781,L782=L783)),NA(), L782)</f>
        <v>0</v>
      </c>
      <c r="M1152">
        <f>IF(ISNA(N1152),NA(),M782)</f>
        <v>0</v>
      </c>
      <c r="N1152">
        <f>IF(OR(N782="",AND(N782=N781,N782=N783)),NA(), N782)</f>
        <v>0</v>
      </c>
    </row>
    <row r="1153" spans="5:14">
      <c r="E1153">
        <f>IF(ISNA(F1153),NA(),E783)</f>
        <v>0</v>
      </c>
      <c r="F1153">
        <f>IF(OR(F783="",AND(F783=F782,F783=F784)),NA(), F783)</f>
        <v>0</v>
      </c>
      <c r="G1153">
        <f>IF(ISNA(H1153),NA(),G783)</f>
        <v>0</v>
      </c>
      <c r="H1153">
        <f>IF(OR(H783="",AND(H783=H782,H783=H784)),NA(), H783)</f>
        <v>0</v>
      </c>
      <c r="K1153">
        <f>IF(ISNA(L1153),NA(),K783)</f>
        <v>0</v>
      </c>
      <c r="L1153">
        <f>IF(OR(L783="",AND(L783=L782,L783=L784)),NA(), L783)</f>
        <v>0</v>
      </c>
      <c r="M1153">
        <f>IF(ISNA(N1153),NA(),M783)</f>
        <v>0</v>
      </c>
      <c r="N1153">
        <f>IF(OR(N783="",AND(N783=N782,N783=N784)),NA(), N783)</f>
        <v>0</v>
      </c>
    </row>
    <row r="1154" spans="5:14">
      <c r="E1154">
        <f>IF(ISNA(F1154),NA(),E784)</f>
        <v>0</v>
      </c>
      <c r="F1154">
        <f>IF(OR(F784="",AND(F784=F783,F784=F785)),NA(), F784)</f>
        <v>0</v>
      </c>
      <c r="G1154">
        <f>IF(ISNA(H1154),NA(),G784)</f>
        <v>0</v>
      </c>
      <c r="H1154">
        <f>IF(OR(H784="",AND(H784=H783,H784=H785)),NA(), H784)</f>
        <v>0</v>
      </c>
      <c r="K1154">
        <f>IF(ISNA(L1154),NA(),K784)</f>
        <v>0</v>
      </c>
      <c r="L1154">
        <f>IF(OR(L784="",AND(L784=L783,L784=L785)),NA(), L784)</f>
        <v>0</v>
      </c>
      <c r="M1154">
        <f>IF(ISNA(N1154),NA(),M784)</f>
        <v>0</v>
      </c>
      <c r="N1154">
        <f>IF(OR(N784="",AND(N784=N783,N784=N785)),NA(), N784)</f>
        <v>0</v>
      </c>
    </row>
    <row r="1155" spans="5:14">
      <c r="E1155">
        <f>IF(ISNA(F1155),NA(),E785)</f>
        <v>0</v>
      </c>
      <c r="F1155">
        <f>IF(OR(F785="",AND(F785=F784,F785=F786)),NA(), F785)</f>
        <v>0</v>
      </c>
      <c r="G1155">
        <f>IF(ISNA(H1155),NA(),G785)</f>
        <v>0</v>
      </c>
      <c r="H1155">
        <f>IF(OR(H785="",AND(H785=H784,H785=H786)),NA(), H785)</f>
        <v>0</v>
      </c>
      <c r="K1155">
        <f>IF(ISNA(L1155),NA(),K785)</f>
        <v>0</v>
      </c>
      <c r="L1155">
        <f>IF(OR(L785="",AND(L785=L784,L785=L786)),NA(), L785)</f>
        <v>0</v>
      </c>
      <c r="M1155">
        <f>IF(ISNA(N1155),NA(),M785)</f>
        <v>0</v>
      </c>
      <c r="N1155">
        <f>IF(OR(N785="",AND(N785=N784,N785=N786)),NA(), N785)</f>
        <v>0</v>
      </c>
    </row>
    <row r="1156" spans="5:14">
      <c r="E1156">
        <f>IF(ISNA(F1156),NA(),E786)</f>
        <v>0</v>
      </c>
      <c r="F1156">
        <f>IF(OR(F786="",AND(F786=F785,F786=F787)),NA(), F786)</f>
        <v>0</v>
      </c>
      <c r="G1156">
        <f>IF(ISNA(H1156),NA(),G786)</f>
        <v>0</v>
      </c>
      <c r="H1156">
        <f>IF(OR(H786="",AND(H786=H785,H786=H787)),NA(), H786)</f>
        <v>0</v>
      </c>
      <c r="K1156">
        <f>IF(ISNA(L1156),NA(),K786)</f>
        <v>0</v>
      </c>
      <c r="L1156">
        <f>IF(OR(L786="",AND(L786=L785,L786=L787)),NA(), L786)</f>
        <v>0</v>
      </c>
      <c r="M1156">
        <f>IF(ISNA(N1156),NA(),M786)</f>
        <v>0</v>
      </c>
      <c r="N1156">
        <f>IF(OR(N786="",AND(N786=N785,N786=N787)),NA(), N786)</f>
        <v>0</v>
      </c>
    </row>
    <row r="1157" spans="5:14">
      <c r="E1157">
        <f>IF(ISNA(F1157),NA(),E787)</f>
        <v>0</v>
      </c>
      <c r="F1157">
        <f>IF(OR(F787="",AND(F787=F786,F787=F788)),NA(), F787)</f>
        <v>0</v>
      </c>
      <c r="G1157">
        <f>IF(ISNA(H1157),NA(),G787)</f>
        <v>0</v>
      </c>
      <c r="H1157">
        <f>IF(OR(H787="",AND(H787=H786,H787=H788)),NA(), H787)</f>
        <v>0</v>
      </c>
      <c r="K1157">
        <f>IF(ISNA(L1157),NA(),K787)</f>
        <v>0</v>
      </c>
      <c r="L1157">
        <f>IF(OR(L787="",AND(L787=L786,L787=L788)),NA(), L787)</f>
        <v>0</v>
      </c>
      <c r="M1157">
        <f>IF(ISNA(N1157),NA(),M787)</f>
        <v>0</v>
      </c>
      <c r="N1157">
        <f>IF(OR(N787="",AND(N787=N786,N787=N788)),NA(), N787)</f>
        <v>0</v>
      </c>
    </row>
    <row r="1158" spans="5:14">
      <c r="E1158">
        <f>IF(ISNA(F1158),NA(),E788)</f>
        <v>0</v>
      </c>
      <c r="F1158">
        <f>IF(OR(F788="",AND(F788=F787,F788=F789)),NA(), F788)</f>
        <v>0</v>
      </c>
      <c r="G1158">
        <f>IF(ISNA(H1158),NA(),G788)</f>
        <v>0</v>
      </c>
      <c r="H1158">
        <f>IF(OR(H788="",AND(H788=H787,H788=H789)),NA(), H788)</f>
        <v>0</v>
      </c>
      <c r="K1158">
        <f>IF(ISNA(L1158),NA(),K788)</f>
        <v>0</v>
      </c>
      <c r="L1158">
        <f>IF(OR(L788="",AND(L788=L787,L788=L789)),NA(), L788)</f>
        <v>0</v>
      </c>
      <c r="M1158">
        <f>IF(ISNA(N1158),NA(),M788)</f>
        <v>0</v>
      </c>
      <c r="N1158">
        <f>IF(OR(N788="",AND(N788=N787,N788=N789)),NA(), N788)</f>
        <v>0</v>
      </c>
    </row>
    <row r="1159" spans="5:14">
      <c r="E1159">
        <f>IF(ISNA(F1159),NA(),E789)</f>
        <v>0</v>
      </c>
      <c r="F1159">
        <f>IF(OR(F789="",AND(F789=F788,F789=F790)),NA(), F789)</f>
        <v>0</v>
      </c>
      <c r="G1159">
        <f>IF(ISNA(H1159),NA(),G789)</f>
        <v>0</v>
      </c>
      <c r="H1159">
        <f>IF(OR(H789="",AND(H789=H788,H789=H790)),NA(), H789)</f>
        <v>0</v>
      </c>
      <c r="K1159">
        <f>IF(ISNA(L1159),NA(),K789)</f>
        <v>0</v>
      </c>
      <c r="L1159">
        <f>IF(OR(L789="",AND(L789=L788,L789=L790)),NA(), L789)</f>
        <v>0</v>
      </c>
      <c r="M1159">
        <f>IF(ISNA(N1159),NA(),M789)</f>
        <v>0</v>
      </c>
      <c r="N1159">
        <f>IF(OR(N789="",AND(N789=N788,N789=N790)),NA(), N789)</f>
        <v>0</v>
      </c>
    </row>
    <row r="1160" spans="5:14">
      <c r="E1160">
        <f>IF(ISNA(F1160),NA(),E790)</f>
        <v>0</v>
      </c>
      <c r="F1160">
        <f>IF(OR(F790="",AND(F790=F789,F790=F791)),NA(), F790)</f>
        <v>0</v>
      </c>
      <c r="G1160">
        <f>IF(ISNA(H1160),NA(),G790)</f>
        <v>0</v>
      </c>
      <c r="H1160">
        <f>IF(OR(H790="",AND(H790=H789,H790=H791)),NA(), H790)</f>
        <v>0</v>
      </c>
      <c r="K1160">
        <f>IF(ISNA(L1160),NA(),K790)</f>
        <v>0</v>
      </c>
      <c r="L1160">
        <f>IF(OR(L790="",AND(L790=L789,L790=L791)),NA(), L790)</f>
        <v>0</v>
      </c>
      <c r="M1160">
        <f>IF(ISNA(N1160),NA(),M790)</f>
        <v>0</v>
      </c>
      <c r="N1160">
        <f>IF(OR(N790="",AND(N790=N789,N790=N791)),NA(), N790)</f>
        <v>0</v>
      </c>
    </row>
    <row r="1161" spans="5:14">
      <c r="E1161">
        <f>IF(ISNA(F1161),NA(),E791)</f>
        <v>0</v>
      </c>
      <c r="F1161">
        <f>IF(OR(F791="",AND(F791=F790,F791=F792)),NA(), F791)</f>
        <v>0</v>
      </c>
      <c r="G1161">
        <f>IF(ISNA(H1161),NA(),G791)</f>
        <v>0</v>
      </c>
      <c r="H1161">
        <f>IF(OR(H791="",AND(H791=H790,H791=H792)),NA(), H791)</f>
        <v>0</v>
      </c>
      <c r="K1161">
        <f>IF(ISNA(L1161),NA(),K791)</f>
        <v>0</v>
      </c>
      <c r="L1161">
        <f>IF(OR(L791="",AND(L791=L790,L791=L792)),NA(), L791)</f>
        <v>0</v>
      </c>
      <c r="M1161">
        <f>IF(ISNA(N1161),NA(),M791)</f>
        <v>0</v>
      </c>
      <c r="N1161">
        <f>IF(OR(N791="",AND(N791=N790,N791=N792)),NA(), N791)</f>
        <v>0</v>
      </c>
    </row>
    <row r="1162" spans="5:14">
      <c r="E1162">
        <f>IF(ISNA(F1162),NA(),E792)</f>
        <v>0</v>
      </c>
      <c r="F1162">
        <f>IF(OR(F792="",AND(F792=F791,F792=F793)),NA(), F792)</f>
        <v>0</v>
      </c>
      <c r="G1162">
        <f>IF(ISNA(H1162),NA(),G792)</f>
        <v>0</v>
      </c>
      <c r="H1162">
        <f>IF(OR(H792="",AND(H792=H791,H792=H793)),NA(), H792)</f>
        <v>0</v>
      </c>
      <c r="K1162">
        <f>IF(ISNA(L1162),NA(),K792)</f>
        <v>0</v>
      </c>
      <c r="L1162">
        <f>IF(OR(L792="",AND(L792=L791,L792=L793)),NA(), L792)</f>
        <v>0</v>
      </c>
      <c r="M1162">
        <f>IF(ISNA(N1162),NA(),M792)</f>
        <v>0</v>
      </c>
      <c r="N1162">
        <f>IF(OR(N792="",AND(N792=N791,N792=N793)),NA(), N792)</f>
        <v>0</v>
      </c>
    </row>
    <row r="1163" spans="5:14">
      <c r="E1163">
        <f>IF(ISNA(F1163),NA(),E793)</f>
        <v>0</v>
      </c>
      <c r="F1163">
        <f>IF(OR(F793="",AND(F793=F792,F793=F794)),NA(), F793)</f>
        <v>0</v>
      </c>
      <c r="G1163">
        <f>IF(ISNA(H1163),NA(),G793)</f>
        <v>0</v>
      </c>
      <c r="H1163">
        <f>IF(OR(H793="",AND(H793=H792,H793=H794)),NA(), H793)</f>
        <v>0</v>
      </c>
      <c r="K1163">
        <f>IF(ISNA(L1163),NA(),K793)</f>
        <v>0</v>
      </c>
      <c r="L1163">
        <f>IF(OR(L793="",AND(L793=L792,L793=L794)),NA(), L793)</f>
        <v>0</v>
      </c>
      <c r="M1163">
        <f>IF(ISNA(N1163),NA(),M793)</f>
        <v>0</v>
      </c>
      <c r="N1163">
        <f>IF(OR(N793="",AND(N793=N792,N793=N794)),NA(), N793)</f>
        <v>0</v>
      </c>
    </row>
    <row r="1164" spans="5:14">
      <c r="E1164">
        <f>IF(ISNA(F1164),NA(),E794)</f>
        <v>0</v>
      </c>
      <c r="F1164">
        <f>IF(OR(F794="",AND(F794=F793,F794=F795)),NA(), F794)</f>
        <v>0</v>
      </c>
      <c r="G1164">
        <f>IF(ISNA(H1164),NA(),G794)</f>
        <v>0</v>
      </c>
      <c r="H1164">
        <f>IF(OR(H794="",AND(H794=H793,H794=H795)),NA(), H794)</f>
        <v>0</v>
      </c>
      <c r="K1164">
        <f>IF(ISNA(L1164),NA(),K794)</f>
        <v>0</v>
      </c>
      <c r="L1164">
        <f>IF(OR(L794="",AND(L794=L793,L794=L795)),NA(), L794)</f>
        <v>0</v>
      </c>
      <c r="M1164">
        <f>IF(ISNA(N1164),NA(),M794)</f>
        <v>0</v>
      </c>
      <c r="N1164">
        <f>IF(OR(N794="",AND(N794=N793,N794=N795)),NA(), N794)</f>
        <v>0</v>
      </c>
    </row>
    <row r="1165" spans="5:14">
      <c r="E1165">
        <f>IF(ISNA(F1165),NA(),E795)</f>
        <v>0</v>
      </c>
      <c r="F1165">
        <f>IF(OR(F795="",AND(F795=F794,F795=F796)),NA(), F795)</f>
        <v>0</v>
      </c>
      <c r="G1165">
        <f>IF(ISNA(H1165),NA(),G795)</f>
        <v>0</v>
      </c>
      <c r="H1165">
        <f>IF(OR(H795="",AND(H795=H794,H795=H796)),NA(), H795)</f>
        <v>0</v>
      </c>
      <c r="K1165">
        <f>IF(ISNA(L1165),NA(),K795)</f>
        <v>0</v>
      </c>
      <c r="L1165">
        <f>IF(OR(L795="",AND(L795=L794,L795=L796)),NA(), L795)</f>
        <v>0</v>
      </c>
      <c r="M1165">
        <f>IF(ISNA(N1165),NA(),M795)</f>
        <v>0</v>
      </c>
      <c r="N1165">
        <f>IF(OR(N795="",AND(N795=N794,N795=N796)),NA(), N795)</f>
        <v>0</v>
      </c>
    </row>
    <row r="1166" spans="5:14">
      <c r="E1166">
        <f>IF(ISNA(F1166),NA(),E796)</f>
        <v>0</v>
      </c>
      <c r="F1166">
        <f>IF(OR(F796="",AND(F796=F795,F796=F797)),NA(), F796)</f>
        <v>0</v>
      </c>
      <c r="G1166">
        <f>IF(ISNA(H1166),NA(),G796)</f>
        <v>0</v>
      </c>
      <c r="H1166">
        <f>IF(OR(H796="",AND(H796=H795,H796=H797)),NA(), H796)</f>
        <v>0</v>
      </c>
      <c r="K1166">
        <f>IF(ISNA(L1166),NA(),K796)</f>
        <v>0</v>
      </c>
      <c r="L1166">
        <f>IF(OR(L796="",AND(L796=L795,L796=L797)),NA(), L796)</f>
        <v>0</v>
      </c>
      <c r="M1166">
        <f>IF(ISNA(N1166),NA(),M796)</f>
        <v>0</v>
      </c>
      <c r="N1166">
        <f>IF(OR(N796="",AND(N796=N795,N796=N797)),NA(), N796)</f>
        <v>0</v>
      </c>
    </row>
    <row r="1167" spans="5:14">
      <c r="E1167">
        <f>IF(ISNA(F1167),NA(),E797)</f>
        <v>0</v>
      </c>
      <c r="F1167">
        <f>IF(OR(F797="",AND(F797=F796,F797=F798)),NA(), F797)</f>
        <v>0</v>
      </c>
      <c r="G1167">
        <f>IF(ISNA(H1167),NA(),G797)</f>
        <v>0</v>
      </c>
      <c r="H1167">
        <f>IF(OR(H797="",AND(H797=H796,H797=H798)),NA(), H797)</f>
        <v>0</v>
      </c>
      <c r="K1167">
        <f>IF(ISNA(L1167),NA(),K797)</f>
        <v>0</v>
      </c>
      <c r="L1167">
        <f>IF(OR(L797="",AND(L797=L796,L797=L798)),NA(), L797)</f>
        <v>0</v>
      </c>
      <c r="M1167">
        <f>IF(ISNA(N1167),NA(),M797)</f>
        <v>0</v>
      </c>
      <c r="N1167">
        <f>IF(OR(N797="",AND(N797=N796,N797=N798)),NA(), N797)</f>
        <v>0</v>
      </c>
    </row>
    <row r="1168" spans="5:14">
      <c r="E1168">
        <f>IF(ISNA(F1168),NA(),E798)</f>
        <v>0</v>
      </c>
      <c r="F1168">
        <f>IF(OR(F798="",AND(F798=F797,F798=F799)),NA(), F798)</f>
        <v>0</v>
      </c>
      <c r="G1168">
        <f>IF(ISNA(H1168),NA(),G798)</f>
        <v>0</v>
      </c>
      <c r="H1168">
        <f>IF(OR(H798="",AND(H798=H797,H798=H799)),NA(), H798)</f>
        <v>0</v>
      </c>
      <c r="K1168">
        <f>IF(ISNA(L1168),NA(),K798)</f>
        <v>0</v>
      </c>
      <c r="L1168">
        <f>IF(OR(L798="",AND(L798=L797,L798=L799)),NA(), L798)</f>
        <v>0</v>
      </c>
      <c r="M1168">
        <f>IF(ISNA(N1168),NA(),M798)</f>
        <v>0</v>
      </c>
      <c r="N1168">
        <f>IF(OR(N798="",AND(N798=N797,N798=N799)),NA(), N798)</f>
        <v>0</v>
      </c>
    </row>
    <row r="1169" spans="5:14">
      <c r="E1169">
        <f>IF(ISNA(F1169),NA(),E799)</f>
        <v>0</v>
      </c>
      <c r="F1169">
        <f>IF(OR(F799="",AND(F799=F798,F799=F800)),NA(), F799)</f>
        <v>0</v>
      </c>
      <c r="G1169">
        <f>IF(ISNA(H1169),NA(),G799)</f>
        <v>0</v>
      </c>
      <c r="H1169">
        <f>IF(OR(H799="",AND(H799=H798,H799=H800)),NA(), H799)</f>
        <v>0</v>
      </c>
      <c r="K1169">
        <f>IF(ISNA(L1169),NA(),K799)</f>
        <v>0</v>
      </c>
      <c r="L1169">
        <f>IF(OR(L799="",AND(L799=L798,L799=L800)),NA(), L799)</f>
        <v>0</v>
      </c>
      <c r="M1169">
        <f>IF(ISNA(N1169),NA(),M799)</f>
        <v>0</v>
      </c>
      <c r="N1169">
        <f>IF(OR(N799="",AND(N799=N798,N799=N800)),NA(), N799)</f>
        <v>0</v>
      </c>
    </row>
    <row r="1170" spans="5:14">
      <c r="E1170">
        <f>IF(ISNA(F1170),NA(),E800)</f>
        <v>0</v>
      </c>
      <c r="F1170">
        <f>IF(OR(F800="",AND(F800=F799,F800=F801)),NA(), F800)</f>
        <v>0</v>
      </c>
      <c r="G1170">
        <f>IF(ISNA(H1170),NA(),G800)</f>
        <v>0</v>
      </c>
      <c r="H1170">
        <f>IF(OR(H800="",AND(H800=H799,H800=H801)),NA(), H800)</f>
        <v>0</v>
      </c>
      <c r="K1170">
        <f>IF(ISNA(L1170),NA(),K800)</f>
        <v>0</v>
      </c>
      <c r="L1170">
        <f>IF(OR(L800="",AND(L800=L799,L800=L801)),NA(), L800)</f>
        <v>0</v>
      </c>
      <c r="M1170">
        <f>IF(ISNA(N1170),NA(),M800)</f>
        <v>0</v>
      </c>
      <c r="N1170">
        <f>IF(OR(N800="",AND(N800=N799,N800=N801)),NA(), N800)</f>
        <v>0</v>
      </c>
    </row>
    <row r="1171" spans="5:14">
      <c r="E1171">
        <f>IF(ISNA(F1171),NA(),E801)</f>
        <v>0</v>
      </c>
      <c r="F1171">
        <f>IF(OR(F801="",AND(F801=F800,F801=F802)),NA(), F801)</f>
        <v>0</v>
      </c>
      <c r="G1171">
        <f>IF(ISNA(H1171),NA(),G801)</f>
        <v>0</v>
      </c>
      <c r="H1171">
        <f>IF(OR(H801="",AND(H801=H800,H801=H802)),NA(), H801)</f>
        <v>0</v>
      </c>
      <c r="K1171">
        <f>IF(ISNA(L1171),NA(),K801)</f>
        <v>0</v>
      </c>
      <c r="L1171">
        <f>IF(OR(L801="",AND(L801=L800,L801=L802)),NA(), L801)</f>
        <v>0</v>
      </c>
      <c r="M1171">
        <f>IF(ISNA(N1171),NA(),M801)</f>
        <v>0</v>
      </c>
      <c r="N1171">
        <f>IF(OR(N801="",AND(N801=N800,N801=N802)),NA(), N801)</f>
        <v>0</v>
      </c>
    </row>
    <row r="1172" spans="5:14">
      <c r="E1172">
        <f>IF(ISNA(F1172),NA(),E802)</f>
        <v>0</v>
      </c>
      <c r="F1172">
        <f>IF(OR(F802="",AND(F802=F801,F802=F803)),NA(), F802)</f>
        <v>0</v>
      </c>
      <c r="G1172">
        <f>IF(ISNA(H1172),NA(),G802)</f>
        <v>0</v>
      </c>
      <c r="H1172">
        <f>IF(OR(H802="",AND(H802=H801,H802=H803)),NA(), H802)</f>
        <v>0</v>
      </c>
      <c r="K1172">
        <f>IF(ISNA(L1172),NA(),K802)</f>
        <v>0</v>
      </c>
      <c r="L1172">
        <f>IF(OR(L802="",AND(L802=L801,L802=L803)),NA(), L802)</f>
        <v>0</v>
      </c>
      <c r="M1172">
        <f>IF(ISNA(N1172),NA(),M802)</f>
        <v>0</v>
      </c>
      <c r="N1172">
        <f>IF(OR(N802="",AND(N802=N801,N802=N803)),NA(), N802)</f>
        <v>0</v>
      </c>
    </row>
    <row r="1173" spans="5:14">
      <c r="E1173">
        <f>IF(ISNA(F1173),NA(),E803)</f>
        <v>0</v>
      </c>
      <c r="F1173">
        <f>IF(OR(F803="",AND(F803=F802,F803=F804)),NA(), F803)</f>
        <v>0</v>
      </c>
      <c r="G1173">
        <f>IF(ISNA(H1173),NA(),G803)</f>
        <v>0</v>
      </c>
      <c r="H1173">
        <f>IF(OR(H803="",AND(H803=H802,H803=H804)),NA(), H803)</f>
        <v>0</v>
      </c>
      <c r="K1173">
        <f>IF(ISNA(L1173),NA(),K803)</f>
        <v>0</v>
      </c>
      <c r="L1173">
        <f>IF(OR(L803="",AND(L803=L802,L803=L804)),NA(), L803)</f>
        <v>0</v>
      </c>
      <c r="M1173">
        <f>IF(ISNA(N1173),NA(),M803)</f>
        <v>0</v>
      </c>
      <c r="N1173">
        <f>IF(OR(N803="",AND(N803=N802,N803=N804)),NA(), N803)</f>
        <v>0</v>
      </c>
    </row>
    <row r="1174" spans="5:14">
      <c r="E1174">
        <f>IF(ISNA(F1174),NA(),E804)</f>
        <v>0</v>
      </c>
      <c r="F1174">
        <f>IF(OR(F804="",AND(F804=F803,F804=F805)),NA(), F804)</f>
        <v>0</v>
      </c>
      <c r="G1174">
        <f>IF(ISNA(H1174),NA(),G804)</f>
        <v>0</v>
      </c>
      <c r="H1174">
        <f>IF(OR(H804="",AND(H804=H803,H804=H805)),NA(), H804)</f>
        <v>0</v>
      </c>
      <c r="K1174">
        <f>IF(ISNA(L1174),NA(),K804)</f>
        <v>0</v>
      </c>
      <c r="L1174">
        <f>IF(OR(L804="",AND(L804=L803,L804=L805)),NA(), L804)</f>
        <v>0</v>
      </c>
      <c r="M1174">
        <f>IF(ISNA(N1174),NA(),M804)</f>
        <v>0</v>
      </c>
      <c r="N1174">
        <f>IF(OR(N804="",AND(N804=N803,N804=N805)),NA(), N804)</f>
        <v>0</v>
      </c>
    </row>
    <row r="1175" spans="5:14">
      <c r="E1175">
        <f>IF(ISNA(F1175),NA(),E805)</f>
        <v>0</v>
      </c>
      <c r="F1175">
        <f>IF(OR(F805="",AND(F805=F804,F805=F806)),NA(), F805)</f>
        <v>0</v>
      </c>
      <c r="G1175">
        <f>IF(ISNA(H1175),NA(),G805)</f>
        <v>0</v>
      </c>
      <c r="H1175">
        <f>IF(OR(H805="",AND(H805=H804,H805=H806)),NA(), H805)</f>
        <v>0</v>
      </c>
      <c r="K1175">
        <f>IF(ISNA(L1175),NA(),K805)</f>
        <v>0</v>
      </c>
      <c r="L1175">
        <f>IF(OR(L805="",AND(L805=L804,L805=L806)),NA(), L805)</f>
        <v>0</v>
      </c>
      <c r="M1175">
        <f>IF(ISNA(N1175),NA(),M805)</f>
        <v>0</v>
      </c>
      <c r="N1175">
        <f>IF(OR(N805="",AND(N805=N804,N805=N806)),NA(), N805)</f>
        <v>0</v>
      </c>
    </row>
    <row r="1176" spans="5:14">
      <c r="E1176">
        <f>IF(ISNA(F1176),NA(),E806)</f>
        <v>0</v>
      </c>
      <c r="F1176">
        <f>IF(OR(F806="",AND(F806=F805,F806=F807)),NA(), F806)</f>
        <v>0</v>
      </c>
      <c r="G1176">
        <f>IF(ISNA(H1176),NA(),G806)</f>
        <v>0</v>
      </c>
      <c r="H1176">
        <f>IF(OR(H806="",AND(H806=H805,H806=H807)),NA(), H806)</f>
        <v>0</v>
      </c>
      <c r="K1176">
        <f>IF(ISNA(L1176),NA(),K806)</f>
        <v>0</v>
      </c>
      <c r="L1176">
        <f>IF(OR(L806="",AND(L806=L805,L806=L807)),NA(), L806)</f>
        <v>0</v>
      </c>
      <c r="M1176">
        <f>IF(ISNA(N1176),NA(),M806)</f>
        <v>0</v>
      </c>
      <c r="N1176">
        <f>IF(OR(N806="",AND(N806=N805,N806=N807)),NA(), N806)</f>
        <v>0</v>
      </c>
    </row>
    <row r="1177" spans="5:14">
      <c r="E1177">
        <f>IF(ISNA(F1177),NA(),E807)</f>
        <v>0</v>
      </c>
      <c r="F1177">
        <f>IF(OR(F807="",AND(F807=F806,F807=F808)),NA(), F807)</f>
        <v>0</v>
      </c>
      <c r="G1177">
        <f>IF(ISNA(H1177),NA(),G807)</f>
        <v>0</v>
      </c>
      <c r="H1177">
        <f>IF(OR(H807="",AND(H807=H806,H807=H808)),NA(), H807)</f>
        <v>0</v>
      </c>
      <c r="K1177">
        <f>IF(ISNA(L1177),NA(),K807)</f>
        <v>0</v>
      </c>
      <c r="L1177">
        <f>IF(OR(L807="",AND(L807=L806,L807=L808)),NA(), L807)</f>
        <v>0</v>
      </c>
      <c r="M1177">
        <f>IF(ISNA(N1177),NA(),M807)</f>
        <v>0</v>
      </c>
      <c r="N1177">
        <f>IF(OR(N807="",AND(N807=N806,N807=N808)),NA(), N807)</f>
        <v>0</v>
      </c>
    </row>
    <row r="1178" spans="5:14">
      <c r="E1178">
        <f>IF(ISNA(F1178),NA(),E808)</f>
        <v>0</v>
      </c>
      <c r="F1178">
        <f>IF(OR(F808="",AND(F808=F807,F808=F809)),NA(), F808)</f>
        <v>0</v>
      </c>
      <c r="G1178">
        <f>IF(ISNA(H1178),NA(),G808)</f>
        <v>0</v>
      </c>
      <c r="H1178">
        <f>IF(OR(H808="",AND(H808=H807,H808=H809)),NA(), H808)</f>
        <v>0</v>
      </c>
      <c r="K1178">
        <f>IF(ISNA(L1178),NA(),K808)</f>
        <v>0</v>
      </c>
      <c r="L1178">
        <f>IF(OR(L808="",AND(L808=L807,L808=L809)),NA(), L808)</f>
        <v>0</v>
      </c>
      <c r="M1178">
        <f>IF(ISNA(N1178),NA(),M808)</f>
        <v>0</v>
      </c>
      <c r="N1178">
        <f>IF(OR(N808="",AND(N808=N807,N808=N809)),NA(), N808)</f>
        <v>0</v>
      </c>
    </row>
    <row r="1179" spans="5:14">
      <c r="E1179">
        <f>IF(ISNA(F1179),NA(),E809)</f>
        <v>0</v>
      </c>
      <c r="F1179">
        <f>IF(OR(F809="",AND(F809=F808,F809=F810)),NA(), F809)</f>
        <v>0</v>
      </c>
      <c r="G1179">
        <f>IF(ISNA(H1179),NA(),G809)</f>
        <v>0</v>
      </c>
      <c r="H1179">
        <f>IF(OR(H809="",AND(H809=H808,H809=H810)),NA(), H809)</f>
        <v>0</v>
      </c>
      <c r="K1179">
        <f>IF(ISNA(L1179),NA(),K809)</f>
        <v>0</v>
      </c>
      <c r="L1179">
        <f>IF(OR(L809="",AND(L809=L808,L809=L810)),NA(), L809)</f>
        <v>0</v>
      </c>
      <c r="M1179">
        <f>IF(ISNA(N1179),NA(),M809)</f>
        <v>0</v>
      </c>
      <c r="N1179">
        <f>IF(OR(N809="",AND(N809=N808,N809=N810)),NA(), N809)</f>
        <v>0</v>
      </c>
    </row>
    <row r="1180" spans="5:14">
      <c r="E1180">
        <f>IF(ISNA(F1180),NA(),E810)</f>
        <v>0</v>
      </c>
      <c r="F1180">
        <f>IF(OR(F810="",AND(F810=F809,F810=F811)),NA(), F810)</f>
        <v>0</v>
      </c>
      <c r="G1180">
        <f>IF(ISNA(H1180),NA(),G810)</f>
        <v>0</v>
      </c>
      <c r="H1180">
        <f>IF(OR(H810="",AND(H810=H809,H810=H811)),NA(), H810)</f>
        <v>0</v>
      </c>
      <c r="K1180">
        <f>IF(ISNA(L1180),NA(),K810)</f>
        <v>0</v>
      </c>
      <c r="L1180">
        <f>IF(OR(L810="",AND(L810=L809,L810=L811)),NA(), L810)</f>
        <v>0</v>
      </c>
      <c r="M1180">
        <f>IF(ISNA(N1180),NA(),M810)</f>
        <v>0</v>
      </c>
      <c r="N1180">
        <f>IF(OR(N810="",AND(N810=N809,N810=N811)),NA(), N810)</f>
        <v>0</v>
      </c>
    </row>
    <row r="1181" spans="5:14">
      <c r="E1181">
        <f>IF(ISNA(F1181),NA(),E811)</f>
        <v>0</v>
      </c>
      <c r="F1181">
        <f>IF(OR(F811="",AND(F811=F810,F811=F812)),NA(), F811)</f>
        <v>0</v>
      </c>
      <c r="G1181">
        <f>IF(ISNA(H1181),NA(),G811)</f>
        <v>0</v>
      </c>
      <c r="H1181">
        <f>IF(OR(H811="",AND(H811=H810,H811=H812)),NA(), H811)</f>
        <v>0</v>
      </c>
      <c r="K1181">
        <f>IF(ISNA(L1181),NA(),K811)</f>
        <v>0</v>
      </c>
      <c r="L1181">
        <f>IF(OR(L811="",AND(L811=L810,L811=L812)),NA(), L811)</f>
        <v>0</v>
      </c>
      <c r="M1181">
        <f>IF(ISNA(N1181),NA(),M811)</f>
        <v>0</v>
      </c>
      <c r="N1181">
        <f>IF(OR(N811="",AND(N811=N810,N811=N812)),NA(), N811)</f>
        <v>0</v>
      </c>
    </row>
    <row r="1182" spans="5:14">
      <c r="E1182">
        <f>IF(ISNA(F1182),NA(),E812)</f>
        <v>0</v>
      </c>
      <c r="F1182">
        <f>IF(OR(F812="",AND(F812=F811,F812=F813)),NA(), F812)</f>
        <v>0</v>
      </c>
      <c r="G1182">
        <f>IF(ISNA(H1182),NA(),G812)</f>
        <v>0</v>
      </c>
      <c r="H1182">
        <f>IF(OR(H812="",AND(H812=H811,H812=H813)),NA(), H812)</f>
        <v>0</v>
      </c>
      <c r="K1182">
        <f>IF(ISNA(L1182),NA(),K812)</f>
        <v>0</v>
      </c>
      <c r="L1182">
        <f>IF(OR(L812="",AND(L812=L811,L812=L813)),NA(), L812)</f>
        <v>0</v>
      </c>
      <c r="M1182">
        <f>IF(ISNA(N1182),NA(),M812)</f>
        <v>0</v>
      </c>
      <c r="N1182">
        <f>IF(OR(N812="",AND(N812=N811,N812=N813)),NA(), N812)</f>
        <v>0</v>
      </c>
    </row>
    <row r="1183" spans="5:14">
      <c r="E1183">
        <f>IF(ISNA(F1183),NA(),E813)</f>
        <v>0</v>
      </c>
      <c r="F1183">
        <f>IF(OR(F813="",AND(F813=F812,F813=F814)),NA(), F813)</f>
        <v>0</v>
      </c>
      <c r="G1183">
        <f>IF(ISNA(H1183),NA(),G813)</f>
        <v>0</v>
      </c>
      <c r="H1183">
        <f>IF(OR(H813="",AND(H813=H812,H813=H814)),NA(), H813)</f>
        <v>0</v>
      </c>
      <c r="K1183">
        <f>IF(ISNA(L1183),NA(),K813)</f>
        <v>0</v>
      </c>
      <c r="L1183">
        <f>IF(OR(L813="",AND(L813=L812,L813=L814)),NA(), L813)</f>
        <v>0</v>
      </c>
      <c r="M1183">
        <f>IF(ISNA(N1183),NA(),M813)</f>
        <v>0</v>
      </c>
      <c r="N1183">
        <f>IF(OR(N813="",AND(N813=N812,N813=N814)),NA(), N813)</f>
        <v>0</v>
      </c>
    </row>
    <row r="1184" spans="5:14">
      <c r="E1184">
        <f>IF(ISNA(F1184),NA(),E814)</f>
        <v>0</v>
      </c>
      <c r="F1184">
        <f>IF(OR(F814="",AND(F814=F813,F814=F815)),NA(), F814)</f>
        <v>0</v>
      </c>
      <c r="G1184">
        <f>IF(ISNA(H1184),NA(),G814)</f>
        <v>0</v>
      </c>
      <c r="H1184">
        <f>IF(OR(H814="",AND(H814=H813,H814=H815)),NA(), H814)</f>
        <v>0</v>
      </c>
      <c r="K1184">
        <f>IF(ISNA(L1184),NA(),K814)</f>
        <v>0</v>
      </c>
      <c r="L1184">
        <f>IF(OR(L814="",AND(L814=L813,L814=L815)),NA(), L814)</f>
        <v>0</v>
      </c>
      <c r="M1184">
        <f>IF(ISNA(N1184),NA(),M814)</f>
        <v>0</v>
      </c>
      <c r="N1184">
        <f>IF(OR(N814="",AND(N814=N813,N814=N815)),NA(), N814)</f>
        <v>0</v>
      </c>
    </row>
    <row r="1185" spans="5:14">
      <c r="E1185">
        <f>IF(ISNA(F1185),NA(),E815)</f>
        <v>0</v>
      </c>
      <c r="F1185">
        <f>IF(OR(F815="",AND(F815=F814,F815=F816)),NA(), F815)</f>
        <v>0</v>
      </c>
      <c r="G1185">
        <f>IF(ISNA(H1185),NA(),G815)</f>
        <v>0</v>
      </c>
      <c r="H1185">
        <f>IF(OR(H815="",AND(H815=H814,H815=H816)),NA(), H815)</f>
        <v>0</v>
      </c>
      <c r="K1185">
        <f>IF(ISNA(L1185),NA(),K815)</f>
        <v>0</v>
      </c>
      <c r="L1185">
        <f>IF(OR(L815="",AND(L815=L814,L815=L816)),NA(), L815)</f>
        <v>0</v>
      </c>
      <c r="M1185">
        <f>IF(ISNA(N1185),NA(),M815)</f>
        <v>0</v>
      </c>
      <c r="N1185">
        <f>IF(OR(N815="",AND(N815=N814,N815=N816)),NA(), N815)</f>
        <v>0</v>
      </c>
    </row>
    <row r="1186" spans="5:14">
      <c r="E1186">
        <f>IF(ISNA(F1186),NA(),E816)</f>
        <v>0</v>
      </c>
      <c r="F1186">
        <f>IF(OR(F816="",AND(F816=F815,F816=F817)),NA(), F816)</f>
        <v>0</v>
      </c>
      <c r="G1186">
        <f>IF(ISNA(H1186),NA(),G816)</f>
        <v>0</v>
      </c>
      <c r="H1186">
        <f>IF(OR(H816="",AND(H816=H815,H816=H817)),NA(), H816)</f>
        <v>0</v>
      </c>
      <c r="K1186">
        <f>IF(ISNA(L1186),NA(),K816)</f>
        <v>0</v>
      </c>
      <c r="L1186">
        <f>IF(OR(L816="",AND(L816=L815,L816=L817)),NA(), L816)</f>
        <v>0</v>
      </c>
      <c r="M1186">
        <f>IF(ISNA(N1186),NA(),M816)</f>
        <v>0</v>
      </c>
      <c r="N1186">
        <f>IF(OR(N816="",AND(N816=N815,N816=N817)),NA(), N816)</f>
        <v>0</v>
      </c>
    </row>
    <row r="1187" spans="5:14">
      <c r="E1187">
        <f>IF(ISNA(F1187),NA(),E817)</f>
        <v>0</v>
      </c>
      <c r="F1187">
        <f>IF(OR(F817="",AND(F817=F816,F817=F818)),NA(), F817)</f>
        <v>0</v>
      </c>
      <c r="G1187">
        <f>IF(ISNA(H1187),NA(),G817)</f>
        <v>0</v>
      </c>
      <c r="H1187">
        <f>IF(OR(H817="",AND(H817=H816,H817=H818)),NA(), H817)</f>
        <v>0</v>
      </c>
      <c r="K1187">
        <f>IF(ISNA(L1187),NA(),K817)</f>
        <v>0</v>
      </c>
      <c r="L1187">
        <f>IF(OR(L817="",AND(L817=L816,L817=L818)),NA(), L817)</f>
        <v>0</v>
      </c>
      <c r="M1187">
        <f>IF(ISNA(N1187),NA(),M817)</f>
        <v>0</v>
      </c>
      <c r="N1187">
        <f>IF(OR(N817="",AND(N817=N816,N817=N818)),NA(), N817)</f>
        <v>0</v>
      </c>
    </row>
    <row r="1188" spans="5:14">
      <c r="E1188">
        <f>IF(ISNA(F1188),NA(),E818)</f>
        <v>0</v>
      </c>
      <c r="F1188">
        <f>IF(OR(F818="",AND(F818=F817,F818=F819)),NA(), F818)</f>
        <v>0</v>
      </c>
      <c r="G1188">
        <f>IF(ISNA(H1188),NA(),G818)</f>
        <v>0</v>
      </c>
      <c r="H1188">
        <f>IF(OR(H818="",AND(H818=H817,H818=H819)),NA(), H818)</f>
        <v>0</v>
      </c>
      <c r="K1188">
        <f>IF(ISNA(L1188),NA(),K818)</f>
        <v>0</v>
      </c>
      <c r="L1188">
        <f>IF(OR(L818="",AND(L818=L817,L818=L819)),NA(), L818)</f>
        <v>0</v>
      </c>
      <c r="M1188">
        <f>IF(ISNA(N1188),NA(),M818)</f>
        <v>0</v>
      </c>
      <c r="N1188">
        <f>IF(OR(N818="",AND(N818=N817,N818=N819)),NA(), N818)</f>
        <v>0</v>
      </c>
    </row>
    <row r="1189" spans="5:14">
      <c r="E1189">
        <f>IF(ISNA(F1189),NA(),E819)</f>
        <v>0</v>
      </c>
      <c r="F1189">
        <f>IF(OR(F819="",AND(F819=F818,F819=F820)),NA(), F819)</f>
        <v>0</v>
      </c>
      <c r="G1189">
        <f>IF(ISNA(H1189),NA(),G819)</f>
        <v>0</v>
      </c>
      <c r="H1189">
        <f>IF(OR(H819="",AND(H819=H818,H819=H820)),NA(), H819)</f>
        <v>0</v>
      </c>
      <c r="K1189">
        <f>IF(ISNA(L1189),NA(),K819)</f>
        <v>0</v>
      </c>
      <c r="L1189">
        <f>IF(OR(L819="",AND(L819=L818,L819=L820)),NA(), L819)</f>
        <v>0</v>
      </c>
      <c r="M1189">
        <f>IF(ISNA(N1189),NA(),M819)</f>
        <v>0</v>
      </c>
      <c r="N1189">
        <f>IF(OR(N819="",AND(N819=N818,N819=N820)),NA(), N819)</f>
        <v>0</v>
      </c>
    </row>
    <row r="1190" spans="5:14">
      <c r="E1190">
        <f>IF(ISNA(F1190),NA(),E820)</f>
        <v>0</v>
      </c>
      <c r="F1190">
        <f>IF(OR(F820="",AND(F820=F819,F820=F821)),NA(), F820)</f>
        <v>0</v>
      </c>
      <c r="G1190">
        <f>IF(ISNA(H1190),NA(),G820)</f>
        <v>0</v>
      </c>
      <c r="H1190">
        <f>IF(OR(H820="",AND(H820=H819,H820=H821)),NA(), H820)</f>
        <v>0</v>
      </c>
      <c r="K1190">
        <f>IF(ISNA(L1190),NA(),K820)</f>
        <v>0</v>
      </c>
      <c r="L1190">
        <f>IF(OR(L820="",AND(L820=L819,L820=L821)),NA(), L820)</f>
        <v>0</v>
      </c>
      <c r="M1190">
        <f>IF(ISNA(N1190),NA(),M820)</f>
        <v>0</v>
      </c>
      <c r="N1190">
        <f>IF(OR(N820="",AND(N820=N819,N820=N821)),NA(), N820)</f>
        <v>0</v>
      </c>
    </row>
    <row r="1191" spans="5:14">
      <c r="E1191">
        <f>IF(ISNA(F1191),NA(),E821)</f>
        <v>0</v>
      </c>
      <c r="F1191">
        <f>IF(OR(F821="",AND(F821=F820,F821=F822)),NA(), F821)</f>
        <v>0</v>
      </c>
      <c r="G1191">
        <f>IF(ISNA(H1191),NA(),G821)</f>
        <v>0</v>
      </c>
      <c r="H1191">
        <f>IF(OR(H821="",AND(H821=H820,H821=H822)),NA(), H821)</f>
        <v>0</v>
      </c>
      <c r="K1191">
        <f>IF(ISNA(L1191),NA(),K821)</f>
        <v>0</v>
      </c>
      <c r="L1191">
        <f>IF(OR(L821="",AND(L821=L820,L821=L822)),NA(), L821)</f>
        <v>0</v>
      </c>
      <c r="M1191">
        <f>IF(ISNA(N1191),NA(),M821)</f>
        <v>0</v>
      </c>
      <c r="N1191">
        <f>IF(OR(N821="",AND(N821=N820,N821=N822)),NA(), N821)</f>
        <v>0</v>
      </c>
    </row>
    <row r="1192" spans="5:14">
      <c r="E1192">
        <f>IF(ISNA(F1192),NA(),E822)</f>
        <v>0</v>
      </c>
      <c r="F1192">
        <f>IF(OR(F822="",AND(F822=F821,F822=F823)),NA(), F822)</f>
        <v>0</v>
      </c>
      <c r="G1192">
        <f>IF(ISNA(H1192),NA(),G822)</f>
        <v>0</v>
      </c>
      <c r="H1192">
        <f>IF(OR(H822="",AND(H822=H821,H822=H823)),NA(), H822)</f>
        <v>0</v>
      </c>
      <c r="K1192">
        <f>IF(ISNA(L1192),NA(),K822)</f>
        <v>0</v>
      </c>
      <c r="L1192">
        <f>IF(OR(L822="",AND(L822=L821,L822=L823)),NA(), L822)</f>
        <v>0</v>
      </c>
      <c r="M1192">
        <f>IF(ISNA(N1192),NA(),M822)</f>
        <v>0</v>
      </c>
      <c r="N1192">
        <f>IF(OR(N822="",AND(N822=N821,N822=N823)),NA(), N822)</f>
        <v>0</v>
      </c>
    </row>
    <row r="1193" spans="5:14">
      <c r="E1193">
        <f>IF(ISNA(F1193),NA(),E823)</f>
        <v>0</v>
      </c>
      <c r="F1193">
        <f>IF(OR(F823="",AND(F823=F822,F823=F824)),NA(), F823)</f>
        <v>0</v>
      </c>
      <c r="G1193">
        <f>IF(ISNA(H1193),NA(),G823)</f>
        <v>0</v>
      </c>
      <c r="H1193">
        <f>IF(OR(H823="",AND(H823=H822,H823=H824)),NA(), H823)</f>
        <v>0</v>
      </c>
      <c r="K1193">
        <f>IF(ISNA(L1193),NA(),K823)</f>
        <v>0</v>
      </c>
      <c r="L1193">
        <f>IF(OR(L823="",AND(L823=L822,L823=L824)),NA(), L823)</f>
        <v>0</v>
      </c>
      <c r="M1193">
        <f>IF(ISNA(N1193),NA(),M823)</f>
        <v>0</v>
      </c>
      <c r="N1193">
        <f>IF(OR(N823="",AND(N823=N822,N823=N824)),NA(), N823)</f>
        <v>0</v>
      </c>
    </row>
    <row r="1194" spans="5:14">
      <c r="E1194">
        <f>IF(ISNA(F1194),NA(),E824)</f>
        <v>0</v>
      </c>
      <c r="F1194">
        <f>IF(OR(F824="",AND(F824=F823,F824=F825)),NA(), F824)</f>
        <v>0</v>
      </c>
      <c r="G1194">
        <f>IF(ISNA(H1194),NA(),G824)</f>
        <v>0</v>
      </c>
      <c r="H1194">
        <f>IF(OR(H824="",AND(H824=H823,H824=H825)),NA(), H824)</f>
        <v>0</v>
      </c>
      <c r="K1194">
        <f>IF(ISNA(L1194),NA(),K824)</f>
        <v>0</v>
      </c>
      <c r="L1194">
        <f>IF(OR(L824="",AND(L824=L823,L824=L825)),NA(), L824)</f>
        <v>0</v>
      </c>
      <c r="M1194">
        <f>IF(ISNA(N1194),NA(),M824)</f>
        <v>0</v>
      </c>
      <c r="N1194">
        <f>IF(OR(N824="",AND(N824=N823,N824=N825)),NA(), N824)</f>
        <v>0</v>
      </c>
    </row>
    <row r="1195" spans="5:14">
      <c r="E1195">
        <f>IF(ISNA(F1195),NA(),E825)</f>
        <v>0</v>
      </c>
      <c r="F1195">
        <f>IF(OR(F825="",AND(F825=F824,F825=F826)),NA(), F825)</f>
        <v>0</v>
      </c>
      <c r="G1195">
        <f>IF(ISNA(H1195),NA(),G825)</f>
        <v>0</v>
      </c>
      <c r="H1195">
        <f>IF(OR(H825="",AND(H825=H824,H825=H826)),NA(), H825)</f>
        <v>0</v>
      </c>
      <c r="K1195">
        <f>IF(ISNA(L1195),NA(),K825)</f>
        <v>0</v>
      </c>
      <c r="L1195">
        <f>IF(OR(L825="",AND(L825=L824,L825=L826)),NA(), L825)</f>
        <v>0</v>
      </c>
      <c r="M1195">
        <f>IF(ISNA(N1195),NA(),M825)</f>
        <v>0</v>
      </c>
      <c r="N1195">
        <f>IF(OR(N825="",AND(N825=N824,N825=N826)),NA(), N825)</f>
        <v>0</v>
      </c>
    </row>
    <row r="1196" spans="5:14">
      <c r="E1196">
        <f>IF(ISNA(F1196),NA(),E826)</f>
        <v>0</v>
      </c>
      <c r="F1196">
        <f>IF(OR(F826="",AND(F826=F825,F826=F827)),NA(), F826)</f>
        <v>0</v>
      </c>
      <c r="G1196">
        <f>IF(ISNA(H1196),NA(),G826)</f>
        <v>0</v>
      </c>
      <c r="H1196">
        <f>IF(OR(H826="",AND(H826=H825,H826=H827)),NA(), H826)</f>
        <v>0</v>
      </c>
      <c r="K1196">
        <f>IF(ISNA(L1196),NA(),K826)</f>
        <v>0</v>
      </c>
      <c r="L1196">
        <f>IF(OR(L826="",AND(L826=L825,L826=L827)),NA(), L826)</f>
        <v>0</v>
      </c>
      <c r="M1196">
        <f>IF(ISNA(N1196),NA(),M826)</f>
        <v>0</v>
      </c>
      <c r="N1196">
        <f>IF(OR(N826="",AND(N826=N825,N826=N827)),NA(), N826)</f>
        <v>0</v>
      </c>
    </row>
    <row r="1197" spans="5:14">
      <c r="E1197">
        <f>IF(ISNA(F1197),NA(),E827)</f>
        <v>0</v>
      </c>
      <c r="F1197">
        <f>IF(OR(F827="",AND(F827=F826,F827=F828)),NA(), F827)</f>
        <v>0</v>
      </c>
      <c r="G1197">
        <f>IF(ISNA(H1197),NA(),G827)</f>
        <v>0</v>
      </c>
      <c r="H1197">
        <f>IF(OR(H827="",AND(H827=H826,H827=H828)),NA(), H827)</f>
        <v>0</v>
      </c>
      <c r="K1197">
        <f>IF(ISNA(L1197),NA(),K827)</f>
        <v>0</v>
      </c>
      <c r="L1197">
        <f>IF(OR(L827="",AND(L827=L826,L827=L828)),NA(), L827)</f>
        <v>0</v>
      </c>
      <c r="M1197">
        <f>IF(ISNA(N1197),NA(),M827)</f>
        <v>0</v>
      </c>
      <c r="N1197">
        <f>IF(OR(N827="",AND(N827=N826,N827=N828)),NA(), N827)</f>
        <v>0</v>
      </c>
    </row>
    <row r="1198" spans="5:14">
      <c r="E1198">
        <f>IF(ISNA(F1198),NA(),E828)</f>
        <v>0</v>
      </c>
      <c r="F1198">
        <f>IF(OR(F828="",AND(F828=F827,F828=F829)),NA(), F828)</f>
        <v>0</v>
      </c>
      <c r="G1198">
        <f>IF(ISNA(H1198),NA(),G828)</f>
        <v>0</v>
      </c>
      <c r="H1198">
        <f>IF(OR(H828="",AND(H828=H827,H828=H829)),NA(), H828)</f>
        <v>0</v>
      </c>
      <c r="K1198">
        <f>IF(ISNA(L1198),NA(),K828)</f>
        <v>0</v>
      </c>
      <c r="L1198">
        <f>IF(OR(L828="",AND(L828=L827,L828=L829)),NA(), L828)</f>
        <v>0</v>
      </c>
      <c r="M1198">
        <f>IF(ISNA(N1198),NA(),M828)</f>
        <v>0</v>
      </c>
      <c r="N1198">
        <f>IF(OR(N828="",AND(N828=N827,N828=N829)),NA(), N828)</f>
        <v>0</v>
      </c>
    </row>
    <row r="1199" spans="5:14">
      <c r="E1199">
        <f>IF(ISNA(F1199),NA(),E829)</f>
        <v>0</v>
      </c>
      <c r="F1199">
        <f>IF(OR(F829="",AND(F829=F828,F829=F830)),NA(), F829)</f>
        <v>0</v>
      </c>
      <c r="G1199">
        <f>IF(ISNA(H1199),NA(),G829)</f>
        <v>0</v>
      </c>
      <c r="H1199">
        <f>IF(OR(H829="",AND(H829=H828,H829=H830)),NA(), H829)</f>
        <v>0</v>
      </c>
      <c r="K1199">
        <f>IF(ISNA(L1199),NA(),K829)</f>
        <v>0</v>
      </c>
      <c r="L1199">
        <f>IF(OR(L829="",AND(L829=L828,L829=L830)),NA(), L829)</f>
        <v>0</v>
      </c>
      <c r="M1199">
        <f>IF(ISNA(N1199),NA(),M829)</f>
        <v>0</v>
      </c>
      <c r="N1199">
        <f>IF(OR(N829="",AND(N829=N828,N829=N830)),NA(), N829)</f>
        <v>0</v>
      </c>
    </row>
    <row r="1200" spans="5:14">
      <c r="E1200">
        <f>IF(ISNA(F1200),NA(),E830)</f>
        <v>0</v>
      </c>
      <c r="F1200">
        <f>IF(OR(F830="",AND(F830=F829,F830=F831)),NA(), F830)</f>
        <v>0</v>
      </c>
      <c r="G1200">
        <f>IF(ISNA(H1200),NA(),G830)</f>
        <v>0</v>
      </c>
      <c r="H1200">
        <f>IF(OR(H830="",AND(H830=H829,H830=H831)),NA(), H830)</f>
        <v>0</v>
      </c>
      <c r="K1200">
        <f>IF(ISNA(L1200),NA(),K830)</f>
        <v>0</v>
      </c>
      <c r="L1200">
        <f>IF(OR(L830="",AND(L830=L829,L830=L831)),NA(), L830)</f>
        <v>0</v>
      </c>
      <c r="M1200">
        <f>IF(ISNA(N1200),NA(),M830)</f>
        <v>0</v>
      </c>
      <c r="N1200">
        <f>IF(OR(N830="",AND(N830=N829,N830=N831)),NA(), N830)</f>
        <v>0</v>
      </c>
    </row>
    <row r="1201" spans="5:14">
      <c r="E1201">
        <f>IF(ISNA(F1201),NA(),E831)</f>
        <v>0</v>
      </c>
      <c r="F1201">
        <f>IF(OR(F831="",AND(F831=F830,F831=F832)),NA(), F831)</f>
        <v>0</v>
      </c>
      <c r="G1201">
        <f>IF(ISNA(H1201),NA(),G831)</f>
        <v>0</v>
      </c>
      <c r="H1201">
        <f>IF(OR(H831="",AND(H831=H830,H831=H832)),NA(), H831)</f>
        <v>0</v>
      </c>
      <c r="K1201">
        <f>IF(ISNA(L1201),NA(),K831)</f>
        <v>0</v>
      </c>
      <c r="L1201">
        <f>IF(OR(L831="",AND(L831=L830,L831=L832)),NA(), L831)</f>
        <v>0</v>
      </c>
      <c r="M1201">
        <f>IF(ISNA(N1201),NA(),M831)</f>
        <v>0</v>
      </c>
      <c r="N1201">
        <f>IF(OR(N831="",AND(N831=N830,N831=N832)),NA(), N831)</f>
        <v>0</v>
      </c>
    </row>
    <row r="1202" spans="5:14">
      <c r="E1202">
        <f>IF(ISNA(F1202),NA(),E832)</f>
        <v>0</v>
      </c>
      <c r="F1202">
        <f>IF(OR(F832="",AND(F832=F831,F832=F833)),NA(), F832)</f>
        <v>0</v>
      </c>
      <c r="G1202">
        <f>IF(ISNA(H1202),NA(),G832)</f>
        <v>0</v>
      </c>
      <c r="H1202">
        <f>IF(OR(H832="",AND(H832=H831,H832=H833)),NA(), H832)</f>
        <v>0</v>
      </c>
      <c r="K1202">
        <f>IF(ISNA(L1202),NA(),K832)</f>
        <v>0</v>
      </c>
      <c r="L1202">
        <f>IF(OR(L832="",AND(L832=L831,L832=L833)),NA(), L832)</f>
        <v>0</v>
      </c>
      <c r="M1202">
        <f>IF(ISNA(N1202),NA(),M832)</f>
        <v>0</v>
      </c>
      <c r="N1202">
        <f>IF(OR(N832="",AND(N832=N831,N832=N833)),NA(), N832)</f>
        <v>0</v>
      </c>
    </row>
    <row r="1203" spans="5:14">
      <c r="E1203">
        <f>IF(ISNA(F1203),NA(),E833)</f>
        <v>0</v>
      </c>
      <c r="F1203">
        <f>IF(OR(F833="",AND(F833=F832,F833=F834)),NA(), F833)</f>
        <v>0</v>
      </c>
      <c r="G1203">
        <f>IF(ISNA(H1203),NA(),G833)</f>
        <v>0</v>
      </c>
      <c r="H1203">
        <f>IF(OR(H833="",AND(H833=H832,H833=H834)),NA(), H833)</f>
        <v>0</v>
      </c>
      <c r="K1203">
        <f>IF(ISNA(L1203),NA(),K833)</f>
        <v>0</v>
      </c>
      <c r="L1203">
        <f>IF(OR(L833="",AND(L833=L832,L833=L834)),NA(), L833)</f>
        <v>0</v>
      </c>
      <c r="M1203">
        <f>IF(ISNA(N1203),NA(),M833)</f>
        <v>0</v>
      </c>
      <c r="N1203">
        <f>IF(OR(N833="",AND(N833=N832,N833=N834)),NA(), N833)</f>
        <v>0</v>
      </c>
    </row>
    <row r="1204" spans="5:14">
      <c r="E1204">
        <f>IF(ISNA(F1204),NA(),E834)</f>
        <v>0</v>
      </c>
      <c r="F1204">
        <f>IF(OR(F834="",AND(F834=F833,F834=F835)),NA(), F834)</f>
        <v>0</v>
      </c>
      <c r="G1204">
        <f>IF(ISNA(H1204),NA(),G834)</f>
        <v>0</v>
      </c>
      <c r="H1204">
        <f>IF(OR(H834="",AND(H834=H833,H834=H835)),NA(), H834)</f>
        <v>0</v>
      </c>
      <c r="K1204">
        <f>IF(ISNA(L1204),NA(),K834)</f>
        <v>0</v>
      </c>
      <c r="L1204">
        <f>IF(OR(L834="",AND(L834=L833,L834=L835)),NA(), L834)</f>
        <v>0</v>
      </c>
      <c r="M1204">
        <f>IF(ISNA(N1204),NA(),M834)</f>
        <v>0</v>
      </c>
      <c r="N1204">
        <f>IF(OR(N834="",AND(N834=N833,N834=N835)),NA(), N834)</f>
        <v>0</v>
      </c>
    </row>
    <row r="1205" spans="5:14">
      <c r="E1205">
        <f>IF(ISNA(F1205),NA(),E835)</f>
        <v>0</v>
      </c>
      <c r="F1205">
        <f>IF(OR(F835="",AND(F835=F834,F835=F836)),NA(), F835)</f>
        <v>0</v>
      </c>
      <c r="G1205">
        <f>IF(ISNA(H1205),NA(),G835)</f>
        <v>0</v>
      </c>
      <c r="H1205">
        <f>IF(OR(H835="",AND(H835=H834,H835=H836)),NA(), H835)</f>
        <v>0</v>
      </c>
      <c r="K1205">
        <f>IF(ISNA(L1205),NA(),K835)</f>
        <v>0</v>
      </c>
      <c r="L1205">
        <f>IF(OR(L835="",AND(L835=L834,L835=L836)),NA(), L835)</f>
        <v>0</v>
      </c>
      <c r="M1205">
        <f>IF(ISNA(N1205),NA(),M835)</f>
        <v>0</v>
      </c>
      <c r="N1205">
        <f>IF(OR(N835="",AND(N835=N834,N835=N836)),NA(), N835)</f>
        <v>0</v>
      </c>
    </row>
    <row r="1206" spans="5:14">
      <c r="E1206">
        <f>IF(ISNA(F1206),NA(),E836)</f>
        <v>0</v>
      </c>
      <c r="F1206">
        <f>IF(OR(F836="",AND(F836=F835,F836=F837)),NA(), F836)</f>
        <v>0</v>
      </c>
      <c r="G1206">
        <f>IF(ISNA(H1206),NA(),G836)</f>
        <v>0</v>
      </c>
      <c r="H1206">
        <f>IF(OR(H836="",AND(H836=H835,H836=H837)),NA(), H836)</f>
        <v>0</v>
      </c>
      <c r="K1206">
        <f>IF(ISNA(L1206),NA(),K836)</f>
        <v>0</v>
      </c>
      <c r="L1206">
        <f>IF(OR(L836="",AND(L836=L835,L836=L837)),NA(), L836)</f>
        <v>0</v>
      </c>
      <c r="M1206">
        <f>IF(ISNA(N1206),NA(),M836)</f>
        <v>0</v>
      </c>
      <c r="N1206">
        <f>IF(OR(N836="",AND(N836=N835,N836=N837)),NA(), N836)</f>
        <v>0</v>
      </c>
    </row>
    <row r="1207" spans="5:14">
      <c r="E1207">
        <f>IF(ISNA(F1207),NA(),E837)</f>
        <v>0</v>
      </c>
      <c r="F1207">
        <f>IF(OR(F837="",AND(F837=F836,F837=F838)),NA(), F837)</f>
        <v>0</v>
      </c>
      <c r="G1207">
        <f>IF(ISNA(H1207),NA(),G837)</f>
        <v>0</v>
      </c>
      <c r="H1207">
        <f>IF(OR(H837="",AND(H837=H836,H837=H838)),NA(), H837)</f>
        <v>0</v>
      </c>
      <c r="K1207">
        <f>IF(ISNA(L1207),NA(),K837)</f>
        <v>0</v>
      </c>
      <c r="L1207">
        <f>IF(OR(L837="",AND(L837=L836,L837=L838)),NA(), L837)</f>
        <v>0</v>
      </c>
      <c r="M1207">
        <f>IF(ISNA(N1207),NA(),M837)</f>
        <v>0</v>
      </c>
      <c r="N1207">
        <f>IF(OR(N837="",AND(N837=N836,N837=N838)),NA(), N837)</f>
        <v>0</v>
      </c>
    </row>
    <row r="1208" spans="5:14">
      <c r="E1208">
        <f>IF(ISNA(F1208),NA(),E838)</f>
        <v>0</v>
      </c>
      <c r="F1208">
        <f>IF(OR(F838="",AND(F838=F837,F838=F839)),NA(), F838)</f>
        <v>0</v>
      </c>
      <c r="G1208">
        <f>IF(ISNA(H1208),NA(),G838)</f>
        <v>0</v>
      </c>
      <c r="H1208">
        <f>IF(OR(H838="",AND(H838=H837,H838=H839)),NA(), H838)</f>
        <v>0</v>
      </c>
      <c r="K1208">
        <f>IF(ISNA(L1208),NA(),K838)</f>
        <v>0</v>
      </c>
      <c r="L1208">
        <f>IF(OR(L838="",AND(L838=L837,L838=L839)),NA(), L838)</f>
        <v>0</v>
      </c>
      <c r="M1208">
        <f>IF(ISNA(N1208),NA(),M838)</f>
        <v>0</v>
      </c>
      <c r="N1208">
        <f>IF(OR(N838="",AND(N838=N837,N838=N839)),NA(), N838)</f>
        <v>0</v>
      </c>
    </row>
    <row r="1209" spans="5:14">
      <c r="E1209">
        <f>IF(ISNA(F1209),NA(),E839)</f>
        <v>0</v>
      </c>
      <c r="F1209">
        <f>IF(OR(F839="",AND(F839=F838,F839=F840)),NA(), F839)</f>
        <v>0</v>
      </c>
      <c r="G1209">
        <f>IF(ISNA(H1209),NA(),G839)</f>
        <v>0</v>
      </c>
      <c r="H1209">
        <f>IF(OR(H839="",AND(H839=H838,H839=H840)),NA(), H839)</f>
        <v>0</v>
      </c>
      <c r="K1209">
        <f>IF(ISNA(L1209),NA(),K839)</f>
        <v>0</v>
      </c>
      <c r="L1209">
        <f>IF(OR(L839="",AND(L839=L838,L839=L840)),NA(), L839)</f>
        <v>0</v>
      </c>
      <c r="M1209">
        <f>IF(ISNA(N1209),NA(),M839)</f>
        <v>0</v>
      </c>
      <c r="N1209">
        <f>IF(OR(N839="",AND(N839=N838,N839=N840)),NA(), N839)</f>
        <v>0</v>
      </c>
    </row>
    <row r="1210" spans="5:14">
      <c r="E1210">
        <f>IF(ISNA(F1210),NA(),E840)</f>
        <v>0</v>
      </c>
      <c r="F1210">
        <f>IF(OR(F840="",AND(F840=F839,F840=F841)),NA(), F840)</f>
        <v>0</v>
      </c>
      <c r="G1210">
        <f>IF(ISNA(H1210),NA(),G840)</f>
        <v>0</v>
      </c>
      <c r="H1210">
        <f>IF(OR(H840="",AND(H840=H839,H840=H841)),NA(), H840)</f>
        <v>0</v>
      </c>
      <c r="K1210">
        <f>IF(ISNA(L1210),NA(),K840)</f>
        <v>0</v>
      </c>
      <c r="L1210">
        <f>IF(OR(L840="",AND(L840=L839,L840=L841)),NA(), L840)</f>
        <v>0</v>
      </c>
      <c r="M1210">
        <f>IF(ISNA(N1210),NA(),M840)</f>
        <v>0</v>
      </c>
      <c r="N1210">
        <f>IF(OR(N840="",AND(N840=N839,N840=N841)),NA(), N840)</f>
        <v>0</v>
      </c>
    </row>
    <row r="1211" spans="5:14">
      <c r="E1211">
        <f>IF(ISNA(F1211),NA(),E841)</f>
        <v>0</v>
      </c>
      <c r="F1211">
        <f>IF(OR(F841="",AND(F841=F840,F841=F842)),NA(), F841)</f>
        <v>0</v>
      </c>
      <c r="G1211">
        <f>IF(ISNA(H1211),NA(),G841)</f>
        <v>0</v>
      </c>
      <c r="H1211">
        <f>IF(OR(H841="",AND(H841=H840,H841=H842)),NA(), H841)</f>
        <v>0</v>
      </c>
      <c r="K1211">
        <f>IF(ISNA(L1211),NA(),K841)</f>
        <v>0</v>
      </c>
      <c r="L1211">
        <f>IF(OR(L841="",AND(L841=L840,L841=L842)),NA(), L841)</f>
        <v>0</v>
      </c>
      <c r="M1211">
        <f>IF(ISNA(N1211),NA(),M841)</f>
        <v>0</v>
      </c>
      <c r="N1211">
        <f>IF(OR(N841="",AND(N841=N840,N841=N842)),NA(), N841)</f>
        <v>0</v>
      </c>
    </row>
    <row r="1212" spans="5:14">
      <c r="E1212">
        <f>IF(ISNA(F1212),NA(),E842)</f>
        <v>0</v>
      </c>
      <c r="F1212">
        <f>IF(OR(F842="",AND(F842=F841,F842=F843)),NA(), F842)</f>
        <v>0</v>
      </c>
      <c r="G1212">
        <f>IF(ISNA(H1212),NA(),G842)</f>
        <v>0</v>
      </c>
      <c r="H1212">
        <f>IF(OR(H842="",AND(H842=H841,H842=H843)),NA(), H842)</f>
        <v>0</v>
      </c>
      <c r="K1212">
        <f>IF(ISNA(L1212),NA(),K842)</f>
        <v>0</v>
      </c>
      <c r="L1212">
        <f>IF(OR(L842="",AND(L842=L841,L842=L843)),NA(), L842)</f>
        <v>0</v>
      </c>
      <c r="M1212">
        <f>IF(ISNA(N1212),NA(),M842)</f>
        <v>0</v>
      </c>
      <c r="N1212">
        <f>IF(OR(N842="",AND(N842=N841,N842=N843)),NA(), N842)</f>
        <v>0</v>
      </c>
    </row>
    <row r="1213" spans="5:14">
      <c r="E1213">
        <f>IF(ISNA(F1213),NA(),E843)</f>
        <v>0</v>
      </c>
      <c r="F1213">
        <f>IF(OR(F843="",AND(F843=F842,F843=F844)),NA(), F843)</f>
        <v>0</v>
      </c>
      <c r="G1213">
        <f>IF(ISNA(H1213),NA(),G843)</f>
        <v>0</v>
      </c>
      <c r="H1213">
        <f>IF(OR(H843="",AND(H843=H842,H843=H844)),NA(), H843)</f>
        <v>0</v>
      </c>
      <c r="K1213">
        <f>IF(ISNA(L1213),NA(),K843)</f>
        <v>0</v>
      </c>
      <c r="L1213">
        <f>IF(OR(L843="",AND(L843=L842,L843=L844)),NA(), L843)</f>
        <v>0</v>
      </c>
      <c r="M1213">
        <f>IF(ISNA(N1213),NA(),M843)</f>
        <v>0</v>
      </c>
      <c r="N1213">
        <f>IF(OR(N843="",AND(N843=N842,N843=N844)),NA(), N843)</f>
        <v>0</v>
      </c>
    </row>
    <row r="1214" spans="5:14">
      <c r="E1214">
        <f>IF(ISNA(F1214),NA(),E844)</f>
        <v>0</v>
      </c>
      <c r="F1214">
        <f>IF(OR(F844="",AND(F844=F843,F844=F845)),NA(), F844)</f>
        <v>0</v>
      </c>
      <c r="G1214">
        <f>IF(ISNA(H1214),NA(),G844)</f>
        <v>0</v>
      </c>
      <c r="H1214">
        <f>IF(OR(H844="",AND(H844=H843,H844=H845)),NA(), H844)</f>
        <v>0</v>
      </c>
      <c r="K1214">
        <f>IF(ISNA(L1214),NA(),K844)</f>
        <v>0</v>
      </c>
      <c r="L1214">
        <f>IF(OR(L844="",AND(L844=L843,L844=L845)),NA(), L844)</f>
        <v>0</v>
      </c>
      <c r="M1214">
        <f>IF(ISNA(N1214),NA(),M844)</f>
        <v>0</v>
      </c>
      <c r="N1214">
        <f>IF(OR(N844="",AND(N844=N843,N844=N845)),NA(), N844)</f>
        <v>0</v>
      </c>
    </row>
    <row r="1215" spans="5:14">
      <c r="E1215">
        <f>IF(ISNA(F1215),NA(),E845)</f>
        <v>0</v>
      </c>
      <c r="F1215">
        <f>IF(OR(F845="",AND(F845=F844,F845=F846)),NA(), F845)</f>
        <v>0</v>
      </c>
      <c r="G1215">
        <f>IF(ISNA(H1215),NA(),G845)</f>
        <v>0</v>
      </c>
      <c r="H1215">
        <f>IF(OR(H845="",AND(H845=H844,H845=H846)),NA(), H845)</f>
        <v>0</v>
      </c>
      <c r="K1215">
        <f>IF(ISNA(L1215),NA(),K845)</f>
        <v>0</v>
      </c>
      <c r="L1215">
        <f>IF(OR(L845="",AND(L845=L844,L845=L846)),NA(), L845)</f>
        <v>0</v>
      </c>
      <c r="M1215">
        <f>IF(ISNA(N1215),NA(),M845)</f>
        <v>0</v>
      </c>
      <c r="N1215">
        <f>IF(OR(N845="",AND(N845=N844,N845=N846)),NA(), N845)</f>
        <v>0</v>
      </c>
    </row>
    <row r="1216" spans="5:14">
      <c r="E1216">
        <f>IF(ISNA(F1216),NA(),E846)</f>
        <v>0</v>
      </c>
      <c r="F1216">
        <f>IF(OR(F846="",AND(F846=F845,F846=F847)),NA(), F846)</f>
        <v>0</v>
      </c>
      <c r="G1216">
        <f>IF(ISNA(H1216),NA(),G846)</f>
        <v>0</v>
      </c>
      <c r="H1216">
        <f>IF(OR(H846="",AND(H846=H845,H846=H847)),NA(), H846)</f>
        <v>0</v>
      </c>
      <c r="K1216">
        <f>IF(ISNA(L1216),NA(),K846)</f>
        <v>0</v>
      </c>
      <c r="L1216">
        <f>IF(OR(L846="",AND(L846=L845,L846=L847)),NA(), L846)</f>
        <v>0</v>
      </c>
      <c r="M1216">
        <f>IF(ISNA(N1216),NA(),M846)</f>
        <v>0</v>
      </c>
      <c r="N1216">
        <f>IF(OR(N846="",AND(N846=N845,N846=N847)),NA(), N846)</f>
        <v>0</v>
      </c>
    </row>
    <row r="1217" spans="5:14">
      <c r="E1217">
        <f>IF(ISNA(F1217),NA(),E847)</f>
        <v>0</v>
      </c>
      <c r="F1217">
        <f>IF(OR(F847="",AND(F847=F846,F847=F848)),NA(), F847)</f>
        <v>0</v>
      </c>
      <c r="G1217">
        <f>IF(ISNA(H1217),NA(),G847)</f>
        <v>0</v>
      </c>
      <c r="H1217">
        <f>IF(OR(H847="",AND(H847=H846,H847=H848)),NA(), H847)</f>
        <v>0</v>
      </c>
      <c r="K1217">
        <f>IF(ISNA(L1217),NA(),K847)</f>
        <v>0</v>
      </c>
      <c r="L1217">
        <f>IF(OR(L847="",AND(L847=L846,L847=L848)),NA(), L847)</f>
        <v>0</v>
      </c>
      <c r="M1217">
        <f>IF(ISNA(N1217),NA(),M847)</f>
        <v>0</v>
      </c>
      <c r="N1217">
        <f>IF(OR(N847="",AND(N847=N846,N847=N848)),NA(), N847)</f>
        <v>0</v>
      </c>
    </row>
    <row r="1218" spans="5:14">
      <c r="E1218">
        <f>IF(ISNA(F1218),NA(),E848)</f>
        <v>0</v>
      </c>
      <c r="F1218">
        <f>IF(OR(F848="",AND(F848=F847,F848=F849)),NA(), F848)</f>
        <v>0</v>
      </c>
      <c r="G1218">
        <f>IF(ISNA(H1218),NA(),G848)</f>
        <v>0</v>
      </c>
      <c r="H1218">
        <f>IF(OR(H848="",AND(H848=H847,H848=H849)),NA(), H848)</f>
        <v>0</v>
      </c>
      <c r="K1218">
        <f>IF(ISNA(L1218),NA(),K848)</f>
        <v>0</v>
      </c>
      <c r="L1218">
        <f>IF(OR(L848="",AND(L848=L847,L848=L849)),NA(), L848)</f>
        <v>0</v>
      </c>
      <c r="M1218">
        <f>IF(ISNA(N1218),NA(),M848)</f>
        <v>0</v>
      </c>
      <c r="N1218">
        <f>IF(OR(N848="",AND(N848=N847,N848=N849)),NA(), N848)</f>
        <v>0</v>
      </c>
    </row>
    <row r="1219" spans="5:14">
      <c r="E1219">
        <f>IF(ISNA(F1219),NA(),E849)</f>
        <v>0</v>
      </c>
      <c r="F1219">
        <f>IF(OR(F849="",AND(F849=F848,F849=F850)),NA(), F849)</f>
        <v>0</v>
      </c>
      <c r="G1219">
        <f>IF(ISNA(H1219),NA(),G849)</f>
        <v>0</v>
      </c>
      <c r="H1219">
        <f>IF(OR(H849="",AND(H849=H848,H849=H850)),NA(), H849)</f>
        <v>0</v>
      </c>
      <c r="K1219">
        <f>IF(ISNA(L1219),NA(),K849)</f>
        <v>0</v>
      </c>
      <c r="L1219">
        <f>IF(OR(L849="",AND(L849=L848,L849=L850)),NA(), L849)</f>
        <v>0</v>
      </c>
      <c r="M1219">
        <f>IF(ISNA(N1219),NA(),M849)</f>
        <v>0</v>
      </c>
      <c r="N1219">
        <f>IF(OR(N849="",AND(N849=N848,N849=N850)),NA(), N849)</f>
        <v>0</v>
      </c>
    </row>
    <row r="1220" spans="5:14">
      <c r="E1220">
        <f>IF(ISNA(F1220),NA(),E850)</f>
        <v>0</v>
      </c>
      <c r="F1220">
        <f>IF(OR(F850="",AND(F850=F849,F850=F851)),NA(), F850)</f>
        <v>0</v>
      </c>
      <c r="G1220">
        <f>IF(ISNA(H1220),NA(),G850)</f>
        <v>0</v>
      </c>
      <c r="H1220">
        <f>IF(OR(H850="",AND(H850=H849,H850=H851)),NA(), H850)</f>
        <v>0</v>
      </c>
      <c r="K1220">
        <f>IF(ISNA(L1220),NA(),K850)</f>
        <v>0</v>
      </c>
      <c r="L1220">
        <f>IF(OR(L850="",AND(L850=L849,L850=L851)),NA(), L850)</f>
        <v>0</v>
      </c>
      <c r="M1220">
        <f>IF(ISNA(N1220),NA(),M850)</f>
        <v>0</v>
      </c>
      <c r="N1220">
        <f>IF(OR(N850="",AND(N850=N849,N850=N851)),NA(), N850)</f>
        <v>0</v>
      </c>
    </row>
    <row r="1221" spans="5:14">
      <c r="E1221">
        <f>IF(ISNA(F1221),NA(),E851)</f>
        <v>0</v>
      </c>
      <c r="F1221">
        <f>IF(OR(F851="",AND(F851=F850,F851=F852)),NA(), F851)</f>
        <v>0</v>
      </c>
      <c r="G1221">
        <f>IF(ISNA(H1221),NA(),G851)</f>
        <v>0</v>
      </c>
      <c r="H1221">
        <f>IF(OR(H851="",AND(H851=H850,H851=H852)),NA(), H851)</f>
        <v>0</v>
      </c>
      <c r="K1221">
        <f>IF(ISNA(L1221),NA(),K851)</f>
        <v>0</v>
      </c>
      <c r="L1221">
        <f>IF(OR(L851="",AND(L851=L850,L851=L852)),NA(), L851)</f>
        <v>0</v>
      </c>
      <c r="M1221">
        <f>IF(ISNA(N1221),NA(),M851)</f>
        <v>0</v>
      </c>
      <c r="N1221">
        <f>IF(OR(N851="",AND(N851=N850,N851=N852)),NA(), N851)</f>
        <v>0</v>
      </c>
    </row>
    <row r="1222" spans="5:14">
      <c r="E1222">
        <f>IF(ISNA(F1222),NA(),E852)</f>
        <v>0</v>
      </c>
      <c r="F1222">
        <f>IF(OR(F852="",AND(F852=F851,F852=F853)),NA(), F852)</f>
        <v>0</v>
      </c>
      <c r="G1222">
        <f>IF(ISNA(H1222),NA(),G852)</f>
        <v>0</v>
      </c>
      <c r="H1222">
        <f>IF(OR(H852="",AND(H852=H851,H852=H853)),NA(), H852)</f>
        <v>0</v>
      </c>
      <c r="K1222">
        <f>IF(ISNA(L1222),NA(),K852)</f>
        <v>0</v>
      </c>
      <c r="L1222">
        <f>IF(OR(L852="",AND(L852=L851,L852=L853)),NA(), L852)</f>
        <v>0</v>
      </c>
      <c r="M1222">
        <f>IF(ISNA(N1222),NA(),M852)</f>
        <v>0</v>
      </c>
      <c r="N1222">
        <f>IF(OR(N852="",AND(N852=N851,N852=N853)),NA(), N852)</f>
        <v>0</v>
      </c>
    </row>
    <row r="1223" spans="5:14">
      <c r="E1223">
        <f>IF(ISNA(F1223),NA(),E853)</f>
        <v>0</v>
      </c>
      <c r="F1223">
        <f>IF(OR(F853="",AND(F853=F852,F853=F854)),NA(), F853)</f>
        <v>0</v>
      </c>
      <c r="G1223">
        <f>IF(ISNA(H1223),NA(),G853)</f>
        <v>0</v>
      </c>
      <c r="H1223">
        <f>IF(OR(H853="",AND(H853=H852,H853=H854)),NA(), H853)</f>
        <v>0</v>
      </c>
      <c r="K1223">
        <f>IF(ISNA(L1223),NA(),K853)</f>
        <v>0</v>
      </c>
      <c r="L1223">
        <f>IF(OR(L853="",AND(L853=L852,L853=L854)),NA(), L853)</f>
        <v>0</v>
      </c>
      <c r="M1223">
        <f>IF(ISNA(N1223),NA(),M853)</f>
        <v>0</v>
      </c>
      <c r="N1223">
        <f>IF(OR(N853="",AND(N853=N852,N853=N854)),NA(), N853)</f>
        <v>0</v>
      </c>
    </row>
    <row r="1224" spans="5:14">
      <c r="E1224">
        <f>IF(ISNA(F1224),NA(),E854)</f>
        <v>0</v>
      </c>
      <c r="F1224">
        <f>IF(OR(F854="",AND(F854=F853,F854=F855)),NA(), F854)</f>
        <v>0</v>
      </c>
      <c r="G1224">
        <f>IF(ISNA(H1224),NA(),G854)</f>
        <v>0</v>
      </c>
      <c r="H1224">
        <f>IF(OR(H854="",AND(H854=H853,H854=H855)),NA(), H854)</f>
        <v>0</v>
      </c>
      <c r="K1224">
        <f>IF(ISNA(L1224),NA(),K854)</f>
        <v>0</v>
      </c>
      <c r="L1224">
        <f>IF(OR(L854="",AND(L854=L853,L854=L855)),NA(), L854)</f>
        <v>0</v>
      </c>
      <c r="M1224">
        <f>IF(ISNA(N1224),NA(),M854)</f>
        <v>0</v>
      </c>
      <c r="N1224">
        <f>IF(OR(N854="",AND(N854=N853,N854=N855)),NA(), N854)</f>
        <v>0</v>
      </c>
    </row>
    <row r="1225" spans="5:14">
      <c r="E1225">
        <f>IF(ISNA(F1225),NA(),E855)</f>
        <v>0</v>
      </c>
      <c r="F1225">
        <f>IF(OR(F855="",AND(F855=F854,F855=F856)),NA(), F855)</f>
        <v>0</v>
      </c>
      <c r="G1225">
        <f>IF(ISNA(H1225),NA(),G855)</f>
        <v>0</v>
      </c>
      <c r="H1225">
        <f>IF(OR(H855="",AND(H855=H854,H855=H856)),NA(), H855)</f>
        <v>0</v>
      </c>
      <c r="K1225">
        <f>IF(ISNA(L1225),NA(),K855)</f>
        <v>0</v>
      </c>
      <c r="L1225">
        <f>IF(OR(L855="",AND(L855=L854,L855=L856)),NA(), L855)</f>
        <v>0</v>
      </c>
      <c r="M1225">
        <f>IF(ISNA(N1225),NA(),M855)</f>
        <v>0</v>
      </c>
      <c r="N1225">
        <f>IF(OR(N855="",AND(N855=N854,N855=N856)),NA(), N855)</f>
        <v>0</v>
      </c>
    </row>
    <row r="1226" spans="5:14">
      <c r="E1226">
        <f>IF(ISNA(F1226),NA(),E856)</f>
        <v>0</v>
      </c>
      <c r="F1226">
        <f>IF(OR(F856="",AND(F856=F855,F856=F857)),NA(), F856)</f>
        <v>0</v>
      </c>
      <c r="G1226">
        <f>IF(ISNA(H1226),NA(),G856)</f>
        <v>0</v>
      </c>
      <c r="H1226">
        <f>IF(OR(H856="",AND(H856=H855,H856=H857)),NA(), H856)</f>
        <v>0</v>
      </c>
      <c r="K1226">
        <f>IF(ISNA(L1226),NA(),K856)</f>
        <v>0</v>
      </c>
      <c r="L1226">
        <f>IF(OR(L856="",AND(L856=L855,L856=L857)),NA(), L856)</f>
        <v>0</v>
      </c>
      <c r="M1226">
        <f>IF(ISNA(N1226),NA(),M856)</f>
        <v>0</v>
      </c>
      <c r="N1226">
        <f>IF(OR(N856="",AND(N856=N855,N856=N857)),NA(), N856)</f>
        <v>0</v>
      </c>
    </row>
    <row r="1227" spans="5:14">
      <c r="E1227">
        <f>IF(ISNA(F1227),NA(),E857)</f>
        <v>0</v>
      </c>
      <c r="F1227">
        <f>IF(OR(F857="",AND(F857=F856,F857=F858)),NA(), F857)</f>
        <v>0</v>
      </c>
      <c r="G1227">
        <f>IF(ISNA(H1227),NA(),G857)</f>
        <v>0</v>
      </c>
      <c r="H1227">
        <f>IF(OR(H857="",AND(H857=H856,H857=H858)),NA(), H857)</f>
        <v>0</v>
      </c>
      <c r="K1227">
        <f>IF(ISNA(L1227),NA(),K857)</f>
        <v>0</v>
      </c>
      <c r="L1227">
        <f>IF(OR(L857="",AND(L857=L856,L857=L858)),NA(), L857)</f>
        <v>0</v>
      </c>
      <c r="M1227">
        <f>IF(ISNA(N1227),NA(),M857)</f>
        <v>0</v>
      </c>
      <c r="N1227">
        <f>IF(OR(N857="",AND(N857=N856,N857=N858)),NA(), N857)</f>
        <v>0</v>
      </c>
    </row>
    <row r="1228" spans="5:14">
      <c r="E1228">
        <f>IF(ISNA(F1228),NA(),E858)</f>
        <v>0</v>
      </c>
      <c r="F1228">
        <f>IF(OR(F858="",AND(F858=F857,F858=F859)),NA(), F858)</f>
        <v>0</v>
      </c>
      <c r="G1228">
        <f>IF(ISNA(H1228),NA(),G858)</f>
        <v>0</v>
      </c>
      <c r="H1228">
        <f>IF(OR(H858="",AND(H858=H857,H858=H859)),NA(), H858)</f>
        <v>0</v>
      </c>
      <c r="K1228">
        <f>IF(ISNA(L1228),NA(),K858)</f>
        <v>0</v>
      </c>
      <c r="L1228">
        <f>IF(OR(L858="",AND(L858=L857,L858=L859)),NA(), L858)</f>
        <v>0</v>
      </c>
      <c r="M1228">
        <f>IF(ISNA(N1228),NA(),M858)</f>
        <v>0</v>
      </c>
      <c r="N1228">
        <f>IF(OR(N858="",AND(N858=N857,N858=N859)),NA(), N858)</f>
        <v>0</v>
      </c>
    </row>
    <row r="1229" spans="5:14">
      <c r="E1229">
        <f>IF(ISNA(F1229),NA(),E859)</f>
        <v>0</v>
      </c>
      <c r="F1229">
        <f>IF(OR(F859="",AND(F859=F858,F859=F860)),NA(), F859)</f>
        <v>0</v>
      </c>
      <c r="G1229">
        <f>IF(ISNA(H1229),NA(),G859)</f>
        <v>0</v>
      </c>
      <c r="H1229">
        <f>IF(OR(H859="",AND(H859=H858,H859=H860)),NA(), H859)</f>
        <v>0</v>
      </c>
      <c r="K1229">
        <f>IF(ISNA(L1229),NA(),K859)</f>
        <v>0</v>
      </c>
      <c r="L1229">
        <f>IF(OR(L859="",AND(L859=L858,L859=L860)),NA(), L859)</f>
        <v>0</v>
      </c>
      <c r="M1229">
        <f>IF(ISNA(N1229),NA(),M859)</f>
        <v>0</v>
      </c>
      <c r="N1229">
        <f>IF(OR(N859="",AND(N859=N858,N859=N860)),NA(), N859)</f>
        <v>0</v>
      </c>
    </row>
    <row r="1230" spans="5:14">
      <c r="E1230">
        <f>IF(ISNA(F1230),NA(),E860)</f>
        <v>0</v>
      </c>
      <c r="F1230">
        <f>IF(OR(F860="",AND(F860=F859,F860=F861)),NA(), F860)</f>
        <v>0</v>
      </c>
      <c r="G1230">
        <f>IF(ISNA(H1230),NA(),G860)</f>
        <v>0</v>
      </c>
      <c r="H1230">
        <f>IF(OR(H860="",AND(H860=H859,H860=H861)),NA(), H860)</f>
        <v>0</v>
      </c>
      <c r="K1230">
        <f>IF(ISNA(L1230),NA(),K860)</f>
        <v>0</v>
      </c>
      <c r="L1230">
        <f>IF(OR(L860="",AND(L860=L859,L860=L861)),NA(), L860)</f>
        <v>0</v>
      </c>
      <c r="M1230">
        <f>IF(ISNA(N1230),NA(),M860)</f>
        <v>0</v>
      </c>
      <c r="N1230">
        <f>IF(OR(N860="",AND(N860=N859,N860=N861)),NA(), N860)</f>
        <v>0</v>
      </c>
    </row>
    <row r="1231" spans="5:14">
      <c r="E1231">
        <f>IF(ISNA(F1231),NA(),E861)</f>
        <v>0</v>
      </c>
      <c r="F1231">
        <f>IF(OR(F861="",AND(F861=F860,F861=F862)),NA(), F861)</f>
        <v>0</v>
      </c>
      <c r="G1231">
        <f>IF(ISNA(H1231),NA(),G861)</f>
        <v>0</v>
      </c>
      <c r="H1231">
        <f>IF(OR(H861="",AND(H861=H860,H861=H862)),NA(), H861)</f>
        <v>0</v>
      </c>
      <c r="K1231">
        <f>IF(ISNA(L1231),NA(),K861)</f>
        <v>0</v>
      </c>
      <c r="L1231">
        <f>IF(OR(L861="",AND(L861=L860,L861=L862)),NA(), L861)</f>
        <v>0</v>
      </c>
      <c r="M1231">
        <f>IF(ISNA(N1231),NA(),M861)</f>
        <v>0</v>
      </c>
      <c r="N1231">
        <f>IF(OR(N861="",AND(N861=N860,N861=N862)),NA(), N861)</f>
        <v>0</v>
      </c>
    </row>
    <row r="1232" spans="5:14">
      <c r="E1232">
        <f>IF(ISNA(F1232),NA(),E862)</f>
        <v>0</v>
      </c>
      <c r="F1232">
        <f>IF(OR(F862="",AND(F862=F861,F862=F863)),NA(), F862)</f>
        <v>0</v>
      </c>
      <c r="G1232">
        <f>IF(ISNA(H1232),NA(),G862)</f>
        <v>0</v>
      </c>
      <c r="H1232">
        <f>IF(OR(H862="",AND(H862=H861,H862=H863)),NA(), H862)</f>
        <v>0</v>
      </c>
      <c r="K1232">
        <f>IF(ISNA(L1232),NA(),K862)</f>
        <v>0</v>
      </c>
      <c r="L1232">
        <f>IF(OR(L862="",AND(L862=L861,L862=L863)),NA(), L862)</f>
        <v>0</v>
      </c>
      <c r="M1232">
        <f>IF(ISNA(N1232),NA(),M862)</f>
        <v>0</v>
      </c>
      <c r="N1232">
        <f>IF(OR(N862="",AND(N862=N861,N862=N863)),NA(), N862)</f>
        <v>0</v>
      </c>
    </row>
    <row r="1233" spans="5:14">
      <c r="E1233">
        <f>IF(ISNA(F1233),NA(),E863)</f>
        <v>0</v>
      </c>
      <c r="F1233">
        <f>IF(OR(F863="",AND(F863=F862,F863=F864)),NA(), F863)</f>
        <v>0</v>
      </c>
      <c r="G1233">
        <f>IF(ISNA(H1233),NA(),G863)</f>
        <v>0</v>
      </c>
      <c r="H1233">
        <f>IF(OR(H863="",AND(H863=H862,H863=H864)),NA(), H863)</f>
        <v>0</v>
      </c>
      <c r="K1233">
        <f>IF(ISNA(L1233),NA(),K863)</f>
        <v>0</v>
      </c>
      <c r="L1233">
        <f>IF(OR(L863="",AND(L863=L862,L863=L864)),NA(), L863)</f>
        <v>0</v>
      </c>
      <c r="M1233">
        <f>IF(ISNA(N1233),NA(),M863)</f>
        <v>0</v>
      </c>
      <c r="N1233">
        <f>IF(OR(N863="",AND(N863=N862,N863=N864)),NA(), N863)</f>
        <v>0</v>
      </c>
    </row>
    <row r="1234" spans="5:14">
      <c r="E1234">
        <f>IF(ISNA(F1234),NA(),E864)</f>
        <v>0</v>
      </c>
      <c r="F1234">
        <f>IF(OR(F864="",AND(F864=F863,F864=F865)),NA(), F864)</f>
        <v>0</v>
      </c>
      <c r="G1234">
        <f>IF(ISNA(H1234),NA(),G864)</f>
        <v>0</v>
      </c>
      <c r="H1234">
        <f>IF(OR(H864="",AND(H864=H863,H864=H865)),NA(), H864)</f>
        <v>0</v>
      </c>
      <c r="K1234">
        <f>IF(ISNA(L1234),NA(),K864)</f>
        <v>0</v>
      </c>
      <c r="L1234">
        <f>IF(OR(L864="",AND(L864=L863,L864=L865)),NA(), L864)</f>
        <v>0</v>
      </c>
      <c r="M1234">
        <f>IF(ISNA(N1234),NA(),M864)</f>
        <v>0</v>
      </c>
      <c r="N1234">
        <f>IF(OR(N864="",AND(N864=N863,N864=N865)),NA(), N864)</f>
        <v>0</v>
      </c>
    </row>
    <row r="1235" spans="5:14">
      <c r="E1235">
        <f>IF(ISNA(F1235),NA(),E865)</f>
        <v>0</v>
      </c>
      <c r="F1235">
        <f>IF(OR(F865="",AND(F865=F864,F865=F866)),NA(), F865)</f>
        <v>0</v>
      </c>
      <c r="G1235">
        <f>IF(ISNA(H1235),NA(),G865)</f>
        <v>0</v>
      </c>
      <c r="H1235">
        <f>IF(OR(H865="",AND(H865=H864,H865=H866)),NA(), H865)</f>
        <v>0</v>
      </c>
      <c r="K1235">
        <f>IF(ISNA(L1235),NA(),K865)</f>
        <v>0</v>
      </c>
      <c r="L1235">
        <f>IF(OR(L865="",AND(L865=L864,L865=L866)),NA(), L865)</f>
        <v>0</v>
      </c>
      <c r="M1235">
        <f>IF(ISNA(N1235),NA(),M865)</f>
        <v>0</v>
      </c>
      <c r="N1235">
        <f>IF(OR(N865="",AND(N865=N864,N865=N866)),NA(), N865)</f>
        <v>0</v>
      </c>
    </row>
    <row r="1236" spans="5:14">
      <c r="E1236">
        <f>IF(ISNA(F1236),NA(),E866)</f>
        <v>0</v>
      </c>
      <c r="F1236">
        <f>IF(OR(F866="",AND(F866=F865,F866=F867)),NA(), F866)</f>
        <v>0</v>
      </c>
      <c r="G1236">
        <f>IF(ISNA(H1236),NA(),G866)</f>
        <v>0</v>
      </c>
      <c r="H1236">
        <f>IF(OR(H866="",AND(H866=H865,H866=H867)),NA(), H866)</f>
        <v>0</v>
      </c>
      <c r="K1236">
        <f>IF(ISNA(L1236),NA(),K866)</f>
        <v>0</v>
      </c>
      <c r="L1236">
        <f>IF(OR(L866="",AND(L866=L865,L866=L867)),NA(), L866)</f>
        <v>0</v>
      </c>
      <c r="M1236">
        <f>IF(ISNA(N1236),NA(),M866)</f>
        <v>0</v>
      </c>
      <c r="N1236">
        <f>IF(OR(N866="",AND(N866=N865,N866=N867)),NA(), N866)</f>
        <v>0</v>
      </c>
    </row>
    <row r="1237" spans="5:14">
      <c r="E1237">
        <f>IF(ISNA(F1237),NA(),E867)</f>
        <v>0</v>
      </c>
      <c r="F1237">
        <f>IF(OR(F867="",AND(F867=F866,F867=F868)),NA(), F867)</f>
        <v>0</v>
      </c>
      <c r="G1237">
        <f>IF(ISNA(H1237),NA(),G867)</f>
        <v>0</v>
      </c>
      <c r="H1237">
        <f>IF(OR(H867="",AND(H867=H866,H867=H868)),NA(), H867)</f>
        <v>0</v>
      </c>
      <c r="K1237">
        <f>IF(ISNA(L1237),NA(),K867)</f>
        <v>0</v>
      </c>
      <c r="L1237">
        <f>IF(OR(L867="",AND(L867=L866,L867=L868)),NA(), L867)</f>
        <v>0</v>
      </c>
      <c r="M1237">
        <f>IF(ISNA(N1237),NA(),M867)</f>
        <v>0</v>
      </c>
      <c r="N1237">
        <f>IF(OR(N867="",AND(N867=N866,N867=N868)),NA(), N867)</f>
        <v>0</v>
      </c>
    </row>
    <row r="1238" spans="5:14">
      <c r="E1238">
        <f>IF(ISNA(F1238),NA(),E868)</f>
        <v>0</v>
      </c>
      <c r="F1238">
        <f>IF(OR(F868="",AND(F868=F867,F868=F869)),NA(), F868)</f>
        <v>0</v>
      </c>
      <c r="G1238">
        <f>IF(ISNA(H1238),NA(),G868)</f>
        <v>0</v>
      </c>
      <c r="H1238">
        <f>IF(OR(H868="",AND(H868=H867,H868=H869)),NA(), H868)</f>
        <v>0</v>
      </c>
      <c r="K1238">
        <f>IF(ISNA(L1238),NA(),K868)</f>
        <v>0</v>
      </c>
      <c r="L1238">
        <f>IF(OR(L868="",AND(L868=L867,L868=L869)),NA(), L868)</f>
        <v>0</v>
      </c>
      <c r="M1238">
        <f>IF(ISNA(N1238),NA(),M868)</f>
        <v>0</v>
      </c>
      <c r="N1238">
        <f>IF(OR(N868="",AND(N868=N867,N868=N869)),NA(), N868)</f>
        <v>0</v>
      </c>
    </row>
    <row r="1239" spans="5:14">
      <c r="E1239">
        <f>IF(ISNA(F1239),NA(),E869)</f>
        <v>0</v>
      </c>
      <c r="F1239">
        <f>IF(OR(F869="",AND(F869=F868,F869=F870)),NA(), F869)</f>
        <v>0</v>
      </c>
      <c r="G1239">
        <f>IF(ISNA(H1239),NA(),G869)</f>
        <v>0</v>
      </c>
      <c r="H1239">
        <f>IF(OR(H869="",AND(H869=H868,H869=H870)),NA(), H869)</f>
        <v>0</v>
      </c>
      <c r="K1239">
        <f>IF(ISNA(L1239),NA(),K869)</f>
        <v>0</v>
      </c>
      <c r="L1239">
        <f>IF(OR(L869="",AND(L869=L868,L869=L870)),NA(), L869)</f>
        <v>0</v>
      </c>
      <c r="M1239">
        <f>IF(ISNA(N1239),NA(),M869)</f>
        <v>0</v>
      </c>
      <c r="N1239">
        <f>IF(OR(N869="",AND(N869=N868,N869=N870)),NA(), N869)</f>
        <v>0</v>
      </c>
    </row>
    <row r="1240" spans="5:14">
      <c r="E1240">
        <f>IF(ISNA(F1240),NA(),E870)</f>
        <v>0</v>
      </c>
      <c r="F1240">
        <f>IF(OR(F870="",AND(F870=F869,F870=F871)),NA(), F870)</f>
        <v>0</v>
      </c>
      <c r="G1240">
        <f>IF(ISNA(H1240),NA(),G870)</f>
        <v>0</v>
      </c>
      <c r="H1240">
        <f>IF(OR(H870="",AND(H870=H869,H870=H871)),NA(), H870)</f>
        <v>0</v>
      </c>
      <c r="K1240">
        <f>IF(ISNA(L1240),NA(),K870)</f>
        <v>0</v>
      </c>
      <c r="L1240">
        <f>IF(OR(L870="",AND(L870=L869,L870=L871)),NA(), L870)</f>
        <v>0</v>
      </c>
      <c r="M1240">
        <f>IF(ISNA(N1240),NA(),M870)</f>
        <v>0</v>
      </c>
      <c r="N1240">
        <f>IF(OR(N870="",AND(N870=N869,N870=N871)),NA(), N870)</f>
        <v>0</v>
      </c>
    </row>
    <row r="1241" spans="5:14">
      <c r="E1241">
        <f>IF(ISNA(F1241),NA(),E871)</f>
        <v>0</v>
      </c>
      <c r="F1241">
        <f>IF(OR(F871="",AND(F871=F870,F871=F872)),NA(), F871)</f>
        <v>0</v>
      </c>
      <c r="G1241">
        <f>IF(ISNA(H1241),NA(),G871)</f>
        <v>0</v>
      </c>
      <c r="H1241">
        <f>IF(OR(H871="",AND(H871=H870,H871=H872)),NA(), H871)</f>
        <v>0</v>
      </c>
      <c r="K1241">
        <f>IF(ISNA(L1241),NA(),K871)</f>
        <v>0</v>
      </c>
      <c r="L1241">
        <f>IF(OR(L871="",AND(L871=L870,L871=L872)),NA(), L871)</f>
        <v>0</v>
      </c>
      <c r="M1241">
        <f>IF(ISNA(N1241),NA(),M871)</f>
        <v>0</v>
      </c>
      <c r="N1241">
        <f>IF(OR(N871="",AND(N871=N870,N871=N872)),NA(), N871)</f>
        <v>0</v>
      </c>
    </row>
    <row r="1242" spans="5:14">
      <c r="E1242">
        <f>IF(ISNA(F1242),NA(),E872)</f>
        <v>0</v>
      </c>
      <c r="F1242">
        <f>IF(OR(F872="",AND(F872=F871,F872=F873)),NA(), F872)</f>
        <v>0</v>
      </c>
      <c r="G1242">
        <f>IF(ISNA(H1242),NA(),G872)</f>
        <v>0</v>
      </c>
      <c r="H1242">
        <f>IF(OR(H872="",AND(H872=H871,H872=H873)),NA(), H872)</f>
        <v>0</v>
      </c>
      <c r="K1242">
        <f>IF(ISNA(L1242),NA(),K872)</f>
        <v>0</v>
      </c>
      <c r="L1242">
        <f>IF(OR(L872="",AND(L872=L871,L872=L873)),NA(), L872)</f>
        <v>0</v>
      </c>
      <c r="M1242">
        <f>IF(ISNA(N1242),NA(),M872)</f>
        <v>0</v>
      </c>
      <c r="N1242">
        <f>IF(OR(N872="",AND(N872=N871,N872=N873)),NA(), N872)</f>
        <v>0</v>
      </c>
    </row>
    <row r="1243" spans="5:14">
      <c r="E1243">
        <f>IF(ISNA(F1243),NA(),E873)</f>
        <v>0</v>
      </c>
      <c r="F1243">
        <f>IF(OR(F873="",AND(F873=F872,F873=F874)),NA(), F873)</f>
        <v>0</v>
      </c>
      <c r="G1243">
        <f>IF(ISNA(H1243),NA(),G873)</f>
        <v>0</v>
      </c>
      <c r="H1243">
        <f>IF(OR(H873="",AND(H873=H872,H873=H874)),NA(), H873)</f>
        <v>0</v>
      </c>
      <c r="K1243">
        <f>IF(ISNA(L1243),NA(),K873)</f>
        <v>0</v>
      </c>
      <c r="L1243">
        <f>IF(OR(L873="",AND(L873=L872,L873=L874)),NA(), L873)</f>
        <v>0</v>
      </c>
      <c r="M1243">
        <f>IF(ISNA(N1243),NA(),M873)</f>
        <v>0</v>
      </c>
      <c r="N1243">
        <f>IF(OR(N873="",AND(N873=N872,N873=N874)),NA(), N873)</f>
        <v>0</v>
      </c>
    </row>
    <row r="1244" spans="5:14">
      <c r="E1244">
        <f>IF(ISNA(F1244),NA(),E874)</f>
        <v>0</v>
      </c>
      <c r="F1244">
        <f>IF(OR(F874="",AND(F874=F873,F874=F875)),NA(), F874)</f>
        <v>0</v>
      </c>
      <c r="G1244">
        <f>IF(ISNA(H1244),NA(),G874)</f>
        <v>0</v>
      </c>
      <c r="H1244">
        <f>IF(OR(H874="",AND(H874=H873,H874=H875)),NA(), H874)</f>
        <v>0</v>
      </c>
      <c r="K1244">
        <f>IF(ISNA(L1244),NA(),K874)</f>
        <v>0</v>
      </c>
      <c r="L1244">
        <f>IF(OR(L874="",AND(L874=L873,L874=L875)),NA(), L874)</f>
        <v>0</v>
      </c>
      <c r="M1244">
        <f>IF(ISNA(N1244),NA(),M874)</f>
        <v>0</v>
      </c>
      <c r="N1244">
        <f>IF(OR(N874="",AND(N874=N873,N874=N875)),NA(), N874)</f>
        <v>0</v>
      </c>
    </row>
    <row r="1245" spans="5:14">
      <c r="E1245">
        <f>IF(ISNA(F1245),NA(),E875)</f>
        <v>0</v>
      </c>
      <c r="F1245">
        <f>IF(OR(F875="",AND(F875=F874,F875=F876)),NA(), F875)</f>
        <v>0</v>
      </c>
      <c r="G1245">
        <f>IF(ISNA(H1245),NA(),G875)</f>
        <v>0</v>
      </c>
      <c r="H1245">
        <f>IF(OR(H875="",AND(H875=H874,H875=H876)),NA(), H875)</f>
        <v>0</v>
      </c>
      <c r="K1245">
        <f>IF(ISNA(L1245),NA(),K875)</f>
        <v>0</v>
      </c>
      <c r="L1245">
        <f>IF(OR(L875="",AND(L875=L874,L875=L876)),NA(), L875)</f>
        <v>0</v>
      </c>
      <c r="M1245">
        <f>IF(ISNA(N1245),NA(),M875)</f>
        <v>0</v>
      </c>
      <c r="N1245">
        <f>IF(OR(N875="",AND(N875=N874,N875=N876)),NA(), N875)</f>
        <v>0</v>
      </c>
    </row>
    <row r="1246" spans="5:14">
      <c r="E1246">
        <f>IF(ISNA(F1246),NA(),E876)</f>
        <v>0</v>
      </c>
      <c r="F1246">
        <f>IF(OR(F876="",AND(F876=F875,F876=F877)),NA(), F876)</f>
        <v>0</v>
      </c>
      <c r="G1246">
        <f>IF(ISNA(H1246),NA(),G876)</f>
        <v>0</v>
      </c>
      <c r="H1246">
        <f>IF(OR(H876="",AND(H876=H875,H876=H877)),NA(), H876)</f>
        <v>0</v>
      </c>
      <c r="K1246">
        <f>IF(ISNA(L1246),NA(),K876)</f>
        <v>0</v>
      </c>
      <c r="L1246">
        <f>IF(OR(L876="",AND(L876=L875,L876=L877)),NA(), L876)</f>
        <v>0</v>
      </c>
      <c r="M1246">
        <f>IF(ISNA(N1246),NA(),M876)</f>
        <v>0</v>
      </c>
      <c r="N1246">
        <f>IF(OR(N876="",AND(N876=N875,N876=N877)),NA(), N876)</f>
        <v>0</v>
      </c>
    </row>
    <row r="1247" spans="5:14">
      <c r="E1247">
        <f>IF(ISNA(F1247),NA(),E877)</f>
        <v>0</v>
      </c>
      <c r="F1247">
        <f>IF(OR(F877="",AND(F877=F876,F877=F878)),NA(), F877)</f>
        <v>0</v>
      </c>
      <c r="G1247">
        <f>IF(ISNA(H1247),NA(),G877)</f>
        <v>0</v>
      </c>
      <c r="H1247">
        <f>IF(OR(H877="",AND(H877=H876,H877=H878)),NA(), H877)</f>
        <v>0</v>
      </c>
      <c r="K1247">
        <f>IF(ISNA(L1247),NA(),K877)</f>
        <v>0</v>
      </c>
      <c r="L1247">
        <f>IF(OR(L877="",AND(L877=L876,L877=L878)),NA(), L877)</f>
        <v>0</v>
      </c>
      <c r="M1247">
        <f>IF(ISNA(N1247),NA(),M877)</f>
        <v>0</v>
      </c>
      <c r="N1247">
        <f>IF(OR(N877="",AND(N877=N876,N877=N878)),NA(), N877)</f>
        <v>0</v>
      </c>
    </row>
    <row r="1248" spans="5:14">
      <c r="E1248">
        <f>IF(ISNA(F1248),NA(),E878)</f>
        <v>0</v>
      </c>
      <c r="F1248">
        <f>IF(OR(F878="",AND(F878=F877,F878=F879)),NA(), F878)</f>
        <v>0</v>
      </c>
      <c r="G1248">
        <f>IF(ISNA(H1248),NA(),G878)</f>
        <v>0</v>
      </c>
      <c r="H1248">
        <f>IF(OR(H878="",AND(H878=H877,H878=H879)),NA(), H878)</f>
        <v>0</v>
      </c>
      <c r="K1248">
        <f>IF(ISNA(L1248),NA(),K878)</f>
        <v>0</v>
      </c>
      <c r="L1248">
        <f>IF(OR(L878="",AND(L878=L877,L878=L879)),NA(), L878)</f>
        <v>0</v>
      </c>
      <c r="M1248">
        <f>IF(ISNA(N1248),NA(),M878)</f>
        <v>0</v>
      </c>
      <c r="N1248">
        <f>IF(OR(N878="",AND(N878=N877,N878=N879)),NA(), N878)</f>
        <v>0</v>
      </c>
    </row>
    <row r="1249" spans="5:14">
      <c r="E1249">
        <f>IF(ISNA(F1249),NA(),E879)</f>
        <v>0</v>
      </c>
      <c r="F1249">
        <f>IF(OR(F879="",AND(F879=F878,F879=F880)),NA(), F879)</f>
        <v>0</v>
      </c>
      <c r="G1249">
        <f>IF(ISNA(H1249),NA(),G879)</f>
        <v>0</v>
      </c>
      <c r="H1249">
        <f>IF(OR(H879="",AND(H879=H878,H879=H880)),NA(), H879)</f>
        <v>0</v>
      </c>
      <c r="K1249">
        <f>IF(ISNA(L1249),NA(),K879)</f>
        <v>0</v>
      </c>
      <c r="L1249">
        <f>IF(OR(L879="",AND(L879=L878,L879=L880)),NA(), L879)</f>
        <v>0</v>
      </c>
      <c r="M1249">
        <f>IF(ISNA(N1249),NA(),M879)</f>
        <v>0</v>
      </c>
      <c r="N1249">
        <f>IF(OR(N879="",AND(N879=N878,N879=N880)),NA(), N879)</f>
        <v>0</v>
      </c>
    </row>
    <row r="1250" spans="5:14">
      <c r="E1250">
        <f>IF(ISNA(F1250),NA(),E880)</f>
        <v>0</v>
      </c>
      <c r="F1250">
        <f>IF(OR(F880="",AND(F880=F879,F880=F881)),NA(), F880)</f>
        <v>0</v>
      </c>
      <c r="G1250">
        <f>IF(ISNA(H1250),NA(),G880)</f>
        <v>0</v>
      </c>
      <c r="H1250">
        <f>IF(OR(H880="",AND(H880=H879,H880=H881)),NA(), H880)</f>
        <v>0</v>
      </c>
      <c r="K1250">
        <f>IF(ISNA(L1250),NA(),K880)</f>
        <v>0</v>
      </c>
      <c r="L1250">
        <f>IF(OR(L880="",AND(L880=L879,L880=L881)),NA(), L880)</f>
        <v>0</v>
      </c>
      <c r="M1250">
        <f>IF(ISNA(N1250),NA(),M880)</f>
        <v>0</v>
      </c>
      <c r="N1250">
        <f>IF(OR(N880="",AND(N880=N879,N880=N881)),NA(), N880)</f>
        <v>0</v>
      </c>
    </row>
    <row r="1251" spans="5:14">
      <c r="E1251">
        <f>IF(ISNA(F1251),NA(),E881)</f>
        <v>0</v>
      </c>
      <c r="F1251">
        <f>IF(OR(F881="",AND(F881=F880,F881=F882)),NA(), F881)</f>
        <v>0</v>
      </c>
      <c r="G1251">
        <f>IF(ISNA(H1251),NA(),G881)</f>
        <v>0</v>
      </c>
      <c r="H1251">
        <f>IF(OR(H881="",AND(H881=H880,H881=H882)),NA(), H881)</f>
        <v>0</v>
      </c>
      <c r="K1251">
        <f>IF(ISNA(L1251),NA(),K881)</f>
        <v>0</v>
      </c>
      <c r="L1251">
        <f>IF(OR(L881="",AND(L881=L880,L881=L882)),NA(), L881)</f>
        <v>0</v>
      </c>
      <c r="M1251">
        <f>IF(ISNA(N1251),NA(),M881)</f>
        <v>0</v>
      </c>
      <c r="N1251">
        <f>IF(OR(N881="",AND(N881=N880,N881=N882)),NA(), N881)</f>
        <v>0</v>
      </c>
    </row>
    <row r="1252" spans="5:14">
      <c r="E1252">
        <f>IF(ISNA(F1252),NA(),E882)</f>
        <v>0</v>
      </c>
      <c r="F1252">
        <f>IF(OR(F882="",AND(F882=F881,F882=F883)),NA(), F882)</f>
        <v>0</v>
      </c>
      <c r="G1252">
        <f>IF(ISNA(H1252),NA(),G882)</f>
        <v>0</v>
      </c>
      <c r="H1252">
        <f>IF(OR(H882="",AND(H882=H881,H882=H883)),NA(), H882)</f>
        <v>0</v>
      </c>
      <c r="K1252">
        <f>IF(ISNA(L1252),NA(),K882)</f>
        <v>0</v>
      </c>
      <c r="L1252">
        <f>IF(OR(L882="",AND(L882=L881,L882=L883)),NA(), L882)</f>
        <v>0</v>
      </c>
      <c r="M1252">
        <f>IF(ISNA(N1252),NA(),M882)</f>
        <v>0</v>
      </c>
      <c r="N1252">
        <f>IF(OR(N882="",AND(N882=N881,N882=N883)),NA(), N882)</f>
        <v>0</v>
      </c>
    </row>
    <row r="1253" spans="5:14">
      <c r="E1253">
        <f>IF(ISNA(F1253),NA(),E883)</f>
        <v>0</v>
      </c>
      <c r="F1253">
        <f>IF(OR(F883="",AND(F883=F882,F883=F884)),NA(), F883)</f>
        <v>0</v>
      </c>
      <c r="G1253">
        <f>IF(ISNA(H1253),NA(),G883)</f>
        <v>0</v>
      </c>
      <c r="H1253">
        <f>IF(OR(H883="",AND(H883=H882,H883=H884)),NA(), H883)</f>
        <v>0</v>
      </c>
      <c r="K1253">
        <f>IF(ISNA(L1253),NA(),K883)</f>
        <v>0</v>
      </c>
      <c r="L1253">
        <f>IF(OR(L883="",AND(L883=L882,L883=L884)),NA(), L883)</f>
        <v>0</v>
      </c>
      <c r="M1253">
        <f>IF(ISNA(N1253),NA(),M883)</f>
        <v>0</v>
      </c>
      <c r="N1253">
        <f>IF(OR(N883="",AND(N883=N882,N883=N884)),NA(), N883)</f>
        <v>0</v>
      </c>
    </row>
    <row r="1254" spans="5:14">
      <c r="E1254">
        <f>IF(ISNA(F1254),NA(),E884)</f>
        <v>0</v>
      </c>
      <c r="F1254">
        <f>IF(OR(F884="",AND(F884=F883,F884=F885)),NA(), F884)</f>
        <v>0</v>
      </c>
      <c r="G1254">
        <f>IF(ISNA(H1254),NA(),G884)</f>
        <v>0</v>
      </c>
      <c r="H1254">
        <f>IF(OR(H884="",AND(H884=H883,H884=H885)),NA(), H884)</f>
        <v>0</v>
      </c>
      <c r="K1254">
        <f>IF(ISNA(L1254),NA(),K884)</f>
        <v>0</v>
      </c>
      <c r="L1254">
        <f>IF(OR(L884="",AND(L884=L883,L884=L885)),NA(), L884)</f>
        <v>0</v>
      </c>
      <c r="M1254">
        <f>IF(ISNA(N1254),NA(),M884)</f>
        <v>0</v>
      </c>
      <c r="N1254">
        <f>IF(OR(N884="",AND(N884=N883,N884=N885)),NA(), N884)</f>
        <v>0</v>
      </c>
    </row>
    <row r="1255" spans="5:14">
      <c r="E1255">
        <f>IF(ISNA(F1255),NA(),E885)</f>
        <v>0</v>
      </c>
      <c r="F1255">
        <f>IF(OR(F885="",AND(F885=F884,F885=F886)),NA(), F885)</f>
        <v>0</v>
      </c>
      <c r="G1255">
        <f>IF(ISNA(H1255),NA(),G885)</f>
        <v>0</v>
      </c>
      <c r="H1255">
        <f>IF(OR(H885="",AND(H885=H884,H885=H886)),NA(), H885)</f>
        <v>0</v>
      </c>
      <c r="K1255">
        <f>IF(ISNA(L1255),NA(),K885)</f>
        <v>0</v>
      </c>
      <c r="L1255">
        <f>IF(OR(L885="",AND(L885=L884,L885=L886)),NA(), L885)</f>
        <v>0</v>
      </c>
      <c r="M1255">
        <f>IF(ISNA(N1255),NA(),M885)</f>
        <v>0</v>
      </c>
      <c r="N1255">
        <f>IF(OR(N885="",AND(N885=N884,N885=N886)),NA(), N885)</f>
        <v>0</v>
      </c>
    </row>
    <row r="1256" spans="5:14">
      <c r="E1256">
        <f>IF(ISNA(F1256),NA(),E886)</f>
        <v>0</v>
      </c>
      <c r="F1256">
        <f>IF(OR(F886="",AND(F886=F885,F886=F887)),NA(), F886)</f>
        <v>0</v>
      </c>
      <c r="G1256">
        <f>IF(ISNA(H1256),NA(),G886)</f>
        <v>0</v>
      </c>
      <c r="H1256">
        <f>IF(OR(H886="",AND(H886=H885,H886=H887)),NA(), H886)</f>
        <v>0</v>
      </c>
      <c r="K1256">
        <f>IF(ISNA(L1256),NA(),K886)</f>
        <v>0</v>
      </c>
      <c r="L1256">
        <f>IF(OR(L886="",AND(L886=L885,L886=L887)),NA(), L886)</f>
        <v>0</v>
      </c>
      <c r="M1256">
        <f>IF(ISNA(N1256),NA(),M886)</f>
        <v>0</v>
      </c>
      <c r="N1256">
        <f>IF(OR(N886="",AND(N886=N885,N886=N887)),NA(), N886)</f>
        <v>0</v>
      </c>
    </row>
    <row r="1257" spans="5:14">
      <c r="E1257">
        <f>IF(ISNA(F1257),NA(),E887)</f>
        <v>0</v>
      </c>
      <c r="F1257">
        <f>IF(OR(F887="",AND(F887=F886,F887=F888)),NA(), F887)</f>
        <v>0</v>
      </c>
      <c r="G1257">
        <f>IF(ISNA(H1257),NA(),G887)</f>
        <v>0</v>
      </c>
      <c r="H1257">
        <f>IF(OR(H887="",AND(H887=H886,H887=H888)),NA(), H887)</f>
        <v>0</v>
      </c>
      <c r="K1257">
        <f>IF(ISNA(L1257),NA(),K887)</f>
        <v>0</v>
      </c>
      <c r="L1257">
        <f>IF(OR(L887="",AND(L887=L886,L887=L888)),NA(), L887)</f>
        <v>0</v>
      </c>
      <c r="M1257">
        <f>IF(ISNA(N1257),NA(),M887)</f>
        <v>0</v>
      </c>
      <c r="N1257">
        <f>IF(OR(N887="",AND(N887=N886,N887=N888)),NA(), N887)</f>
        <v>0</v>
      </c>
    </row>
    <row r="1258" spans="5:14">
      <c r="E1258">
        <f>IF(ISNA(F1258),NA(),E888)</f>
        <v>0</v>
      </c>
      <c r="F1258">
        <f>IF(OR(F888="",AND(F888=F887,F888=F889)),NA(), F888)</f>
        <v>0</v>
      </c>
      <c r="G1258">
        <f>IF(ISNA(H1258),NA(),G888)</f>
        <v>0</v>
      </c>
      <c r="H1258">
        <f>IF(OR(H888="",AND(H888=H887,H888=H889)),NA(), H888)</f>
        <v>0</v>
      </c>
      <c r="K1258">
        <f>IF(ISNA(L1258),NA(),K888)</f>
        <v>0</v>
      </c>
      <c r="L1258">
        <f>IF(OR(L888="",AND(L888=L887,L888=L889)),NA(), L888)</f>
        <v>0</v>
      </c>
      <c r="M1258">
        <f>IF(ISNA(N1258),NA(),M888)</f>
        <v>0</v>
      </c>
      <c r="N1258">
        <f>IF(OR(N888="",AND(N888=N887,N888=N889)),NA(), N888)</f>
        <v>0</v>
      </c>
    </row>
    <row r="1259" spans="5:14">
      <c r="E1259">
        <f>IF(ISNA(F1259),NA(),E889)</f>
        <v>0</v>
      </c>
      <c r="F1259">
        <f>IF(OR(F889="",AND(F889=F888,F889=F890)),NA(), F889)</f>
        <v>0</v>
      </c>
      <c r="G1259">
        <f>IF(ISNA(H1259),NA(),G889)</f>
        <v>0</v>
      </c>
      <c r="H1259">
        <f>IF(OR(H889="",AND(H889=H888,H889=H890)),NA(), H889)</f>
        <v>0</v>
      </c>
      <c r="K1259">
        <f>IF(ISNA(L1259),NA(),K889)</f>
        <v>0</v>
      </c>
      <c r="L1259">
        <f>IF(OR(L889="",AND(L889=L888,L889=L890)),NA(), L889)</f>
        <v>0</v>
      </c>
      <c r="M1259">
        <f>IF(ISNA(N1259),NA(),M889)</f>
        <v>0</v>
      </c>
      <c r="N1259">
        <f>IF(OR(N889="",AND(N889=N888,N889=N890)),NA(), N889)</f>
        <v>0</v>
      </c>
    </row>
    <row r="1260" spans="5:14">
      <c r="E1260">
        <f>IF(ISNA(F1260),NA(),E890)</f>
        <v>0</v>
      </c>
      <c r="F1260">
        <f>IF(OR(F890="",AND(F890=F889,F890=F891)),NA(), F890)</f>
        <v>0</v>
      </c>
      <c r="G1260">
        <f>IF(ISNA(H1260),NA(),G890)</f>
        <v>0</v>
      </c>
      <c r="H1260">
        <f>IF(OR(H890="",AND(H890=H889,H890=H891)),NA(), H890)</f>
        <v>0</v>
      </c>
      <c r="K1260">
        <f>IF(ISNA(L1260),NA(),K890)</f>
        <v>0</v>
      </c>
      <c r="L1260">
        <f>IF(OR(L890="",AND(L890=L889,L890=L891)),NA(), L890)</f>
        <v>0</v>
      </c>
      <c r="M1260">
        <f>IF(ISNA(N1260),NA(),M890)</f>
        <v>0</v>
      </c>
      <c r="N1260">
        <f>IF(OR(N890="",AND(N890=N889,N890=N891)),NA(), N890)</f>
        <v>0</v>
      </c>
    </row>
    <row r="1261" spans="5:14">
      <c r="E1261">
        <f>IF(ISNA(F1261),NA(),E891)</f>
        <v>0</v>
      </c>
      <c r="F1261">
        <f>IF(OR(F891="",AND(F891=F890,F891=F892)),NA(), F891)</f>
        <v>0</v>
      </c>
      <c r="G1261">
        <f>IF(ISNA(H1261),NA(),G891)</f>
        <v>0</v>
      </c>
      <c r="H1261">
        <f>IF(OR(H891="",AND(H891=H890,H891=H892)),NA(), H891)</f>
        <v>0</v>
      </c>
      <c r="K1261">
        <f>IF(ISNA(L1261),NA(),K891)</f>
        <v>0</v>
      </c>
      <c r="L1261">
        <f>IF(OR(L891="",AND(L891=L890,L891=L892)),NA(), L891)</f>
        <v>0</v>
      </c>
      <c r="M1261">
        <f>IF(ISNA(N1261),NA(),M891)</f>
        <v>0</v>
      </c>
      <c r="N1261">
        <f>IF(OR(N891="",AND(N891=N890,N891=N892)),NA(), N891)</f>
        <v>0</v>
      </c>
    </row>
    <row r="1262" spans="5:14">
      <c r="E1262">
        <f>IF(ISNA(F1262),NA(),E892)</f>
        <v>0</v>
      </c>
      <c r="F1262">
        <f>IF(OR(F892="",AND(F892=F891,F892=F893)),NA(), F892)</f>
        <v>0</v>
      </c>
      <c r="G1262">
        <f>IF(ISNA(H1262),NA(),G892)</f>
        <v>0</v>
      </c>
      <c r="H1262">
        <f>IF(OR(H892="",AND(H892=H891,H892=H893)),NA(), H892)</f>
        <v>0</v>
      </c>
      <c r="K1262">
        <f>IF(ISNA(L1262),NA(),K892)</f>
        <v>0</v>
      </c>
      <c r="L1262">
        <f>IF(OR(L892="",AND(L892=L891,L892=L893)),NA(), L892)</f>
        <v>0</v>
      </c>
      <c r="M1262">
        <f>IF(ISNA(N1262),NA(),M892)</f>
        <v>0</v>
      </c>
      <c r="N1262">
        <f>IF(OR(N892="",AND(N892=N891,N892=N893)),NA(), N892)</f>
        <v>0</v>
      </c>
    </row>
    <row r="1263" spans="5:14">
      <c r="E1263">
        <f>IF(ISNA(F1263),NA(),E893)</f>
        <v>0</v>
      </c>
      <c r="F1263">
        <f>IF(OR(F893="",AND(F893=F892,F893=F894)),NA(), F893)</f>
        <v>0</v>
      </c>
      <c r="G1263">
        <f>IF(ISNA(H1263),NA(),G893)</f>
        <v>0</v>
      </c>
      <c r="H1263">
        <f>IF(OR(H893="",AND(H893=H892,H893=H894)),NA(), H893)</f>
        <v>0</v>
      </c>
      <c r="K1263">
        <f>IF(ISNA(L1263),NA(),K893)</f>
        <v>0</v>
      </c>
      <c r="L1263">
        <f>IF(OR(L893="",AND(L893=L892,L893=L894)),NA(), L893)</f>
        <v>0</v>
      </c>
      <c r="M1263">
        <f>IF(ISNA(N1263),NA(),M893)</f>
        <v>0</v>
      </c>
      <c r="N1263">
        <f>IF(OR(N893="",AND(N893=N892,N893=N894)),NA(), N893)</f>
        <v>0</v>
      </c>
    </row>
    <row r="1264" spans="5:14">
      <c r="E1264">
        <f>IF(ISNA(F1264),NA(),E894)</f>
        <v>0</v>
      </c>
      <c r="F1264">
        <f>IF(OR(F894="",AND(F894=F893,F894=F895)),NA(), F894)</f>
        <v>0</v>
      </c>
      <c r="G1264">
        <f>IF(ISNA(H1264),NA(),G894)</f>
        <v>0</v>
      </c>
      <c r="H1264">
        <f>IF(OR(H894="",AND(H894=H893,H894=H895)),NA(), H894)</f>
        <v>0</v>
      </c>
      <c r="K1264">
        <f>IF(ISNA(L1264),NA(),K894)</f>
        <v>0</v>
      </c>
      <c r="L1264">
        <f>IF(OR(L894="",AND(L894=L893,L894=L895)),NA(), L894)</f>
        <v>0</v>
      </c>
      <c r="M1264">
        <f>IF(ISNA(N1264),NA(),M894)</f>
        <v>0</v>
      </c>
      <c r="N1264">
        <f>IF(OR(N894="",AND(N894=N893,N894=N895)),NA(), N894)</f>
        <v>0</v>
      </c>
    </row>
    <row r="1265" spans="5:14">
      <c r="E1265">
        <f>IF(ISNA(F1265),NA(),E895)</f>
        <v>0</v>
      </c>
      <c r="F1265">
        <f>IF(OR(F895="",AND(F895=F894,F895=F896)),NA(), F895)</f>
        <v>0</v>
      </c>
      <c r="G1265">
        <f>IF(ISNA(H1265),NA(),G895)</f>
        <v>0</v>
      </c>
      <c r="H1265">
        <f>IF(OR(H895="",AND(H895=H894,H895=H896)),NA(), H895)</f>
        <v>0</v>
      </c>
      <c r="K1265">
        <f>IF(ISNA(L1265),NA(),K895)</f>
        <v>0</v>
      </c>
      <c r="L1265">
        <f>IF(OR(L895="",AND(L895=L894,L895=L896)),NA(), L895)</f>
        <v>0</v>
      </c>
      <c r="M1265">
        <f>IF(ISNA(N1265),NA(),M895)</f>
        <v>0</v>
      </c>
      <c r="N1265">
        <f>IF(OR(N895="",AND(N895=N894,N895=N896)),NA(), N895)</f>
        <v>0</v>
      </c>
    </row>
    <row r="1266" spans="5:14">
      <c r="E1266">
        <f>IF(ISNA(F1266),NA(),E896)</f>
        <v>0</v>
      </c>
      <c r="F1266">
        <f>IF(OR(F896="",AND(F896=F895,F896=F897)),NA(), F896)</f>
        <v>0</v>
      </c>
      <c r="G1266">
        <f>IF(ISNA(H1266),NA(),G896)</f>
        <v>0</v>
      </c>
      <c r="H1266">
        <f>IF(OR(H896="",AND(H896=H895,H896=H897)),NA(), H896)</f>
        <v>0</v>
      </c>
      <c r="K1266">
        <f>IF(ISNA(L1266),NA(),K896)</f>
        <v>0</v>
      </c>
      <c r="L1266">
        <f>IF(OR(L896="",AND(L896=L895,L896=L897)),NA(), L896)</f>
        <v>0</v>
      </c>
      <c r="M1266">
        <f>IF(ISNA(N1266),NA(),M896)</f>
        <v>0</v>
      </c>
      <c r="N1266">
        <f>IF(OR(N896="",AND(N896=N895,N896=N897)),NA(), N896)</f>
        <v>0</v>
      </c>
    </row>
    <row r="1267" spans="5:14">
      <c r="E1267">
        <f>IF(ISNA(F1267),NA(),E897)</f>
        <v>0</v>
      </c>
      <c r="F1267">
        <f>IF(OR(F897="",AND(F897=F896,F897=F898)),NA(), F897)</f>
        <v>0</v>
      </c>
      <c r="G1267">
        <f>IF(ISNA(H1267),NA(),G897)</f>
        <v>0</v>
      </c>
      <c r="H1267">
        <f>IF(OR(H897="",AND(H897=H896,H897=H898)),NA(), H897)</f>
        <v>0</v>
      </c>
      <c r="K1267">
        <f>IF(ISNA(L1267),NA(),K897)</f>
        <v>0</v>
      </c>
      <c r="L1267">
        <f>IF(OR(L897="",AND(L897=L896,L897=L898)),NA(), L897)</f>
        <v>0</v>
      </c>
      <c r="M1267">
        <f>IF(ISNA(N1267),NA(),M897)</f>
        <v>0</v>
      </c>
      <c r="N1267">
        <f>IF(OR(N897="",AND(N897=N896,N897=N898)),NA(), N897)</f>
        <v>0</v>
      </c>
    </row>
    <row r="1268" spans="5:14">
      <c r="E1268">
        <f>IF(ISNA(F1268),NA(),E898)</f>
        <v>0</v>
      </c>
      <c r="F1268">
        <f>IF(OR(F898="",AND(F898=F897,F898=F899)),NA(), F898)</f>
        <v>0</v>
      </c>
      <c r="G1268">
        <f>IF(ISNA(H1268),NA(),G898)</f>
        <v>0</v>
      </c>
      <c r="H1268">
        <f>IF(OR(H898="",AND(H898=H897,H898=H899)),NA(), H898)</f>
        <v>0</v>
      </c>
      <c r="K1268">
        <f>IF(ISNA(L1268),NA(),K898)</f>
        <v>0</v>
      </c>
      <c r="L1268">
        <f>IF(OR(L898="",AND(L898=L897,L898=L899)),NA(), L898)</f>
        <v>0</v>
      </c>
      <c r="M1268">
        <f>IF(ISNA(N1268),NA(),M898)</f>
        <v>0</v>
      </c>
      <c r="N1268">
        <f>IF(OR(N898="",AND(N898=N897,N898=N899)),NA(), N898)</f>
        <v>0</v>
      </c>
    </row>
    <row r="1269" spans="5:14">
      <c r="E1269">
        <f>IF(ISNA(F1269),NA(),E899)</f>
        <v>0</v>
      </c>
      <c r="F1269">
        <f>IF(OR(F899="",AND(F899=F898,F899=F900)),NA(), F899)</f>
        <v>0</v>
      </c>
      <c r="G1269">
        <f>IF(ISNA(H1269),NA(),G899)</f>
        <v>0</v>
      </c>
      <c r="H1269">
        <f>IF(OR(H899="",AND(H899=H898,H899=H900)),NA(), H899)</f>
        <v>0</v>
      </c>
      <c r="K1269">
        <f>IF(ISNA(L1269),NA(),K899)</f>
        <v>0</v>
      </c>
      <c r="L1269">
        <f>IF(OR(L899="",AND(L899=L898,L899=L900)),NA(), L899)</f>
        <v>0</v>
      </c>
      <c r="M1269">
        <f>IF(ISNA(N1269),NA(),M899)</f>
        <v>0</v>
      </c>
      <c r="N1269">
        <f>IF(OR(N899="",AND(N899=N898,N899=N900)),NA(), N899)</f>
        <v>0</v>
      </c>
    </row>
    <row r="1270" spans="5:14">
      <c r="E1270">
        <f>IF(ISNA(F1270),NA(),E900)</f>
        <v>0</v>
      </c>
      <c r="F1270">
        <f>IF(OR(F900="",AND(F900=F899,F900=F901)),NA(), F900)</f>
        <v>0</v>
      </c>
      <c r="G1270">
        <f>IF(ISNA(H1270),NA(),G900)</f>
        <v>0</v>
      </c>
      <c r="H1270">
        <f>IF(OR(H900="",AND(H900=H899,H900=H901)),NA(), H900)</f>
        <v>0</v>
      </c>
      <c r="K1270">
        <f>IF(ISNA(L1270),NA(),K900)</f>
        <v>0</v>
      </c>
      <c r="L1270">
        <f>IF(OR(L900="",AND(L900=L899,L900=L901)),NA(), L900)</f>
        <v>0</v>
      </c>
      <c r="M1270">
        <f>IF(ISNA(N1270),NA(),M900)</f>
        <v>0</v>
      </c>
      <c r="N1270">
        <f>IF(OR(N900="",AND(N900=N899,N900=N901)),NA(), N900)</f>
        <v>0</v>
      </c>
    </row>
    <row r="1271" spans="5:14">
      <c r="E1271">
        <f>IF(ISNA(F1271),NA(),E901)</f>
        <v>0</v>
      </c>
      <c r="F1271">
        <f>IF(OR(F901="",AND(F901=F900,F901=F902)),NA(), F901)</f>
        <v>0</v>
      </c>
      <c r="G1271">
        <f>IF(ISNA(H1271),NA(),G901)</f>
        <v>0</v>
      </c>
      <c r="H1271">
        <f>IF(OR(H901="",AND(H901=H900,H901=H902)),NA(), H901)</f>
        <v>0</v>
      </c>
      <c r="K1271">
        <f>IF(ISNA(L1271),NA(),K901)</f>
        <v>0</v>
      </c>
      <c r="L1271">
        <f>IF(OR(L901="",AND(L901=L900,L901=L902)),NA(), L901)</f>
        <v>0</v>
      </c>
      <c r="M1271">
        <f>IF(ISNA(N1271),NA(),M901)</f>
        <v>0</v>
      </c>
      <c r="N1271">
        <f>IF(OR(N901="",AND(N901=N900,N901=N902)),NA(), N901)</f>
        <v>0</v>
      </c>
    </row>
    <row r="1272" spans="5:14">
      <c r="E1272">
        <f>IF(ISNA(F1272),NA(),E902)</f>
        <v>0</v>
      </c>
      <c r="F1272">
        <f>IF(OR(F902="",AND(F902=F901,F902=F903)),NA(), F902)</f>
        <v>0</v>
      </c>
      <c r="G1272">
        <f>IF(ISNA(H1272),NA(),G902)</f>
        <v>0</v>
      </c>
      <c r="H1272">
        <f>IF(OR(H902="",AND(H902=H901,H902=H903)),NA(), H902)</f>
        <v>0</v>
      </c>
      <c r="K1272">
        <f>IF(ISNA(L1272),NA(),K902)</f>
        <v>0</v>
      </c>
      <c r="L1272">
        <f>IF(OR(L902="",AND(L902=L901,L902=L903)),NA(), L902)</f>
        <v>0</v>
      </c>
      <c r="M1272">
        <f>IF(ISNA(N1272),NA(),M902)</f>
        <v>0</v>
      </c>
      <c r="N1272">
        <f>IF(OR(N902="",AND(N902=N901,N902=N903)),NA(), N902)</f>
        <v>0</v>
      </c>
    </row>
    <row r="1273" spans="5:14">
      <c r="E1273">
        <f>IF(ISNA(F1273),NA(),E903)</f>
        <v>0</v>
      </c>
      <c r="F1273">
        <f>IF(OR(F903="",AND(F903=F902,F903=F904)),NA(), F903)</f>
        <v>0</v>
      </c>
      <c r="G1273">
        <f>IF(ISNA(H1273),NA(),G903)</f>
        <v>0</v>
      </c>
      <c r="H1273">
        <f>IF(OR(H903="",AND(H903=H902,H903=H904)),NA(), H903)</f>
        <v>0</v>
      </c>
      <c r="K1273">
        <f>IF(ISNA(L1273),NA(),K903)</f>
        <v>0</v>
      </c>
      <c r="L1273">
        <f>IF(OR(L903="",AND(L903=L902,L903=L904)),NA(), L903)</f>
        <v>0</v>
      </c>
      <c r="M1273">
        <f>IF(ISNA(N1273),NA(),M903)</f>
        <v>0</v>
      </c>
      <c r="N1273">
        <f>IF(OR(N903="",AND(N903=N902,N903=N904)),NA(), N903)</f>
        <v>0</v>
      </c>
    </row>
    <row r="1274" spans="5:14">
      <c r="E1274">
        <f>IF(ISNA(F1274),NA(),E904)</f>
        <v>0</v>
      </c>
      <c r="F1274">
        <f>IF(OR(F904="",AND(F904=F903,F904=F905)),NA(), F904)</f>
        <v>0</v>
      </c>
      <c r="G1274">
        <f>IF(ISNA(H1274),NA(),G904)</f>
        <v>0</v>
      </c>
      <c r="H1274">
        <f>IF(OR(H904="",AND(H904=H903,H904=H905)),NA(), H904)</f>
        <v>0</v>
      </c>
      <c r="K1274">
        <f>IF(ISNA(L1274),NA(),K904)</f>
        <v>0</v>
      </c>
      <c r="L1274">
        <f>IF(OR(L904="",AND(L904=L903,L904=L905)),NA(), L904)</f>
        <v>0</v>
      </c>
      <c r="M1274">
        <f>IF(ISNA(N1274),NA(),M904)</f>
        <v>0</v>
      </c>
      <c r="N1274">
        <f>IF(OR(N904="",AND(N904=N903,N904=N905)),NA(), N904)</f>
        <v>0</v>
      </c>
    </row>
    <row r="1275" spans="5:14">
      <c r="E1275">
        <f>IF(ISNA(F1275),NA(),E905)</f>
        <v>0</v>
      </c>
      <c r="F1275">
        <f>IF(OR(F905="",AND(F905=F904,F905=F906)),NA(), F905)</f>
        <v>0</v>
      </c>
      <c r="G1275">
        <f>IF(ISNA(H1275),NA(),G905)</f>
        <v>0</v>
      </c>
      <c r="H1275">
        <f>IF(OR(H905="",AND(H905=H904,H905=H906)),NA(), H905)</f>
        <v>0</v>
      </c>
      <c r="K1275">
        <f>IF(ISNA(L1275),NA(),K905)</f>
        <v>0</v>
      </c>
      <c r="L1275">
        <f>IF(OR(L905="",AND(L905=L904,L905=L906)),NA(), L905)</f>
        <v>0</v>
      </c>
      <c r="M1275">
        <f>IF(ISNA(N1275),NA(),M905)</f>
        <v>0</v>
      </c>
      <c r="N1275">
        <f>IF(OR(N905="",AND(N905=N904,N905=N906)),NA(), N905)</f>
        <v>0</v>
      </c>
    </row>
    <row r="1276" spans="5:14">
      <c r="E1276">
        <f>IF(ISNA(F1276),NA(),E906)</f>
        <v>0</v>
      </c>
      <c r="F1276">
        <f>IF(OR(F906="",AND(F906=F905,F906=F907)),NA(), F906)</f>
        <v>0</v>
      </c>
      <c r="G1276">
        <f>IF(ISNA(H1276),NA(),G906)</f>
        <v>0</v>
      </c>
      <c r="H1276">
        <f>IF(OR(H906="",AND(H906=H905,H906=H907)),NA(), H906)</f>
        <v>0</v>
      </c>
      <c r="K1276">
        <f>IF(ISNA(L1276),NA(),K906)</f>
        <v>0</v>
      </c>
      <c r="L1276">
        <f>IF(OR(L906="",AND(L906=L905,L906=L907)),NA(), L906)</f>
        <v>0</v>
      </c>
      <c r="M1276">
        <f>IF(ISNA(N1276),NA(),M906)</f>
        <v>0</v>
      </c>
      <c r="N1276">
        <f>IF(OR(N906="",AND(N906=N905,N906=N907)),NA(), N906)</f>
        <v>0</v>
      </c>
    </row>
    <row r="1277" spans="5:14">
      <c r="E1277">
        <f>IF(ISNA(F1277),NA(),E907)</f>
        <v>0</v>
      </c>
      <c r="F1277">
        <f>IF(OR(F907="",AND(F907=F906,F907=F908)),NA(), F907)</f>
        <v>0</v>
      </c>
      <c r="G1277">
        <f>IF(ISNA(H1277),NA(),G907)</f>
        <v>0</v>
      </c>
      <c r="H1277">
        <f>IF(OR(H907="",AND(H907=H906,H907=H908)),NA(), H907)</f>
        <v>0</v>
      </c>
      <c r="K1277">
        <f>IF(ISNA(L1277),NA(),K907)</f>
        <v>0</v>
      </c>
      <c r="L1277">
        <f>IF(OR(L907="",AND(L907=L906,L907=L908)),NA(), L907)</f>
        <v>0</v>
      </c>
      <c r="M1277">
        <f>IF(ISNA(N1277),NA(),M907)</f>
        <v>0</v>
      </c>
      <c r="N1277">
        <f>IF(OR(N907="",AND(N907=N906,N907=N908)),NA(), N907)</f>
        <v>0</v>
      </c>
    </row>
    <row r="1278" spans="5:14">
      <c r="E1278">
        <f>IF(ISNA(F1278),NA(),E908)</f>
        <v>0</v>
      </c>
      <c r="F1278">
        <f>IF(OR(F908="",AND(F908=F907,F908=F909)),NA(), F908)</f>
        <v>0</v>
      </c>
      <c r="G1278">
        <f>IF(ISNA(H1278),NA(),G908)</f>
        <v>0</v>
      </c>
      <c r="H1278">
        <f>IF(OR(H908="",AND(H908=H907,H908=H909)),NA(), H908)</f>
        <v>0</v>
      </c>
      <c r="K1278">
        <f>IF(ISNA(L1278),NA(),K908)</f>
        <v>0</v>
      </c>
      <c r="L1278">
        <f>IF(OR(L908="",AND(L908=L907,L908=L909)),NA(), L908)</f>
        <v>0</v>
      </c>
      <c r="M1278">
        <f>IF(ISNA(N1278),NA(),M908)</f>
        <v>0</v>
      </c>
      <c r="N1278">
        <f>IF(OR(N908="",AND(N908=N907,N908=N909)),NA(), N908)</f>
        <v>0</v>
      </c>
    </row>
    <row r="1279" spans="5:14">
      <c r="E1279">
        <f>IF(ISNA(F1279),NA(),E909)</f>
        <v>0</v>
      </c>
      <c r="F1279">
        <f>IF(OR(F909="",AND(F909=F908,F909=F910)),NA(), F909)</f>
        <v>0</v>
      </c>
      <c r="G1279">
        <f>IF(ISNA(H1279),NA(),G909)</f>
        <v>0</v>
      </c>
      <c r="H1279">
        <f>IF(OR(H909="",AND(H909=H908,H909=H910)),NA(), H909)</f>
        <v>0</v>
      </c>
      <c r="K1279">
        <f>IF(ISNA(L1279),NA(),K909)</f>
        <v>0</v>
      </c>
      <c r="L1279">
        <f>IF(OR(L909="",AND(L909=L908,L909=L910)),NA(), L909)</f>
        <v>0</v>
      </c>
      <c r="M1279">
        <f>IF(ISNA(N1279),NA(),M909)</f>
        <v>0</v>
      </c>
      <c r="N1279">
        <f>IF(OR(N909="",AND(N909=N908,N909=N910)),NA(), N909)</f>
        <v>0</v>
      </c>
    </row>
    <row r="1280" spans="5:14">
      <c r="E1280">
        <f>IF(ISNA(F1280),NA(),E910)</f>
        <v>0</v>
      </c>
      <c r="F1280">
        <f>IF(OR(F910="",AND(F910=F909,F910=F911)),NA(), F910)</f>
        <v>0</v>
      </c>
      <c r="G1280">
        <f>IF(ISNA(H1280),NA(),G910)</f>
        <v>0</v>
      </c>
      <c r="H1280">
        <f>IF(OR(H910="",AND(H910=H909,H910=H911)),NA(), H910)</f>
        <v>0</v>
      </c>
      <c r="K1280">
        <f>IF(ISNA(L1280),NA(),K910)</f>
        <v>0</v>
      </c>
      <c r="L1280">
        <f>IF(OR(L910="",AND(L910=L909,L910=L911)),NA(), L910)</f>
        <v>0</v>
      </c>
      <c r="M1280">
        <f>IF(ISNA(N1280),NA(),M910)</f>
        <v>0</v>
      </c>
      <c r="N1280">
        <f>IF(OR(N910="",AND(N910=N909,N910=N911)),NA(), N910)</f>
        <v>0</v>
      </c>
    </row>
    <row r="1281" spans="5:14">
      <c r="E1281">
        <f>IF(ISNA(F1281),NA(),E911)</f>
        <v>0</v>
      </c>
      <c r="F1281">
        <f>IF(OR(F911="",AND(F911=F910,F911=F912)),NA(), F911)</f>
        <v>0</v>
      </c>
      <c r="G1281">
        <f>IF(ISNA(H1281),NA(),G911)</f>
        <v>0</v>
      </c>
      <c r="H1281">
        <f>IF(OR(H911="",AND(H911=H910,H911=H912)),NA(), H911)</f>
        <v>0</v>
      </c>
      <c r="K1281">
        <f>IF(ISNA(L1281),NA(),K911)</f>
        <v>0</v>
      </c>
      <c r="L1281">
        <f>IF(OR(L911="",AND(L911=L910,L911=L912)),NA(), L911)</f>
        <v>0</v>
      </c>
      <c r="M1281">
        <f>IF(ISNA(N1281),NA(),M911)</f>
        <v>0</v>
      </c>
      <c r="N1281">
        <f>IF(OR(N911="",AND(N911=N910,N911=N912)),NA(), N911)</f>
        <v>0</v>
      </c>
    </row>
    <row r="1282" spans="5:14">
      <c r="E1282">
        <f>IF(ISNA(F1282),NA(),E912)</f>
        <v>0</v>
      </c>
      <c r="F1282">
        <f>IF(OR(F912="",AND(F912=F911,F912=F913)),NA(), F912)</f>
        <v>0</v>
      </c>
      <c r="G1282">
        <f>IF(ISNA(H1282),NA(),G912)</f>
        <v>0</v>
      </c>
      <c r="H1282">
        <f>IF(OR(H912="",AND(H912=H911,H912=H913)),NA(), H912)</f>
        <v>0</v>
      </c>
      <c r="K1282">
        <f>IF(ISNA(L1282),NA(),K912)</f>
        <v>0</v>
      </c>
      <c r="L1282">
        <f>IF(OR(L912="",AND(L912=L911,L912=L913)),NA(), L912)</f>
        <v>0</v>
      </c>
      <c r="M1282">
        <f>IF(ISNA(N1282),NA(),M912)</f>
        <v>0</v>
      </c>
      <c r="N1282">
        <f>IF(OR(N912="",AND(N912=N911,N912=N913)),NA(), N912)</f>
        <v>0</v>
      </c>
    </row>
    <row r="1283" spans="5:14">
      <c r="E1283">
        <f>IF(ISNA(F1283),NA(),E913)</f>
        <v>0</v>
      </c>
      <c r="F1283">
        <f>IF(OR(F913="",AND(F913=F912,F913=F914)),NA(), F913)</f>
        <v>0</v>
      </c>
      <c r="G1283">
        <f>IF(ISNA(H1283),NA(),G913)</f>
        <v>0</v>
      </c>
      <c r="H1283">
        <f>IF(OR(H913="",AND(H913=H912,H913=H914)),NA(), H913)</f>
        <v>0</v>
      </c>
      <c r="K1283">
        <f>IF(ISNA(L1283),NA(),K913)</f>
        <v>0</v>
      </c>
      <c r="L1283">
        <f>IF(OR(L913="",AND(L913=L912,L913=L914)),NA(), L913)</f>
        <v>0</v>
      </c>
      <c r="M1283">
        <f>IF(ISNA(N1283),NA(),M913)</f>
        <v>0</v>
      </c>
      <c r="N1283">
        <f>IF(OR(N913="",AND(N913=N912,N913=N914)),NA(), N913)</f>
        <v>0</v>
      </c>
    </row>
    <row r="1284" spans="5:14">
      <c r="E1284">
        <f>IF(ISNA(F1284),NA(),E914)</f>
        <v>0</v>
      </c>
      <c r="F1284">
        <f>IF(OR(F914="",AND(F914=F913,F914=F915)),NA(), F914)</f>
        <v>0</v>
      </c>
      <c r="G1284">
        <f>IF(ISNA(H1284),NA(),G914)</f>
        <v>0</v>
      </c>
      <c r="H1284">
        <f>IF(OR(H914="",AND(H914=H913,H914=H915)),NA(), H914)</f>
        <v>0</v>
      </c>
      <c r="K1284">
        <f>IF(ISNA(L1284),NA(),K914)</f>
        <v>0</v>
      </c>
      <c r="L1284">
        <f>IF(OR(L914="",AND(L914=L913,L914=L915)),NA(), L914)</f>
        <v>0</v>
      </c>
      <c r="M1284">
        <f>IF(ISNA(N1284),NA(),M914)</f>
        <v>0</v>
      </c>
      <c r="N1284">
        <f>IF(OR(N914="",AND(N914=N913,N914=N915)),NA(), N914)</f>
        <v>0</v>
      </c>
    </row>
    <row r="1285" spans="5:14">
      <c r="E1285">
        <f>IF(ISNA(F1285),NA(),E915)</f>
        <v>0</v>
      </c>
      <c r="F1285">
        <f>IF(OR(F915="",AND(F915=F914,F915=F916)),NA(), F915)</f>
        <v>0</v>
      </c>
      <c r="G1285">
        <f>IF(ISNA(H1285),NA(),G915)</f>
        <v>0</v>
      </c>
      <c r="H1285">
        <f>IF(OR(H915="",AND(H915=H914,H915=H916)),NA(), H915)</f>
        <v>0</v>
      </c>
      <c r="K1285">
        <f>IF(ISNA(L1285),NA(),K915)</f>
        <v>0</v>
      </c>
      <c r="L1285">
        <f>IF(OR(L915="",AND(L915=L914,L915=L916)),NA(), L915)</f>
        <v>0</v>
      </c>
      <c r="M1285">
        <f>IF(ISNA(N1285),NA(),M915)</f>
        <v>0</v>
      </c>
      <c r="N1285">
        <f>IF(OR(N915="",AND(N915=N914,N915=N916)),NA(), N915)</f>
        <v>0</v>
      </c>
    </row>
    <row r="1286" spans="5:14">
      <c r="E1286">
        <f>IF(ISNA(F1286),NA(),E916)</f>
        <v>0</v>
      </c>
      <c r="F1286">
        <f>IF(OR(F916="",AND(F916=F915,F916=F917)),NA(), F916)</f>
        <v>0</v>
      </c>
      <c r="G1286">
        <f>IF(ISNA(H1286),NA(),G916)</f>
        <v>0</v>
      </c>
      <c r="H1286">
        <f>IF(OR(H916="",AND(H916=H915,H916=H917)),NA(), H916)</f>
        <v>0</v>
      </c>
      <c r="K1286">
        <f>IF(ISNA(L1286),NA(),K916)</f>
        <v>0</v>
      </c>
      <c r="L1286">
        <f>IF(OR(L916="",AND(L916=L915,L916=L917)),NA(), L916)</f>
        <v>0</v>
      </c>
      <c r="M1286">
        <f>IF(ISNA(N1286),NA(),M916)</f>
        <v>0</v>
      </c>
      <c r="N1286">
        <f>IF(OR(N916="",AND(N916=N915,N916=N917)),NA(), N916)</f>
        <v>0</v>
      </c>
    </row>
    <row r="1287" spans="5:14">
      <c r="E1287">
        <f>IF(ISNA(F1287),NA(),E917)</f>
        <v>0</v>
      </c>
      <c r="F1287">
        <f>IF(OR(F917="",AND(F917=F916,F917=F918)),NA(), F917)</f>
        <v>0</v>
      </c>
      <c r="G1287">
        <f>IF(ISNA(H1287),NA(),G917)</f>
        <v>0</v>
      </c>
      <c r="H1287">
        <f>IF(OR(H917="",AND(H917=H916,H917=H918)),NA(), H917)</f>
        <v>0</v>
      </c>
      <c r="K1287">
        <f>IF(ISNA(L1287),NA(),K917)</f>
        <v>0</v>
      </c>
      <c r="L1287">
        <f>IF(OR(L917="",AND(L917=L916,L917=L918)),NA(), L917)</f>
        <v>0</v>
      </c>
      <c r="M1287">
        <f>IF(ISNA(N1287),NA(),M917)</f>
        <v>0</v>
      </c>
      <c r="N1287">
        <f>IF(OR(N917="",AND(N917=N916,N917=N918)),NA(), N917)</f>
        <v>0</v>
      </c>
    </row>
    <row r="1288" spans="5:14">
      <c r="E1288">
        <f>IF(ISNA(F1288),NA(),E918)</f>
        <v>0</v>
      </c>
      <c r="F1288">
        <f>IF(OR(F918="",AND(F918=F917,F918=F919)),NA(), F918)</f>
        <v>0</v>
      </c>
      <c r="G1288">
        <f>IF(ISNA(H1288),NA(),G918)</f>
        <v>0</v>
      </c>
      <c r="H1288">
        <f>IF(OR(H918="",AND(H918=H917,H918=H919)),NA(), H918)</f>
        <v>0</v>
      </c>
      <c r="K1288">
        <f>IF(ISNA(L1288),NA(),K918)</f>
        <v>0</v>
      </c>
      <c r="L1288">
        <f>IF(OR(L918="",AND(L918=L917,L918=L919)),NA(), L918)</f>
        <v>0</v>
      </c>
      <c r="M1288">
        <f>IF(ISNA(N1288),NA(),M918)</f>
        <v>0</v>
      </c>
      <c r="N1288">
        <f>IF(OR(N918="",AND(N918=N917,N918=N919)),NA(), N918)</f>
        <v>0</v>
      </c>
    </row>
    <row r="1289" spans="5:14">
      <c r="E1289">
        <f>IF(ISNA(F1289),NA(),E919)</f>
        <v>0</v>
      </c>
      <c r="F1289">
        <f>IF(OR(F919="",AND(F919=F918,F919=F920)),NA(), F919)</f>
        <v>0</v>
      </c>
      <c r="G1289">
        <f>IF(ISNA(H1289),NA(),G919)</f>
        <v>0</v>
      </c>
      <c r="H1289">
        <f>IF(OR(H919="",AND(H919=H918,H919=H920)),NA(), H919)</f>
        <v>0</v>
      </c>
      <c r="K1289">
        <f>IF(ISNA(L1289),NA(),K919)</f>
        <v>0</v>
      </c>
      <c r="L1289">
        <f>IF(OR(L919="",AND(L919=L918,L919=L920)),NA(), L919)</f>
        <v>0</v>
      </c>
      <c r="M1289">
        <f>IF(ISNA(N1289),NA(),M919)</f>
        <v>0</v>
      </c>
      <c r="N1289">
        <f>IF(OR(N919="",AND(N919=N918,N919=N920)),NA(), N919)</f>
        <v>0</v>
      </c>
    </row>
    <row r="1290" spans="5:14">
      <c r="E1290">
        <f>IF(ISNA(F1290),NA(),E920)</f>
        <v>0</v>
      </c>
      <c r="F1290">
        <f>IF(OR(F920="",AND(F920=F919,F920=F921)),NA(), F920)</f>
        <v>0</v>
      </c>
      <c r="G1290">
        <f>IF(ISNA(H1290),NA(),G920)</f>
        <v>0</v>
      </c>
      <c r="H1290">
        <f>IF(OR(H920="",AND(H920=H919,H920=H921)),NA(), H920)</f>
        <v>0</v>
      </c>
      <c r="K1290">
        <f>IF(ISNA(L1290),NA(),K920)</f>
        <v>0</v>
      </c>
      <c r="L1290">
        <f>IF(OR(L920="",AND(L920=L919,L920=L921)),NA(), L920)</f>
        <v>0</v>
      </c>
      <c r="M1290">
        <f>IF(ISNA(N1290),NA(),M920)</f>
        <v>0</v>
      </c>
      <c r="N1290">
        <f>IF(OR(N920="",AND(N920=N919,N920=N921)),NA(), N920)</f>
        <v>0</v>
      </c>
    </row>
    <row r="1291" spans="5:14">
      <c r="E1291">
        <f>IF(ISNA(F1291),NA(),E921)</f>
        <v>0</v>
      </c>
      <c r="F1291">
        <f>IF(OR(F921="",AND(F921=F920,F921=F922)),NA(), F921)</f>
        <v>0</v>
      </c>
      <c r="G1291">
        <f>IF(ISNA(H1291),NA(),G921)</f>
        <v>0</v>
      </c>
      <c r="H1291">
        <f>IF(OR(H921="",AND(H921=H920,H921=H922)),NA(), H921)</f>
        <v>0</v>
      </c>
      <c r="K1291">
        <f>IF(ISNA(L1291),NA(),K921)</f>
        <v>0</v>
      </c>
      <c r="L1291">
        <f>IF(OR(L921="",AND(L921=L920,L921=L922)),NA(), L921)</f>
        <v>0</v>
      </c>
      <c r="M1291">
        <f>IF(ISNA(N1291),NA(),M921)</f>
        <v>0</v>
      </c>
      <c r="N1291">
        <f>IF(OR(N921="",AND(N921=N920,N921=N922)),NA(), N921)</f>
        <v>0</v>
      </c>
    </row>
    <row r="1292" spans="5:14">
      <c r="E1292">
        <f>IF(ISNA(F1292),NA(),E922)</f>
        <v>0</v>
      </c>
      <c r="F1292">
        <f>IF(OR(F922="",AND(F922=F921,F922=F923)),NA(), F922)</f>
        <v>0</v>
      </c>
      <c r="G1292">
        <f>IF(ISNA(H1292),NA(),G922)</f>
        <v>0</v>
      </c>
      <c r="H1292">
        <f>IF(OR(H922="",AND(H922=H921,H922=H923)),NA(), H922)</f>
        <v>0</v>
      </c>
      <c r="K1292">
        <f>IF(ISNA(L1292),NA(),K922)</f>
        <v>0</v>
      </c>
      <c r="L1292">
        <f>IF(OR(L922="",AND(L922=L921,L922=L923)),NA(), L922)</f>
        <v>0</v>
      </c>
      <c r="M1292">
        <f>IF(ISNA(N1292),NA(),M922)</f>
        <v>0</v>
      </c>
      <c r="N1292">
        <f>IF(OR(N922="",AND(N922=N921,N922=N923)),NA(), N922)</f>
        <v>0</v>
      </c>
    </row>
    <row r="1293" spans="5:14">
      <c r="E1293">
        <f>IF(ISNA(F1293),NA(),E923)</f>
        <v>0</v>
      </c>
      <c r="F1293">
        <f>IF(OR(F923="",AND(F923=F922,F923=F924)),NA(), F923)</f>
        <v>0</v>
      </c>
      <c r="G1293">
        <f>IF(ISNA(H1293),NA(),G923)</f>
        <v>0</v>
      </c>
      <c r="H1293">
        <f>IF(OR(H923="",AND(H923=H922,H923=H924)),NA(), H923)</f>
        <v>0</v>
      </c>
      <c r="K1293">
        <f>IF(ISNA(L1293),NA(),K923)</f>
        <v>0</v>
      </c>
      <c r="L1293">
        <f>IF(OR(L923="",AND(L923=L922,L923=L924)),NA(), L923)</f>
        <v>0</v>
      </c>
      <c r="M1293">
        <f>IF(ISNA(N1293),NA(),M923)</f>
        <v>0</v>
      </c>
      <c r="N1293">
        <f>IF(OR(N923="",AND(N923=N922,N923=N924)),NA(), N923)</f>
        <v>0</v>
      </c>
    </row>
    <row r="1294" spans="5:14">
      <c r="E1294">
        <f>IF(ISNA(F1294),NA(),E924)</f>
        <v>0</v>
      </c>
      <c r="F1294">
        <f>IF(OR(F924="",AND(F924=F923,F924=F925)),NA(), F924)</f>
        <v>0</v>
      </c>
      <c r="G1294">
        <f>IF(ISNA(H1294),NA(),G924)</f>
        <v>0</v>
      </c>
      <c r="H1294">
        <f>IF(OR(H924="",AND(H924=H923,H924=H925)),NA(), H924)</f>
        <v>0</v>
      </c>
      <c r="K1294">
        <f>IF(ISNA(L1294),NA(),K924)</f>
        <v>0</v>
      </c>
      <c r="L1294">
        <f>IF(OR(L924="",AND(L924=L923,L924=L925)),NA(), L924)</f>
        <v>0</v>
      </c>
      <c r="M1294">
        <f>IF(ISNA(N1294),NA(),M924)</f>
        <v>0</v>
      </c>
      <c r="N1294">
        <f>IF(OR(N924="",AND(N924=N923,N924=N925)),NA(), N924)</f>
        <v>0</v>
      </c>
    </row>
    <row r="1295" spans="5:14">
      <c r="E1295">
        <f>IF(ISNA(F1295),NA(),E925)</f>
        <v>0</v>
      </c>
      <c r="F1295">
        <f>IF(OR(F925="",AND(F925=F924,F925=F926)),NA(), F925)</f>
        <v>0</v>
      </c>
      <c r="G1295">
        <f>IF(ISNA(H1295),NA(),G925)</f>
        <v>0</v>
      </c>
      <c r="H1295">
        <f>IF(OR(H925="",AND(H925=H924,H925=H926)),NA(), H925)</f>
        <v>0</v>
      </c>
      <c r="K1295">
        <f>IF(ISNA(L1295),NA(),K925)</f>
        <v>0</v>
      </c>
      <c r="L1295">
        <f>IF(OR(L925="",AND(L925=L924,L925=L926)),NA(), L925)</f>
        <v>0</v>
      </c>
      <c r="M1295">
        <f>IF(ISNA(N1295),NA(),M925)</f>
        <v>0</v>
      </c>
      <c r="N1295">
        <f>IF(OR(N925="",AND(N925=N924,N925=N926)),NA(), N925)</f>
        <v>0</v>
      </c>
    </row>
    <row r="1296" spans="5:14">
      <c r="E1296">
        <f>IF(ISNA(F1296),NA(),E926)</f>
        <v>0</v>
      </c>
      <c r="F1296">
        <f>IF(OR(F926="",AND(F926=F925,F926=F927)),NA(), F926)</f>
        <v>0</v>
      </c>
      <c r="G1296">
        <f>IF(ISNA(H1296),NA(),G926)</f>
        <v>0</v>
      </c>
      <c r="H1296">
        <f>IF(OR(H926="",AND(H926=H925,H926=H927)),NA(), H926)</f>
        <v>0</v>
      </c>
      <c r="K1296">
        <f>IF(ISNA(L1296),NA(),K926)</f>
        <v>0</v>
      </c>
      <c r="L1296">
        <f>IF(OR(L926="",AND(L926=L925,L926=L927)),NA(), L926)</f>
        <v>0</v>
      </c>
      <c r="M1296">
        <f>IF(ISNA(N1296),NA(),M926)</f>
        <v>0</v>
      </c>
      <c r="N1296">
        <f>IF(OR(N926="",AND(N926=N925,N926=N927)),NA(), N926)</f>
        <v>0</v>
      </c>
    </row>
    <row r="1297" spans="5:14">
      <c r="E1297">
        <f>IF(ISNA(F1297),NA(),E927)</f>
        <v>0</v>
      </c>
      <c r="F1297">
        <f>IF(OR(F927="",AND(F927=F926,F927=F928)),NA(), F927)</f>
        <v>0</v>
      </c>
      <c r="G1297">
        <f>IF(ISNA(H1297),NA(),G927)</f>
        <v>0</v>
      </c>
      <c r="H1297">
        <f>IF(OR(H927="",AND(H927=H926,H927=H928)),NA(), H927)</f>
        <v>0</v>
      </c>
      <c r="K1297">
        <f>IF(ISNA(L1297),NA(),K927)</f>
        <v>0</v>
      </c>
      <c r="L1297">
        <f>IF(OR(L927="",AND(L927=L926,L927=L928)),NA(), L927)</f>
        <v>0</v>
      </c>
      <c r="M1297">
        <f>IF(ISNA(N1297),NA(),M927)</f>
        <v>0</v>
      </c>
      <c r="N1297">
        <f>IF(OR(N927="",AND(N927=N926,N927=N928)),NA(), N927)</f>
        <v>0</v>
      </c>
    </row>
    <row r="1298" spans="5:14">
      <c r="E1298">
        <f>IF(ISNA(F1298),NA(),E928)</f>
        <v>0</v>
      </c>
      <c r="F1298">
        <f>IF(OR(F928="",AND(F928=F927,F928=F929)),NA(), F928)</f>
        <v>0</v>
      </c>
      <c r="G1298">
        <f>IF(ISNA(H1298),NA(),G928)</f>
        <v>0</v>
      </c>
      <c r="H1298">
        <f>IF(OR(H928="",AND(H928=H927,H928=H929)),NA(), H928)</f>
        <v>0</v>
      </c>
      <c r="K1298">
        <f>IF(ISNA(L1298),NA(),K928)</f>
        <v>0</v>
      </c>
      <c r="L1298">
        <f>IF(OR(L928="",AND(L928=L927,L928=L929)),NA(), L928)</f>
        <v>0</v>
      </c>
      <c r="M1298">
        <f>IF(ISNA(N1298),NA(),M928)</f>
        <v>0</v>
      </c>
      <c r="N1298">
        <f>IF(OR(N928="",AND(N928=N927,N928=N929)),NA(), N928)</f>
        <v>0</v>
      </c>
    </row>
    <row r="1299" spans="5:14">
      <c r="E1299">
        <f>IF(ISNA(F1299),NA(),E929)</f>
        <v>0</v>
      </c>
      <c r="F1299">
        <f>IF(F929="",NA(),F929)</f>
        <v>0</v>
      </c>
      <c r="G1299">
        <f>IF(ISNA(H1299),NA(),G929)</f>
        <v>0</v>
      </c>
      <c r="H1299">
        <f>IF(H929="",NA(),H929)</f>
        <v>0</v>
      </c>
      <c r="K1299">
        <f>IF(ISNA(L1299),NA(),K929)</f>
        <v>0</v>
      </c>
      <c r="L1299">
        <f>IF(L929="",NA(),L929)</f>
        <v>0</v>
      </c>
      <c r="M1299">
        <f>IF(ISNA(N1299),NA(),M929)</f>
        <v>0</v>
      </c>
      <c r="N1299">
        <f>IF(N929="",NA(),N929)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214</v>
      </c>
      <c r="F2" t="s">
        <v>216</v>
      </c>
    </row>
    <row r="3" spans="2:6">
      <c r="B3" s="2" t="s">
        <v>215</v>
      </c>
      <c r="F3" s="2" t="s">
        <v>192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"error,mem,memout,par2,time,timeout"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2026-10-01T10:54:10Z</dcterms:created>
  <dcterms:modified xsi:type="dcterms:W3CDTF">2026-10-01T10:54:10Z</dcterms:modified>
</cp:coreProperties>
</file>