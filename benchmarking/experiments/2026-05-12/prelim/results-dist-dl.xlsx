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<sst xmlns="http://schemas.openxmlformats.org/spreadsheetml/2006/main" count="1258" uniqueCount="403">
  <si>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</si>
  <si>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</si>
  <si>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</si>
  <si>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</si>
  <si>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</si>
  <si>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</si>
  <si>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</si>
  <si>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</si>
  <si>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</si>
  <si>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</si>
  <si>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</si>
  <si>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</si>
  <si>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</si>
  <si>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</si>
  <si>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</si>
  <si>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</si>
  <si>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</si>
  <si>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</si>
  <si>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</si>
  <si>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</si>
  <si>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</si>
  <si>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</si>
  <si>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</si>
  <si>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</si>
  <si>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</si>
  <si>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</si>
  <si>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</si>
  <si>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</si>
  <si>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</si>
  <si>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</si>
  <si>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</si>
  <si>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</si>
  <si>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</si>
  <si>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</si>
  <si>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</si>
  <si>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</si>
  <si>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</si>
  <si>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</si>
  <si>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</si>
  <si>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</si>
  <si>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</si>
  <si>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</si>
  <si>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</si>
  <si>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</si>
  <si>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</si>
  <si>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</si>
  <si>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</si>
  <si>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</si>
  <si>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</si>
  <si>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</si>
  <si>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</si>
  <si>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</si>
  <si>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</si>
  <si>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</si>
  <si>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</si>
  <si>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</si>
  <si>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</si>
  <si>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</si>
  <si>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</si>
  <si>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</si>
  <si>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</si>
  <si>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</si>
  <si>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</si>
  <si>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</si>
  <si>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</si>
  <si>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</si>
  <si>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</si>
  <si>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</si>
  <si>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</si>
  <si>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</si>
  <si>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</si>
  <si>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</si>
  <si>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</si>
  <si>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</si>
  <si>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</si>
  <si>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</si>
  <si>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</si>
  <si>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</si>
  <si>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</si>
  <si>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</si>
  <si>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</si>
  <si>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</si>
  <si>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</si>
  <si>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</si>
  <si>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</si>
  <si>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</si>
  <si>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</si>
  <si>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</si>
  <si>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</si>
  <si>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</si>
  <si>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</si>
  <si>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</si>
  <si>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</si>
  <si>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</si>
  <si>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</si>
  <si>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</si>
  <si>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</si>
  <si>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</si>
  <si>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</si>
  <si>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</si>
  <si>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</si>
  <si>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</si>
  <si>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</si>
  <si>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</si>
  <si>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</si>
  <si>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</si>
  <si>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</si>
  <si>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</si>
  <si>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</si>
  <si>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</si>
  <si>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</si>
  <si>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</si>
  <si>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</si>
  <si>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</si>
  <si>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</si>
  <si>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</si>
  <si>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</si>
  <si>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</si>
  <si>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</si>
  <si>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</si>
  <si>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</si>
  <si>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</si>
  <si>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</si>
  <si>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</si>
  <si>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</si>
  <si>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</si>
  <si>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</si>
  <si>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</si>
  <si>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</si>
  <si>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</si>
  <si>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</si>
  <si>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</si>
  <si>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</si>
  <si>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</si>
  <si>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</si>
  <si>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</si>
  <si>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</si>
  <si>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</si>
  <si>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</si>
  <si>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</si>
  <si>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</si>
  <si>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</si>
  <si>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</si>
  <si>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</si>
  <si>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</si>
  <si>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</si>
  <si>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</si>
  <si>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</si>
  <si>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</si>
  <si>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</si>
  <si>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</si>
  <si>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</si>
  <si>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</si>
  <si>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</si>
  <si>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</si>
  <si>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</si>
  <si>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</si>
  <si>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</si>
  <si>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</si>
  <si>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</si>
  <si>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</si>
  <si>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</si>
  <si>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</si>
  <si>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</si>
  <si>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</si>
  <si>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</si>
  <si>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</si>
  <si>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</si>
  <si>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</si>
  <si>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</si>
  <si>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</si>
  <si>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</si>
  <si>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</si>
  <si>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</si>
  <si>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</si>
  <si>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</si>
  <si>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</si>
  <si>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</si>
  <si>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</si>
  <si>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</si>
  <si>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</si>
  <si>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</si>
  <si>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</si>
  <si>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</si>
  <si>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</si>
  <si>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</si>
  <si>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</si>
  <si>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</si>
  <si>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</si>
  <si>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</si>
  <si>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</si>
  <si>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</si>
  <si>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</si>
  <si>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</si>
  <si>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</si>
  <si>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</si>
  <si>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</si>
  <si>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</si>
  <si>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</si>
  <si>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</si>
  <si>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</si>
  <si>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</si>
  <si>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</si>
  <si>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</si>
  <si>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</si>
  <si>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</si>
  <si>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</si>
  <si>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</si>
  <si>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</si>
  <si>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</si>
  <si>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</si>
  <si>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</si>
  <si>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</si>
  <si>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</si>
  <si>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</si>
  <si>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</si>
  <si>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</si>
  <si>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</si>
  <si>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</si>
  <si>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</si>
  <si>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</si>
  <si>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</si>
  <si>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</si>
  <si>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</si>
  <si>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</si>
  <si>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</si>
  <si>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</si>
  <si>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</si>
  <si>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</si>
  <si>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</si>
  <si>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</si>
  <si>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</si>
  <si>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</si>
  <si>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</si>
  <si>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</si>
  <si>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</si>
  <si>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</si>
  <si>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</si>
  <si>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</si>
  <si>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</si>
  <si>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</si>
  <si>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</si>
  <si>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</si>
  <si>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</si>
  <si>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</si>
  <si>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</si>
  <si>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</si>
  <si>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</si>
  <si>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</si>
  <si>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</si>
  <si>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</si>
  <si>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</si>
  <si>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</si>
  <si>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</si>
  <si>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</si>
  <si>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</si>
  <si>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</si>
  <si>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</si>
  <si>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</si>
  <si>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</si>
  <si>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</si>
  <si>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</si>
  <si>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</si>
  <si>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</si>
  <si>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</si>
  <si>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</si>
  <si>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</si>
  <si>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</si>
  <si>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</si>
  <si>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</si>
  <si>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</si>
  <si>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</si>
  <si>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</si>
  <si>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</si>
  <si>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</si>
  <si>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</si>
  <si>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</si>
  <si>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</si>
  <si>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</si>
  <si>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</si>
  <si>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</si>
  <si>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</si>
  <si>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</si>
  <si>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</si>
  <si>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</si>
  <si>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</si>
  <si>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</si>
  <si>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</si>
  <si>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</si>
  <si>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</si>
  <si>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</si>
  <si>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</si>
  <si>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</si>
  <si>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</si>
  <si>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</si>
  <si>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</si>
  <si>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</si>
  <si>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</si>
  <si>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</si>
  <si>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</si>
  <si>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</si>
  <si>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</si>
  <si>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</si>
  <si>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</si>
  <si>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</si>
  <si>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</si>
  <si>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</si>
  <si>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</si>
  <si>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</si>
  <si>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</si>
  <si>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</si>
  <si>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</si>
  <si>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</si>
  <si>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</si>
  <si>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</si>
  <si>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</si>
  <si>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</si>
  <si>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</si>
  <si>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</si>
  <si>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</si>
  <si>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</si>
  <si>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</si>
  <si>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</si>
  <si>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</si>
  <si>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</si>
  <si>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</si>
  <si>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</si>
  <si>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</si>
  <si>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</si>
  <si>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</si>
  <si>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</si>
  <si>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</si>
  <si>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</si>
  <si>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</si>
  <si>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</si>
  <si>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</si>
  <si>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</si>
  <si>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</si>
  <si>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</si>
  <si>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</si>
  <si>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</si>
  <si>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</si>
  <si>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</si>
  <si>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</si>
  <si>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</si>
  <si>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</si>
  <si>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</si>
  <si>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</si>
  <si>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</si>
  <si>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</si>
  <si>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</si>
  <si>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</si>
  <si>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</si>
  <si>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</si>
  <si>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</si>
  <si>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</si>
  <si>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</si>
  <si>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</si>
  <si>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</si>
  <si>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</si>
  <si>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</si>
  <si>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</si>
  <si>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</si>
  <si>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</si>
  <si>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</si>
  <si>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</si>
  <si>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</si>
  <si>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</si>
  <si>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</si>
  <si>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error</t>
  </si>
  <si>
    <t>mem</t>
  </si>
  <si>
    <t>memout</t>
  </si>
  <si>
    <t>par2</t>
  </si>
  <si>
    <t>rstatus</t>
  </si>
  <si>
    <t>ok</t>
  </si>
  <si>
    <t>time</t>
  </si>
  <si>
    <t>timeout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</si>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</sst>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error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error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error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26" width="11.42578125" customWidth="1"/>
  </cols>
  <sheetData>
    <row r="1" spans="1:26">
      <c r="A1" s="1"/>
      <c r="B1" s="1" t="s">
        <v>368</v>
      </c>
      <c r="C1" s="1"/>
      <c r="D1" s="1"/>
      <c r="E1" s="1"/>
      <c r="F1" s="1"/>
      <c r="G1" s="1"/>
      <c r="H1" s="1"/>
      <c r="I1" s="1" t="s">
        <v>377</v>
      </c>
      <c r="J1" s="1"/>
      <c r="K1" s="1"/>
      <c r="L1" s="1"/>
      <c r="M1" s="1"/>
      <c r="N1" s="1"/>
      <c r="O1" s="1" t="s">
        <v>378</v>
      </c>
      <c r="P1" s="1"/>
      <c r="Q1" s="1"/>
      <c r="R1" s="1"/>
      <c r="S1" s="1"/>
      <c r="T1" s="1"/>
      <c r="U1" s="1" t="s">
        <v>379</v>
      </c>
      <c r="V1" s="1"/>
      <c r="W1" s="1"/>
      <c r="X1" s="1"/>
      <c r="Y1" s="1"/>
      <c r="Z1" s="1"/>
    </row>
    <row r="2" spans="1:26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375</v>
      </c>
      <c r="H2" s="1" t="s">
        <v>376</v>
      </c>
      <c r="I2" s="1" t="s">
        <v>369</v>
      </c>
      <c r="J2" s="1" t="s">
        <v>370</v>
      </c>
      <c r="K2" s="1" t="s">
        <v>371</v>
      </c>
      <c r="L2" s="1" t="s">
        <v>372</v>
      </c>
      <c r="M2" s="1" t="s">
        <v>375</v>
      </c>
      <c r="N2" s="1" t="s">
        <v>376</v>
      </c>
      <c r="O2" s="1" t="s">
        <v>369</v>
      </c>
      <c r="P2" s="1" t="s">
        <v>370</v>
      </c>
      <c r="Q2" s="1" t="s">
        <v>371</v>
      </c>
      <c r="R2" s="1" t="s">
        <v>372</v>
      </c>
      <c r="S2" s="1" t="s">
        <v>375</v>
      </c>
      <c r="T2" s="1" t="s">
        <v>376</v>
      </c>
      <c r="U2" s="1" t="s">
        <v>369</v>
      </c>
      <c r="V2" s="1" t="s">
        <v>370</v>
      </c>
      <c r="W2" s="1" t="s">
        <v>371</v>
      </c>
      <c r="X2" s="1" t="s">
        <v>372</v>
      </c>
      <c r="Y2" s="1" t="s">
        <v>375</v>
      </c>
      <c r="Z2" s="1" t="s">
        <v>376</v>
      </c>
    </row>
    <row r="3" spans="1:26">
      <c r="A3" s="1" t="s">
        <v>0</v>
      </c>
      <c r="B3" s="1">
        <v>1</v>
      </c>
      <c r="C3" s="1">
        <v>0</v>
      </c>
      <c r="D3" s="1">
        <v>0</v>
      </c>
      <c r="E3" s="1">
        <v>3000</v>
      </c>
      <c r="F3" s="1" t="s">
        <v>374</v>
      </c>
      <c r="G3" s="1">
        <v>1500</v>
      </c>
      <c r="H3" s="1">
        <v>1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 t="s">
        <v>1</v>
      </c>
      <c r="B4" s="1">
        <v>1</v>
      </c>
      <c r="C4" s="1">
        <v>0</v>
      </c>
      <c r="D4" s="1">
        <v>0</v>
      </c>
      <c r="E4" s="1">
        <v>3000</v>
      </c>
      <c r="F4" s="1" t="s">
        <v>374</v>
      </c>
      <c r="G4" s="1">
        <v>1500</v>
      </c>
      <c r="H4" s="1">
        <v>1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 t="s">
        <v>2</v>
      </c>
      <c r="B5" s="1">
        <v>1</v>
      </c>
      <c r="C5" s="1">
        <v>0</v>
      </c>
      <c r="D5" s="1">
        <v>0</v>
      </c>
      <c r="E5" s="1">
        <v>3000</v>
      </c>
      <c r="F5" s="1" t="s">
        <v>374</v>
      </c>
      <c r="G5" s="1">
        <v>1500</v>
      </c>
      <c r="H5" s="1">
        <v>1</v>
      </c>
      <c r="I5" s="1">
        <f>MIN($B5)</f>
        <v>0</v>
      </c>
      <c r="J5" s="1">
        <f>MIN($C5)</f>
        <v>0</v>
      </c>
      <c r="K5" s="1">
        <f>MIN($D5)</f>
        <v>0</v>
      </c>
      <c r="L5" s="1">
        <f>MIN($E5)</f>
        <v>0</v>
      </c>
      <c r="M5" s="1">
        <f>MIN($G5)</f>
        <v>0</v>
      </c>
      <c r="N5" s="1">
        <f>MIN($H5)</f>
        <v>0</v>
      </c>
      <c r="O5" s="1">
        <f>MEDIAN($B5)</f>
        <v>0</v>
      </c>
      <c r="P5" s="1">
        <f>MEDIAN($C5)</f>
        <v>0</v>
      </c>
      <c r="Q5" s="1">
        <f>MEDIAN($D5)</f>
        <v>0</v>
      </c>
      <c r="R5" s="1">
        <f>MEDIAN($E5)</f>
        <v>0</v>
      </c>
      <c r="S5" s="1">
        <f>MEDIAN($G5)</f>
        <v>0</v>
      </c>
      <c r="T5" s="1">
        <f>MEDIAN($H5)</f>
        <v>0</v>
      </c>
      <c r="U5" s="1">
        <f>MAX($B5)</f>
        <v>0</v>
      </c>
      <c r="V5" s="1">
        <f>MAX($C5)</f>
        <v>0</v>
      </c>
      <c r="W5" s="1">
        <f>MAX($D5)</f>
        <v>0</v>
      </c>
      <c r="X5" s="1">
        <f>MAX($E5)</f>
        <v>0</v>
      </c>
      <c r="Y5" s="1">
        <f>MAX($G5)</f>
        <v>0</v>
      </c>
      <c r="Z5" s="1">
        <f>MAX($H5)</f>
        <v>0</v>
      </c>
    </row>
    <row r="6" spans="1:26">
      <c r="A6" s="1" t="s">
        <v>3</v>
      </c>
      <c r="B6" s="1">
        <v>1</v>
      </c>
      <c r="C6" s="1">
        <v>0</v>
      </c>
      <c r="D6" s="1">
        <v>0</v>
      </c>
      <c r="E6" s="1">
        <v>3000</v>
      </c>
      <c r="F6" s="1" t="s">
        <v>374</v>
      </c>
      <c r="G6" s="1">
        <v>1500</v>
      </c>
      <c r="H6" s="1">
        <v>1</v>
      </c>
      <c r="I6" s="1">
        <f>MIN($B6)</f>
        <v>0</v>
      </c>
      <c r="J6" s="1">
        <f>MIN($C6)</f>
        <v>0</v>
      </c>
      <c r="K6" s="1">
        <f>MIN($D6)</f>
        <v>0</v>
      </c>
      <c r="L6" s="1">
        <f>MIN($E6)</f>
        <v>0</v>
      </c>
      <c r="M6" s="1">
        <f>MIN($G6)</f>
        <v>0</v>
      </c>
      <c r="N6" s="1">
        <f>MIN($H6)</f>
        <v>0</v>
      </c>
      <c r="O6" s="1">
        <f>MEDIAN($B6)</f>
        <v>0</v>
      </c>
      <c r="P6" s="1">
        <f>MEDIAN($C6)</f>
        <v>0</v>
      </c>
      <c r="Q6" s="1">
        <f>MEDIAN($D6)</f>
        <v>0</v>
      </c>
      <c r="R6" s="1">
        <f>MEDIAN($E6)</f>
        <v>0</v>
      </c>
      <c r="S6" s="1">
        <f>MEDIAN($G6)</f>
        <v>0</v>
      </c>
      <c r="T6" s="1">
        <f>MEDIAN($H6)</f>
        <v>0</v>
      </c>
      <c r="U6" s="1">
        <f>MAX($B6)</f>
        <v>0</v>
      </c>
      <c r="V6" s="1">
        <f>MAX($C6)</f>
        <v>0</v>
      </c>
      <c r="W6" s="1">
        <f>MAX($D6)</f>
        <v>0</v>
      </c>
      <c r="X6" s="1">
        <f>MAX($E6)</f>
        <v>0</v>
      </c>
      <c r="Y6" s="1">
        <f>MAX($G6)</f>
        <v>0</v>
      </c>
      <c r="Z6" s="1">
        <f>MAX($H6)</f>
        <v>0</v>
      </c>
    </row>
    <row r="7" spans="1:26">
      <c r="A7" s="1" t="s">
        <v>4</v>
      </c>
      <c r="B7" s="1">
        <v>1</v>
      </c>
      <c r="C7" s="1">
        <v>0</v>
      </c>
      <c r="D7" s="1">
        <v>0</v>
      </c>
      <c r="E7" s="1">
        <v>3000</v>
      </c>
      <c r="F7" s="1" t="s">
        <v>374</v>
      </c>
      <c r="G7" s="1">
        <v>1500</v>
      </c>
      <c r="H7" s="1">
        <v>1</v>
      </c>
      <c r="I7" s="1">
        <f>MIN($B7)</f>
        <v>0</v>
      </c>
      <c r="J7" s="1">
        <f>MIN($C7)</f>
        <v>0</v>
      </c>
      <c r="K7" s="1">
        <f>MIN($D7)</f>
        <v>0</v>
      </c>
      <c r="L7" s="1">
        <f>MIN($E7)</f>
        <v>0</v>
      </c>
      <c r="M7" s="1">
        <f>MIN($G7)</f>
        <v>0</v>
      </c>
      <c r="N7" s="1">
        <f>MIN($H7)</f>
        <v>0</v>
      </c>
      <c r="O7" s="1">
        <f>MEDIAN($B7)</f>
        <v>0</v>
      </c>
      <c r="P7" s="1">
        <f>MEDIAN($C7)</f>
        <v>0</v>
      </c>
      <c r="Q7" s="1">
        <f>MEDIAN($D7)</f>
        <v>0</v>
      </c>
      <c r="R7" s="1">
        <f>MEDIAN($E7)</f>
        <v>0</v>
      </c>
      <c r="S7" s="1">
        <f>MEDIAN($G7)</f>
        <v>0</v>
      </c>
      <c r="T7" s="1">
        <f>MEDIAN($H7)</f>
        <v>0</v>
      </c>
      <c r="U7" s="1">
        <f>MAX($B7)</f>
        <v>0</v>
      </c>
      <c r="V7" s="1">
        <f>MAX($C7)</f>
        <v>0</v>
      </c>
      <c r="W7" s="1">
        <f>MAX($D7)</f>
        <v>0</v>
      </c>
      <c r="X7" s="1">
        <f>MAX($E7)</f>
        <v>0</v>
      </c>
      <c r="Y7" s="1">
        <f>MAX($G7)</f>
        <v>0</v>
      </c>
      <c r="Z7" s="1">
        <f>MAX($H7)</f>
        <v>0</v>
      </c>
    </row>
    <row r="8" spans="1:26">
      <c r="A8" s="1" t="s">
        <v>5</v>
      </c>
      <c r="B8" s="1">
        <v>1</v>
      </c>
      <c r="C8" s="1">
        <v>0</v>
      </c>
      <c r="D8" s="1">
        <v>0</v>
      </c>
      <c r="E8" s="1">
        <v>3000</v>
      </c>
      <c r="F8" s="1" t="s">
        <v>374</v>
      </c>
      <c r="G8" s="1">
        <v>1500</v>
      </c>
      <c r="H8" s="1">
        <v>1</v>
      </c>
      <c r="I8" s="1">
        <f>MIN($B8)</f>
        <v>0</v>
      </c>
      <c r="J8" s="1">
        <f>MIN($C8)</f>
        <v>0</v>
      </c>
      <c r="K8" s="1">
        <f>MIN($D8)</f>
        <v>0</v>
      </c>
      <c r="L8" s="1">
        <f>MIN($E8)</f>
        <v>0</v>
      </c>
      <c r="M8" s="1">
        <f>MIN($G8)</f>
        <v>0</v>
      </c>
      <c r="N8" s="1">
        <f>MIN($H8)</f>
        <v>0</v>
      </c>
      <c r="O8" s="1">
        <f>MEDIAN($B8)</f>
        <v>0</v>
      </c>
      <c r="P8" s="1">
        <f>MEDIAN($C8)</f>
        <v>0</v>
      </c>
      <c r="Q8" s="1">
        <f>MEDIAN($D8)</f>
        <v>0</v>
      </c>
      <c r="R8" s="1">
        <f>MEDIAN($E8)</f>
        <v>0</v>
      </c>
      <c r="S8" s="1">
        <f>MEDIAN($G8)</f>
        <v>0</v>
      </c>
      <c r="T8" s="1">
        <f>MEDIAN($H8)</f>
        <v>0</v>
      </c>
      <c r="U8" s="1">
        <f>MAX($B8)</f>
        <v>0</v>
      </c>
      <c r="V8" s="1">
        <f>MAX($C8)</f>
        <v>0</v>
      </c>
      <c r="W8" s="1">
        <f>MAX($D8)</f>
        <v>0</v>
      </c>
      <c r="X8" s="1">
        <f>MAX($E8)</f>
        <v>0</v>
      </c>
      <c r="Y8" s="1">
        <f>MAX($G8)</f>
        <v>0</v>
      </c>
      <c r="Z8" s="1">
        <f>MAX($H8)</f>
        <v>0</v>
      </c>
    </row>
    <row r="9" spans="1:26">
      <c r="A9" s="1" t="s">
        <v>6</v>
      </c>
      <c r="B9" s="1">
        <v>1</v>
      </c>
      <c r="C9" s="1">
        <v>0</v>
      </c>
      <c r="D9" s="1">
        <v>0</v>
      </c>
      <c r="E9" s="1">
        <v>3000</v>
      </c>
      <c r="F9" s="1" t="s">
        <v>374</v>
      </c>
      <c r="G9" s="1">
        <v>1500</v>
      </c>
      <c r="H9" s="1">
        <v>1</v>
      </c>
      <c r="I9" s="1">
        <f>MIN($B9)</f>
        <v>0</v>
      </c>
      <c r="J9" s="1">
        <f>MIN($C9)</f>
        <v>0</v>
      </c>
      <c r="K9" s="1">
        <f>MIN($D9)</f>
        <v>0</v>
      </c>
      <c r="L9" s="1">
        <f>MIN($E9)</f>
        <v>0</v>
      </c>
      <c r="M9" s="1">
        <f>MIN($G9)</f>
        <v>0</v>
      </c>
      <c r="N9" s="1">
        <f>MIN($H9)</f>
        <v>0</v>
      </c>
      <c r="O9" s="1">
        <f>MEDIAN($B9)</f>
        <v>0</v>
      </c>
      <c r="P9" s="1">
        <f>MEDIAN($C9)</f>
        <v>0</v>
      </c>
      <c r="Q9" s="1">
        <f>MEDIAN($D9)</f>
        <v>0</v>
      </c>
      <c r="R9" s="1">
        <f>MEDIAN($E9)</f>
        <v>0</v>
      </c>
      <c r="S9" s="1">
        <f>MEDIAN($G9)</f>
        <v>0</v>
      </c>
      <c r="T9" s="1">
        <f>MEDIAN($H9)</f>
        <v>0</v>
      </c>
      <c r="U9" s="1">
        <f>MAX($B9)</f>
        <v>0</v>
      </c>
      <c r="V9" s="1">
        <f>MAX($C9)</f>
        <v>0</v>
      </c>
      <c r="W9" s="1">
        <f>MAX($D9)</f>
        <v>0</v>
      </c>
      <c r="X9" s="1">
        <f>MAX($E9)</f>
        <v>0</v>
      </c>
      <c r="Y9" s="1">
        <f>MAX($G9)</f>
        <v>0</v>
      </c>
      <c r="Z9" s="1">
        <f>MAX($H9)</f>
        <v>0</v>
      </c>
    </row>
    <row r="10" spans="1:26">
      <c r="A10" s="1" t="s">
        <v>7</v>
      </c>
      <c r="B10" s="1">
        <v>1</v>
      </c>
      <c r="C10" s="1">
        <v>0</v>
      </c>
      <c r="D10" s="1">
        <v>0</v>
      </c>
      <c r="E10" s="1">
        <v>3000</v>
      </c>
      <c r="F10" s="1" t="s">
        <v>374</v>
      </c>
      <c r="G10" s="1">
        <v>1500</v>
      </c>
      <c r="H10" s="1">
        <v>1</v>
      </c>
      <c r="I10" s="1">
        <f>MIN($B10)</f>
        <v>0</v>
      </c>
      <c r="J10" s="1">
        <f>MIN($C10)</f>
        <v>0</v>
      </c>
      <c r="K10" s="1">
        <f>MIN($D10)</f>
        <v>0</v>
      </c>
      <c r="L10" s="1">
        <f>MIN($E10)</f>
        <v>0</v>
      </c>
      <c r="M10" s="1">
        <f>MIN($G10)</f>
        <v>0</v>
      </c>
      <c r="N10" s="1">
        <f>MIN($H10)</f>
        <v>0</v>
      </c>
      <c r="O10" s="1">
        <f>MEDIAN($B10)</f>
        <v>0</v>
      </c>
      <c r="P10" s="1">
        <f>MEDIAN($C10)</f>
        <v>0</v>
      </c>
      <c r="Q10" s="1">
        <f>MEDIAN($D10)</f>
        <v>0</v>
      </c>
      <c r="R10" s="1">
        <f>MEDIAN($E10)</f>
        <v>0</v>
      </c>
      <c r="S10" s="1">
        <f>MEDIAN($G10)</f>
        <v>0</v>
      </c>
      <c r="T10" s="1">
        <f>MEDIAN($H10)</f>
        <v>0</v>
      </c>
      <c r="U10" s="1">
        <f>MAX($B10)</f>
        <v>0</v>
      </c>
      <c r="V10" s="1">
        <f>MAX($C10)</f>
        <v>0</v>
      </c>
      <c r="W10" s="1">
        <f>MAX($D10)</f>
        <v>0</v>
      </c>
      <c r="X10" s="1">
        <f>MAX($E10)</f>
        <v>0</v>
      </c>
      <c r="Y10" s="1">
        <f>MAX($G10)</f>
        <v>0</v>
      </c>
      <c r="Z10" s="1">
        <f>MAX($H10)</f>
        <v>0</v>
      </c>
    </row>
    <row r="11" spans="1:26">
      <c r="A11" s="1" t="s">
        <v>8</v>
      </c>
      <c r="B11" s="1">
        <v>1</v>
      </c>
      <c r="C11" s="1">
        <v>0</v>
      </c>
      <c r="D11" s="1">
        <v>0</v>
      </c>
      <c r="E11" s="1">
        <v>3000</v>
      </c>
      <c r="F11" s="1" t="s">
        <v>374</v>
      </c>
      <c r="G11" s="1">
        <v>1500</v>
      </c>
      <c r="H11" s="1">
        <v>1</v>
      </c>
      <c r="I11" s="1">
        <f>MIN($B11)</f>
        <v>0</v>
      </c>
      <c r="J11" s="1">
        <f>MIN($C11)</f>
        <v>0</v>
      </c>
      <c r="K11" s="1">
        <f>MIN($D11)</f>
        <v>0</v>
      </c>
      <c r="L11" s="1">
        <f>MIN($E11)</f>
        <v>0</v>
      </c>
      <c r="M11" s="1">
        <f>MIN($G11)</f>
        <v>0</v>
      </c>
      <c r="N11" s="1">
        <f>MIN($H11)</f>
        <v>0</v>
      </c>
      <c r="O11" s="1">
        <f>MEDIAN($B11)</f>
        <v>0</v>
      </c>
      <c r="P11" s="1">
        <f>MEDIAN($C11)</f>
        <v>0</v>
      </c>
      <c r="Q11" s="1">
        <f>MEDIAN($D11)</f>
        <v>0</v>
      </c>
      <c r="R11" s="1">
        <f>MEDIAN($E11)</f>
        <v>0</v>
      </c>
      <c r="S11" s="1">
        <f>MEDIAN($G11)</f>
        <v>0</v>
      </c>
      <c r="T11" s="1">
        <f>MEDIAN($H11)</f>
        <v>0</v>
      </c>
      <c r="U11" s="1">
        <f>MAX($B11)</f>
        <v>0</v>
      </c>
      <c r="V11" s="1">
        <f>MAX($C11)</f>
        <v>0</v>
      </c>
      <c r="W11" s="1">
        <f>MAX($D11)</f>
        <v>0</v>
      </c>
      <c r="X11" s="1">
        <f>MAX($E11)</f>
        <v>0</v>
      </c>
      <c r="Y11" s="1">
        <f>MAX($G11)</f>
        <v>0</v>
      </c>
      <c r="Z11" s="1">
        <f>MAX($H11)</f>
        <v>0</v>
      </c>
    </row>
    <row r="12" spans="1:26">
      <c r="A12" s="1" t="s">
        <v>9</v>
      </c>
      <c r="B12" s="1">
        <v>1</v>
      </c>
      <c r="C12" s="1">
        <v>0</v>
      </c>
      <c r="D12" s="1">
        <v>0</v>
      </c>
      <c r="E12" s="1">
        <v>3000</v>
      </c>
      <c r="F12" s="1" t="s">
        <v>374</v>
      </c>
      <c r="G12" s="1">
        <v>1500</v>
      </c>
      <c r="H12" s="1">
        <v>1</v>
      </c>
      <c r="I12" s="1">
        <f>MIN($B12)</f>
        <v>0</v>
      </c>
      <c r="J12" s="1">
        <f>MIN($C12)</f>
        <v>0</v>
      </c>
      <c r="K12" s="1">
        <f>MIN($D12)</f>
        <v>0</v>
      </c>
      <c r="L12" s="1">
        <f>MIN($E12)</f>
        <v>0</v>
      </c>
      <c r="M12" s="1">
        <f>MIN($G12)</f>
        <v>0</v>
      </c>
      <c r="N12" s="1">
        <f>MIN($H12)</f>
        <v>0</v>
      </c>
      <c r="O12" s="1">
        <f>MEDIAN($B12)</f>
        <v>0</v>
      </c>
      <c r="P12" s="1">
        <f>MEDIAN($C12)</f>
        <v>0</v>
      </c>
      <c r="Q12" s="1">
        <f>MEDIAN($D12)</f>
        <v>0</v>
      </c>
      <c r="R12" s="1">
        <f>MEDIAN($E12)</f>
        <v>0</v>
      </c>
      <c r="S12" s="1">
        <f>MEDIAN($G12)</f>
        <v>0</v>
      </c>
      <c r="T12" s="1">
        <f>MEDIAN($H12)</f>
        <v>0</v>
      </c>
      <c r="U12" s="1">
        <f>MAX($B12)</f>
        <v>0</v>
      </c>
      <c r="V12" s="1">
        <f>MAX($C12)</f>
        <v>0</v>
      </c>
      <c r="W12" s="1">
        <f>MAX($D12)</f>
        <v>0</v>
      </c>
      <c r="X12" s="1">
        <f>MAX($E12)</f>
        <v>0</v>
      </c>
      <c r="Y12" s="1">
        <f>MAX($G12)</f>
        <v>0</v>
      </c>
      <c r="Z12" s="1">
        <f>MAX($H12)</f>
        <v>0</v>
      </c>
    </row>
    <row r="13" spans="1:26">
      <c r="A13" s="1" t="s">
        <v>10</v>
      </c>
      <c r="B13" s="1">
        <v>1</v>
      </c>
      <c r="C13" s="1">
        <v>0</v>
      </c>
      <c r="D13" s="1">
        <v>0</v>
      </c>
      <c r="E13" s="1">
        <v>3000</v>
      </c>
      <c r="F13" s="1" t="s">
        <v>374</v>
      </c>
      <c r="G13" s="1">
        <v>1500</v>
      </c>
      <c r="H13" s="1">
        <v>1</v>
      </c>
      <c r="I13" s="1">
        <f>MIN($B13)</f>
        <v>0</v>
      </c>
      <c r="J13" s="1">
        <f>MIN($C13)</f>
        <v>0</v>
      </c>
      <c r="K13" s="1">
        <f>MIN($D13)</f>
        <v>0</v>
      </c>
      <c r="L13" s="1">
        <f>MIN($E13)</f>
        <v>0</v>
      </c>
      <c r="M13" s="1">
        <f>MIN($G13)</f>
        <v>0</v>
      </c>
      <c r="N13" s="1">
        <f>MIN($H13)</f>
        <v>0</v>
      </c>
      <c r="O13" s="1">
        <f>MEDIAN($B13)</f>
        <v>0</v>
      </c>
      <c r="P13" s="1">
        <f>MEDIAN($C13)</f>
        <v>0</v>
      </c>
      <c r="Q13" s="1">
        <f>MEDIAN($D13)</f>
        <v>0</v>
      </c>
      <c r="R13" s="1">
        <f>MEDIAN($E13)</f>
        <v>0</v>
      </c>
      <c r="S13" s="1">
        <f>MEDIAN($G13)</f>
        <v>0</v>
      </c>
      <c r="T13" s="1">
        <f>MEDIAN($H13)</f>
        <v>0</v>
      </c>
      <c r="U13" s="1">
        <f>MAX($B13)</f>
        <v>0</v>
      </c>
      <c r="V13" s="1">
        <f>MAX($C13)</f>
        <v>0</v>
      </c>
      <c r="W13" s="1">
        <f>MAX($D13)</f>
        <v>0</v>
      </c>
      <c r="X13" s="1">
        <f>MAX($E13)</f>
        <v>0</v>
      </c>
      <c r="Y13" s="1">
        <f>MAX($G13)</f>
        <v>0</v>
      </c>
      <c r="Z13" s="1">
        <f>MAX($H13)</f>
        <v>0</v>
      </c>
    </row>
    <row r="14" spans="1:26">
      <c r="A14" s="1" t="s">
        <v>11</v>
      </c>
      <c r="B14" s="1">
        <v>1</v>
      </c>
      <c r="C14" s="1">
        <v>0</v>
      </c>
      <c r="D14" s="1">
        <v>0</v>
      </c>
      <c r="E14" s="1">
        <v>3000</v>
      </c>
      <c r="F14" s="1" t="s">
        <v>374</v>
      </c>
      <c r="G14" s="1">
        <v>1500</v>
      </c>
      <c r="H14" s="1">
        <v>1</v>
      </c>
      <c r="I14" s="1">
        <f>MIN($B14)</f>
        <v>0</v>
      </c>
      <c r="J14" s="1">
        <f>MIN($C14)</f>
        <v>0</v>
      </c>
      <c r="K14" s="1">
        <f>MIN($D14)</f>
        <v>0</v>
      </c>
      <c r="L14" s="1">
        <f>MIN($E14)</f>
        <v>0</v>
      </c>
      <c r="M14" s="1">
        <f>MIN($G14)</f>
        <v>0</v>
      </c>
      <c r="N14" s="1">
        <f>MIN($H14)</f>
        <v>0</v>
      </c>
      <c r="O14" s="1">
        <f>MEDIAN($B14)</f>
        <v>0</v>
      </c>
      <c r="P14" s="1">
        <f>MEDIAN($C14)</f>
        <v>0</v>
      </c>
      <c r="Q14" s="1">
        <f>MEDIAN($D14)</f>
        <v>0</v>
      </c>
      <c r="R14" s="1">
        <f>MEDIAN($E14)</f>
        <v>0</v>
      </c>
      <c r="S14" s="1">
        <f>MEDIAN($G14)</f>
        <v>0</v>
      </c>
      <c r="T14" s="1">
        <f>MEDIAN($H14)</f>
        <v>0</v>
      </c>
      <c r="U14" s="1">
        <f>MAX($B14)</f>
        <v>0</v>
      </c>
      <c r="V14" s="1">
        <f>MAX($C14)</f>
        <v>0</v>
      </c>
      <c r="W14" s="1">
        <f>MAX($D14)</f>
        <v>0</v>
      </c>
      <c r="X14" s="1">
        <f>MAX($E14)</f>
        <v>0</v>
      </c>
      <c r="Y14" s="1">
        <f>MAX($G14)</f>
        <v>0</v>
      </c>
      <c r="Z14" s="1">
        <f>MAX($H14)</f>
        <v>0</v>
      </c>
    </row>
    <row r="15" spans="1:26">
      <c r="A15" s="1" t="s">
        <v>12</v>
      </c>
      <c r="B15" s="1">
        <v>1</v>
      </c>
      <c r="C15" s="1">
        <v>0</v>
      </c>
      <c r="D15" s="1">
        <v>0</v>
      </c>
      <c r="E15" s="1">
        <v>3000</v>
      </c>
      <c r="F15" s="1" t="s">
        <v>374</v>
      </c>
      <c r="G15" s="1">
        <v>1500</v>
      </c>
      <c r="H15" s="1">
        <v>1</v>
      </c>
      <c r="I15" s="1">
        <f>MIN($B15)</f>
        <v>0</v>
      </c>
      <c r="J15" s="1">
        <f>MIN($C15)</f>
        <v>0</v>
      </c>
      <c r="K15" s="1">
        <f>MIN($D15)</f>
        <v>0</v>
      </c>
      <c r="L15" s="1">
        <f>MIN($E15)</f>
        <v>0</v>
      </c>
      <c r="M15" s="1">
        <f>MIN($G15)</f>
        <v>0</v>
      </c>
      <c r="N15" s="1">
        <f>MIN($H15)</f>
        <v>0</v>
      </c>
      <c r="O15" s="1">
        <f>MEDIAN($B15)</f>
        <v>0</v>
      </c>
      <c r="P15" s="1">
        <f>MEDIAN($C15)</f>
        <v>0</v>
      </c>
      <c r="Q15" s="1">
        <f>MEDIAN($D15)</f>
        <v>0</v>
      </c>
      <c r="R15" s="1">
        <f>MEDIAN($E15)</f>
        <v>0</v>
      </c>
      <c r="S15" s="1">
        <f>MEDIAN($G15)</f>
        <v>0</v>
      </c>
      <c r="T15" s="1">
        <f>MEDIAN($H15)</f>
        <v>0</v>
      </c>
      <c r="U15" s="1">
        <f>MAX($B15)</f>
        <v>0</v>
      </c>
      <c r="V15" s="1">
        <f>MAX($C15)</f>
        <v>0</v>
      </c>
      <c r="W15" s="1">
        <f>MAX($D15)</f>
        <v>0</v>
      </c>
      <c r="X15" s="1">
        <f>MAX($E15)</f>
        <v>0</v>
      </c>
      <c r="Y15" s="1">
        <f>MAX($G15)</f>
        <v>0</v>
      </c>
      <c r="Z15" s="1">
        <f>MAX($H15)</f>
        <v>0</v>
      </c>
    </row>
    <row r="16" spans="1:26">
      <c r="A16" s="1" t="s">
        <v>13</v>
      </c>
      <c r="B16" s="1">
        <v>1</v>
      </c>
      <c r="C16" s="1">
        <v>0</v>
      </c>
      <c r="D16" s="1">
        <v>0</v>
      </c>
      <c r="E16" s="1">
        <v>3000</v>
      </c>
      <c r="F16" s="1" t="s">
        <v>374</v>
      </c>
      <c r="G16" s="1">
        <v>1500</v>
      </c>
      <c r="H16" s="1">
        <v>1</v>
      </c>
      <c r="I16" s="1">
        <f>MIN($B16)</f>
        <v>0</v>
      </c>
      <c r="J16" s="1">
        <f>MIN($C16)</f>
        <v>0</v>
      </c>
      <c r="K16" s="1">
        <f>MIN($D16)</f>
        <v>0</v>
      </c>
      <c r="L16" s="1">
        <f>MIN($E16)</f>
        <v>0</v>
      </c>
      <c r="M16" s="1">
        <f>MIN($G16)</f>
        <v>0</v>
      </c>
      <c r="N16" s="1">
        <f>MIN($H16)</f>
        <v>0</v>
      </c>
      <c r="O16" s="1">
        <f>MEDIAN($B16)</f>
        <v>0</v>
      </c>
      <c r="P16" s="1">
        <f>MEDIAN($C16)</f>
        <v>0</v>
      </c>
      <c r="Q16" s="1">
        <f>MEDIAN($D16)</f>
        <v>0</v>
      </c>
      <c r="R16" s="1">
        <f>MEDIAN($E16)</f>
        <v>0</v>
      </c>
      <c r="S16" s="1">
        <f>MEDIAN($G16)</f>
        <v>0</v>
      </c>
      <c r="T16" s="1">
        <f>MEDIAN($H16)</f>
        <v>0</v>
      </c>
      <c r="U16" s="1">
        <f>MAX($B16)</f>
        <v>0</v>
      </c>
      <c r="V16" s="1">
        <f>MAX($C16)</f>
        <v>0</v>
      </c>
      <c r="W16" s="1">
        <f>MAX($D16)</f>
        <v>0</v>
      </c>
      <c r="X16" s="1">
        <f>MAX($E16)</f>
        <v>0</v>
      </c>
      <c r="Y16" s="1">
        <f>MAX($G16)</f>
        <v>0</v>
      </c>
      <c r="Z16" s="1">
        <f>MAX($H16)</f>
        <v>0</v>
      </c>
    </row>
    <row r="17" spans="1:26">
      <c r="A17" s="1" t="s">
        <v>14</v>
      </c>
      <c r="B17" s="1">
        <v>1</v>
      </c>
      <c r="C17" s="1">
        <v>0</v>
      </c>
      <c r="D17" s="1">
        <v>0</v>
      </c>
      <c r="E17" s="1">
        <v>3000</v>
      </c>
      <c r="F17" s="1" t="s">
        <v>374</v>
      </c>
      <c r="G17" s="1">
        <v>1500</v>
      </c>
      <c r="H17" s="1">
        <v>1</v>
      </c>
      <c r="I17" s="1">
        <f>MIN($B17)</f>
        <v>0</v>
      </c>
      <c r="J17" s="1">
        <f>MIN($C17)</f>
        <v>0</v>
      </c>
      <c r="K17" s="1">
        <f>MIN($D17)</f>
        <v>0</v>
      </c>
      <c r="L17" s="1">
        <f>MIN($E17)</f>
        <v>0</v>
      </c>
      <c r="M17" s="1">
        <f>MIN($G17)</f>
        <v>0</v>
      </c>
      <c r="N17" s="1">
        <f>MIN($H17)</f>
        <v>0</v>
      </c>
      <c r="O17" s="1">
        <f>MEDIAN($B17)</f>
        <v>0</v>
      </c>
      <c r="P17" s="1">
        <f>MEDIAN($C17)</f>
        <v>0</v>
      </c>
      <c r="Q17" s="1">
        <f>MEDIAN($D17)</f>
        <v>0</v>
      </c>
      <c r="R17" s="1">
        <f>MEDIAN($E17)</f>
        <v>0</v>
      </c>
      <c r="S17" s="1">
        <f>MEDIAN($G17)</f>
        <v>0</v>
      </c>
      <c r="T17" s="1">
        <f>MEDIAN($H17)</f>
        <v>0</v>
      </c>
      <c r="U17" s="1">
        <f>MAX($B17)</f>
        <v>0</v>
      </c>
      <c r="V17" s="1">
        <f>MAX($C17)</f>
        <v>0</v>
      </c>
      <c r="W17" s="1">
        <f>MAX($D17)</f>
        <v>0</v>
      </c>
      <c r="X17" s="1">
        <f>MAX($E17)</f>
        <v>0</v>
      </c>
      <c r="Y17" s="1">
        <f>MAX($G17)</f>
        <v>0</v>
      </c>
      <c r="Z17" s="1">
        <f>MAX($H17)</f>
        <v>0</v>
      </c>
    </row>
    <row r="18" spans="1:26">
      <c r="A18" s="1" t="s">
        <v>15</v>
      </c>
      <c r="B18" s="1">
        <v>1</v>
      </c>
      <c r="C18" s="1">
        <v>0</v>
      </c>
      <c r="D18" s="1">
        <v>0</v>
      </c>
      <c r="E18" s="1">
        <v>3000</v>
      </c>
      <c r="F18" s="1" t="s">
        <v>374</v>
      </c>
      <c r="G18" s="1">
        <v>1500</v>
      </c>
      <c r="H18" s="1">
        <v>1</v>
      </c>
      <c r="I18" s="1">
        <f>MIN($B18)</f>
        <v>0</v>
      </c>
      <c r="J18" s="1">
        <f>MIN($C18)</f>
        <v>0</v>
      </c>
      <c r="K18" s="1">
        <f>MIN($D18)</f>
        <v>0</v>
      </c>
      <c r="L18" s="1">
        <f>MIN($E18)</f>
        <v>0</v>
      </c>
      <c r="M18" s="1">
        <f>MIN($G18)</f>
        <v>0</v>
      </c>
      <c r="N18" s="1">
        <f>MIN($H18)</f>
        <v>0</v>
      </c>
      <c r="O18" s="1">
        <f>MEDIAN($B18)</f>
        <v>0</v>
      </c>
      <c r="P18" s="1">
        <f>MEDIAN($C18)</f>
        <v>0</v>
      </c>
      <c r="Q18" s="1">
        <f>MEDIAN($D18)</f>
        <v>0</v>
      </c>
      <c r="R18" s="1">
        <f>MEDIAN($E18)</f>
        <v>0</v>
      </c>
      <c r="S18" s="1">
        <f>MEDIAN($G18)</f>
        <v>0</v>
      </c>
      <c r="T18" s="1">
        <f>MEDIAN($H18)</f>
        <v>0</v>
      </c>
      <c r="U18" s="1">
        <f>MAX($B18)</f>
        <v>0</v>
      </c>
      <c r="V18" s="1">
        <f>MAX($C18)</f>
        <v>0</v>
      </c>
      <c r="W18" s="1">
        <f>MAX($D18)</f>
        <v>0</v>
      </c>
      <c r="X18" s="1">
        <f>MAX($E18)</f>
        <v>0</v>
      </c>
      <c r="Y18" s="1">
        <f>MAX($G18)</f>
        <v>0</v>
      </c>
      <c r="Z18" s="1">
        <f>MAX($H18)</f>
        <v>0</v>
      </c>
    </row>
    <row r="19" spans="1:26">
      <c r="A19" s="1" t="s">
        <v>16</v>
      </c>
      <c r="B19" s="1">
        <v>1</v>
      </c>
      <c r="C19" s="1">
        <v>0</v>
      </c>
      <c r="D19" s="1">
        <v>0</v>
      </c>
      <c r="E19" s="1">
        <v>3000</v>
      </c>
      <c r="F19" s="1" t="s">
        <v>374</v>
      </c>
      <c r="G19" s="1">
        <v>1500</v>
      </c>
      <c r="H19" s="1">
        <v>1</v>
      </c>
      <c r="I19" s="1">
        <f>MIN($B19)</f>
        <v>0</v>
      </c>
      <c r="J19" s="1">
        <f>MIN($C19)</f>
        <v>0</v>
      </c>
      <c r="K19" s="1">
        <f>MIN($D19)</f>
        <v>0</v>
      </c>
      <c r="L19" s="1">
        <f>MIN($E19)</f>
        <v>0</v>
      </c>
      <c r="M19" s="1">
        <f>MIN($G19)</f>
        <v>0</v>
      </c>
      <c r="N19" s="1">
        <f>MIN($H19)</f>
        <v>0</v>
      </c>
      <c r="O19" s="1">
        <f>MEDIAN($B19)</f>
        <v>0</v>
      </c>
      <c r="P19" s="1">
        <f>MEDIAN($C19)</f>
        <v>0</v>
      </c>
      <c r="Q19" s="1">
        <f>MEDIAN($D19)</f>
        <v>0</v>
      </c>
      <c r="R19" s="1">
        <f>MEDIAN($E19)</f>
        <v>0</v>
      </c>
      <c r="S19" s="1">
        <f>MEDIAN($G19)</f>
        <v>0</v>
      </c>
      <c r="T19" s="1">
        <f>MEDIAN($H19)</f>
        <v>0</v>
      </c>
      <c r="U19" s="1">
        <f>MAX($B19)</f>
        <v>0</v>
      </c>
      <c r="V19" s="1">
        <f>MAX($C19)</f>
        <v>0</v>
      </c>
      <c r="W19" s="1">
        <f>MAX($D19)</f>
        <v>0</v>
      </c>
      <c r="X19" s="1">
        <f>MAX($E19)</f>
        <v>0</v>
      </c>
      <c r="Y19" s="1">
        <f>MAX($G19)</f>
        <v>0</v>
      </c>
      <c r="Z19" s="1">
        <f>MAX($H19)</f>
        <v>0</v>
      </c>
    </row>
    <row r="20" spans="1:26">
      <c r="A20" s="1" t="s">
        <v>17</v>
      </c>
      <c r="B20" s="1">
        <v>1</v>
      </c>
      <c r="C20" s="1">
        <v>0</v>
      </c>
      <c r="D20" s="1">
        <v>0</v>
      </c>
      <c r="E20" s="1">
        <v>3000</v>
      </c>
      <c r="F20" s="1" t="s">
        <v>374</v>
      </c>
      <c r="G20" s="1">
        <v>1500</v>
      </c>
      <c r="H20" s="1">
        <v>1</v>
      </c>
      <c r="I20" s="1">
        <f>MIN($B20)</f>
        <v>0</v>
      </c>
      <c r="J20" s="1">
        <f>MIN($C20)</f>
        <v>0</v>
      </c>
      <c r="K20" s="1">
        <f>MIN($D20)</f>
        <v>0</v>
      </c>
      <c r="L20" s="1">
        <f>MIN($E20)</f>
        <v>0</v>
      </c>
      <c r="M20" s="1">
        <f>MIN($G20)</f>
        <v>0</v>
      </c>
      <c r="N20" s="1">
        <f>MIN($H20)</f>
        <v>0</v>
      </c>
      <c r="O20" s="1">
        <f>MEDIAN($B20)</f>
        <v>0</v>
      </c>
      <c r="P20" s="1">
        <f>MEDIAN($C20)</f>
        <v>0</v>
      </c>
      <c r="Q20" s="1">
        <f>MEDIAN($D20)</f>
        <v>0</v>
      </c>
      <c r="R20" s="1">
        <f>MEDIAN($E20)</f>
        <v>0</v>
      </c>
      <c r="S20" s="1">
        <f>MEDIAN($G20)</f>
        <v>0</v>
      </c>
      <c r="T20" s="1">
        <f>MEDIAN($H20)</f>
        <v>0</v>
      </c>
      <c r="U20" s="1">
        <f>MAX($B20)</f>
        <v>0</v>
      </c>
      <c r="V20" s="1">
        <f>MAX($C20)</f>
        <v>0</v>
      </c>
      <c r="W20" s="1">
        <f>MAX($D20)</f>
        <v>0</v>
      </c>
      <c r="X20" s="1">
        <f>MAX($E20)</f>
        <v>0</v>
      </c>
      <c r="Y20" s="1">
        <f>MAX($G20)</f>
        <v>0</v>
      </c>
      <c r="Z20" s="1">
        <f>MAX($H20)</f>
        <v>0</v>
      </c>
    </row>
    <row r="21" spans="1:26">
      <c r="A21" s="1" t="s">
        <v>18</v>
      </c>
      <c r="B21" s="1">
        <v>1</v>
      </c>
      <c r="C21" s="1">
        <v>0</v>
      </c>
      <c r="D21" s="1">
        <v>0</v>
      </c>
      <c r="E21" s="1">
        <v>3000</v>
      </c>
      <c r="F21" s="1" t="s">
        <v>374</v>
      </c>
      <c r="G21" s="1">
        <v>1500</v>
      </c>
      <c r="H21" s="1">
        <v>1</v>
      </c>
      <c r="I21" s="1">
        <f>MIN($B21)</f>
        <v>0</v>
      </c>
      <c r="J21" s="1">
        <f>MIN($C21)</f>
        <v>0</v>
      </c>
      <c r="K21" s="1">
        <f>MIN($D21)</f>
        <v>0</v>
      </c>
      <c r="L21" s="1">
        <f>MIN($E21)</f>
        <v>0</v>
      </c>
      <c r="M21" s="1">
        <f>MIN($G21)</f>
        <v>0</v>
      </c>
      <c r="N21" s="1">
        <f>MIN($H21)</f>
        <v>0</v>
      </c>
      <c r="O21" s="1">
        <f>MEDIAN($B21)</f>
        <v>0</v>
      </c>
      <c r="P21" s="1">
        <f>MEDIAN($C21)</f>
        <v>0</v>
      </c>
      <c r="Q21" s="1">
        <f>MEDIAN($D21)</f>
        <v>0</v>
      </c>
      <c r="R21" s="1">
        <f>MEDIAN($E21)</f>
        <v>0</v>
      </c>
      <c r="S21" s="1">
        <f>MEDIAN($G21)</f>
        <v>0</v>
      </c>
      <c r="T21" s="1">
        <f>MEDIAN($H21)</f>
        <v>0</v>
      </c>
      <c r="U21" s="1">
        <f>MAX($B21)</f>
        <v>0</v>
      </c>
      <c r="V21" s="1">
        <f>MAX($C21)</f>
        <v>0</v>
      </c>
      <c r="W21" s="1">
        <f>MAX($D21)</f>
        <v>0</v>
      </c>
      <c r="X21" s="1">
        <f>MAX($E21)</f>
        <v>0</v>
      </c>
      <c r="Y21" s="1">
        <f>MAX($G21)</f>
        <v>0</v>
      </c>
      <c r="Z21" s="1">
        <f>MAX($H21)</f>
        <v>0</v>
      </c>
    </row>
    <row r="22" spans="1:26">
      <c r="A22" s="1" t="s">
        <v>19</v>
      </c>
      <c r="B22" s="1">
        <v>1</v>
      </c>
      <c r="C22" s="1">
        <v>0</v>
      </c>
      <c r="D22" s="1">
        <v>0</v>
      </c>
      <c r="E22" s="1">
        <v>3000</v>
      </c>
      <c r="F22" s="1" t="s">
        <v>374</v>
      </c>
      <c r="G22" s="1">
        <v>1500</v>
      </c>
      <c r="H22" s="1">
        <v>1</v>
      </c>
      <c r="I22" s="1">
        <f>MIN($B22)</f>
        <v>0</v>
      </c>
      <c r="J22" s="1">
        <f>MIN($C22)</f>
        <v>0</v>
      </c>
      <c r="K22" s="1">
        <f>MIN($D22)</f>
        <v>0</v>
      </c>
      <c r="L22" s="1">
        <f>MIN($E22)</f>
        <v>0</v>
      </c>
      <c r="M22" s="1">
        <f>MIN($G22)</f>
        <v>0</v>
      </c>
      <c r="N22" s="1">
        <f>MIN($H22)</f>
        <v>0</v>
      </c>
      <c r="O22" s="1">
        <f>MEDIAN($B22)</f>
        <v>0</v>
      </c>
      <c r="P22" s="1">
        <f>MEDIAN($C22)</f>
        <v>0</v>
      </c>
      <c r="Q22" s="1">
        <f>MEDIAN($D22)</f>
        <v>0</v>
      </c>
      <c r="R22" s="1">
        <f>MEDIAN($E22)</f>
        <v>0</v>
      </c>
      <c r="S22" s="1">
        <f>MEDIAN($G22)</f>
        <v>0</v>
      </c>
      <c r="T22" s="1">
        <f>MEDIAN($H22)</f>
        <v>0</v>
      </c>
      <c r="U22" s="1">
        <f>MAX($B22)</f>
        <v>0</v>
      </c>
      <c r="V22" s="1">
        <f>MAX($C22)</f>
        <v>0</v>
      </c>
      <c r="W22" s="1">
        <f>MAX($D22)</f>
        <v>0</v>
      </c>
      <c r="X22" s="1">
        <f>MAX($E22)</f>
        <v>0</v>
      </c>
      <c r="Y22" s="1">
        <f>MAX($G22)</f>
        <v>0</v>
      </c>
      <c r="Z22" s="1">
        <f>MAX($H22)</f>
        <v>0</v>
      </c>
    </row>
    <row r="23" spans="1:26">
      <c r="A23" s="1" t="s">
        <v>20</v>
      </c>
      <c r="B23" s="1">
        <v>1</v>
      </c>
      <c r="C23" s="1">
        <v>0</v>
      </c>
      <c r="D23" s="1">
        <v>0</v>
      </c>
      <c r="E23" s="1">
        <v>3000</v>
      </c>
      <c r="F23" s="1" t="s">
        <v>374</v>
      </c>
      <c r="G23" s="1">
        <v>1500</v>
      </c>
      <c r="H23" s="1">
        <v>1</v>
      </c>
      <c r="I23" s="1">
        <f>MIN($B23)</f>
        <v>0</v>
      </c>
      <c r="J23" s="1">
        <f>MIN($C23)</f>
        <v>0</v>
      </c>
      <c r="K23" s="1">
        <f>MIN($D23)</f>
        <v>0</v>
      </c>
      <c r="L23" s="1">
        <f>MIN($E23)</f>
        <v>0</v>
      </c>
      <c r="M23" s="1">
        <f>MIN($G23)</f>
        <v>0</v>
      </c>
      <c r="N23" s="1">
        <f>MIN($H23)</f>
        <v>0</v>
      </c>
      <c r="O23" s="1">
        <f>MEDIAN($B23)</f>
        <v>0</v>
      </c>
      <c r="P23" s="1">
        <f>MEDIAN($C23)</f>
        <v>0</v>
      </c>
      <c r="Q23" s="1">
        <f>MEDIAN($D23)</f>
        <v>0</v>
      </c>
      <c r="R23" s="1">
        <f>MEDIAN($E23)</f>
        <v>0</v>
      </c>
      <c r="S23" s="1">
        <f>MEDIAN($G23)</f>
        <v>0</v>
      </c>
      <c r="T23" s="1">
        <f>MEDIAN($H23)</f>
        <v>0</v>
      </c>
      <c r="U23" s="1">
        <f>MAX($B23)</f>
        <v>0</v>
      </c>
      <c r="V23" s="1">
        <f>MAX($C23)</f>
        <v>0</v>
      </c>
      <c r="W23" s="1">
        <f>MAX($D23)</f>
        <v>0</v>
      </c>
      <c r="X23" s="1">
        <f>MAX($E23)</f>
        <v>0</v>
      </c>
      <c r="Y23" s="1">
        <f>MAX($G23)</f>
        <v>0</v>
      </c>
      <c r="Z23" s="1">
        <f>MAX($H23)</f>
        <v>0</v>
      </c>
    </row>
    <row r="24" spans="1:26">
      <c r="A24" s="1" t="s">
        <v>21</v>
      </c>
      <c r="B24" s="1">
        <v>1</v>
      </c>
      <c r="C24" s="1">
        <v>0</v>
      </c>
      <c r="D24" s="1">
        <v>0</v>
      </c>
      <c r="E24" s="1">
        <v>3000</v>
      </c>
      <c r="F24" s="1" t="s">
        <v>374</v>
      </c>
      <c r="G24" s="1">
        <v>1500</v>
      </c>
      <c r="H24" s="1">
        <v>1</v>
      </c>
      <c r="I24" s="1">
        <f>MIN($B24)</f>
        <v>0</v>
      </c>
      <c r="J24" s="1">
        <f>MIN($C24)</f>
        <v>0</v>
      </c>
      <c r="K24" s="1">
        <f>MIN($D24)</f>
        <v>0</v>
      </c>
      <c r="L24" s="1">
        <f>MIN($E24)</f>
        <v>0</v>
      </c>
      <c r="M24" s="1">
        <f>MIN($G24)</f>
        <v>0</v>
      </c>
      <c r="N24" s="1">
        <f>MIN($H24)</f>
        <v>0</v>
      </c>
      <c r="O24" s="1">
        <f>MEDIAN($B24)</f>
        <v>0</v>
      </c>
      <c r="P24" s="1">
        <f>MEDIAN($C24)</f>
        <v>0</v>
      </c>
      <c r="Q24" s="1">
        <f>MEDIAN($D24)</f>
        <v>0</v>
      </c>
      <c r="R24" s="1">
        <f>MEDIAN($E24)</f>
        <v>0</v>
      </c>
      <c r="S24" s="1">
        <f>MEDIAN($G24)</f>
        <v>0</v>
      </c>
      <c r="T24" s="1">
        <f>MEDIAN($H24)</f>
        <v>0</v>
      </c>
      <c r="U24" s="1">
        <f>MAX($B24)</f>
        <v>0</v>
      </c>
      <c r="V24" s="1">
        <f>MAX($C24)</f>
        <v>0</v>
      </c>
      <c r="W24" s="1">
        <f>MAX($D24)</f>
        <v>0</v>
      </c>
      <c r="X24" s="1">
        <f>MAX($E24)</f>
        <v>0</v>
      </c>
      <c r="Y24" s="1">
        <f>MAX($G24)</f>
        <v>0</v>
      </c>
      <c r="Z24" s="1">
        <f>MAX($H24)</f>
        <v>0</v>
      </c>
    </row>
    <row r="25" spans="1:26">
      <c r="A25" s="1" t="s">
        <v>22</v>
      </c>
      <c r="B25" s="1">
        <v>1</v>
      </c>
      <c r="C25" s="1">
        <v>0</v>
      </c>
      <c r="D25" s="1">
        <v>0</v>
      </c>
      <c r="E25" s="1">
        <v>3000</v>
      </c>
      <c r="F25" s="1" t="s">
        <v>374</v>
      </c>
      <c r="G25" s="1">
        <v>1500</v>
      </c>
      <c r="H25" s="1">
        <v>1</v>
      </c>
      <c r="I25" s="1">
        <f>MIN($B25)</f>
        <v>0</v>
      </c>
      <c r="J25" s="1">
        <f>MIN($C25)</f>
        <v>0</v>
      </c>
      <c r="K25" s="1">
        <f>MIN($D25)</f>
        <v>0</v>
      </c>
      <c r="L25" s="1">
        <f>MIN($E25)</f>
        <v>0</v>
      </c>
      <c r="M25" s="1">
        <f>MIN($G25)</f>
        <v>0</v>
      </c>
      <c r="N25" s="1">
        <f>MIN($H25)</f>
        <v>0</v>
      </c>
      <c r="O25" s="1">
        <f>MEDIAN($B25)</f>
        <v>0</v>
      </c>
      <c r="P25" s="1">
        <f>MEDIAN($C25)</f>
        <v>0</v>
      </c>
      <c r="Q25" s="1">
        <f>MEDIAN($D25)</f>
        <v>0</v>
      </c>
      <c r="R25" s="1">
        <f>MEDIAN($E25)</f>
        <v>0</v>
      </c>
      <c r="S25" s="1">
        <f>MEDIAN($G25)</f>
        <v>0</v>
      </c>
      <c r="T25" s="1">
        <f>MEDIAN($H25)</f>
        <v>0</v>
      </c>
      <c r="U25" s="1">
        <f>MAX($B25)</f>
        <v>0</v>
      </c>
      <c r="V25" s="1">
        <f>MAX($C25)</f>
        <v>0</v>
      </c>
      <c r="W25" s="1">
        <f>MAX($D25)</f>
        <v>0</v>
      </c>
      <c r="X25" s="1">
        <f>MAX($E25)</f>
        <v>0</v>
      </c>
      <c r="Y25" s="1">
        <f>MAX($G25)</f>
        <v>0</v>
      </c>
      <c r="Z25" s="1">
        <f>MAX($H25)</f>
        <v>0</v>
      </c>
    </row>
    <row r="26" spans="1:26">
      <c r="A26" s="1" t="s">
        <v>23</v>
      </c>
      <c r="B26" s="1">
        <v>1</v>
      </c>
      <c r="C26" s="1">
        <v>0</v>
      </c>
      <c r="D26" s="1">
        <v>0</v>
      </c>
      <c r="E26" s="1">
        <v>3000</v>
      </c>
      <c r="F26" s="1" t="s">
        <v>374</v>
      </c>
      <c r="G26" s="1">
        <v>1500</v>
      </c>
      <c r="H26" s="1">
        <v>1</v>
      </c>
      <c r="I26" s="1">
        <f>MIN($B26)</f>
        <v>0</v>
      </c>
      <c r="J26" s="1">
        <f>MIN($C26)</f>
        <v>0</v>
      </c>
      <c r="K26" s="1">
        <f>MIN($D26)</f>
        <v>0</v>
      </c>
      <c r="L26" s="1">
        <f>MIN($E26)</f>
        <v>0</v>
      </c>
      <c r="M26" s="1">
        <f>MIN($G26)</f>
        <v>0</v>
      </c>
      <c r="N26" s="1">
        <f>MIN($H26)</f>
        <v>0</v>
      </c>
      <c r="O26" s="1">
        <f>MEDIAN($B26)</f>
        <v>0</v>
      </c>
      <c r="P26" s="1">
        <f>MEDIAN($C26)</f>
        <v>0</v>
      </c>
      <c r="Q26" s="1">
        <f>MEDIAN($D26)</f>
        <v>0</v>
      </c>
      <c r="R26" s="1">
        <f>MEDIAN($E26)</f>
        <v>0</v>
      </c>
      <c r="S26" s="1">
        <f>MEDIAN($G26)</f>
        <v>0</v>
      </c>
      <c r="T26" s="1">
        <f>MEDIAN($H26)</f>
        <v>0</v>
      </c>
      <c r="U26" s="1">
        <f>MAX($B26)</f>
        <v>0</v>
      </c>
      <c r="V26" s="1">
        <f>MAX($C26)</f>
        <v>0</v>
      </c>
      <c r="W26" s="1">
        <f>MAX($D26)</f>
        <v>0</v>
      </c>
      <c r="X26" s="1">
        <f>MAX($E26)</f>
        <v>0</v>
      </c>
      <c r="Y26" s="1">
        <f>MAX($G26)</f>
        <v>0</v>
      </c>
      <c r="Z26" s="1">
        <f>MAX($H26)</f>
        <v>0</v>
      </c>
    </row>
    <row r="27" spans="1:26">
      <c r="A27" s="1" t="s">
        <v>24</v>
      </c>
      <c r="B27" s="1">
        <v>1</v>
      </c>
      <c r="C27" s="1">
        <v>0</v>
      </c>
      <c r="D27" s="1">
        <v>0</v>
      </c>
      <c r="E27" s="1">
        <v>3000</v>
      </c>
      <c r="F27" s="1" t="s">
        <v>374</v>
      </c>
      <c r="G27" s="1">
        <v>1500</v>
      </c>
      <c r="H27" s="1">
        <v>1</v>
      </c>
      <c r="I27" s="1">
        <f>MIN($B27)</f>
        <v>0</v>
      </c>
      <c r="J27" s="1">
        <f>MIN($C27)</f>
        <v>0</v>
      </c>
      <c r="K27" s="1">
        <f>MIN($D27)</f>
        <v>0</v>
      </c>
      <c r="L27" s="1">
        <f>MIN($E27)</f>
        <v>0</v>
      </c>
      <c r="M27" s="1">
        <f>MIN($G27)</f>
        <v>0</v>
      </c>
      <c r="N27" s="1">
        <f>MIN($H27)</f>
        <v>0</v>
      </c>
      <c r="O27" s="1">
        <f>MEDIAN($B27)</f>
        <v>0</v>
      </c>
      <c r="P27" s="1">
        <f>MEDIAN($C27)</f>
        <v>0</v>
      </c>
      <c r="Q27" s="1">
        <f>MEDIAN($D27)</f>
        <v>0</v>
      </c>
      <c r="R27" s="1">
        <f>MEDIAN($E27)</f>
        <v>0</v>
      </c>
      <c r="S27" s="1">
        <f>MEDIAN($G27)</f>
        <v>0</v>
      </c>
      <c r="T27" s="1">
        <f>MEDIAN($H27)</f>
        <v>0</v>
      </c>
      <c r="U27" s="1">
        <f>MAX($B27)</f>
        <v>0</v>
      </c>
      <c r="V27" s="1">
        <f>MAX($C27)</f>
        <v>0</v>
      </c>
      <c r="W27" s="1">
        <f>MAX($D27)</f>
        <v>0</v>
      </c>
      <c r="X27" s="1">
        <f>MAX($E27)</f>
        <v>0</v>
      </c>
      <c r="Y27" s="1">
        <f>MAX($G27)</f>
        <v>0</v>
      </c>
      <c r="Z27" s="1">
        <f>MAX($H27)</f>
        <v>0</v>
      </c>
    </row>
    <row r="28" spans="1:26">
      <c r="A28" s="1" t="s">
        <v>25</v>
      </c>
      <c r="B28" s="1">
        <v>1</v>
      </c>
      <c r="C28" s="1">
        <v>0</v>
      </c>
      <c r="D28" s="1">
        <v>0</v>
      </c>
      <c r="E28" s="1">
        <v>3000</v>
      </c>
      <c r="F28" s="1" t="s">
        <v>374</v>
      </c>
      <c r="G28" s="1">
        <v>1500</v>
      </c>
      <c r="H28" s="1">
        <v>1</v>
      </c>
      <c r="I28" s="1">
        <f>MIN($B28)</f>
        <v>0</v>
      </c>
      <c r="J28" s="1">
        <f>MIN($C28)</f>
        <v>0</v>
      </c>
      <c r="K28" s="1">
        <f>MIN($D28)</f>
        <v>0</v>
      </c>
      <c r="L28" s="1">
        <f>MIN($E28)</f>
        <v>0</v>
      </c>
      <c r="M28" s="1">
        <f>MIN($G28)</f>
        <v>0</v>
      </c>
      <c r="N28" s="1">
        <f>MIN($H28)</f>
        <v>0</v>
      </c>
      <c r="O28" s="1">
        <f>MEDIAN($B28)</f>
        <v>0</v>
      </c>
      <c r="P28" s="1">
        <f>MEDIAN($C28)</f>
        <v>0</v>
      </c>
      <c r="Q28" s="1">
        <f>MEDIAN($D28)</f>
        <v>0</v>
      </c>
      <c r="R28" s="1">
        <f>MEDIAN($E28)</f>
        <v>0</v>
      </c>
      <c r="S28" s="1">
        <f>MEDIAN($G28)</f>
        <v>0</v>
      </c>
      <c r="T28" s="1">
        <f>MEDIAN($H28)</f>
        <v>0</v>
      </c>
      <c r="U28" s="1">
        <f>MAX($B28)</f>
        <v>0</v>
      </c>
      <c r="V28" s="1">
        <f>MAX($C28)</f>
        <v>0</v>
      </c>
      <c r="W28" s="1">
        <f>MAX($D28)</f>
        <v>0</v>
      </c>
      <c r="X28" s="1">
        <f>MAX($E28)</f>
        <v>0</v>
      </c>
      <c r="Y28" s="1">
        <f>MAX($G28)</f>
        <v>0</v>
      </c>
      <c r="Z28" s="1">
        <f>MAX($H28)</f>
        <v>0</v>
      </c>
    </row>
    <row r="29" spans="1:26">
      <c r="A29" s="1" t="s">
        <v>26</v>
      </c>
      <c r="B29" s="1">
        <v>1</v>
      </c>
      <c r="C29" s="1">
        <v>0</v>
      </c>
      <c r="D29" s="1">
        <v>0</v>
      </c>
      <c r="E29" s="1">
        <v>3000</v>
      </c>
      <c r="F29" s="1" t="s">
        <v>374</v>
      </c>
      <c r="G29" s="1">
        <v>1500</v>
      </c>
      <c r="H29" s="1">
        <v>1</v>
      </c>
      <c r="I29" s="1">
        <f>MIN($B29)</f>
        <v>0</v>
      </c>
      <c r="J29" s="1">
        <f>MIN($C29)</f>
        <v>0</v>
      </c>
      <c r="K29" s="1">
        <f>MIN($D29)</f>
        <v>0</v>
      </c>
      <c r="L29" s="1">
        <f>MIN($E29)</f>
        <v>0</v>
      </c>
      <c r="M29" s="1">
        <f>MIN($G29)</f>
        <v>0</v>
      </c>
      <c r="N29" s="1">
        <f>MIN($H29)</f>
        <v>0</v>
      </c>
      <c r="O29" s="1">
        <f>MEDIAN($B29)</f>
        <v>0</v>
      </c>
      <c r="P29" s="1">
        <f>MEDIAN($C29)</f>
        <v>0</v>
      </c>
      <c r="Q29" s="1">
        <f>MEDIAN($D29)</f>
        <v>0</v>
      </c>
      <c r="R29" s="1">
        <f>MEDIAN($E29)</f>
        <v>0</v>
      </c>
      <c r="S29" s="1">
        <f>MEDIAN($G29)</f>
        <v>0</v>
      </c>
      <c r="T29" s="1">
        <f>MEDIAN($H29)</f>
        <v>0</v>
      </c>
      <c r="U29" s="1">
        <f>MAX($B29)</f>
        <v>0</v>
      </c>
      <c r="V29" s="1">
        <f>MAX($C29)</f>
        <v>0</v>
      </c>
      <c r="W29" s="1">
        <f>MAX($D29)</f>
        <v>0</v>
      </c>
      <c r="X29" s="1">
        <f>MAX($E29)</f>
        <v>0</v>
      </c>
      <c r="Y29" s="1">
        <f>MAX($G29)</f>
        <v>0</v>
      </c>
      <c r="Z29" s="1">
        <f>MAX($H29)</f>
        <v>0</v>
      </c>
    </row>
    <row r="30" spans="1:26">
      <c r="A30" s="1" t="s">
        <v>27</v>
      </c>
      <c r="B30" s="1">
        <v>1</v>
      </c>
      <c r="C30" s="1">
        <v>0</v>
      </c>
      <c r="D30" s="1">
        <v>0</v>
      </c>
      <c r="E30" s="1">
        <v>3000</v>
      </c>
      <c r="F30" s="1" t="s">
        <v>374</v>
      </c>
      <c r="G30" s="1">
        <v>1500</v>
      </c>
      <c r="H30" s="1">
        <v>1</v>
      </c>
      <c r="I30" s="1">
        <f>MIN($B30)</f>
        <v>0</v>
      </c>
      <c r="J30" s="1">
        <f>MIN($C30)</f>
        <v>0</v>
      </c>
      <c r="K30" s="1">
        <f>MIN($D30)</f>
        <v>0</v>
      </c>
      <c r="L30" s="1">
        <f>MIN($E30)</f>
        <v>0</v>
      </c>
      <c r="M30" s="1">
        <f>MIN($G30)</f>
        <v>0</v>
      </c>
      <c r="N30" s="1">
        <f>MIN($H30)</f>
        <v>0</v>
      </c>
      <c r="O30" s="1">
        <f>MEDIAN($B30)</f>
        <v>0</v>
      </c>
      <c r="P30" s="1">
        <f>MEDIAN($C30)</f>
        <v>0</v>
      </c>
      <c r="Q30" s="1">
        <f>MEDIAN($D30)</f>
        <v>0</v>
      </c>
      <c r="R30" s="1">
        <f>MEDIAN($E30)</f>
        <v>0</v>
      </c>
      <c r="S30" s="1">
        <f>MEDIAN($G30)</f>
        <v>0</v>
      </c>
      <c r="T30" s="1">
        <f>MEDIAN($H30)</f>
        <v>0</v>
      </c>
      <c r="U30" s="1">
        <f>MAX($B30)</f>
        <v>0</v>
      </c>
      <c r="V30" s="1">
        <f>MAX($C30)</f>
        <v>0</v>
      </c>
      <c r="W30" s="1">
        <f>MAX($D30)</f>
        <v>0</v>
      </c>
      <c r="X30" s="1">
        <f>MAX($E30)</f>
        <v>0</v>
      </c>
      <c r="Y30" s="1">
        <f>MAX($G30)</f>
        <v>0</v>
      </c>
      <c r="Z30" s="1">
        <f>MAX($H30)</f>
        <v>0</v>
      </c>
    </row>
    <row r="31" spans="1:26">
      <c r="A31" s="1" t="s">
        <v>28</v>
      </c>
      <c r="B31" s="1">
        <v>1</v>
      </c>
      <c r="C31" s="1">
        <v>0</v>
      </c>
      <c r="D31" s="1">
        <v>0</v>
      </c>
      <c r="E31" s="1">
        <v>3000</v>
      </c>
      <c r="F31" s="1" t="s">
        <v>374</v>
      </c>
      <c r="G31" s="1">
        <v>1500</v>
      </c>
      <c r="H31" s="1">
        <v>1</v>
      </c>
      <c r="I31" s="1">
        <f>MIN($B31)</f>
        <v>0</v>
      </c>
      <c r="J31" s="1">
        <f>MIN($C31)</f>
        <v>0</v>
      </c>
      <c r="K31" s="1">
        <f>MIN($D31)</f>
        <v>0</v>
      </c>
      <c r="L31" s="1">
        <f>MIN($E31)</f>
        <v>0</v>
      </c>
      <c r="M31" s="1">
        <f>MIN($G31)</f>
        <v>0</v>
      </c>
      <c r="N31" s="1">
        <f>MIN($H31)</f>
        <v>0</v>
      </c>
      <c r="O31" s="1">
        <f>MEDIAN($B31)</f>
        <v>0</v>
      </c>
      <c r="P31" s="1">
        <f>MEDIAN($C31)</f>
        <v>0</v>
      </c>
      <c r="Q31" s="1">
        <f>MEDIAN($D31)</f>
        <v>0</v>
      </c>
      <c r="R31" s="1">
        <f>MEDIAN($E31)</f>
        <v>0</v>
      </c>
      <c r="S31" s="1">
        <f>MEDIAN($G31)</f>
        <v>0</v>
      </c>
      <c r="T31" s="1">
        <f>MEDIAN($H31)</f>
        <v>0</v>
      </c>
      <c r="U31" s="1">
        <f>MAX($B31)</f>
        <v>0</v>
      </c>
      <c r="V31" s="1">
        <f>MAX($C31)</f>
        <v>0</v>
      </c>
      <c r="W31" s="1">
        <f>MAX($D31)</f>
        <v>0</v>
      </c>
      <c r="X31" s="1">
        <f>MAX($E31)</f>
        <v>0</v>
      </c>
      <c r="Y31" s="1">
        <f>MAX($G31)</f>
        <v>0</v>
      </c>
      <c r="Z31" s="1">
        <f>MAX($H31)</f>
        <v>0</v>
      </c>
    </row>
    <row r="32" spans="1:26">
      <c r="A32" s="1" t="s">
        <v>29</v>
      </c>
      <c r="B32" s="1">
        <v>1</v>
      </c>
      <c r="C32" s="1">
        <v>0</v>
      </c>
      <c r="D32" s="1">
        <v>0</v>
      </c>
      <c r="E32" s="1">
        <v>3000</v>
      </c>
      <c r="F32" s="1" t="s">
        <v>374</v>
      </c>
      <c r="G32" s="1">
        <v>1500</v>
      </c>
      <c r="H32" s="1">
        <v>1</v>
      </c>
      <c r="I32" s="1">
        <f>MIN($B32)</f>
        <v>0</v>
      </c>
      <c r="J32" s="1">
        <f>MIN($C32)</f>
        <v>0</v>
      </c>
      <c r="K32" s="1">
        <f>MIN($D32)</f>
        <v>0</v>
      </c>
      <c r="L32" s="1">
        <f>MIN($E32)</f>
        <v>0</v>
      </c>
      <c r="M32" s="1">
        <f>MIN($G32)</f>
        <v>0</v>
      </c>
      <c r="N32" s="1">
        <f>MIN($H32)</f>
        <v>0</v>
      </c>
      <c r="O32" s="1">
        <f>MEDIAN($B32)</f>
        <v>0</v>
      </c>
      <c r="P32" s="1">
        <f>MEDIAN($C32)</f>
        <v>0</v>
      </c>
      <c r="Q32" s="1">
        <f>MEDIAN($D32)</f>
        <v>0</v>
      </c>
      <c r="R32" s="1">
        <f>MEDIAN($E32)</f>
        <v>0</v>
      </c>
      <c r="S32" s="1">
        <f>MEDIAN($G32)</f>
        <v>0</v>
      </c>
      <c r="T32" s="1">
        <f>MEDIAN($H32)</f>
        <v>0</v>
      </c>
      <c r="U32" s="1">
        <f>MAX($B32)</f>
        <v>0</v>
      </c>
      <c r="V32" s="1">
        <f>MAX($C32)</f>
        <v>0</v>
      </c>
      <c r="W32" s="1">
        <f>MAX($D32)</f>
        <v>0</v>
      </c>
      <c r="X32" s="1">
        <f>MAX($E32)</f>
        <v>0</v>
      </c>
      <c r="Y32" s="1">
        <f>MAX($G32)</f>
        <v>0</v>
      </c>
      <c r="Z32" s="1">
        <f>MAX($H32)</f>
        <v>0</v>
      </c>
    </row>
    <row r="33" spans="1:26">
      <c r="A33" s="1" t="s">
        <v>30</v>
      </c>
      <c r="B33" s="1">
        <v>1</v>
      </c>
      <c r="C33" s="1">
        <v>0</v>
      </c>
      <c r="D33" s="1">
        <v>0</v>
      </c>
      <c r="E33" s="1">
        <v>3000</v>
      </c>
      <c r="F33" s="1" t="s">
        <v>374</v>
      </c>
      <c r="G33" s="1">
        <v>1500</v>
      </c>
      <c r="H33" s="1">
        <v>1</v>
      </c>
      <c r="I33" s="1">
        <f>MIN($B33)</f>
        <v>0</v>
      </c>
      <c r="J33" s="1">
        <f>MIN($C33)</f>
        <v>0</v>
      </c>
      <c r="K33" s="1">
        <f>MIN($D33)</f>
        <v>0</v>
      </c>
      <c r="L33" s="1">
        <f>MIN($E33)</f>
        <v>0</v>
      </c>
      <c r="M33" s="1">
        <f>MIN($G33)</f>
        <v>0</v>
      </c>
      <c r="N33" s="1">
        <f>MIN($H33)</f>
        <v>0</v>
      </c>
      <c r="O33" s="1">
        <f>MEDIAN($B33)</f>
        <v>0</v>
      </c>
      <c r="P33" s="1">
        <f>MEDIAN($C33)</f>
        <v>0</v>
      </c>
      <c r="Q33" s="1">
        <f>MEDIAN($D33)</f>
        <v>0</v>
      </c>
      <c r="R33" s="1">
        <f>MEDIAN($E33)</f>
        <v>0</v>
      </c>
      <c r="S33" s="1">
        <f>MEDIAN($G33)</f>
        <v>0</v>
      </c>
      <c r="T33" s="1">
        <f>MEDIAN($H33)</f>
        <v>0</v>
      </c>
      <c r="U33" s="1">
        <f>MAX($B33)</f>
        <v>0</v>
      </c>
      <c r="V33" s="1">
        <f>MAX($C33)</f>
        <v>0</v>
      </c>
      <c r="W33" s="1">
        <f>MAX($D33)</f>
        <v>0</v>
      </c>
      <c r="X33" s="1">
        <f>MAX($E33)</f>
        <v>0</v>
      </c>
      <c r="Y33" s="1">
        <f>MAX($G33)</f>
        <v>0</v>
      </c>
      <c r="Z33" s="1">
        <f>MAX($H33)</f>
        <v>0</v>
      </c>
    </row>
    <row r="34" spans="1:26">
      <c r="A34" s="1" t="s">
        <v>31</v>
      </c>
      <c r="B34" s="1">
        <v>1</v>
      </c>
      <c r="C34" s="1">
        <v>0</v>
      </c>
      <c r="D34" s="1">
        <v>0</v>
      </c>
      <c r="E34" s="1">
        <v>3000</v>
      </c>
      <c r="F34" s="1" t="s">
        <v>374</v>
      </c>
      <c r="G34" s="1">
        <v>1500</v>
      </c>
      <c r="H34" s="1">
        <v>1</v>
      </c>
      <c r="I34" s="1">
        <f>MIN($B34)</f>
        <v>0</v>
      </c>
      <c r="J34" s="1">
        <f>MIN($C34)</f>
        <v>0</v>
      </c>
      <c r="K34" s="1">
        <f>MIN($D34)</f>
        <v>0</v>
      </c>
      <c r="L34" s="1">
        <f>MIN($E34)</f>
        <v>0</v>
      </c>
      <c r="M34" s="1">
        <f>MIN($G34)</f>
        <v>0</v>
      </c>
      <c r="N34" s="1">
        <f>MIN($H34)</f>
        <v>0</v>
      </c>
      <c r="O34" s="1">
        <f>MEDIAN($B34)</f>
        <v>0</v>
      </c>
      <c r="P34" s="1">
        <f>MEDIAN($C34)</f>
        <v>0</v>
      </c>
      <c r="Q34" s="1">
        <f>MEDIAN($D34)</f>
        <v>0</v>
      </c>
      <c r="R34" s="1">
        <f>MEDIAN($E34)</f>
        <v>0</v>
      </c>
      <c r="S34" s="1">
        <f>MEDIAN($G34)</f>
        <v>0</v>
      </c>
      <c r="T34" s="1">
        <f>MEDIAN($H34)</f>
        <v>0</v>
      </c>
      <c r="U34" s="1">
        <f>MAX($B34)</f>
        <v>0</v>
      </c>
      <c r="V34" s="1">
        <f>MAX($C34)</f>
        <v>0</v>
      </c>
      <c r="W34" s="1">
        <f>MAX($D34)</f>
        <v>0</v>
      </c>
      <c r="X34" s="1">
        <f>MAX($E34)</f>
        <v>0</v>
      </c>
      <c r="Y34" s="1">
        <f>MAX($G34)</f>
        <v>0</v>
      </c>
      <c r="Z34" s="1">
        <f>MAX($H34)</f>
        <v>0</v>
      </c>
    </row>
    <row r="35" spans="1:26">
      <c r="A35" s="1" t="s">
        <v>32</v>
      </c>
      <c r="B35" s="1">
        <v>1</v>
      </c>
      <c r="C35" s="1">
        <v>0</v>
      </c>
      <c r="D35" s="1">
        <v>0</v>
      </c>
      <c r="E35" s="1">
        <v>3000</v>
      </c>
      <c r="F35" s="1" t="s">
        <v>374</v>
      </c>
      <c r="G35" s="1">
        <v>1500</v>
      </c>
      <c r="H35" s="1">
        <v>1</v>
      </c>
      <c r="I35" s="1">
        <f>MIN($B35)</f>
        <v>0</v>
      </c>
      <c r="J35" s="1">
        <f>MIN($C35)</f>
        <v>0</v>
      </c>
      <c r="K35" s="1">
        <f>MIN($D35)</f>
        <v>0</v>
      </c>
      <c r="L35" s="1">
        <f>MIN($E35)</f>
        <v>0</v>
      </c>
      <c r="M35" s="1">
        <f>MIN($G35)</f>
        <v>0</v>
      </c>
      <c r="N35" s="1">
        <f>MIN($H35)</f>
        <v>0</v>
      </c>
      <c r="O35" s="1">
        <f>MEDIAN($B35)</f>
        <v>0</v>
      </c>
      <c r="P35" s="1">
        <f>MEDIAN($C35)</f>
        <v>0</v>
      </c>
      <c r="Q35" s="1">
        <f>MEDIAN($D35)</f>
        <v>0</v>
      </c>
      <c r="R35" s="1">
        <f>MEDIAN($E35)</f>
        <v>0</v>
      </c>
      <c r="S35" s="1">
        <f>MEDIAN($G35)</f>
        <v>0</v>
      </c>
      <c r="T35" s="1">
        <f>MEDIAN($H35)</f>
        <v>0</v>
      </c>
      <c r="U35" s="1">
        <f>MAX($B35)</f>
        <v>0</v>
      </c>
      <c r="V35" s="1">
        <f>MAX($C35)</f>
        <v>0</v>
      </c>
      <c r="W35" s="1">
        <f>MAX($D35)</f>
        <v>0</v>
      </c>
      <c r="X35" s="1">
        <f>MAX($E35)</f>
        <v>0</v>
      </c>
      <c r="Y35" s="1">
        <f>MAX($G35)</f>
        <v>0</v>
      </c>
      <c r="Z35" s="1">
        <f>MAX($H35)</f>
        <v>0</v>
      </c>
    </row>
    <row r="36" spans="1:26">
      <c r="A36" s="1" t="s">
        <v>33</v>
      </c>
      <c r="B36" s="1">
        <v>1</v>
      </c>
      <c r="C36" s="1">
        <v>0</v>
      </c>
      <c r="D36" s="1">
        <v>0</v>
      </c>
      <c r="E36" s="1">
        <v>3000</v>
      </c>
      <c r="F36" s="1" t="s">
        <v>374</v>
      </c>
      <c r="G36" s="1">
        <v>1500</v>
      </c>
      <c r="H36" s="1">
        <v>1</v>
      </c>
      <c r="I36" s="1">
        <f>MIN($B36)</f>
        <v>0</v>
      </c>
      <c r="J36" s="1">
        <f>MIN($C36)</f>
        <v>0</v>
      </c>
      <c r="K36" s="1">
        <f>MIN($D36)</f>
        <v>0</v>
      </c>
      <c r="L36" s="1">
        <f>MIN($E36)</f>
        <v>0</v>
      </c>
      <c r="M36" s="1">
        <f>MIN($G36)</f>
        <v>0</v>
      </c>
      <c r="N36" s="1">
        <f>MIN($H36)</f>
        <v>0</v>
      </c>
      <c r="O36" s="1">
        <f>MEDIAN($B36)</f>
        <v>0</v>
      </c>
      <c r="P36" s="1">
        <f>MEDIAN($C36)</f>
        <v>0</v>
      </c>
      <c r="Q36" s="1">
        <f>MEDIAN($D36)</f>
        <v>0</v>
      </c>
      <c r="R36" s="1">
        <f>MEDIAN($E36)</f>
        <v>0</v>
      </c>
      <c r="S36" s="1">
        <f>MEDIAN($G36)</f>
        <v>0</v>
      </c>
      <c r="T36" s="1">
        <f>MEDIAN($H36)</f>
        <v>0</v>
      </c>
      <c r="U36" s="1">
        <f>MAX($B36)</f>
        <v>0</v>
      </c>
      <c r="V36" s="1">
        <f>MAX($C36)</f>
        <v>0</v>
      </c>
      <c r="W36" s="1">
        <f>MAX($D36)</f>
        <v>0</v>
      </c>
      <c r="X36" s="1">
        <f>MAX($E36)</f>
        <v>0</v>
      </c>
      <c r="Y36" s="1">
        <f>MAX($G36)</f>
        <v>0</v>
      </c>
      <c r="Z36" s="1">
        <f>MAX($H36)</f>
        <v>0</v>
      </c>
    </row>
    <row r="37" spans="1:26">
      <c r="A37" s="1" t="s">
        <v>34</v>
      </c>
      <c r="B37" s="1">
        <v>1</v>
      </c>
      <c r="C37" s="1">
        <v>0</v>
      </c>
      <c r="D37" s="1">
        <v>0</v>
      </c>
      <c r="E37" s="1">
        <v>3000</v>
      </c>
      <c r="F37" s="1" t="s">
        <v>374</v>
      </c>
      <c r="G37" s="1">
        <v>1500</v>
      </c>
      <c r="H37" s="1">
        <v>1</v>
      </c>
      <c r="I37" s="1">
        <f>MIN($B37)</f>
        <v>0</v>
      </c>
      <c r="J37" s="1">
        <f>MIN($C37)</f>
        <v>0</v>
      </c>
      <c r="K37" s="1">
        <f>MIN($D37)</f>
        <v>0</v>
      </c>
      <c r="L37" s="1">
        <f>MIN($E37)</f>
        <v>0</v>
      </c>
      <c r="M37" s="1">
        <f>MIN($G37)</f>
        <v>0</v>
      </c>
      <c r="N37" s="1">
        <f>MIN($H37)</f>
        <v>0</v>
      </c>
      <c r="O37" s="1">
        <f>MEDIAN($B37)</f>
        <v>0</v>
      </c>
      <c r="P37" s="1">
        <f>MEDIAN($C37)</f>
        <v>0</v>
      </c>
      <c r="Q37" s="1">
        <f>MEDIAN($D37)</f>
        <v>0</v>
      </c>
      <c r="R37" s="1">
        <f>MEDIAN($E37)</f>
        <v>0</v>
      </c>
      <c r="S37" s="1">
        <f>MEDIAN($G37)</f>
        <v>0</v>
      </c>
      <c r="T37" s="1">
        <f>MEDIAN($H37)</f>
        <v>0</v>
      </c>
      <c r="U37" s="1">
        <f>MAX($B37)</f>
        <v>0</v>
      </c>
      <c r="V37" s="1">
        <f>MAX($C37)</f>
        <v>0</v>
      </c>
      <c r="W37" s="1">
        <f>MAX($D37)</f>
        <v>0</v>
      </c>
      <c r="X37" s="1">
        <f>MAX($E37)</f>
        <v>0</v>
      </c>
      <c r="Y37" s="1">
        <f>MAX($G37)</f>
        <v>0</v>
      </c>
      <c r="Z37" s="1">
        <f>MAX($H37)</f>
        <v>0</v>
      </c>
    </row>
    <row r="38" spans="1:26">
      <c r="A38" s="1" t="s">
        <v>35</v>
      </c>
      <c r="B38" s="1">
        <v>1</v>
      </c>
      <c r="C38" s="1">
        <v>0</v>
      </c>
      <c r="D38" s="1">
        <v>0</v>
      </c>
      <c r="E38" s="1">
        <v>3000</v>
      </c>
      <c r="F38" s="1" t="s">
        <v>374</v>
      </c>
      <c r="G38" s="1">
        <v>1500</v>
      </c>
      <c r="H38" s="1">
        <v>1</v>
      </c>
      <c r="I38" s="1">
        <f>MIN($B38)</f>
        <v>0</v>
      </c>
      <c r="J38" s="1">
        <f>MIN($C38)</f>
        <v>0</v>
      </c>
      <c r="K38" s="1">
        <f>MIN($D38)</f>
        <v>0</v>
      </c>
      <c r="L38" s="1">
        <f>MIN($E38)</f>
        <v>0</v>
      </c>
      <c r="M38" s="1">
        <f>MIN($G38)</f>
        <v>0</v>
      </c>
      <c r="N38" s="1">
        <f>MIN($H38)</f>
        <v>0</v>
      </c>
      <c r="O38" s="1">
        <f>MEDIAN($B38)</f>
        <v>0</v>
      </c>
      <c r="P38" s="1">
        <f>MEDIAN($C38)</f>
        <v>0</v>
      </c>
      <c r="Q38" s="1">
        <f>MEDIAN($D38)</f>
        <v>0</v>
      </c>
      <c r="R38" s="1">
        <f>MEDIAN($E38)</f>
        <v>0</v>
      </c>
      <c r="S38" s="1">
        <f>MEDIAN($G38)</f>
        <v>0</v>
      </c>
      <c r="T38" s="1">
        <f>MEDIAN($H38)</f>
        <v>0</v>
      </c>
      <c r="U38" s="1">
        <f>MAX($B38)</f>
        <v>0</v>
      </c>
      <c r="V38" s="1">
        <f>MAX($C38)</f>
        <v>0</v>
      </c>
      <c r="W38" s="1">
        <f>MAX($D38)</f>
        <v>0</v>
      </c>
      <c r="X38" s="1">
        <f>MAX($E38)</f>
        <v>0</v>
      </c>
      <c r="Y38" s="1">
        <f>MAX($G38)</f>
        <v>0</v>
      </c>
      <c r="Z38" s="1">
        <f>MAX($H38)</f>
        <v>0</v>
      </c>
    </row>
    <row r="39" spans="1:26">
      <c r="A39" s="1" t="s">
        <v>36</v>
      </c>
      <c r="B39" s="1">
        <v>1</v>
      </c>
      <c r="C39" s="1">
        <v>0</v>
      </c>
      <c r="D39" s="1">
        <v>0</v>
      </c>
      <c r="E39" s="1">
        <v>3000</v>
      </c>
      <c r="F39" s="1" t="s">
        <v>374</v>
      </c>
      <c r="G39" s="1">
        <v>1500</v>
      </c>
      <c r="H39" s="1">
        <v>1</v>
      </c>
      <c r="I39" s="1">
        <f>MIN($B39)</f>
        <v>0</v>
      </c>
      <c r="J39" s="1">
        <f>MIN($C39)</f>
        <v>0</v>
      </c>
      <c r="K39" s="1">
        <f>MIN($D39)</f>
        <v>0</v>
      </c>
      <c r="L39" s="1">
        <f>MIN($E39)</f>
        <v>0</v>
      </c>
      <c r="M39" s="1">
        <f>MIN($G39)</f>
        <v>0</v>
      </c>
      <c r="N39" s="1">
        <f>MIN($H39)</f>
        <v>0</v>
      </c>
      <c r="O39" s="1">
        <f>MEDIAN($B39)</f>
        <v>0</v>
      </c>
      <c r="P39" s="1">
        <f>MEDIAN($C39)</f>
        <v>0</v>
      </c>
      <c r="Q39" s="1">
        <f>MEDIAN($D39)</f>
        <v>0</v>
      </c>
      <c r="R39" s="1">
        <f>MEDIAN($E39)</f>
        <v>0</v>
      </c>
      <c r="S39" s="1">
        <f>MEDIAN($G39)</f>
        <v>0</v>
      </c>
      <c r="T39" s="1">
        <f>MEDIAN($H39)</f>
        <v>0</v>
      </c>
      <c r="U39" s="1">
        <f>MAX($B39)</f>
        <v>0</v>
      </c>
      <c r="V39" s="1">
        <f>MAX($C39)</f>
        <v>0</v>
      </c>
      <c r="W39" s="1">
        <f>MAX($D39)</f>
        <v>0</v>
      </c>
      <c r="X39" s="1">
        <f>MAX($E39)</f>
        <v>0</v>
      </c>
      <c r="Y39" s="1">
        <f>MAX($G39)</f>
        <v>0</v>
      </c>
      <c r="Z39" s="1">
        <f>MAX($H39)</f>
        <v>0</v>
      </c>
    </row>
    <row r="40" spans="1:26">
      <c r="A40" s="1" t="s">
        <v>37</v>
      </c>
      <c r="B40" s="1">
        <v>1</v>
      </c>
      <c r="C40" s="1">
        <v>0</v>
      </c>
      <c r="D40" s="1">
        <v>0</v>
      </c>
      <c r="E40" s="1">
        <v>3000</v>
      </c>
      <c r="F40" s="1" t="s">
        <v>374</v>
      </c>
      <c r="G40" s="1">
        <v>1500</v>
      </c>
      <c r="H40" s="1">
        <v>1</v>
      </c>
      <c r="I40" s="1">
        <f>MIN($B40)</f>
        <v>0</v>
      </c>
      <c r="J40" s="1">
        <f>MIN($C40)</f>
        <v>0</v>
      </c>
      <c r="K40" s="1">
        <f>MIN($D40)</f>
        <v>0</v>
      </c>
      <c r="L40" s="1">
        <f>MIN($E40)</f>
        <v>0</v>
      </c>
      <c r="M40" s="1">
        <f>MIN($G40)</f>
        <v>0</v>
      </c>
      <c r="N40" s="1">
        <f>MIN($H40)</f>
        <v>0</v>
      </c>
      <c r="O40" s="1">
        <f>MEDIAN($B40)</f>
        <v>0</v>
      </c>
      <c r="P40" s="1">
        <f>MEDIAN($C40)</f>
        <v>0</v>
      </c>
      <c r="Q40" s="1">
        <f>MEDIAN($D40)</f>
        <v>0</v>
      </c>
      <c r="R40" s="1">
        <f>MEDIAN($E40)</f>
        <v>0</v>
      </c>
      <c r="S40" s="1">
        <f>MEDIAN($G40)</f>
        <v>0</v>
      </c>
      <c r="T40" s="1">
        <f>MEDIAN($H40)</f>
        <v>0</v>
      </c>
      <c r="U40" s="1">
        <f>MAX($B40)</f>
        <v>0</v>
      </c>
      <c r="V40" s="1">
        <f>MAX($C40)</f>
        <v>0</v>
      </c>
      <c r="W40" s="1">
        <f>MAX($D40)</f>
        <v>0</v>
      </c>
      <c r="X40" s="1">
        <f>MAX($E40)</f>
        <v>0</v>
      </c>
      <c r="Y40" s="1">
        <f>MAX($G40)</f>
        <v>0</v>
      </c>
      <c r="Z40" s="1">
        <f>MAX($H40)</f>
        <v>0</v>
      </c>
    </row>
    <row r="41" spans="1:26">
      <c r="A41" s="1" t="s">
        <v>38</v>
      </c>
      <c r="B41" s="1">
        <v>1</v>
      </c>
      <c r="C41" s="1">
        <v>0</v>
      </c>
      <c r="D41" s="1">
        <v>0</v>
      </c>
      <c r="E41" s="1">
        <v>3000</v>
      </c>
      <c r="F41" s="1" t="s">
        <v>374</v>
      </c>
      <c r="G41" s="1">
        <v>1500</v>
      </c>
      <c r="H41" s="1">
        <v>1</v>
      </c>
      <c r="I41" s="1">
        <f>MIN($B41)</f>
        <v>0</v>
      </c>
      <c r="J41" s="1">
        <f>MIN($C41)</f>
        <v>0</v>
      </c>
      <c r="K41" s="1">
        <f>MIN($D41)</f>
        <v>0</v>
      </c>
      <c r="L41" s="1">
        <f>MIN($E41)</f>
        <v>0</v>
      </c>
      <c r="M41" s="1">
        <f>MIN($G41)</f>
        <v>0</v>
      </c>
      <c r="N41" s="1">
        <f>MIN($H41)</f>
        <v>0</v>
      </c>
      <c r="O41" s="1">
        <f>MEDIAN($B41)</f>
        <v>0</v>
      </c>
      <c r="P41" s="1">
        <f>MEDIAN($C41)</f>
        <v>0</v>
      </c>
      <c r="Q41" s="1">
        <f>MEDIAN($D41)</f>
        <v>0</v>
      </c>
      <c r="R41" s="1">
        <f>MEDIAN($E41)</f>
        <v>0</v>
      </c>
      <c r="S41" s="1">
        <f>MEDIAN($G41)</f>
        <v>0</v>
      </c>
      <c r="T41" s="1">
        <f>MEDIAN($H41)</f>
        <v>0</v>
      </c>
      <c r="U41" s="1">
        <f>MAX($B41)</f>
        <v>0</v>
      </c>
      <c r="V41" s="1">
        <f>MAX($C41)</f>
        <v>0</v>
      </c>
      <c r="W41" s="1">
        <f>MAX($D41)</f>
        <v>0</v>
      </c>
      <c r="X41" s="1">
        <f>MAX($E41)</f>
        <v>0</v>
      </c>
      <c r="Y41" s="1">
        <f>MAX($G41)</f>
        <v>0</v>
      </c>
      <c r="Z41" s="1">
        <f>MAX($H41)</f>
        <v>0</v>
      </c>
    </row>
    <row r="42" spans="1:26">
      <c r="A42" s="1" t="s">
        <v>39</v>
      </c>
      <c r="B42" s="1">
        <v>1</v>
      </c>
      <c r="C42" s="1">
        <v>0</v>
      </c>
      <c r="D42" s="1">
        <v>0</v>
      </c>
      <c r="E42" s="1">
        <v>3000</v>
      </c>
      <c r="F42" s="1" t="s">
        <v>374</v>
      </c>
      <c r="G42" s="1">
        <v>1500</v>
      </c>
      <c r="H42" s="1">
        <v>1</v>
      </c>
      <c r="I42" s="1">
        <f>MIN($B42)</f>
        <v>0</v>
      </c>
      <c r="J42" s="1">
        <f>MIN($C42)</f>
        <v>0</v>
      </c>
      <c r="K42" s="1">
        <f>MIN($D42)</f>
        <v>0</v>
      </c>
      <c r="L42" s="1">
        <f>MIN($E42)</f>
        <v>0</v>
      </c>
      <c r="M42" s="1">
        <f>MIN($G42)</f>
        <v>0</v>
      </c>
      <c r="N42" s="1">
        <f>MIN($H42)</f>
        <v>0</v>
      </c>
      <c r="O42" s="1">
        <f>MEDIAN($B42)</f>
        <v>0</v>
      </c>
      <c r="P42" s="1">
        <f>MEDIAN($C42)</f>
        <v>0</v>
      </c>
      <c r="Q42" s="1">
        <f>MEDIAN($D42)</f>
        <v>0</v>
      </c>
      <c r="R42" s="1">
        <f>MEDIAN($E42)</f>
        <v>0</v>
      </c>
      <c r="S42" s="1">
        <f>MEDIAN($G42)</f>
        <v>0</v>
      </c>
      <c r="T42" s="1">
        <f>MEDIAN($H42)</f>
        <v>0</v>
      </c>
      <c r="U42" s="1">
        <f>MAX($B42)</f>
        <v>0</v>
      </c>
      <c r="V42" s="1">
        <f>MAX($C42)</f>
        <v>0</v>
      </c>
      <c r="W42" s="1">
        <f>MAX($D42)</f>
        <v>0</v>
      </c>
      <c r="X42" s="1">
        <f>MAX($E42)</f>
        <v>0</v>
      </c>
      <c r="Y42" s="1">
        <f>MAX($G42)</f>
        <v>0</v>
      </c>
      <c r="Z42" s="1">
        <f>MAX($H42)</f>
        <v>0</v>
      </c>
    </row>
    <row r="43" spans="1:26">
      <c r="A43" s="1" t="s">
        <v>40</v>
      </c>
      <c r="B43" s="1">
        <v>1</v>
      </c>
      <c r="C43" s="1">
        <v>0</v>
      </c>
      <c r="D43" s="1">
        <v>0</v>
      </c>
      <c r="E43" s="1">
        <v>3000</v>
      </c>
      <c r="F43" s="1" t="s">
        <v>374</v>
      </c>
      <c r="G43" s="1">
        <v>1500</v>
      </c>
      <c r="H43" s="1">
        <v>1</v>
      </c>
      <c r="I43" s="1">
        <f>MIN($B43)</f>
        <v>0</v>
      </c>
      <c r="J43" s="1">
        <f>MIN($C43)</f>
        <v>0</v>
      </c>
      <c r="K43" s="1">
        <f>MIN($D43)</f>
        <v>0</v>
      </c>
      <c r="L43" s="1">
        <f>MIN($E43)</f>
        <v>0</v>
      </c>
      <c r="M43" s="1">
        <f>MIN($G43)</f>
        <v>0</v>
      </c>
      <c r="N43" s="1">
        <f>MIN($H43)</f>
        <v>0</v>
      </c>
      <c r="O43" s="1">
        <f>MEDIAN($B43)</f>
        <v>0</v>
      </c>
      <c r="P43" s="1">
        <f>MEDIAN($C43)</f>
        <v>0</v>
      </c>
      <c r="Q43" s="1">
        <f>MEDIAN($D43)</f>
        <v>0</v>
      </c>
      <c r="R43" s="1">
        <f>MEDIAN($E43)</f>
        <v>0</v>
      </c>
      <c r="S43" s="1">
        <f>MEDIAN($G43)</f>
        <v>0</v>
      </c>
      <c r="T43" s="1">
        <f>MEDIAN($H43)</f>
        <v>0</v>
      </c>
      <c r="U43" s="1">
        <f>MAX($B43)</f>
        <v>0</v>
      </c>
      <c r="V43" s="1">
        <f>MAX($C43)</f>
        <v>0</v>
      </c>
      <c r="W43" s="1">
        <f>MAX($D43)</f>
        <v>0</v>
      </c>
      <c r="X43" s="1">
        <f>MAX($E43)</f>
        <v>0</v>
      </c>
      <c r="Y43" s="1">
        <f>MAX($G43)</f>
        <v>0</v>
      </c>
      <c r="Z43" s="1">
        <f>MAX($H43)</f>
        <v>0</v>
      </c>
    </row>
    <row r="44" spans="1:26">
      <c r="A44" s="1" t="s">
        <v>41</v>
      </c>
      <c r="B44" s="1">
        <v>1</v>
      </c>
      <c r="C44" s="1">
        <v>0</v>
      </c>
      <c r="D44" s="1">
        <v>0</v>
      </c>
      <c r="E44" s="1">
        <v>3000</v>
      </c>
      <c r="F44" s="1" t="s">
        <v>374</v>
      </c>
      <c r="G44" s="1">
        <v>1500</v>
      </c>
      <c r="H44" s="1">
        <v>1</v>
      </c>
      <c r="I44" s="1">
        <f>MIN($B44)</f>
        <v>0</v>
      </c>
      <c r="J44" s="1">
        <f>MIN($C44)</f>
        <v>0</v>
      </c>
      <c r="K44" s="1">
        <f>MIN($D44)</f>
        <v>0</v>
      </c>
      <c r="L44" s="1">
        <f>MIN($E44)</f>
        <v>0</v>
      </c>
      <c r="M44" s="1">
        <f>MIN($G44)</f>
        <v>0</v>
      </c>
      <c r="N44" s="1">
        <f>MIN($H44)</f>
        <v>0</v>
      </c>
      <c r="O44" s="1">
        <f>MEDIAN($B44)</f>
        <v>0</v>
      </c>
      <c r="P44" s="1">
        <f>MEDIAN($C44)</f>
        <v>0</v>
      </c>
      <c r="Q44" s="1">
        <f>MEDIAN($D44)</f>
        <v>0</v>
      </c>
      <c r="R44" s="1">
        <f>MEDIAN($E44)</f>
        <v>0</v>
      </c>
      <c r="S44" s="1">
        <f>MEDIAN($G44)</f>
        <v>0</v>
      </c>
      <c r="T44" s="1">
        <f>MEDIAN($H44)</f>
        <v>0</v>
      </c>
      <c r="U44" s="1">
        <f>MAX($B44)</f>
        <v>0</v>
      </c>
      <c r="V44" s="1">
        <f>MAX($C44)</f>
        <v>0</v>
      </c>
      <c r="W44" s="1">
        <f>MAX($D44)</f>
        <v>0</v>
      </c>
      <c r="X44" s="1">
        <f>MAX($E44)</f>
        <v>0</v>
      </c>
      <c r="Y44" s="1">
        <f>MAX($G44)</f>
        <v>0</v>
      </c>
      <c r="Z44" s="1">
        <f>MAX($H44)</f>
        <v>0</v>
      </c>
    </row>
    <row r="45" spans="1:26">
      <c r="A45" s="1" t="s">
        <v>42</v>
      </c>
      <c r="B45" s="1">
        <v>1</v>
      </c>
      <c r="C45" s="1">
        <v>0</v>
      </c>
      <c r="D45" s="1">
        <v>0</v>
      </c>
      <c r="E45" s="1">
        <v>3000</v>
      </c>
      <c r="F45" s="1" t="s">
        <v>374</v>
      </c>
      <c r="G45" s="1">
        <v>1500</v>
      </c>
      <c r="H45" s="1">
        <v>1</v>
      </c>
      <c r="I45" s="1">
        <f>MIN($B45)</f>
        <v>0</v>
      </c>
      <c r="J45" s="1">
        <f>MIN($C45)</f>
        <v>0</v>
      </c>
      <c r="K45" s="1">
        <f>MIN($D45)</f>
        <v>0</v>
      </c>
      <c r="L45" s="1">
        <f>MIN($E45)</f>
        <v>0</v>
      </c>
      <c r="M45" s="1">
        <f>MIN($G45)</f>
        <v>0</v>
      </c>
      <c r="N45" s="1">
        <f>MIN($H45)</f>
        <v>0</v>
      </c>
      <c r="O45" s="1">
        <f>MEDIAN($B45)</f>
        <v>0</v>
      </c>
      <c r="P45" s="1">
        <f>MEDIAN($C45)</f>
        <v>0</v>
      </c>
      <c r="Q45" s="1">
        <f>MEDIAN($D45)</f>
        <v>0</v>
      </c>
      <c r="R45" s="1">
        <f>MEDIAN($E45)</f>
        <v>0</v>
      </c>
      <c r="S45" s="1">
        <f>MEDIAN($G45)</f>
        <v>0</v>
      </c>
      <c r="T45" s="1">
        <f>MEDIAN($H45)</f>
        <v>0</v>
      </c>
      <c r="U45" s="1">
        <f>MAX($B45)</f>
        <v>0</v>
      </c>
      <c r="V45" s="1">
        <f>MAX($C45)</f>
        <v>0</v>
      </c>
      <c r="W45" s="1">
        <f>MAX($D45)</f>
        <v>0</v>
      </c>
      <c r="X45" s="1">
        <f>MAX($E45)</f>
        <v>0</v>
      </c>
      <c r="Y45" s="1">
        <f>MAX($G45)</f>
        <v>0</v>
      </c>
      <c r="Z45" s="1">
        <f>MAX($H45)</f>
        <v>0</v>
      </c>
    </row>
    <row r="46" spans="1:26">
      <c r="A46" s="1" t="s">
        <v>43</v>
      </c>
      <c r="B46" s="1">
        <v>1</v>
      </c>
      <c r="C46" s="1">
        <v>0</v>
      </c>
      <c r="D46" s="1">
        <v>0</v>
      </c>
      <c r="E46" s="1">
        <v>3000</v>
      </c>
      <c r="F46" s="1" t="s">
        <v>374</v>
      </c>
      <c r="G46" s="1">
        <v>1500</v>
      </c>
      <c r="H46" s="1">
        <v>1</v>
      </c>
      <c r="I46" s="1">
        <f>MIN($B46)</f>
        <v>0</v>
      </c>
      <c r="J46" s="1">
        <f>MIN($C46)</f>
        <v>0</v>
      </c>
      <c r="K46" s="1">
        <f>MIN($D46)</f>
        <v>0</v>
      </c>
      <c r="L46" s="1">
        <f>MIN($E46)</f>
        <v>0</v>
      </c>
      <c r="M46" s="1">
        <f>MIN($G46)</f>
        <v>0</v>
      </c>
      <c r="N46" s="1">
        <f>MIN($H46)</f>
        <v>0</v>
      </c>
      <c r="O46" s="1">
        <f>MEDIAN($B46)</f>
        <v>0</v>
      </c>
      <c r="P46" s="1">
        <f>MEDIAN($C46)</f>
        <v>0</v>
      </c>
      <c r="Q46" s="1">
        <f>MEDIAN($D46)</f>
        <v>0</v>
      </c>
      <c r="R46" s="1">
        <f>MEDIAN($E46)</f>
        <v>0</v>
      </c>
      <c r="S46" s="1">
        <f>MEDIAN($G46)</f>
        <v>0</v>
      </c>
      <c r="T46" s="1">
        <f>MEDIAN($H46)</f>
        <v>0</v>
      </c>
      <c r="U46" s="1">
        <f>MAX($B46)</f>
        <v>0</v>
      </c>
      <c r="V46" s="1">
        <f>MAX($C46)</f>
        <v>0</v>
      </c>
      <c r="W46" s="1">
        <f>MAX($D46)</f>
        <v>0</v>
      </c>
      <c r="X46" s="1">
        <f>MAX($E46)</f>
        <v>0</v>
      </c>
      <c r="Y46" s="1">
        <f>MAX($G46)</f>
        <v>0</v>
      </c>
      <c r="Z46" s="1">
        <f>MAX($H46)</f>
        <v>0</v>
      </c>
    </row>
    <row r="47" spans="1:26">
      <c r="A47" s="1" t="s">
        <v>44</v>
      </c>
      <c r="B47" s="1">
        <v>1</v>
      </c>
      <c r="C47" s="1">
        <v>0</v>
      </c>
      <c r="D47" s="1">
        <v>0</v>
      </c>
      <c r="E47" s="1">
        <v>3000</v>
      </c>
      <c r="F47" s="1" t="s">
        <v>374</v>
      </c>
      <c r="G47" s="1">
        <v>1500</v>
      </c>
      <c r="H47" s="1">
        <v>1</v>
      </c>
      <c r="I47" s="1">
        <f>MIN($B47)</f>
        <v>0</v>
      </c>
      <c r="J47" s="1">
        <f>MIN($C47)</f>
        <v>0</v>
      </c>
      <c r="K47" s="1">
        <f>MIN($D47)</f>
        <v>0</v>
      </c>
      <c r="L47" s="1">
        <f>MIN($E47)</f>
        <v>0</v>
      </c>
      <c r="M47" s="1">
        <f>MIN($G47)</f>
        <v>0</v>
      </c>
      <c r="N47" s="1">
        <f>MIN($H47)</f>
        <v>0</v>
      </c>
      <c r="O47" s="1">
        <f>MEDIAN($B47)</f>
        <v>0</v>
      </c>
      <c r="P47" s="1">
        <f>MEDIAN($C47)</f>
        <v>0</v>
      </c>
      <c r="Q47" s="1">
        <f>MEDIAN($D47)</f>
        <v>0</v>
      </c>
      <c r="R47" s="1">
        <f>MEDIAN($E47)</f>
        <v>0</v>
      </c>
      <c r="S47" s="1">
        <f>MEDIAN($G47)</f>
        <v>0</v>
      </c>
      <c r="T47" s="1">
        <f>MEDIAN($H47)</f>
        <v>0</v>
      </c>
      <c r="U47" s="1">
        <f>MAX($B47)</f>
        <v>0</v>
      </c>
      <c r="V47" s="1">
        <f>MAX($C47)</f>
        <v>0</v>
      </c>
      <c r="W47" s="1">
        <f>MAX($D47)</f>
        <v>0</v>
      </c>
      <c r="X47" s="1">
        <f>MAX($E47)</f>
        <v>0</v>
      </c>
      <c r="Y47" s="1">
        <f>MAX($G47)</f>
        <v>0</v>
      </c>
      <c r="Z47" s="1">
        <f>MAX($H47)</f>
        <v>0</v>
      </c>
    </row>
    <row r="48" spans="1:26">
      <c r="A48" s="1" t="s">
        <v>45</v>
      </c>
      <c r="B48" s="1">
        <v>1</v>
      </c>
      <c r="C48" s="1">
        <v>0</v>
      </c>
      <c r="D48" s="1">
        <v>0</v>
      </c>
      <c r="E48" s="1">
        <v>3000</v>
      </c>
      <c r="F48" s="1" t="s">
        <v>374</v>
      </c>
      <c r="G48" s="1">
        <v>1500</v>
      </c>
      <c r="H48" s="1">
        <v>1</v>
      </c>
      <c r="I48" s="1">
        <f>MIN($B48)</f>
        <v>0</v>
      </c>
      <c r="J48" s="1">
        <f>MIN($C48)</f>
        <v>0</v>
      </c>
      <c r="K48" s="1">
        <f>MIN($D48)</f>
        <v>0</v>
      </c>
      <c r="L48" s="1">
        <f>MIN($E48)</f>
        <v>0</v>
      </c>
      <c r="M48" s="1">
        <f>MIN($G48)</f>
        <v>0</v>
      </c>
      <c r="N48" s="1">
        <f>MIN($H48)</f>
        <v>0</v>
      </c>
      <c r="O48" s="1">
        <f>MEDIAN($B48)</f>
        <v>0</v>
      </c>
      <c r="P48" s="1">
        <f>MEDIAN($C48)</f>
        <v>0</v>
      </c>
      <c r="Q48" s="1">
        <f>MEDIAN($D48)</f>
        <v>0</v>
      </c>
      <c r="R48" s="1">
        <f>MEDIAN($E48)</f>
        <v>0</v>
      </c>
      <c r="S48" s="1">
        <f>MEDIAN($G48)</f>
        <v>0</v>
      </c>
      <c r="T48" s="1">
        <f>MEDIAN($H48)</f>
        <v>0</v>
      </c>
      <c r="U48" s="1">
        <f>MAX($B48)</f>
        <v>0</v>
      </c>
      <c r="V48" s="1">
        <f>MAX($C48)</f>
        <v>0</v>
      </c>
      <c r="W48" s="1">
        <f>MAX($D48)</f>
        <v>0</v>
      </c>
      <c r="X48" s="1">
        <f>MAX($E48)</f>
        <v>0</v>
      </c>
      <c r="Y48" s="1">
        <f>MAX($G48)</f>
        <v>0</v>
      </c>
      <c r="Z48" s="1">
        <f>MAX($H48)</f>
        <v>0</v>
      </c>
    </row>
    <row r="49" spans="1:26">
      <c r="A49" s="1" t="s">
        <v>46</v>
      </c>
      <c r="B49" s="1">
        <v>1</v>
      </c>
      <c r="C49" s="1">
        <v>0</v>
      </c>
      <c r="D49" s="1">
        <v>0</v>
      </c>
      <c r="E49" s="1">
        <v>3000</v>
      </c>
      <c r="F49" s="1" t="s">
        <v>374</v>
      </c>
      <c r="G49" s="1">
        <v>1500</v>
      </c>
      <c r="H49" s="1">
        <v>1</v>
      </c>
      <c r="I49" s="1">
        <f>MIN($B49)</f>
        <v>0</v>
      </c>
      <c r="J49" s="1">
        <f>MIN($C49)</f>
        <v>0</v>
      </c>
      <c r="K49" s="1">
        <f>MIN($D49)</f>
        <v>0</v>
      </c>
      <c r="L49" s="1">
        <f>MIN($E49)</f>
        <v>0</v>
      </c>
      <c r="M49" s="1">
        <f>MIN($G49)</f>
        <v>0</v>
      </c>
      <c r="N49" s="1">
        <f>MIN($H49)</f>
        <v>0</v>
      </c>
      <c r="O49" s="1">
        <f>MEDIAN($B49)</f>
        <v>0</v>
      </c>
      <c r="P49" s="1">
        <f>MEDIAN($C49)</f>
        <v>0</v>
      </c>
      <c r="Q49" s="1">
        <f>MEDIAN($D49)</f>
        <v>0</v>
      </c>
      <c r="R49" s="1">
        <f>MEDIAN($E49)</f>
        <v>0</v>
      </c>
      <c r="S49" s="1">
        <f>MEDIAN($G49)</f>
        <v>0</v>
      </c>
      <c r="T49" s="1">
        <f>MEDIAN($H49)</f>
        <v>0</v>
      </c>
      <c r="U49" s="1">
        <f>MAX($B49)</f>
        <v>0</v>
      </c>
      <c r="V49" s="1">
        <f>MAX($C49)</f>
        <v>0</v>
      </c>
      <c r="W49" s="1">
        <f>MAX($D49)</f>
        <v>0</v>
      </c>
      <c r="X49" s="1">
        <f>MAX($E49)</f>
        <v>0</v>
      </c>
      <c r="Y49" s="1">
        <f>MAX($G49)</f>
        <v>0</v>
      </c>
      <c r="Z49" s="1">
        <f>MAX($H49)</f>
        <v>0</v>
      </c>
    </row>
    <row r="50" spans="1:26">
      <c r="A50" s="1" t="s">
        <v>47</v>
      </c>
      <c r="B50" s="1">
        <v>1</v>
      </c>
      <c r="C50" s="1">
        <v>0</v>
      </c>
      <c r="D50" s="1">
        <v>0</v>
      </c>
      <c r="E50" s="1">
        <v>3000</v>
      </c>
      <c r="F50" s="1" t="s">
        <v>374</v>
      </c>
      <c r="G50" s="1">
        <v>1500</v>
      </c>
      <c r="H50" s="1">
        <v>1</v>
      </c>
      <c r="I50" s="1">
        <f>MIN($B50)</f>
        <v>0</v>
      </c>
      <c r="J50" s="1">
        <f>MIN($C50)</f>
        <v>0</v>
      </c>
      <c r="K50" s="1">
        <f>MIN($D50)</f>
        <v>0</v>
      </c>
      <c r="L50" s="1">
        <f>MIN($E50)</f>
        <v>0</v>
      </c>
      <c r="M50" s="1">
        <f>MIN($G50)</f>
        <v>0</v>
      </c>
      <c r="N50" s="1">
        <f>MIN($H50)</f>
        <v>0</v>
      </c>
      <c r="O50" s="1">
        <f>MEDIAN($B50)</f>
        <v>0</v>
      </c>
      <c r="P50" s="1">
        <f>MEDIAN($C50)</f>
        <v>0</v>
      </c>
      <c r="Q50" s="1">
        <f>MEDIAN($D50)</f>
        <v>0</v>
      </c>
      <c r="R50" s="1">
        <f>MEDIAN($E50)</f>
        <v>0</v>
      </c>
      <c r="S50" s="1">
        <f>MEDIAN($G50)</f>
        <v>0</v>
      </c>
      <c r="T50" s="1">
        <f>MEDIAN($H50)</f>
        <v>0</v>
      </c>
      <c r="U50" s="1">
        <f>MAX($B50)</f>
        <v>0</v>
      </c>
      <c r="V50" s="1">
        <f>MAX($C50)</f>
        <v>0</v>
      </c>
      <c r="W50" s="1">
        <f>MAX($D50)</f>
        <v>0</v>
      </c>
      <c r="X50" s="1">
        <f>MAX($E50)</f>
        <v>0</v>
      </c>
      <c r="Y50" s="1">
        <f>MAX($G50)</f>
        <v>0</v>
      </c>
      <c r="Z50" s="1">
        <f>MAX($H50)</f>
        <v>0</v>
      </c>
    </row>
    <row r="51" spans="1:26">
      <c r="A51" s="1" t="s">
        <v>48</v>
      </c>
      <c r="B51" s="1">
        <v>1</v>
      </c>
      <c r="C51" s="1">
        <v>0</v>
      </c>
      <c r="D51" s="1">
        <v>0</v>
      </c>
      <c r="E51" s="1">
        <v>3000</v>
      </c>
      <c r="F51" s="1" t="s">
        <v>374</v>
      </c>
      <c r="G51" s="1">
        <v>1500</v>
      </c>
      <c r="H51" s="1">
        <v>1</v>
      </c>
      <c r="I51" s="1">
        <f>MIN($B51)</f>
        <v>0</v>
      </c>
      <c r="J51" s="1">
        <f>MIN($C51)</f>
        <v>0</v>
      </c>
      <c r="K51" s="1">
        <f>MIN($D51)</f>
        <v>0</v>
      </c>
      <c r="L51" s="1">
        <f>MIN($E51)</f>
        <v>0</v>
      </c>
      <c r="M51" s="1">
        <f>MIN($G51)</f>
        <v>0</v>
      </c>
      <c r="N51" s="1">
        <f>MIN($H51)</f>
        <v>0</v>
      </c>
      <c r="O51" s="1">
        <f>MEDIAN($B51)</f>
        <v>0</v>
      </c>
      <c r="P51" s="1">
        <f>MEDIAN($C51)</f>
        <v>0</v>
      </c>
      <c r="Q51" s="1">
        <f>MEDIAN($D51)</f>
        <v>0</v>
      </c>
      <c r="R51" s="1">
        <f>MEDIAN($E51)</f>
        <v>0</v>
      </c>
      <c r="S51" s="1">
        <f>MEDIAN($G51)</f>
        <v>0</v>
      </c>
      <c r="T51" s="1">
        <f>MEDIAN($H51)</f>
        <v>0</v>
      </c>
      <c r="U51" s="1">
        <f>MAX($B51)</f>
        <v>0</v>
      </c>
      <c r="V51" s="1">
        <f>MAX($C51)</f>
        <v>0</v>
      </c>
      <c r="W51" s="1">
        <f>MAX($D51)</f>
        <v>0</v>
      </c>
      <c r="X51" s="1">
        <f>MAX($E51)</f>
        <v>0</v>
      </c>
      <c r="Y51" s="1">
        <f>MAX($G51)</f>
        <v>0</v>
      </c>
      <c r="Z51" s="1">
        <f>MAX($H51)</f>
        <v>0</v>
      </c>
    </row>
    <row r="52" spans="1:26">
      <c r="A52" s="1" t="s">
        <v>49</v>
      </c>
      <c r="B52" s="1">
        <v>1</v>
      </c>
      <c r="C52" s="1">
        <v>0</v>
      </c>
      <c r="D52" s="1">
        <v>0</v>
      </c>
      <c r="E52" s="1">
        <v>3000</v>
      </c>
      <c r="F52" s="1" t="s">
        <v>374</v>
      </c>
      <c r="G52" s="1">
        <v>1500</v>
      </c>
      <c r="H52" s="1">
        <v>1</v>
      </c>
      <c r="I52" s="1">
        <f>MIN($B52)</f>
        <v>0</v>
      </c>
      <c r="J52" s="1">
        <f>MIN($C52)</f>
        <v>0</v>
      </c>
      <c r="K52" s="1">
        <f>MIN($D52)</f>
        <v>0</v>
      </c>
      <c r="L52" s="1">
        <f>MIN($E52)</f>
        <v>0</v>
      </c>
      <c r="M52" s="1">
        <f>MIN($G52)</f>
        <v>0</v>
      </c>
      <c r="N52" s="1">
        <f>MIN($H52)</f>
        <v>0</v>
      </c>
      <c r="O52" s="1">
        <f>MEDIAN($B52)</f>
        <v>0</v>
      </c>
      <c r="P52" s="1">
        <f>MEDIAN($C52)</f>
        <v>0</v>
      </c>
      <c r="Q52" s="1">
        <f>MEDIAN($D52)</f>
        <v>0</v>
      </c>
      <c r="R52" s="1">
        <f>MEDIAN($E52)</f>
        <v>0</v>
      </c>
      <c r="S52" s="1">
        <f>MEDIAN($G52)</f>
        <v>0</v>
      </c>
      <c r="T52" s="1">
        <f>MEDIAN($H52)</f>
        <v>0</v>
      </c>
      <c r="U52" s="1">
        <f>MAX($B52)</f>
        <v>0</v>
      </c>
      <c r="V52" s="1">
        <f>MAX($C52)</f>
        <v>0</v>
      </c>
      <c r="W52" s="1">
        <f>MAX($D52)</f>
        <v>0</v>
      </c>
      <c r="X52" s="1">
        <f>MAX($E52)</f>
        <v>0</v>
      </c>
      <c r="Y52" s="1">
        <f>MAX($G52)</f>
        <v>0</v>
      </c>
      <c r="Z52" s="1">
        <f>MAX($H52)</f>
        <v>0</v>
      </c>
    </row>
    <row r="53" spans="1:26">
      <c r="A53" s="1" t="s">
        <v>50</v>
      </c>
      <c r="B53" s="1">
        <v>1</v>
      </c>
      <c r="C53" s="1">
        <v>0</v>
      </c>
      <c r="D53" s="1">
        <v>0</v>
      </c>
      <c r="E53" s="1">
        <v>3000</v>
      </c>
      <c r="F53" s="1" t="s">
        <v>374</v>
      </c>
      <c r="G53" s="1">
        <v>1500</v>
      </c>
      <c r="H53" s="1">
        <v>1</v>
      </c>
      <c r="I53" s="1">
        <f>MIN($B53)</f>
        <v>0</v>
      </c>
      <c r="J53" s="1">
        <f>MIN($C53)</f>
        <v>0</v>
      </c>
      <c r="K53" s="1">
        <f>MIN($D53)</f>
        <v>0</v>
      </c>
      <c r="L53" s="1">
        <f>MIN($E53)</f>
        <v>0</v>
      </c>
      <c r="M53" s="1">
        <f>MIN($G53)</f>
        <v>0</v>
      </c>
      <c r="N53" s="1">
        <f>MIN($H53)</f>
        <v>0</v>
      </c>
      <c r="O53" s="1">
        <f>MEDIAN($B53)</f>
        <v>0</v>
      </c>
      <c r="P53" s="1">
        <f>MEDIAN($C53)</f>
        <v>0</v>
      </c>
      <c r="Q53" s="1">
        <f>MEDIAN($D53)</f>
        <v>0</v>
      </c>
      <c r="R53" s="1">
        <f>MEDIAN($E53)</f>
        <v>0</v>
      </c>
      <c r="S53" s="1">
        <f>MEDIAN($G53)</f>
        <v>0</v>
      </c>
      <c r="T53" s="1">
        <f>MEDIAN($H53)</f>
        <v>0</v>
      </c>
      <c r="U53" s="1">
        <f>MAX($B53)</f>
        <v>0</v>
      </c>
      <c r="V53" s="1">
        <f>MAX($C53)</f>
        <v>0</v>
      </c>
      <c r="W53" s="1">
        <f>MAX($D53)</f>
        <v>0</v>
      </c>
      <c r="X53" s="1">
        <f>MAX($E53)</f>
        <v>0</v>
      </c>
      <c r="Y53" s="1">
        <f>MAX($G53)</f>
        <v>0</v>
      </c>
      <c r="Z53" s="1">
        <f>MAX($H53)</f>
        <v>0</v>
      </c>
    </row>
    <row r="54" spans="1:26">
      <c r="A54" s="1" t="s">
        <v>51</v>
      </c>
      <c r="B54" s="1">
        <v>1</v>
      </c>
      <c r="C54" s="1">
        <v>0</v>
      </c>
      <c r="D54" s="1">
        <v>0</v>
      </c>
      <c r="E54" s="1">
        <v>3000</v>
      </c>
      <c r="F54" s="1" t="s">
        <v>374</v>
      </c>
      <c r="G54" s="1">
        <v>1500</v>
      </c>
      <c r="H54" s="1">
        <v>1</v>
      </c>
      <c r="I54" s="1">
        <f>MIN($B54)</f>
        <v>0</v>
      </c>
      <c r="J54" s="1">
        <f>MIN($C54)</f>
        <v>0</v>
      </c>
      <c r="K54" s="1">
        <f>MIN($D54)</f>
        <v>0</v>
      </c>
      <c r="L54" s="1">
        <f>MIN($E54)</f>
        <v>0</v>
      </c>
      <c r="M54" s="1">
        <f>MIN($G54)</f>
        <v>0</v>
      </c>
      <c r="N54" s="1">
        <f>MIN($H54)</f>
        <v>0</v>
      </c>
      <c r="O54" s="1">
        <f>MEDIAN($B54)</f>
        <v>0</v>
      </c>
      <c r="P54" s="1">
        <f>MEDIAN($C54)</f>
        <v>0</v>
      </c>
      <c r="Q54" s="1">
        <f>MEDIAN($D54)</f>
        <v>0</v>
      </c>
      <c r="R54" s="1">
        <f>MEDIAN($E54)</f>
        <v>0</v>
      </c>
      <c r="S54" s="1">
        <f>MEDIAN($G54)</f>
        <v>0</v>
      </c>
      <c r="T54" s="1">
        <f>MEDIAN($H54)</f>
        <v>0</v>
      </c>
      <c r="U54" s="1">
        <f>MAX($B54)</f>
        <v>0</v>
      </c>
      <c r="V54" s="1">
        <f>MAX($C54)</f>
        <v>0</v>
      </c>
      <c r="W54" s="1">
        <f>MAX($D54)</f>
        <v>0</v>
      </c>
      <c r="X54" s="1">
        <f>MAX($E54)</f>
        <v>0</v>
      </c>
      <c r="Y54" s="1">
        <f>MAX($G54)</f>
        <v>0</v>
      </c>
      <c r="Z54" s="1">
        <f>MAX($H54)</f>
        <v>0</v>
      </c>
    </row>
    <row r="55" spans="1:26">
      <c r="A55" s="1" t="s">
        <v>52</v>
      </c>
      <c r="B55" s="1">
        <v>1</v>
      </c>
      <c r="C55" s="1">
        <v>0</v>
      </c>
      <c r="D55" s="1">
        <v>0</v>
      </c>
      <c r="E55" s="1">
        <v>3000</v>
      </c>
      <c r="F55" s="1" t="s">
        <v>374</v>
      </c>
      <c r="G55" s="1">
        <v>1500</v>
      </c>
      <c r="H55" s="1">
        <v>1</v>
      </c>
      <c r="I55" s="1">
        <f>MIN($B55)</f>
        <v>0</v>
      </c>
      <c r="J55" s="1">
        <f>MIN($C55)</f>
        <v>0</v>
      </c>
      <c r="K55" s="1">
        <f>MIN($D55)</f>
        <v>0</v>
      </c>
      <c r="L55" s="1">
        <f>MIN($E55)</f>
        <v>0</v>
      </c>
      <c r="M55" s="1">
        <f>MIN($G55)</f>
        <v>0</v>
      </c>
      <c r="N55" s="1">
        <f>MIN($H55)</f>
        <v>0</v>
      </c>
      <c r="O55" s="1">
        <f>MEDIAN($B55)</f>
        <v>0</v>
      </c>
      <c r="P55" s="1">
        <f>MEDIAN($C55)</f>
        <v>0</v>
      </c>
      <c r="Q55" s="1">
        <f>MEDIAN($D55)</f>
        <v>0</v>
      </c>
      <c r="R55" s="1">
        <f>MEDIAN($E55)</f>
        <v>0</v>
      </c>
      <c r="S55" s="1">
        <f>MEDIAN($G55)</f>
        <v>0</v>
      </c>
      <c r="T55" s="1">
        <f>MEDIAN($H55)</f>
        <v>0</v>
      </c>
      <c r="U55" s="1">
        <f>MAX($B55)</f>
        <v>0</v>
      </c>
      <c r="V55" s="1">
        <f>MAX($C55)</f>
        <v>0</v>
      </c>
      <c r="W55" s="1">
        <f>MAX($D55)</f>
        <v>0</v>
      </c>
      <c r="X55" s="1">
        <f>MAX($E55)</f>
        <v>0</v>
      </c>
      <c r="Y55" s="1">
        <f>MAX($G55)</f>
        <v>0</v>
      </c>
      <c r="Z55" s="1">
        <f>MAX($H55)</f>
        <v>0</v>
      </c>
    </row>
    <row r="56" spans="1:26">
      <c r="A56" s="1" t="s">
        <v>53</v>
      </c>
      <c r="B56" s="1">
        <v>1</v>
      </c>
      <c r="C56" s="1">
        <v>0</v>
      </c>
      <c r="D56" s="1">
        <v>0</v>
      </c>
      <c r="E56" s="1">
        <v>3000</v>
      </c>
      <c r="F56" s="1" t="s">
        <v>374</v>
      </c>
      <c r="G56" s="1">
        <v>1500</v>
      </c>
      <c r="H56" s="1">
        <v>1</v>
      </c>
      <c r="I56" s="1">
        <f>MIN($B56)</f>
        <v>0</v>
      </c>
      <c r="J56" s="1">
        <f>MIN($C56)</f>
        <v>0</v>
      </c>
      <c r="K56" s="1">
        <f>MIN($D56)</f>
        <v>0</v>
      </c>
      <c r="L56" s="1">
        <f>MIN($E56)</f>
        <v>0</v>
      </c>
      <c r="M56" s="1">
        <f>MIN($G56)</f>
        <v>0</v>
      </c>
      <c r="N56" s="1">
        <f>MIN($H56)</f>
        <v>0</v>
      </c>
      <c r="O56" s="1">
        <f>MEDIAN($B56)</f>
        <v>0</v>
      </c>
      <c r="P56" s="1">
        <f>MEDIAN($C56)</f>
        <v>0</v>
      </c>
      <c r="Q56" s="1">
        <f>MEDIAN($D56)</f>
        <v>0</v>
      </c>
      <c r="R56" s="1">
        <f>MEDIAN($E56)</f>
        <v>0</v>
      </c>
      <c r="S56" s="1">
        <f>MEDIAN($G56)</f>
        <v>0</v>
      </c>
      <c r="T56" s="1">
        <f>MEDIAN($H56)</f>
        <v>0</v>
      </c>
      <c r="U56" s="1">
        <f>MAX($B56)</f>
        <v>0</v>
      </c>
      <c r="V56" s="1">
        <f>MAX($C56)</f>
        <v>0</v>
      </c>
      <c r="W56" s="1">
        <f>MAX($D56)</f>
        <v>0</v>
      </c>
      <c r="X56" s="1">
        <f>MAX($E56)</f>
        <v>0</v>
      </c>
      <c r="Y56" s="1">
        <f>MAX($G56)</f>
        <v>0</v>
      </c>
      <c r="Z56" s="1">
        <f>MAX($H56)</f>
        <v>0</v>
      </c>
    </row>
    <row r="57" spans="1:26">
      <c r="A57" s="1" t="s">
        <v>54</v>
      </c>
      <c r="B57" s="1">
        <v>1</v>
      </c>
      <c r="C57" s="1">
        <v>0</v>
      </c>
      <c r="D57" s="1">
        <v>0</v>
      </c>
      <c r="E57" s="1">
        <v>3000</v>
      </c>
      <c r="F57" s="1" t="s">
        <v>374</v>
      </c>
      <c r="G57" s="1">
        <v>1500</v>
      </c>
      <c r="H57" s="1">
        <v>1</v>
      </c>
      <c r="I57" s="1">
        <f>MIN($B57)</f>
        <v>0</v>
      </c>
      <c r="J57" s="1">
        <f>MIN($C57)</f>
        <v>0</v>
      </c>
      <c r="K57" s="1">
        <f>MIN($D57)</f>
        <v>0</v>
      </c>
      <c r="L57" s="1">
        <f>MIN($E57)</f>
        <v>0</v>
      </c>
      <c r="M57" s="1">
        <f>MIN($G57)</f>
        <v>0</v>
      </c>
      <c r="N57" s="1">
        <f>MIN($H57)</f>
        <v>0</v>
      </c>
      <c r="O57" s="1">
        <f>MEDIAN($B57)</f>
        <v>0</v>
      </c>
      <c r="P57" s="1">
        <f>MEDIAN($C57)</f>
        <v>0</v>
      </c>
      <c r="Q57" s="1">
        <f>MEDIAN($D57)</f>
        <v>0</v>
      </c>
      <c r="R57" s="1">
        <f>MEDIAN($E57)</f>
        <v>0</v>
      </c>
      <c r="S57" s="1">
        <f>MEDIAN($G57)</f>
        <v>0</v>
      </c>
      <c r="T57" s="1">
        <f>MEDIAN($H57)</f>
        <v>0</v>
      </c>
      <c r="U57" s="1">
        <f>MAX($B57)</f>
        <v>0</v>
      </c>
      <c r="V57" s="1">
        <f>MAX($C57)</f>
        <v>0</v>
      </c>
      <c r="W57" s="1">
        <f>MAX($D57)</f>
        <v>0</v>
      </c>
      <c r="X57" s="1">
        <f>MAX($E57)</f>
        <v>0</v>
      </c>
      <c r="Y57" s="1">
        <f>MAX($G57)</f>
        <v>0</v>
      </c>
      <c r="Z57" s="1">
        <f>MAX($H57)</f>
        <v>0</v>
      </c>
    </row>
    <row r="58" spans="1:26">
      <c r="A58" s="1" t="s">
        <v>55</v>
      </c>
      <c r="B58" s="1">
        <v>1</v>
      </c>
      <c r="C58" s="1">
        <v>0</v>
      </c>
      <c r="D58" s="1">
        <v>0</v>
      </c>
      <c r="E58" s="1">
        <v>3000</v>
      </c>
      <c r="F58" s="1" t="s">
        <v>374</v>
      </c>
      <c r="G58" s="1">
        <v>1500</v>
      </c>
      <c r="H58" s="1">
        <v>1</v>
      </c>
      <c r="I58" s="1">
        <f>MIN($B58)</f>
        <v>0</v>
      </c>
      <c r="J58" s="1">
        <f>MIN($C58)</f>
        <v>0</v>
      </c>
      <c r="K58" s="1">
        <f>MIN($D58)</f>
        <v>0</v>
      </c>
      <c r="L58" s="1">
        <f>MIN($E58)</f>
        <v>0</v>
      </c>
      <c r="M58" s="1">
        <f>MIN($G58)</f>
        <v>0</v>
      </c>
      <c r="N58" s="1">
        <f>MIN($H58)</f>
        <v>0</v>
      </c>
      <c r="O58" s="1">
        <f>MEDIAN($B58)</f>
        <v>0</v>
      </c>
      <c r="P58" s="1">
        <f>MEDIAN($C58)</f>
        <v>0</v>
      </c>
      <c r="Q58" s="1">
        <f>MEDIAN($D58)</f>
        <v>0</v>
      </c>
      <c r="R58" s="1">
        <f>MEDIAN($E58)</f>
        <v>0</v>
      </c>
      <c r="S58" s="1">
        <f>MEDIAN($G58)</f>
        <v>0</v>
      </c>
      <c r="T58" s="1">
        <f>MEDIAN($H58)</f>
        <v>0</v>
      </c>
      <c r="U58" s="1">
        <f>MAX($B58)</f>
        <v>0</v>
      </c>
      <c r="V58" s="1">
        <f>MAX($C58)</f>
        <v>0</v>
      </c>
      <c r="W58" s="1">
        <f>MAX($D58)</f>
        <v>0</v>
      </c>
      <c r="X58" s="1">
        <f>MAX($E58)</f>
        <v>0</v>
      </c>
      <c r="Y58" s="1">
        <f>MAX($G58)</f>
        <v>0</v>
      </c>
      <c r="Z58" s="1">
        <f>MAX($H58)</f>
        <v>0</v>
      </c>
    </row>
    <row r="59" spans="1:26">
      <c r="A59" s="1" t="s">
        <v>56</v>
      </c>
      <c r="B59" s="1">
        <v>1</v>
      </c>
      <c r="C59" s="1">
        <v>0</v>
      </c>
      <c r="D59" s="1">
        <v>0</v>
      </c>
      <c r="E59" s="1">
        <v>3000</v>
      </c>
      <c r="F59" s="1" t="s">
        <v>374</v>
      </c>
      <c r="G59" s="1">
        <v>1500</v>
      </c>
      <c r="H59" s="1">
        <v>1</v>
      </c>
      <c r="I59" s="1">
        <f>MIN($B59)</f>
        <v>0</v>
      </c>
      <c r="J59" s="1">
        <f>MIN($C59)</f>
        <v>0</v>
      </c>
      <c r="K59" s="1">
        <f>MIN($D59)</f>
        <v>0</v>
      </c>
      <c r="L59" s="1">
        <f>MIN($E59)</f>
        <v>0</v>
      </c>
      <c r="M59" s="1">
        <f>MIN($G59)</f>
        <v>0</v>
      </c>
      <c r="N59" s="1">
        <f>MIN($H59)</f>
        <v>0</v>
      </c>
      <c r="O59" s="1">
        <f>MEDIAN($B59)</f>
        <v>0</v>
      </c>
      <c r="P59" s="1">
        <f>MEDIAN($C59)</f>
        <v>0</v>
      </c>
      <c r="Q59" s="1">
        <f>MEDIAN($D59)</f>
        <v>0</v>
      </c>
      <c r="R59" s="1">
        <f>MEDIAN($E59)</f>
        <v>0</v>
      </c>
      <c r="S59" s="1">
        <f>MEDIAN($G59)</f>
        <v>0</v>
      </c>
      <c r="T59" s="1">
        <f>MEDIAN($H59)</f>
        <v>0</v>
      </c>
      <c r="U59" s="1">
        <f>MAX($B59)</f>
        <v>0</v>
      </c>
      <c r="V59" s="1">
        <f>MAX($C59)</f>
        <v>0</v>
      </c>
      <c r="W59" s="1">
        <f>MAX($D59)</f>
        <v>0</v>
      </c>
      <c r="X59" s="1">
        <f>MAX($E59)</f>
        <v>0</v>
      </c>
      <c r="Y59" s="1">
        <f>MAX($G59)</f>
        <v>0</v>
      </c>
      <c r="Z59" s="1">
        <f>MAX($H59)</f>
        <v>0</v>
      </c>
    </row>
    <row r="60" spans="1:26">
      <c r="A60" s="1" t="s">
        <v>57</v>
      </c>
      <c r="B60" s="1">
        <v>1</v>
      </c>
      <c r="C60" s="1">
        <v>0</v>
      </c>
      <c r="D60" s="1">
        <v>0</v>
      </c>
      <c r="E60" s="1">
        <v>3000</v>
      </c>
      <c r="F60" s="1" t="s">
        <v>374</v>
      </c>
      <c r="G60" s="1">
        <v>1500</v>
      </c>
      <c r="H60" s="1">
        <v>1</v>
      </c>
      <c r="I60" s="1">
        <f>MIN($B60)</f>
        <v>0</v>
      </c>
      <c r="J60" s="1">
        <f>MIN($C60)</f>
        <v>0</v>
      </c>
      <c r="K60" s="1">
        <f>MIN($D60)</f>
        <v>0</v>
      </c>
      <c r="L60" s="1">
        <f>MIN($E60)</f>
        <v>0</v>
      </c>
      <c r="M60" s="1">
        <f>MIN($G60)</f>
        <v>0</v>
      </c>
      <c r="N60" s="1">
        <f>MIN($H60)</f>
        <v>0</v>
      </c>
      <c r="O60" s="1">
        <f>MEDIAN($B60)</f>
        <v>0</v>
      </c>
      <c r="P60" s="1">
        <f>MEDIAN($C60)</f>
        <v>0</v>
      </c>
      <c r="Q60" s="1">
        <f>MEDIAN($D60)</f>
        <v>0</v>
      </c>
      <c r="R60" s="1">
        <f>MEDIAN($E60)</f>
        <v>0</v>
      </c>
      <c r="S60" s="1">
        <f>MEDIAN($G60)</f>
        <v>0</v>
      </c>
      <c r="T60" s="1">
        <f>MEDIAN($H60)</f>
        <v>0</v>
      </c>
      <c r="U60" s="1">
        <f>MAX($B60)</f>
        <v>0</v>
      </c>
      <c r="V60" s="1">
        <f>MAX($C60)</f>
        <v>0</v>
      </c>
      <c r="W60" s="1">
        <f>MAX($D60)</f>
        <v>0</v>
      </c>
      <c r="X60" s="1">
        <f>MAX($E60)</f>
        <v>0</v>
      </c>
      <c r="Y60" s="1">
        <f>MAX($G60)</f>
        <v>0</v>
      </c>
      <c r="Z60" s="1">
        <f>MAX($H60)</f>
        <v>0</v>
      </c>
    </row>
    <row r="61" spans="1:26">
      <c r="A61" s="1" t="s">
        <v>58</v>
      </c>
      <c r="B61" s="1">
        <v>1</v>
      </c>
      <c r="C61" s="1">
        <v>0</v>
      </c>
      <c r="D61" s="1">
        <v>0</v>
      </c>
      <c r="E61" s="1">
        <v>3000</v>
      </c>
      <c r="F61" s="1" t="s">
        <v>374</v>
      </c>
      <c r="G61" s="1">
        <v>1500</v>
      </c>
      <c r="H61" s="1">
        <v>1</v>
      </c>
      <c r="I61" s="1">
        <f>MIN($B61)</f>
        <v>0</v>
      </c>
      <c r="J61" s="1">
        <f>MIN($C61)</f>
        <v>0</v>
      </c>
      <c r="K61" s="1">
        <f>MIN($D61)</f>
        <v>0</v>
      </c>
      <c r="L61" s="1">
        <f>MIN($E61)</f>
        <v>0</v>
      </c>
      <c r="M61" s="1">
        <f>MIN($G61)</f>
        <v>0</v>
      </c>
      <c r="N61" s="1">
        <f>MIN($H61)</f>
        <v>0</v>
      </c>
      <c r="O61" s="1">
        <f>MEDIAN($B61)</f>
        <v>0</v>
      </c>
      <c r="P61" s="1">
        <f>MEDIAN($C61)</f>
        <v>0</v>
      </c>
      <c r="Q61" s="1">
        <f>MEDIAN($D61)</f>
        <v>0</v>
      </c>
      <c r="R61" s="1">
        <f>MEDIAN($E61)</f>
        <v>0</v>
      </c>
      <c r="S61" s="1">
        <f>MEDIAN($G61)</f>
        <v>0</v>
      </c>
      <c r="T61" s="1">
        <f>MEDIAN($H61)</f>
        <v>0</v>
      </c>
      <c r="U61" s="1">
        <f>MAX($B61)</f>
        <v>0</v>
      </c>
      <c r="V61" s="1">
        <f>MAX($C61)</f>
        <v>0</v>
      </c>
      <c r="W61" s="1">
        <f>MAX($D61)</f>
        <v>0</v>
      </c>
      <c r="X61" s="1">
        <f>MAX($E61)</f>
        <v>0</v>
      </c>
      <c r="Y61" s="1">
        <f>MAX($G61)</f>
        <v>0</v>
      </c>
      <c r="Z61" s="1">
        <f>MAX($H61)</f>
        <v>0</v>
      </c>
    </row>
    <row r="62" spans="1:26">
      <c r="A62" s="1" t="s">
        <v>59</v>
      </c>
      <c r="B62" s="1">
        <v>1</v>
      </c>
      <c r="C62" s="1">
        <v>0</v>
      </c>
      <c r="D62" s="1">
        <v>0</v>
      </c>
      <c r="E62" s="1">
        <v>3000</v>
      </c>
      <c r="F62" s="1" t="s">
        <v>374</v>
      </c>
      <c r="G62" s="1">
        <v>1500</v>
      </c>
      <c r="H62" s="1">
        <v>1</v>
      </c>
      <c r="I62" s="1">
        <f>MIN($B62)</f>
        <v>0</v>
      </c>
      <c r="J62" s="1">
        <f>MIN($C62)</f>
        <v>0</v>
      </c>
      <c r="K62" s="1">
        <f>MIN($D62)</f>
        <v>0</v>
      </c>
      <c r="L62" s="1">
        <f>MIN($E62)</f>
        <v>0</v>
      </c>
      <c r="M62" s="1">
        <f>MIN($G62)</f>
        <v>0</v>
      </c>
      <c r="N62" s="1">
        <f>MIN($H62)</f>
        <v>0</v>
      </c>
      <c r="O62" s="1">
        <f>MEDIAN($B62)</f>
        <v>0</v>
      </c>
      <c r="P62" s="1">
        <f>MEDIAN($C62)</f>
        <v>0</v>
      </c>
      <c r="Q62" s="1">
        <f>MEDIAN($D62)</f>
        <v>0</v>
      </c>
      <c r="R62" s="1">
        <f>MEDIAN($E62)</f>
        <v>0</v>
      </c>
      <c r="S62" s="1">
        <f>MEDIAN($G62)</f>
        <v>0</v>
      </c>
      <c r="T62" s="1">
        <f>MEDIAN($H62)</f>
        <v>0</v>
      </c>
      <c r="U62" s="1">
        <f>MAX($B62)</f>
        <v>0</v>
      </c>
      <c r="V62" s="1">
        <f>MAX($C62)</f>
        <v>0</v>
      </c>
      <c r="W62" s="1">
        <f>MAX($D62)</f>
        <v>0</v>
      </c>
      <c r="X62" s="1">
        <f>MAX($E62)</f>
        <v>0</v>
      </c>
      <c r="Y62" s="1">
        <f>MAX($G62)</f>
        <v>0</v>
      </c>
      <c r="Z62" s="1">
        <f>MAX($H62)</f>
        <v>0</v>
      </c>
    </row>
    <row r="63" spans="1:26">
      <c r="A63" s="1" t="s">
        <v>60</v>
      </c>
      <c r="B63" s="1">
        <v>1</v>
      </c>
      <c r="C63" s="1">
        <v>0</v>
      </c>
      <c r="D63" s="1">
        <v>0</v>
      </c>
      <c r="E63" s="1">
        <v>3000</v>
      </c>
      <c r="F63" s="1" t="s">
        <v>374</v>
      </c>
      <c r="G63" s="1">
        <v>1500</v>
      </c>
      <c r="H63" s="1">
        <v>1</v>
      </c>
      <c r="I63" s="1">
        <f>MIN($B63)</f>
        <v>0</v>
      </c>
      <c r="J63" s="1">
        <f>MIN($C63)</f>
        <v>0</v>
      </c>
      <c r="K63" s="1">
        <f>MIN($D63)</f>
        <v>0</v>
      </c>
      <c r="L63" s="1">
        <f>MIN($E63)</f>
        <v>0</v>
      </c>
      <c r="M63" s="1">
        <f>MIN($G63)</f>
        <v>0</v>
      </c>
      <c r="N63" s="1">
        <f>MIN($H63)</f>
        <v>0</v>
      </c>
      <c r="O63" s="1">
        <f>MEDIAN($B63)</f>
        <v>0</v>
      </c>
      <c r="P63" s="1">
        <f>MEDIAN($C63)</f>
        <v>0</v>
      </c>
      <c r="Q63" s="1">
        <f>MEDIAN($D63)</f>
        <v>0</v>
      </c>
      <c r="R63" s="1">
        <f>MEDIAN($E63)</f>
        <v>0</v>
      </c>
      <c r="S63" s="1">
        <f>MEDIAN($G63)</f>
        <v>0</v>
      </c>
      <c r="T63" s="1">
        <f>MEDIAN($H63)</f>
        <v>0</v>
      </c>
      <c r="U63" s="1">
        <f>MAX($B63)</f>
        <v>0</v>
      </c>
      <c r="V63" s="1">
        <f>MAX($C63)</f>
        <v>0</v>
      </c>
      <c r="W63" s="1">
        <f>MAX($D63)</f>
        <v>0</v>
      </c>
      <c r="X63" s="1">
        <f>MAX($E63)</f>
        <v>0</v>
      </c>
      <c r="Y63" s="1">
        <f>MAX($G63)</f>
        <v>0</v>
      </c>
      <c r="Z63" s="1">
        <f>MAX($H63)</f>
        <v>0</v>
      </c>
    </row>
    <row r="64" spans="1:26">
      <c r="A64" s="1" t="s">
        <v>61</v>
      </c>
      <c r="B64" s="1">
        <v>1</v>
      </c>
      <c r="C64" s="1">
        <v>0</v>
      </c>
      <c r="D64" s="1">
        <v>0</v>
      </c>
      <c r="E64" s="1">
        <v>3000</v>
      </c>
      <c r="F64" s="1" t="s">
        <v>374</v>
      </c>
      <c r="G64" s="1">
        <v>1500</v>
      </c>
      <c r="H64" s="1">
        <v>1</v>
      </c>
      <c r="I64" s="1">
        <f>MIN($B64)</f>
        <v>0</v>
      </c>
      <c r="J64" s="1">
        <f>MIN($C64)</f>
        <v>0</v>
      </c>
      <c r="K64" s="1">
        <f>MIN($D64)</f>
        <v>0</v>
      </c>
      <c r="L64" s="1">
        <f>MIN($E64)</f>
        <v>0</v>
      </c>
      <c r="M64" s="1">
        <f>MIN($G64)</f>
        <v>0</v>
      </c>
      <c r="N64" s="1">
        <f>MIN($H64)</f>
        <v>0</v>
      </c>
      <c r="O64" s="1">
        <f>MEDIAN($B64)</f>
        <v>0</v>
      </c>
      <c r="P64" s="1">
        <f>MEDIAN($C64)</f>
        <v>0</v>
      </c>
      <c r="Q64" s="1">
        <f>MEDIAN($D64)</f>
        <v>0</v>
      </c>
      <c r="R64" s="1">
        <f>MEDIAN($E64)</f>
        <v>0</v>
      </c>
      <c r="S64" s="1">
        <f>MEDIAN($G64)</f>
        <v>0</v>
      </c>
      <c r="T64" s="1">
        <f>MEDIAN($H64)</f>
        <v>0</v>
      </c>
      <c r="U64" s="1">
        <f>MAX($B64)</f>
        <v>0</v>
      </c>
      <c r="V64" s="1">
        <f>MAX($C64)</f>
        <v>0</v>
      </c>
      <c r="W64" s="1">
        <f>MAX($D64)</f>
        <v>0</v>
      </c>
      <c r="X64" s="1">
        <f>MAX($E64)</f>
        <v>0</v>
      </c>
      <c r="Y64" s="1">
        <f>MAX($G64)</f>
        <v>0</v>
      </c>
      <c r="Z64" s="1">
        <f>MAX($H64)</f>
        <v>0</v>
      </c>
    </row>
    <row r="65" spans="1:26">
      <c r="A65" s="1" t="s">
        <v>62</v>
      </c>
      <c r="B65" s="1">
        <v>1</v>
      </c>
      <c r="C65" s="1">
        <v>0</v>
      </c>
      <c r="D65" s="1">
        <v>0</v>
      </c>
      <c r="E65" s="1">
        <v>3000</v>
      </c>
      <c r="F65" s="1" t="s">
        <v>374</v>
      </c>
      <c r="G65" s="1">
        <v>1500</v>
      </c>
      <c r="H65" s="1">
        <v>1</v>
      </c>
      <c r="I65" s="1">
        <f>MIN($B65)</f>
        <v>0</v>
      </c>
      <c r="J65" s="1">
        <f>MIN($C65)</f>
        <v>0</v>
      </c>
      <c r="K65" s="1">
        <f>MIN($D65)</f>
        <v>0</v>
      </c>
      <c r="L65" s="1">
        <f>MIN($E65)</f>
        <v>0</v>
      </c>
      <c r="M65" s="1">
        <f>MIN($G65)</f>
        <v>0</v>
      </c>
      <c r="N65" s="1">
        <f>MIN($H65)</f>
        <v>0</v>
      </c>
      <c r="O65" s="1">
        <f>MEDIAN($B65)</f>
        <v>0</v>
      </c>
      <c r="P65" s="1">
        <f>MEDIAN($C65)</f>
        <v>0</v>
      </c>
      <c r="Q65" s="1">
        <f>MEDIAN($D65)</f>
        <v>0</v>
      </c>
      <c r="R65" s="1">
        <f>MEDIAN($E65)</f>
        <v>0</v>
      </c>
      <c r="S65" s="1">
        <f>MEDIAN($G65)</f>
        <v>0</v>
      </c>
      <c r="T65" s="1">
        <f>MEDIAN($H65)</f>
        <v>0</v>
      </c>
      <c r="U65" s="1">
        <f>MAX($B65)</f>
        <v>0</v>
      </c>
      <c r="V65" s="1">
        <f>MAX($C65)</f>
        <v>0</v>
      </c>
      <c r="W65" s="1">
        <f>MAX($D65)</f>
        <v>0</v>
      </c>
      <c r="X65" s="1">
        <f>MAX($E65)</f>
        <v>0</v>
      </c>
      <c r="Y65" s="1">
        <f>MAX($G65)</f>
        <v>0</v>
      </c>
      <c r="Z65" s="1">
        <f>MAX($H65)</f>
        <v>0</v>
      </c>
    </row>
    <row r="66" spans="1:26">
      <c r="A66" s="1" t="s">
        <v>63</v>
      </c>
      <c r="B66" s="1">
        <v>1</v>
      </c>
      <c r="C66" s="1">
        <v>0</v>
      </c>
      <c r="D66" s="1">
        <v>0</v>
      </c>
      <c r="E66" s="1">
        <v>3000</v>
      </c>
      <c r="F66" s="1" t="s">
        <v>374</v>
      </c>
      <c r="G66" s="1">
        <v>1500</v>
      </c>
      <c r="H66" s="1">
        <v>1</v>
      </c>
      <c r="I66" s="1">
        <f>MIN($B66)</f>
        <v>0</v>
      </c>
      <c r="J66" s="1">
        <f>MIN($C66)</f>
        <v>0</v>
      </c>
      <c r="K66" s="1">
        <f>MIN($D66)</f>
        <v>0</v>
      </c>
      <c r="L66" s="1">
        <f>MIN($E66)</f>
        <v>0</v>
      </c>
      <c r="M66" s="1">
        <f>MIN($G66)</f>
        <v>0</v>
      </c>
      <c r="N66" s="1">
        <f>MIN($H66)</f>
        <v>0</v>
      </c>
      <c r="O66" s="1">
        <f>MEDIAN($B66)</f>
        <v>0</v>
      </c>
      <c r="P66" s="1">
        <f>MEDIAN($C66)</f>
        <v>0</v>
      </c>
      <c r="Q66" s="1">
        <f>MEDIAN($D66)</f>
        <v>0</v>
      </c>
      <c r="R66" s="1">
        <f>MEDIAN($E66)</f>
        <v>0</v>
      </c>
      <c r="S66" s="1">
        <f>MEDIAN($G66)</f>
        <v>0</v>
      </c>
      <c r="T66" s="1">
        <f>MEDIAN($H66)</f>
        <v>0</v>
      </c>
      <c r="U66" s="1">
        <f>MAX($B66)</f>
        <v>0</v>
      </c>
      <c r="V66" s="1">
        <f>MAX($C66)</f>
        <v>0</v>
      </c>
      <c r="W66" s="1">
        <f>MAX($D66)</f>
        <v>0</v>
      </c>
      <c r="X66" s="1">
        <f>MAX($E66)</f>
        <v>0</v>
      </c>
      <c r="Y66" s="1">
        <f>MAX($G66)</f>
        <v>0</v>
      </c>
      <c r="Z66" s="1">
        <f>MAX($H66)</f>
        <v>0</v>
      </c>
    </row>
    <row r="67" spans="1:26">
      <c r="A67" s="1" t="s">
        <v>64</v>
      </c>
      <c r="B67" s="1">
        <v>1</v>
      </c>
      <c r="C67" s="1">
        <v>0</v>
      </c>
      <c r="D67" s="1">
        <v>0</v>
      </c>
      <c r="E67" s="1">
        <v>3000</v>
      </c>
      <c r="F67" s="1" t="s">
        <v>374</v>
      </c>
      <c r="G67" s="1">
        <v>1500</v>
      </c>
      <c r="H67" s="1">
        <v>1</v>
      </c>
      <c r="I67" s="1">
        <f>MIN($B67)</f>
        <v>0</v>
      </c>
      <c r="J67" s="1">
        <f>MIN($C67)</f>
        <v>0</v>
      </c>
      <c r="K67" s="1">
        <f>MIN($D67)</f>
        <v>0</v>
      </c>
      <c r="L67" s="1">
        <f>MIN($E67)</f>
        <v>0</v>
      </c>
      <c r="M67" s="1">
        <f>MIN($G67)</f>
        <v>0</v>
      </c>
      <c r="N67" s="1">
        <f>MIN($H67)</f>
        <v>0</v>
      </c>
      <c r="O67" s="1">
        <f>MEDIAN($B67)</f>
        <v>0</v>
      </c>
      <c r="P67" s="1">
        <f>MEDIAN($C67)</f>
        <v>0</v>
      </c>
      <c r="Q67" s="1">
        <f>MEDIAN($D67)</f>
        <v>0</v>
      </c>
      <c r="R67" s="1">
        <f>MEDIAN($E67)</f>
        <v>0</v>
      </c>
      <c r="S67" s="1">
        <f>MEDIAN($G67)</f>
        <v>0</v>
      </c>
      <c r="T67" s="1">
        <f>MEDIAN($H67)</f>
        <v>0</v>
      </c>
      <c r="U67" s="1">
        <f>MAX($B67)</f>
        <v>0</v>
      </c>
      <c r="V67" s="1">
        <f>MAX($C67)</f>
        <v>0</v>
      </c>
      <c r="W67" s="1">
        <f>MAX($D67)</f>
        <v>0</v>
      </c>
      <c r="X67" s="1">
        <f>MAX($E67)</f>
        <v>0</v>
      </c>
      <c r="Y67" s="1">
        <f>MAX($G67)</f>
        <v>0</v>
      </c>
      <c r="Z67" s="1">
        <f>MAX($H67)</f>
        <v>0</v>
      </c>
    </row>
    <row r="68" spans="1:26">
      <c r="A68" s="1" t="s">
        <v>65</v>
      </c>
      <c r="B68" s="1">
        <v>1</v>
      </c>
      <c r="C68" s="1">
        <v>0</v>
      </c>
      <c r="D68" s="1">
        <v>0</v>
      </c>
      <c r="E68" s="1">
        <v>3000</v>
      </c>
      <c r="F68" s="1" t="s">
        <v>374</v>
      </c>
      <c r="G68" s="1">
        <v>1500</v>
      </c>
      <c r="H68" s="1">
        <v>1</v>
      </c>
      <c r="I68" s="1">
        <f>MIN($B68)</f>
        <v>0</v>
      </c>
      <c r="J68" s="1">
        <f>MIN($C68)</f>
        <v>0</v>
      </c>
      <c r="K68" s="1">
        <f>MIN($D68)</f>
        <v>0</v>
      </c>
      <c r="L68" s="1">
        <f>MIN($E68)</f>
        <v>0</v>
      </c>
      <c r="M68" s="1">
        <f>MIN($G68)</f>
        <v>0</v>
      </c>
      <c r="N68" s="1">
        <f>MIN($H68)</f>
        <v>0</v>
      </c>
      <c r="O68" s="1">
        <f>MEDIAN($B68)</f>
        <v>0</v>
      </c>
      <c r="P68" s="1">
        <f>MEDIAN($C68)</f>
        <v>0</v>
      </c>
      <c r="Q68" s="1">
        <f>MEDIAN($D68)</f>
        <v>0</v>
      </c>
      <c r="R68" s="1">
        <f>MEDIAN($E68)</f>
        <v>0</v>
      </c>
      <c r="S68" s="1">
        <f>MEDIAN($G68)</f>
        <v>0</v>
      </c>
      <c r="T68" s="1">
        <f>MEDIAN($H68)</f>
        <v>0</v>
      </c>
      <c r="U68" s="1">
        <f>MAX($B68)</f>
        <v>0</v>
      </c>
      <c r="V68" s="1">
        <f>MAX($C68)</f>
        <v>0</v>
      </c>
      <c r="W68" s="1">
        <f>MAX($D68)</f>
        <v>0</v>
      </c>
      <c r="X68" s="1">
        <f>MAX($E68)</f>
        <v>0</v>
      </c>
      <c r="Y68" s="1">
        <f>MAX($G68)</f>
        <v>0</v>
      </c>
      <c r="Z68" s="1">
        <f>MAX($H68)</f>
        <v>0</v>
      </c>
    </row>
    <row r="69" spans="1:26">
      <c r="A69" s="1" t="s">
        <v>66</v>
      </c>
      <c r="B69" s="1">
        <v>1</v>
      </c>
      <c r="C69" s="1">
        <v>0</v>
      </c>
      <c r="D69" s="1">
        <v>0</v>
      </c>
      <c r="E69" s="1">
        <v>3000</v>
      </c>
      <c r="F69" s="1" t="s">
        <v>374</v>
      </c>
      <c r="G69" s="1">
        <v>1500</v>
      </c>
      <c r="H69" s="1">
        <v>1</v>
      </c>
      <c r="I69" s="1">
        <f>MIN($B69)</f>
        <v>0</v>
      </c>
      <c r="J69" s="1">
        <f>MIN($C69)</f>
        <v>0</v>
      </c>
      <c r="K69" s="1">
        <f>MIN($D69)</f>
        <v>0</v>
      </c>
      <c r="L69" s="1">
        <f>MIN($E69)</f>
        <v>0</v>
      </c>
      <c r="M69" s="1">
        <f>MIN($G69)</f>
        <v>0</v>
      </c>
      <c r="N69" s="1">
        <f>MIN($H69)</f>
        <v>0</v>
      </c>
      <c r="O69" s="1">
        <f>MEDIAN($B69)</f>
        <v>0</v>
      </c>
      <c r="P69" s="1">
        <f>MEDIAN($C69)</f>
        <v>0</v>
      </c>
      <c r="Q69" s="1">
        <f>MEDIAN($D69)</f>
        <v>0</v>
      </c>
      <c r="R69" s="1">
        <f>MEDIAN($E69)</f>
        <v>0</v>
      </c>
      <c r="S69" s="1">
        <f>MEDIAN($G69)</f>
        <v>0</v>
      </c>
      <c r="T69" s="1">
        <f>MEDIAN($H69)</f>
        <v>0</v>
      </c>
      <c r="U69" s="1">
        <f>MAX($B69)</f>
        <v>0</v>
      </c>
      <c r="V69" s="1">
        <f>MAX($C69)</f>
        <v>0</v>
      </c>
      <c r="W69" s="1">
        <f>MAX($D69)</f>
        <v>0</v>
      </c>
      <c r="X69" s="1">
        <f>MAX($E69)</f>
        <v>0</v>
      </c>
      <c r="Y69" s="1">
        <f>MAX($G69)</f>
        <v>0</v>
      </c>
      <c r="Z69" s="1">
        <f>MAX($H69)</f>
        <v>0</v>
      </c>
    </row>
    <row r="70" spans="1:26">
      <c r="A70" s="1" t="s">
        <v>67</v>
      </c>
      <c r="B70" s="1">
        <v>1</v>
      </c>
      <c r="C70" s="1">
        <v>0</v>
      </c>
      <c r="D70" s="1">
        <v>0</v>
      </c>
      <c r="E70" s="1">
        <v>3000</v>
      </c>
      <c r="F70" s="1" t="s">
        <v>374</v>
      </c>
      <c r="G70" s="1">
        <v>1500</v>
      </c>
      <c r="H70" s="1">
        <v>1</v>
      </c>
      <c r="I70" s="1">
        <f>MIN($B70)</f>
        <v>0</v>
      </c>
      <c r="J70" s="1">
        <f>MIN($C70)</f>
        <v>0</v>
      </c>
      <c r="K70" s="1">
        <f>MIN($D70)</f>
        <v>0</v>
      </c>
      <c r="L70" s="1">
        <f>MIN($E70)</f>
        <v>0</v>
      </c>
      <c r="M70" s="1">
        <f>MIN($G70)</f>
        <v>0</v>
      </c>
      <c r="N70" s="1">
        <f>MIN($H70)</f>
        <v>0</v>
      </c>
      <c r="O70" s="1">
        <f>MEDIAN($B70)</f>
        <v>0</v>
      </c>
      <c r="P70" s="1">
        <f>MEDIAN($C70)</f>
        <v>0</v>
      </c>
      <c r="Q70" s="1">
        <f>MEDIAN($D70)</f>
        <v>0</v>
      </c>
      <c r="R70" s="1">
        <f>MEDIAN($E70)</f>
        <v>0</v>
      </c>
      <c r="S70" s="1">
        <f>MEDIAN($G70)</f>
        <v>0</v>
      </c>
      <c r="T70" s="1">
        <f>MEDIAN($H70)</f>
        <v>0</v>
      </c>
      <c r="U70" s="1">
        <f>MAX($B70)</f>
        <v>0</v>
      </c>
      <c r="V70" s="1">
        <f>MAX($C70)</f>
        <v>0</v>
      </c>
      <c r="W70" s="1">
        <f>MAX($D70)</f>
        <v>0</v>
      </c>
      <c r="X70" s="1">
        <f>MAX($E70)</f>
        <v>0</v>
      </c>
      <c r="Y70" s="1">
        <f>MAX($G70)</f>
        <v>0</v>
      </c>
      <c r="Z70" s="1">
        <f>MAX($H70)</f>
        <v>0</v>
      </c>
    </row>
    <row r="71" spans="1:26">
      <c r="A71" s="1" t="s">
        <v>68</v>
      </c>
      <c r="B71" s="1">
        <v>1</v>
      </c>
      <c r="C71" s="1">
        <v>0</v>
      </c>
      <c r="D71" s="1">
        <v>0</v>
      </c>
      <c r="E71" s="1">
        <v>3000</v>
      </c>
      <c r="F71" s="1" t="s">
        <v>374</v>
      </c>
      <c r="G71" s="1">
        <v>1500</v>
      </c>
      <c r="H71" s="1">
        <v>1</v>
      </c>
      <c r="I71" s="1">
        <f>MIN($B71)</f>
        <v>0</v>
      </c>
      <c r="J71" s="1">
        <f>MIN($C71)</f>
        <v>0</v>
      </c>
      <c r="K71" s="1">
        <f>MIN($D71)</f>
        <v>0</v>
      </c>
      <c r="L71" s="1">
        <f>MIN($E71)</f>
        <v>0</v>
      </c>
      <c r="M71" s="1">
        <f>MIN($G71)</f>
        <v>0</v>
      </c>
      <c r="N71" s="1">
        <f>MIN($H71)</f>
        <v>0</v>
      </c>
      <c r="O71" s="1">
        <f>MEDIAN($B71)</f>
        <v>0</v>
      </c>
      <c r="P71" s="1">
        <f>MEDIAN($C71)</f>
        <v>0</v>
      </c>
      <c r="Q71" s="1">
        <f>MEDIAN($D71)</f>
        <v>0</v>
      </c>
      <c r="R71" s="1">
        <f>MEDIAN($E71)</f>
        <v>0</v>
      </c>
      <c r="S71" s="1">
        <f>MEDIAN($G71)</f>
        <v>0</v>
      </c>
      <c r="T71" s="1">
        <f>MEDIAN($H71)</f>
        <v>0</v>
      </c>
      <c r="U71" s="1">
        <f>MAX($B71)</f>
        <v>0</v>
      </c>
      <c r="V71" s="1">
        <f>MAX($C71)</f>
        <v>0</v>
      </c>
      <c r="W71" s="1">
        <f>MAX($D71)</f>
        <v>0</v>
      </c>
      <c r="X71" s="1">
        <f>MAX($E71)</f>
        <v>0</v>
      </c>
      <c r="Y71" s="1">
        <f>MAX($G71)</f>
        <v>0</v>
      </c>
      <c r="Z71" s="1">
        <f>MAX($H71)</f>
        <v>0</v>
      </c>
    </row>
    <row r="72" spans="1:26">
      <c r="A72" s="1" t="s">
        <v>69</v>
      </c>
      <c r="B72" s="1">
        <v>1</v>
      </c>
      <c r="C72" s="1">
        <v>0</v>
      </c>
      <c r="D72" s="1">
        <v>0</v>
      </c>
      <c r="E72" s="1">
        <v>3000</v>
      </c>
      <c r="F72" s="1" t="s">
        <v>374</v>
      </c>
      <c r="G72" s="1">
        <v>1500</v>
      </c>
      <c r="H72" s="1">
        <v>1</v>
      </c>
      <c r="I72" s="1">
        <f>MIN($B72)</f>
        <v>0</v>
      </c>
      <c r="J72" s="1">
        <f>MIN($C72)</f>
        <v>0</v>
      </c>
      <c r="K72" s="1">
        <f>MIN($D72)</f>
        <v>0</v>
      </c>
      <c r="L72" s="1">
        <f>MIN($E72)</f>
        <v>0</v>
      </c>
      <c r="M72" s="1">
        <f>MIN($G72)</f>
        <v>0</v>
      </c>
      <c r="N72" s="1">
        <f>MIN($H72)</f>
        <v>0</v>
      </c>
      <c r="O72" s="1">
        <f>MEDIAN($B72)</f>
        <v>0</v>
      </c>
      <c r="P72" s="1">
        <f>MEDIAN($C72)</f>
        <v>0</v>
      </c>
      <c r="Q72" s="1">
        <f>MEDIAN($D72)</f>
        <v>0</v>
      </c>
      <c r="R72" s="1">
        <f>MEDIAN($E72)</f>
        <v>0</v>
      </c>
      <c r="S72" s="1">
        <f>MEDIAN($G72)</f>
        <v>0</v>
      </c>
      <c r="T72" s="1">
        <f>MEDIAN($H72)</f>
        <v>0</v>
      </c>
      <c r="U72" s="1">
        <f>MAX($B72)</f>
        <v>0</v>
      </c>
      <c r="V72" s="1">
        <f>MAX($C72)</f>
        <v>0</v>
      </c>
      <c r="W72" s="1">
        <f>MAX($D72)</f>
        <v>0</v>
      </c>
      <c r="X72" s="1">
        <f>MAX($E72)</f>
        <v>0</v>
      </c>
      <c r="Y72" s="1">
        <f>MAX($G72)</f>
        <v>0</v>
      </c>
      <c r="Z72" s="1">
        <f>MAX($H72)</f>
        <v>0</v>
      </c>
    </row>
    <row r="73" spans="1:26">
      <c r="A73" s="1" t="s">
        <v>70</v>
      </c>
      <c r="B73" s="1">
        <v>1</v>
      </c>
      <c r="C73" s="1">
        <v>0</v>
      </c>
      <c r="D73" s="1">
        <v>0</v>
      </c>
      <c r="E73" s="1">
        <v>3000</v>
      </c>
      <c r="F73" s="1" t="s">
        <v>374</v>
      </c>
      <c r="G73" s="1">
        <v>1500</v>
      </c>
      <c r="H73" s="1">
        <v>1</v>
      </c>
      <c r="I73" s="1">
        <f>MIN($B73)</f>
        <v>0</v>
      </c>
      <c r="J73" s="1">
        <f>MIN($C73)</f>
        <v>0</v>
      </c>
      <c r="K73" s="1">
        <f>MIN($D73)</f>
        <v>0</v>
      </c>
      <c r="L73" s="1">
        <f>MIN($E73)</f>
        <v>0</v>
      </c>
      <c r="M73" s="1">
        <f>MIN($G73)</f>
        <v>0</v>
      </c>
      <c r="N73" s="1">
        <f>MIN($H73)</f>
        <v>0</v>
      </c>
      <c r="O73" s="1">
        <f>MEDIAN($B73)</f>
        <v>0</v>
      </c>
      <c r="P73" s="1">
        <f>MEDIAN($C73)</f>
        <v>0</v>
      </c>
      <c r="Q73" s="1">
        <f>MEDIAN($D73)</f>
        <v>0</v>
      </c>
      <c r="R73" s="1">
        <f>MEDIAN($E73)</f>
        <v>0</v>
      </c>
      <c r="S73" s="1">
        <f>MEDIAN($G73)</f>
        <v>0</v>
      </c>
      <c r="T73" s="1">
        <f>MEDIAN($H73)</f>
        <v>0</v>
      </c>
      <c r="U73" s="1">
        <f>MAX($B73)</f>
        <v>0</v>
      </c>
      <c r="V73" s="1">
        <f>MAX($C73)</f>
        <v>0</v>
      </c>
      <c r="W73" s="1">
        <f>MAX($D73)</f>
        <v>0</v>
      </c>
      <c r="X73" s="1">
        <f>MAX($E73)</f>
        <v>0</v>
      </c>
      <c r="Y73" s="1">
        <f>MAX($G73)</f>
        <v>0</v>
      </c>
      <c r="Z73" s="1">
        <f>MAX($H73)</f>
        <v>0</v>
      </c>
    </row>
    <row r="74" spans="1:26">
      <c r="A74" s="1" t="s">
        <v>71</v>
      </c>
      <c r="B74" s="1">
        <v>1</v>
      </c>
      <c r="C74" s="1">
        <v>0</v>
      </c>
      <c r="D74" s="1">
        <v>0</v>
      </c>
      <c r="E74" s="1">
        <v>3000</v>
      </c>
      <c r="F74" s="1" t="s">
        <v>374</v>
      </c>
      <c r="G74" s="1">
        <v>1500</v>
      </c>
      <c r="H74" s="1">
        <v>1</v>
      </c>
      <c r="I74" s="1">
        <f>MIN($B74)</f>
        <v>0</v>
      </c>
      <c r="J74" s="1">
        <f>MIN($C74)</f>
        <v>0</v>
      </c>
      <c r="K74" s="1">
        <f>MIN($D74)</f>
        <v>0</v>
      </c>
      <c r="L74" s="1">
        <f>MIN($E74)</f>
        <v>0</v>
      </c>
      <c r="M74" s="1">
        <f>MIN($G74)</f>
        <v>0</v>
      </c>
      <c r="N74" s="1">
        <f>MIN($H74)</f>
        <v>0</v>
      </c>
      <c r="O74" s="1">
        <f>MEDIAN($B74)</f>
        <v>0</v>
      </c>
      <c r="P74" s="1">
        <f>MEDIAN($C74)</f>
        <v>0</v>
      </c>
      <c r="Q74" s="1">
        <f>MEDIAN($D74)</f>
        <v>0</v>
      </c>
      <c r="R74" s="1">
        <f>MEDIAN($E74)</f>
        <v>0</v>
      </c>
      <c r="S74" s="1">
        <f>MEDIAN($G74)</f>
        <v>0</v>
      </c>
      <c r="T74" s="1">
        <f>MEDIAN($H74)</f>
        <v>0</v>
      </c>
      <c r="U74" s="1">
        <f>MAX($B74)</f>
        <v>0</v>
      </c>
      <c r="V74" s="1">
        <f>MAX($C74)</f>
        <v>0</v>
      </c>
      <c r="W74" s="1">
        <f>MAX($D74)</f>
        <v>0</v>
      </c>
      <c r="X74" s="1">
        <f>MAX($E74)</f>
        <v>0</v>
      </c>
      <c r="Y74" s="1">
        <f>MAX($G74)</f>
        <v>0</v>
      </c>
      <c r="Z74" s="1">
        <f>MAX($H74)</f>
        <v>0</v>
      </c>
    </row>
    <row r="75" spans="1:26">
      <c r="A75" s="1" t="s">
        <v>72</v>
      </c>
      <c r="B75" s="1">
        <v>1</v>
      </c>
      <c r="C75" s="1">
        <v>0</v>
      </c>
      <c r="D75" s="1">
        <v>0</v>
      </c>
      <c r="E75" s="1">
        <v>3000</v>
      </c>
      <c r="F75" s="1" t="s">
        <v>374</v>
      </c>
      <c r="G75" s="1">
        <v>1500</v>
      </c>
      <c r="H75" s="1">
        <v>1</v>
      </c>
      <c r="I75" s="1">
        <f>MIN($B75)</f>
        <v>0</v>
      </c>
      <c r="J75" s="1">
        <f>MIN($C75)</f>
        <v>0</v>
      </c>
      <c r="K75" s="1">
        <f>MIN($D75)</f>
        <v>0</v>
      </c>
      <c r="L75" s="1">
        <f>MIN($E75)</f>
        <v>0</v>
      </c>
      <c r="M75" s="1">
        <f>MIN($G75)</f>
        <v>0</v>
      </c>
      <c r="N75" s="1">
        <f>MIN($H75)</f>
        <v>0</v>
      </c>
      <c r="O75" s="1">
        <f>MEDIAN($B75)</f>
        <v>0</v>
      </c>
      <c r="P75" s="1">
        <f>MEDIAN($C75)</f>
        <v>0</v>
      </c>
      <c r="Q75" s="1">
        <f>MEDIAN($D75)</f>
        <v>0</v>
      </c>
      <c r="R75" s="1">
        <f>MEDIAN($E75)</f>
        <v>0</v>
      </c>
      <c r="S75" s="1">
        <f>MEDIAN($G75)</f>
        <v>0</v>
      </c>
      <c r="T75" s="1">
        <f>MEDIAN($H75)</f>
        <v>0</v>
      </c>
      <c r="U75" s="1">
        <f>MAX($B75)</f>
        <v>0</v>
      </c>
      <c r="V75" s="1">
        <f>MAX($C75)</f>
        <v>0</v>
      </c>
      <c r="W75" s="1">
        <f>MAX($D75)</f>
        <v>0</v>
      </c>
      <c r="X75" s="1">
        <f>MAX($E75)</f>
        <v>0</v>
      </c>
      <c r="Y75" s="1">
        <f>MAX($G75)</f>
        <v>0</v>
      </c>
      <c r="Z75" s="1">
        <f>MAX($H75)</f>
        <v>0</v>
      </c>
    </row>
    <row r="76" spans="1:26">
      <c r="A76" s="1" t="s">
        <v>73</v>
      </c>
      <c r="B76" s="1">
        <v>1</v>
      </c>
      <c r="C76" s="1">
        <v>0</v>
      </c>
      <c r="D76" s="1">
        <v>0</v>
      </c>
      <c r="E76" s="1">
        <v>3000</v>
      </c>
      <c r="F76" s="1" t="s">
        <v>374</v>
      </c>
      <c r="G76" s="1">
        <v>1500</v>
      </c>
      <c r="H76" s="1">
        <v>1</v>
      </c>
      <c r="I76" s="1">
        <f>MIN($B76)</f>
        <v>0</v>
      </c>
      <c r="J76" s="1">
        <f>MIN($C76)</f>
        <v>0</v>
      </c>
      <c r="K76" s="1">
        <f>MIN($D76)</f>
        <v>0</v>
      </c>
      <c r="L76" s="1">
        <f>MIN($E76)</f>
        <v>0</v>
      </c>
      <c r="M76" s="1">
        <f>MIN($G76)</f>
        <v>0</v>
      </c>
      <c r="N76" s="1">
        <f>MIN($H76)</f>
        <v>0</v>
      </c>
      <c r="O76" s="1">
        <f>MEDIAN($B76)</f>
        <v>0</v>
      </c>
      <c r="P76" s="1">
        <f>MEDIAN($C76)</f>
        <v>0</v>
      </c>
      <c r="Q76" s="1">
        <f>MEDIAN($D76)</f>
        <v>0</v>
      </c>
      <c r="R76" s="1">
        <f>MEDIAN($E76)</f>
        <v>0</v>
      </c>
      <c r="S76" s="1">
        <f>MEDIAN($G76)</f>
        <v>0</v>
      </c>
      <c r="T76" s="1">
        <f>MEDIAN($H76)</f>
        <v>0</v>
      </c>
      <c r="U76" s="1">
        <f>MAX($B76)</f>
        <v>0</v>
      </c>
      <c r="V76" s="1">
        <f>MAX($C76)</f>
        <v>0</v>
      </c>
      <c r="W76" s="1">
        <f>MAX($D76)</f>
        <v>0</v>
      </c>
      <c r="X76" s="1">
        <f>MAX($E76)</f>
        <v>0</v>
      </c>
      <c r="Y76" s="1">
        <f>MAX($G76)</f>
        <v>0</v>
      </c>
      <c r="Z76" s="1">
        <f>MAX($H76)</f>
        <v>0</v>
      </c>
    </row>
    <row r="77" spans="1:26">
      <c r="A77" s="1" t="s">
        <v>74</v>
      </c>
      <c r="B77" s="1">
        <v>1</v>
      </c>
      <c r="C77" s="1">
        <v>0</v>
      </c>
      <c r="D77" s="1">
        <v>0</v>
      </c>
      <c r="E77" s="1">
        <v>3000</v>
      </c>
      <c r="F77" s="1" t="s">
        <v>374</v>
      </c>
      <c r="G77" s="1">
        <v>1500</v>
      </c>
      <c r="H77" s="1">
        <v>1</v>
      </c>
      <c r="I77" s="1">
        <f>MIN($B77)</f>
        <v>0</v>
      </c>
      <c r="J77" s="1">
        <f>MIN($C77)</f>
        <v>0</v>
      </c>
      <c r="K77" s="1">
        <f>MIN($D77)</f>
        <v>0</v>
      </c>
      <c r="L77" s="1">
        <f>MIN($E77)</f>
        <v>0</v>
      </c>
      <c r="M77" s="1">
        <f>MIN($G77)</f>
        <v>0</v>
      </c>
      <c r="N77" s="1">
        <f>MIN($H77)</f>
        <v>0</v>
      </c>
      <c r="O77" s="1">
        <f>MEDIAN($B77)</f>
        <v>0</v>
      </c>
      <c r="P77" s="1">
        <f>MEDIAN($C77)</f>
        <v>0</v>
      </c>
      <c r="Q77" s="1">
        <f>MEDIAN($D77)</f>
        <v>0</v>
      </c>
      <c r="R77" s="1">
        <f>MEDIAN($E77)</f>
        <v>0</v>
      </c>
      <c r="S77" s="1">
        <f>MEDIAN($G77)</f>
        <v>0</v>
      </c>
      <c r="T77" s="1">
        <f>MEDIAN($H77)</f>
        <v>0</v>
      </c>
      <c r="U77" s="1">
        <f>MAX($B77)</f>
        <v>0</v>
      </c>
      <c r="V77" s="1">
        <f>MAX($C77)</f>
        <v>0</v>
      </c>
      <c r="W77" s="1">
        <f>MAX($D77)</f>
        <v>0</v>
      </c>
      <c r="X77" s="1">
        <f>MAX($E77)</f>
        <v>0</v>
      </c>
      <c r="Y77" s="1">
        <f>MAX($G77)</f>
        <v>0</v>
      </c>
      <c r="Z77" s="1">
        <f>MAX($H77)</f>
        <v>0</v>
      </c>
    </row>
    <row r="78" spans="1:26">
      <c r="A78" s="1" t="s">
        <v>75</v>
      </c>
      <c r="B78" s="1">
        <v>1</v>
      </c>
      <c r="C78" s="1">
        <v>0</v>
      </c>
      <c r="D78" s="1">
        <v>0</v>
      </c>
      <c r="E78" s="1">
        <v>3000</v>
      </c>
      <c r="F78" s="1" t="s">
        <v>374</v>
      </c>
      <c r="G78" s="1">
        <v>1500</v>
      </c>
      <c r="H78" s="1">
        <v>1</v>
      </c>
      <c r="I78" s="1">
        <f>MIN($B78)</f>
        <v>0</v>
      </c>
      <c r="J78" s="1">
        <f>MIN($C78)</f>
        <v>0</v>
      </c>
      <c r="K78" s="1">
        <f>MIN($D78)</f>
        <v>0</v>
      </c>
      <c r="L78" s="1">
        <f>MIN($E78)</f>
        <v>0</v>
      </c>
      <c r="M78" s="1">
        <f>MIN($G78)</f>
        <v>0</v>
      </c>
      <c r="N78" s="1">
        <f>MIN($H78)</f>
        <v>0</v>
      </c>
      <c r="O78" s="1">
        <f>MEDIAN($B78)</f>
        <v>0</v>
      </c>
      <c r="P78" s="1">
        <f>MEDIAN($C78)</f>
        <v>0</v>
      </c>
      <c r="Q78" s="1">
        <f>MEDIAN($D78)</f>
        <v>0</v>
      </c>
      <c r="R78" s="1">
        <f>MEDIAN($E78)</f>
        <v>0</v>
      </c>
      <c r="S78" s="1">
        <f>MEDIAN($G78)</f>
        <v>0</v>
      </c>
      <c r="T78" s="1">
        <f>MEDIAN($H78)</f>
        <v>0</v>
      </c>
      <c r="U78" s="1">
        <f>MAX($B78)</f>
        <v>0</v>
      </c>
      <c r="V78" s="1">
        <f>MAX($C78)</f>
        <v>0</v>
      </c>
      <c r="W78" s="1">
        <f>MAX($D78)</f>
        <v>0</v>
      </c>
      <c r="X78" s="1">
        <f>MAX($E78)</f>
        <v>0</v>
      </c>
      <c r="Y78" s="1">
        <f>MAX($G78)</f>
        <v>0</v>
      </c>
      <c r="Z78" s="1">
        <f>MAX($H78)</f>
        <v>0</v>
      </c>
    </row>
    <row r="79" spans="1:26">
      <c r="A79" s="1" t="s">
        <v>76</v>
      </c>
      <c r="B79" s="1">
        <v>1</v>
      </c>
      <c r="C79" s="1">
        <v>0</v>
      </c>
      <c r="D79" s="1">
        <v>0</v>
      </c>
      <c r="E79" s="1">
        <v>3000</v>
      </c>
      <c r="F79" s="1" t="s">
        <v>374</v>
      </c>
      <c r="G79" s="1">
        <v>1500</v>
      </c>
      <c r="H79" s="1">
        <v>1</v>
      </c>
      <c r="I79" s="1">
        <f>MIN($B79)</f>
        <v>0</v>
      </c>
      <c r="J79" s="1">
        <f>MIN($C79)</f>
        <v>0</v>
      </c>
      <c r="K79" s="1">
        <f>MIN($D79)</f>
        <v>0</v>
      </c>
      <c r="L79" s="1">
        <f>MIN($E79)</f>
        <v>0</v>
      </c>
      <c r="M79" s="1">
        <f>MIN($G79)</f>
        <v>0</v>
      </c>
      <c r="N79" s="1">
        <f>MIN($H79)</f>
        <v>0</v>
      </c>
      <c r="O79" s="1">
        <f>MEDIAN($B79)</f>
        <v>0</v>
      </c>
      <c r="P79" s="1">
        <f>MEDIAN($C79)</f>
        <v>0</v>
      </c>
      <c r="Q79" s="1">
        <f>MEDIAN($D79)</f>
        <v>0</v>
      </c>
      <c r="R79" s="1">
        <f>MEDIAN($E79)</f>
        <v>0</v>
      </c>
      <c r="S79" s="1">
        <f>MEDIAN($G79)</f>
        <v>0</v>
      </c>
      <c r="T79" s="1">
        <f>MEDIAN($H79)</f>
        <v>0</v>
      </c>
      <c r="U79" s="1">
        <f>MAX($B79)</f>
        <v>0</v>
      </c>
      <c r="V79" s="1">
        <f>MAX($C79)</f>
        <v>0</v>
      </c>
      <c r="W79" s="1">
        <f>MAX($D79)</f>
        <v>0</v>
      </c>
      <c r="X79" s="1">
        <f>MAX($E79)</f>
        <v>0</v>
      </c>
      <c r="Y79" s="1">
        <f>MAX($G79)</f>
        <v>0</v>
      </c>
      <c r="Z79" s="1">
        <f>MAX($H79)</f>
        <v>0</v>
      </c>
    </row>
    <row r="80" spans="1:26">
      <c r="A80" s="1" t="s">
        <v>77</v>
      </c>
      <c r="B80" s="1">
        <v>1</v>
      </c>
      <c r="C80" s="1">
        <v>0</v>
      </c>
      <c r="D80" s="1">
        <v>0</v>
      </c>
      <c r="E80" s="1">
        <v>3000</v>
      </c>
      <c r="F80" s="1" t="s">
        <v>374</v>
      </c>
      <c r="G80" s="1">
        <v>1500</v>
      </c>
      <c r="H80" s="1">
        <v>1</v>
      </c>
      <c r="I80" s="1">
        <f>MIN($B80)</f>
        <v>0</v>
      </c>
      <c r="J80" s="1">
        <f>MIN($C80)</f>
        <v>0</v>
      </c>
      <c r="K80" s="1">
        <f>MIN($D80)</f>
        <v>0</v>
      </c>
      <c r="L80" s="1">
        <f>MIN($E80)</f>
        <v>0</v>
      </c>
      <c r="M80" s="1">
        <f>MIN($G80)</f>
        <v>0</v>
      </c>
      <c r="N80" s="1">
        <f>MIN($H80)</f>
        <v>0</v>
      </c>
      <c r="O80" s="1">
        <f>MEDIAN($B80)</f>
        <v>0</v>
      </c>
      <c r="P80" s="1">
        <f>MEDIAN($C80)</f>
        <v>0</v>
      </c>
      <c r="Q80" s="1">
        <f>MEDIAN($D80)</f>
        <v>0</v>
      </c>
      <c r="R80" s="1">
        <f>MEDIAN($E80)</f>
        <v>0</v>
      </c>
      <c r="S80" s="1">
        <f>MEDIAN($G80)</f>
        <v>0</v>
      </c>
      <c r="T80" s="1">
        <f>MEDIAN($H80)</f>
        <v>0</v>
      </c>
      <c r="U80" s="1">
        <f>MAX($B80)</f>
        <v>0</v>
      </c>
      <c r="V80" s="1">
        <f>MAX($C80)</f>
        <v>0</v>
      </c>
      <c r="W80" s="1">
        <f>MAX($D80)</f>
        <v>0</v>
      </c>
      <c r="X80" s="1">
        <f>MAX($E80)</f>
        <v>0</v>
      </c>
      <c r="Y80" s="1">
        <f>MAX($G80)</f>
        <v>0</v>
      </c>
      <c r="Z80" s="1">
        <f>MAX($H80)</f>
        <v>0</v>
      </c>
    </row>
    <row r="81" spans="1:26">
      <c r="A81" s="1" t="s">
        <v>78</v>
      </c>
      <c r="B81" s="1">
        <v>1</v>
      </c>
      <c r="C81" s="1">
        <v>0</v>
      </c>
      <c r="D81" s="1">
        <v>0</v>
      </c>
      <c r="E81" s="1">
        <v>3000</v>
      </c>
      <c r="F81" s="1" t="s">
        <v>374</v>
      </c>
      <c r="G81" s="1">
        <v>1500</v>
      </c>
      <c r="H81" s="1">
        <v>1</v>
      </c>
      <c r="I81" s="1">
        <f>MIN($B81)</f>
        <v>0</v>
      </c>
      <c r="J81" s="1">
        <f>MIN($C81)</f>
        <v>0</v>
      </c>
      <c r="K81" s="1">
        <f>MIN($D81)</f>
        <v>0</v>
      </c>
      <c r="L81" s="1">
        <f>MIN($E81)</f>
        <v>0</v>
      </c>
      <c r="M81" s="1">
        <f>MIN($G81)</f>
        <v>0</v>
      </c>
      <c r="N81" s="1">
        <f>MIN($H81)</f>
        <v>0</v>
      </c>
      <c r="O81" s="1">
        <f>MEDIAN($B81)</f>
        <v>0</v>
      </c>
      <c r="P81" s="1">
        <f>MEDIAN($C81)</f>
        <v>0</v>
      </c>
      <c r="Q81" s="1">
        <f>MEDIAN($D81)</f>
        <v>0</v>
      </c>
      <c r="R81" s="1">
        <f>MEDIAN($E81)</f>
        <v>0</v>
      </c>
      <c r="S81" s="1">
        <f>MEDIAN($G81)</f>
        <v>0</v>
      </c>
      <c r="T81" s="1">
        <f>MEDIAN($H81)</f>
        <v>0</v>
      </c>
      <c r="U81" s="1">
        <f>MAX($B81)</f>
        <v>0</v>
      </c>
      <c r="V81" s="1">
        <f>MAX($C81)</f>
        <v>0</v>
      </c>
      <c r="W81" s="1">
        <f>MAX($D81)</f>
        <v>0</v>
      </c>
      <c r="X81" s="1">
        <f>MAX($E81)</f>
        <v>0</v>
      </c>
      <c r="Y81" s="1">
        <f>MAX($G81)</f>
        <v>0</v>
      </c>
      <c r="Z81" s="1">
        <f>MAX($H81)</f>
        <v>0</v>
      </c>
    </row>
    <row r="82" spans="1:26">
      <c r="A82" s="1" t="s">
        <v>79</v>
      </c>
      <c r="B82" s="1">
        <v>1</v>
      </c>
      <c r="C82" s="1">
        <v>0</v>
      </c>
      <c r="D82" s="1">
        <v>0</v>
      </c>
      <c r="E82" s="1">
        <v>3000</v>
      </c>
      <c r="F82" s="1" t="s">
        <v>374</v>
      </c>
      <c r="G82" s="1">
        <v>1500</v>
      </c>
      <c r="H82" s="1">
        <v>1</v>
      </c>
      <c r="I82" s="1">
        <f>MIN($B82)</f>
        <v>0</v>
      </c>
      <c r="J82" s="1">
        <f>MIN($C82)</f>
        <v>0</v>
      </c>
      <c r="K82" s="1">
        <f>MIN($D82)</f>
        <v>0</v>
      </c>
      <c r="L82" s="1">
        <f>MIN($E82)</f>
        <v>0</v>
      </c>
      <c r="M82" s="1">
        <f>MIN($G82)</f>
        <v>0</v>
      </c>
      <c r="N82" s="1">
        <f>MIN($H82)</f>
        <v>0</v>
      </c>
      <c r="O82" s="1">
        <f>MEDIAN($B82)</f>
        <v>0</v>
      </c>
      <c r="P82" s="1">
        <f>MEDIAN($C82)</f>
        <v>0</v>
      </c>
      <c r="Q82" s="1">
        <f>MEDIAN($D82)</f>
        <v>0</v>
      </c>
      <c r="R82" s="1">
        <f>MEDIAN($E82)</f>
        <v>0</v>
      </c>
      <c r="S82" s="1">
        <f>MEDIAN($G82)</f>
        <v>0</v>
      </c>
      <c r="T82" s="1">
        <f>MEDIAN($H82)</f>
        <v>0</v>
      </c>
      <c r="U82" s="1">
        <f>MAX($B82)</f>
        <v>0</v>
      </c>
      <c r="V82" s="1">
        <f>MAX($C82)</f>
        <v>0</v>
      </c>
      <c r="W82" s="1">
        <f>MAX($D82)</f>
        <v>0</v>
      </c>
      <c r="X82" s="1">
        <f>MAX($E82)</f>
        <v>0</v>
      </c>
      <c r="Y82" s="1">
        <f>MAX($G82)</f>
        <v>0</v>
      </c>
      <c r="Z82" s="1">
        <f>MAX($H82)</f>
        <v>0</v>
      </c>
    </row>
    <row r="83" spans="1:26">
      <c r="A83" s="1" t="s">
        <v>80</v>
      </c>
      <c r="B83" s="1">
        <v>1</v>
      </c>
      <c r="C83" s="1">
        <v>0</v>
      </c>
      <c r="D83" s="1">
        <v>0</v>
      </c>
      <c r="E83" s="1">
        <v>3000</v>
      </c>
      <c r="F83" s="1" t="s">
        <v>374</v>
      </c>
      <c r="G83" s="1">
        <v>1500</v>
      </c>
      <c r="H83" s="1">
        <v>1</v>
      </c>
      <c r="I83" s="1">
        <f>MIN($B83)</f>
        <v>0</v>
      </c>
      <c r="J83" s="1">
        <f>MIN($C83)</f>
        <v>0</v>
      </c>
      <c r="K83" s="1">
        <f>MIN($D83)</f>
        <v>0</v>
      </c>
      <c r="L83" s="1">
        <f>MIN($E83)</f>
        <v>0</v>
      </c>
      <c r="M83" s="1">
        <f>MIN($G83)</f>
        <v>0</v>
      </c>
      <c r="N83" s="1">
        <f>MIN($H83)</f>
        <v>0</v>
      </c>
      <c r="O83" s="1">
        <f>MEDIAN($B83)</f>
        <v>0</v>
      </c>
      <c r="P83" s="1">
        <f>MEDIAN($C83)</f>
        <v>0</v>
      </c>
      <c r="Q83" s="1">
        <f>MEDIAN($D83)</f>
        <v>0</v>
      </c>
      <c r="R83" s="1">
        <f>MEDIAN($E83)</f>
        <v>0</v>
      </c>
      <c r="S83" s="1">
        <f>MEDIAN($G83)</f>
        <v>0</v>
      </c>
      <c r="T83" s="1">
        <f>MEDIAN($H83)</f>
        <v>0</v>
      </c>
      <c r="U83" s="1">
        <f>MAX($B83)</f>
        <v>0</v>
      </c>
      <c r="V83" s="1">
        <f>MAX($C83)</f>
        <v>0</v>
      </c>
      <c r="W83" s="1">
        <f>MAX($D83)</f>
        <v>0</v>
      </c>
      <c r="X83" s="1">
        <f>MAX($E83)</f>
        <v>0</v>
      </c>
      <c r="Y83" s="1">
        <f>MAX($G83)</f>
        <v>0</v>
      </c>
      <c r="Z83" s="1">
        <f>MAX($H83)</f>
        <v>0</v>
      </c>
    </row>
    <row r="84" spans="1:26">
      <c r="A84" s="1" t="s">
        <v>81</v>
      </c>
      <c r="B84" s="1">
        <v>1</v>
      </c>
      <c r="C84" s="1">
        <v>0</v>
      </c>
      <c r="D84" s="1">
        <v>0</v>
      </c>
      <c r="E84" s="1">
        <v>3000</v>
      </c>
      <c r="F84" s="1" t="s">
        <v>374</v>
      </c>
      <c r="G84" s="1">
        <v>1500</v>
      </c>
      <c r="H84" s="1">
        <v>1</v>
      </c>
      <c r="I84" s="1">
        <f>MIN($B84)</f>
        <v>0</v>
      </c>
      <c r="J84" s="1">
        <f>MIN($C84)</f>
        <v>0</v>
      </c>
      <c r="K84" s="1">
        <f>MIN($D84)</f>
        <v>0</v>
      </c>
      <c r="L84" s="1">
        <f>MIN($E84)</f>
        <v>0</v>
      </c>
      <c r="M84" s="1">
        <f>MIN($G84)</f>
        <v>0</v>
      </c>
      <c r="N84" s="1">
        <f>MIN($H84)</f>
        <v>0</v>
      </c>
      <c r="O84" s="1">
        <f>MEDIAN($B84)</f>
        <v>0</v>
      </c>
      <c r="P84" s="1">
        <f>MEDIAN($C84)</f>
        <v>0</v>
      </c>
      <c r="Q84" s="1">
        <f>MEDIAN($D84)</f>
        <v>0</v>
      </c>
      <c r="R84" s="1">
        <f>MEDIAN($E84)</f>
        <v>0</v>
      </c>
      <c r="S84" s="1">
        <f>MEDIAN($G84)</f>
        <v>0</v>
      </c>
      <c r="T84" s="1">
        <f>MEDIAN($H84)</f>
        <v>0</v>
      </c>
      <c r="U84" s="1">
        <f>MAX($B84)</f>
        <v>0</v>
      </c>
      <c r="V84" s="1">
        <f>MAX($C84)</f>
        <v>0</v>
      </c>
      <c r="W84" s="1">
        <f>MAX($D84)</f>
        <v>0</v>
      </c>
      <c r="X84" s="1">
        <f>MAX($E84)</f>
        <v>0</v>
      </c>
      <c r="Y84" s="1">
        <f>MAX($G84)</f>
        <v>0</v>
      </c>
      <c r="Z84" s="1">
        <f>MAX($H84)</f>
        <v>0</v>
      </c>
    </row>
    <row r="85" spans="1:26">
      <c r="A85" s="1" t="s">
        <v>82</v>
      </c>
      <c r="B85" s="1">
        <v>1</v>
      </c>
      <c r="C85" s="1">
        <v>0</v>
      </c>
      <c r="D85" s="1">
        <v>0</v>
      </c>
      <c r="E85" s="1">
        <v>3000</v>
      </c>
      <c r="F85" s="1" t="s">
        <v>374</v>
      </c>
      <c r="G85" s="1">
        <v>1500</v>
      </c>
      <c r="H85" s="1">
        <v>1</v>
      </c>
      <c r="I85" s="1">
        <f>MIN($B85)</f>
        <v>0</v>
      </c>
      <c r="J85" s="1">
        <f>MIN($C85)</f>
        <v>0</v>
      </c>
      <c r="K85" s="1">
        <f>MIN($D85)</f>
        <v>0</v>
      </c>
      <c r="L85" s="1">
        <f>MIN($E85)</f>
        <v>0</v>
      </c>
      <c r="M85" s="1">
        <f>MIN($G85)</f>
        <v>0</v>
      </c>
      <c r="N85" s="1">
        <f>MIN($H85)</f>
        <v>0</v>
      </c>
      <c r="O85" s="1">
        <f>MEDIAN($B85)</f>
        <v>0</v>
      </c>
      <c r="P85" s="1">
        <f>MEDIAN($C85)</f>
        <v>0</v>
      </c>
      <c r="Q85" s="1">
        <f>MEDIAN($D85)</f>
        <v>0</v>
      </c>
      <c r="R85" s="1">
        <f>MEDIAN($E85)</f>
        <v>0</v>
      </c>
      <c r="S85" s="1">
        <f>MEDIAN($G85)</f>
        <v>0</v>
      </c>
      <c r="T85" s="1">
        <f>MEDIAN($H85)</f>
        <v>0</v>
      </c>
      <c r="U85" s="1">
        <f>MAX($B85)</f>
        <v>0</v>
      </c>
      <c r="V85" s="1">
        <f>MAX($C85)</f>
        <v>0</v>
      </c>
      <c r="W85" s="1">
        <f>MAX($D85)</f>
        <v>0</v>
      </c>
      <c r="X85" s="1">
        <f>MAX($E85)</f>
        <v>0</v>
      </c>
      <c r="Y85" s="1">
        <f>MAX($G85)</f>
        <v>0</v>
      </c>
      <c r="Z85" s="1">
        <f>MAX($H85)</f>
        <v>0</v>
      </c>
    </row>
    <row r="86" spans="1:26">
      <c r="A86" s="1" t="s">
        <v>83</v>
      </c>
      <c r="B86" s="1">
        <v>1</v>
      </c>
      <c r="C86" s="1">
        <v>0</v>
      </c>
      <c r="D86" s="1">
        <v>0</v>
      </c>
      <c r="E86" s="1">
        <v>3000</v>
      </c>
      <c r="F86" s="1" t="s">
        <v>374</v>
      </c>
      <c r="G86" s="1">
        <v>1500</v>
      </c>
      <c r="H86" s="1">
        <v>1</v>
      </c>
      <c r="I86" s="1">
        <f>MIN($B86)</f>
        <v>0</v>
      </c>
      <c r="J86" s="1">
        <f>MIN($C86)</f>
        <v>0</v>
      </c>
      <c r="K86" s="1">
        <f>MIN($D86)</f>
        <v>0</v>
      </c>
      <c r="L86" s="1">
        <f>MIN($E86)</f>
        <v>0</v>
      </c>
      <c r="M86" s="1">
        <f>MIN($G86)</f>
        <v>0</v>
      </c>
      <c r="N86" s="1">
        <f>MIN($H86)</f>
        <v>0</v>
      </c>
      <c r="O86" s="1">
        <f>MEDIAN($B86)</f>
        <v>0</v>
      </c>
      <c r="P86" s="1">
        <f>MEDIAN($C86)</f>
        <v>0</v>
      </c>
      <c r="Q86" s="1">
        <f>MEDIAN($D86)</f>
        <v>0</v>
      </c>
      <c r="R86" s="1">
        <f>MEDIAN($E86)</f>
        <v>0</v>
      </c>
      <c r="S86" s="1">
        <f>MEDIAN($G86)</f>
        <v>0</v>
      </c>
      <c r="T86" s="1">
        <f>MEDIAN($H86)</f>
        <v>0</v>
      </c>
      <c r="U86" s="1">
        <f>MAX($B86)</f>
        <v>0</v>
      </c>
      <c r="V86" s="1">
        <f>MAX($C86)</f>
        <v>0</v>
      </c>
      <c r="W86" s="1">
        <f>MAX($D86)</f>
        <v>0</v>
      </c>
      <c r="X86" s="1">
        <f>MAX($E86)</f>
        <v>0</v>
      </c>
      <c r="Y86" s="1">
        <f>MAX($G86)</f>
        <v>0</v>
      </c>
      <c r="Z86" s="1">
        <f>MAX($H86)</f>
        <v>0</v>
      </c>
    </row>
    <row r="87" spans="1:26">
      <c r="A87" s="1" t="s">
        <v>84</v>
      </c>
      <c r="B87" s="1">
        <v>1</v>
      </c>
      <c r="C87" s="1">
        <v>0</v>
      </c>
      <c r="D87" s="1">
        <v>0</v>
      </c>
      <c r="E87" s="1">
        <v>3000</v>
      </c>
      <c r="F87" s="1" t="s">
        <v>374</v>
      </c>
      <c r="G87" s="1">
        <v>1500</v>
      </c>
      <c r="H87" s="1">
        <v>1</v>
      </c>
      <c r="I87" s="1">
        <f>MIN($B87)</f>
        <v>0</v>
      </c>
      <c r="J87" s="1">
        <f>MIN($C87)</f>
        <v>0</v>
      </c>
      <c r="K87" s="1">
        <f>MIN($D87)</f>
        <v>0</v>
      </c>
      <c r="L87" s="1">
        <f>MIN($E87)</f>
        <v>0</v>
      </c>
      <c r="M87" s="1">
        <f>MIN($G87)</f>
        <v>0</v>
      </c>
      <c r="N87" s="1">
        <f>MIN($H87)</f>
        <v>0</v>
      </c>
      <c r="O87" s="1">
        <f>MEDIAN($B87)</f>
        <v>0</v>
      </c>
      <c r="P87" s="1">
        <f>MEDIAN($C87)</f>
        <v>0</v>
      </c>
      <c r="Q87" s="1">
        <f>MEDIAN($D87)</f>
        <v>0</v>
      </c>
      <c r="R87" s="1">
        <f>MEDIAN($E87)</f>
        <v>0</v>
      </c>
      <c r="S87" s="1">
        <f>MEDIAN($G87)</f>
        <v>0</v>
      </c>
      <c r="T87" s="1">
        <f>MEDIAN($H87)</f>
        <v>0</v>
      </c>
      <c r="U87" s="1">
        <f>MAX($B87)</f>
        <v>0</v>
      </c>
      <c r="V87" s="1">
        <f>MAX($C87)</f>
        <v>0</v>
      </c>
      <c r="W87" s="1">
        <f>MAX($D87)</f>
        <v>0</v>
      </c>
      <c r="X87" s="1">
        <f>MAX($E87)</f>
        <v>0</v>
      </c>
      <c r="Y87" s="1">
        <f>MAX($G87)</f>
        <v>0</v>
      </c>
      <c r="Z87" s="1">
        <f>MAX($H87)</f>
        <v>0</v>
      </c>
    </row>
    <row r="88" spans="1:26">
      <c r="A88" s="1" t="s">
        <v>85</v>
      </c>
      <c r="B88" s="1">
        <v>1</v>
      </c>
      <c r="C88" s="1">
        <v>0</v>
      </c>
      <c r="D88" s="1">
        <v>0</v>
      </c>
      <c r="E88" s="1">
        <v>3000</v>
      </c>
      <c r="F88" s="1" t="s">
        <v>374</v>
      </c>
      <c r="G88" s="1">
        <v>1500</v>
      </c>
      <c r="H88" s="1">
        <v>1</v>
      </c>
      <c r="I88" s="1">
        <f>MIN($B88)</f>
        <v>0</v>
      </c>
      <c r="J88" s="1">
        <f>MIN($C88)</f>
        <v>0</v>
      </c>
      <c r="K88" s="1">
        <f>MIN($D88)</f>
        <v>0</v>
      </c>
      <c r="L88" s="1">
        <f>MIN($E88)</f>
        <v>0</v>
      </c>
      <c r="M88" s="1">
        <f>MIN($G88)</f>
        <v>0</v>
      </c>
      <c r="N88" s="1">
        <f>MIN($H88)</f>
        <v>0</v>
      </c>
      <c r="O88" s="1">
        <f>MEDIAN($B88)</f>
        <v>0</v>
      </c>
      <c r="P88" s="1">
        <f>MEDIAN($C88)</f>
        <v>0</v>
      </c>
      <c r="Q88" s="1">
        <f>MEDIAN($D88)</f>
        <v>0</v>
      </c>
      <c r="R88" s="1">
        <f>MEDIAN($E88)</f>
        <v>0</v>
      </c>
      <c r="S88" s="1">
        <f>MEDIAN($G88)</f>
        <v>0</v>
      </c>
      <c r="T88" s="1">
        <f>MEDIAN($H88)</f>
        <v>0</v>
      </c>
      <c r="U88" s="1">
        <f>MAX($B88)</f>
        <v>0</v>
      </c>
      <c r="V88" s="1">
        <f>MAX($C88)</f>
        <v>0</v>
      </c>
      <c r="W88" s="1">
        <f>MAX($D88)</f>
        <v>0</v>
      </c>
      <c r="X88" s="1">
        <f>MAX($E88)</f>
        <v>0</v>
      </c>
      <c r="Y88" s="1">
        <f>MAX($G88)</f>
        <v>0</v>
      </c>
      <c r="Z88" s="1">
        <f>MAX($H88)</f>
        <v>0</v>
      </c>
    </row>
    <row r="89" spans="1:26">
      <c r="A89" s="1" t="s">
        <v>86</v>
      </c>
      <c r="B89" s="1">
        <v>1</v>
      </c>
      <c r="C89" s="1">
        <v>0</v>
      </c>
      <c r="D89" s="1">
        <v>0</v>
      </c>
      <c r="E89" s="1">
        <v>3000</v>
      </c>
      <c r="F89" s="1" t="s">
        <v>374</v>
      </c>
      <c r="G89" s="1">
        <v>1500</v>
      </c>
      <c r="H89" s="1">
        <v>1</v>
      </c>
      <c r="I89" s="1">
        <f>MIN($B89)</f>
        <v>0</v>
      </c>
      <c r="J89" s="1">
        <f>MIN($C89)</f>
        <v>0</v>
      </c>
      <c r="K89" s="1">
        <f>MIN($D89)</f>
        <v>0</v>
      </c>
      <c r="L89" s="1">
        <f>MIN($E89)</f>
        <v>0</v>
      </c>
      <c r="M89" s="1">
        <f>MIN($G89)</f>
        <v>0</v>
      </c>
      <c r="N89" s="1">
        <f>MIN($H89)</f>
        <v>0</v>
      </c>
      <c r="O89" s="1">
        <f>MEDIAN($B89)</f>
        <v>0</v>
      </c>
      <c r="P89" s="1">
        <f>MEDIAN($C89)</f>
        <v>0</v>
      </c>
      <c r="Q89" s="1">
        <f>MEDIAN($D89)</f>
        <v>0</v>
      </c>
      <c r="R89" s="1">
        <f>MEDIAN($E89)</f>
        <v>0</v>
      </c>
      <c r="S89" s="1">
        <f>MEDIAN($G89)</f>
        <v>0</v>
      </c>
      <c r="T89" s="1">
        <f>MEDIAN($H89)</f>
        <v>0</v>
      </c>
      <c r="U89" s="1">
        <f>MAX($B89)</f>
        <v>0</v>
      </c>
      <c r="V89" s="1">
        <f>MAX($C89)</f>
        <v>0</v>
      </c>
      <c r="W89" s="1">
        <f>MAX($D89)</f>
        <v>0</v>
      </c>
      <c r="X89" s="1">
        <f>MAX($E89)</f>
        <v>0</v>
      </c>
      <c r="Y89" s="1">
        <f>MAX($G89)</f>
        <v>0</v>
      </c>
      <c r="Z89" s="1">
        <f>MAX($H89)</f>
        <v>0</v>
      </c>
    </row>
    <row r="90" spans="1:26">
      <c r="A90" s="1" t="s">
        <v>87</v>
      </c>
      <c r="B90" s="1">
        <v>1</v>
      </c>
      <c r="C90" s="1">
        <v>0</v>
      </c>
      <c r="D90" s="1">
        <v>0</v>
      </c>
      <c r="E90" s="1">
        <v>3000</v>
      </c>
      <c r="F90" s="1" t="s">
        <v>374</v>
      </c>
      <c r="G90" s="1">
        <v>1500</v>
      </c>
      <c r="H90" s="1">
        <v>1</v>
      </c>
      <c r="I90" s="1">
        <f>MIN($B90)</f>
        <v>0</v>
      </c>
      <c r="J90" s="1">
        <f>MIN($C90)</f>
        <v>0</v>
      </c>
      <c r="K90" s="1">
        <f>MIN($D90)</f>
        <v>0</v>
      </c>
      <c r="L90" s="1">
        <f>MIN($E90)</f>
        <v>0</v>
      </c>
      <c r="M90" s="1">
        <f>MIN($G90)</f>
        <v>0</v>
      </c>
      <c r="N90" s="1">
        <f>MIN($H90)</f>
        <v>0</v>
      </c>
      <c r="O90" s="1">
        <f>MEDIAN($B90)</f>
        <v>0</v>
      </c>
      <c r="P90" s="1">
        <f>MEDIAN($C90)</f>
        <v>0</v>
      </c>
      <c r="Q90" s="1">
        <f>MEDIAN($D90)</f>
        <v>0</v>
      </c>
      <c r="R90" s="1">
        <f>MEDIAN($E90)</f>
        <v>0</v>
      </c>
      <c r="S90" s="1">
        <f>MEDIAN($G90)</f>
        <v>0</v>
      </c>
      <c r="T90" s="1">
        <f>MEDIAN($H90)</f>
        <v>0</v>
      </c>
      <c r="U90" s="1">
        <f>MAX($B90)</f>
        <v>0</v>
      </c>
      <c r="V90" s="1">
        <f>MAX($C90)</f>
        <v>0</v>
      </c>
      <c r="W90" s="1">
        <f>MAX($D90)</f>
        <v>0</v>
      </c>
      <c r="X90" s="1">
        <f>MAX($E90)</f>
        <v>0</v>
      </c>
      <c r="Y90" s="1">
        <f>MAX($G90)</f>
        <v>0</v>
      </c>
      <c r="Z90" s="1">
        <f>MAX($H90)</f>
        <v>0</v>
      </c>
    </row>
    <row r="91" spans="1:26">
      <c r="A91" s="1" t="s">
        <v>88</v>
      </c>
      <c r="B91" s="1">
        <v>1</v>
      </c>
      <c r="C91" s="1">
        <v>0</v>
      </c>
      <c r="D91" s="1">
        <v>0</v>
      </c>
      <c r="E91" s="1">
        <v>3000</v>
      </c>
      <c r="F91" s="1" t="s">
        <v>374</v>
      </c>
      <c r="G91" s="1">
        <v>1500</v>
      </c>
      <c r="H91" s="1">
        <v>1</v>
      </c>
      <c r="I91" s="1">
        <f>MIN($B91)</f>
        <v>0</v>
      </c>
      <c r="J91" s="1">
        <f>MIN($C91)</f>
        <v>0</v>
      </c>
      <c r="K91" s="1">
        <f>MIN($D91)</f>
        <v>0</v>
      </c>
      <c r="L91" s="1">
        <f>MIN($E91)</f>
        <v>0</v>
      </c>
      <c r="M91" s="1">
        <f>MIN($G91)</f>
        <v>0</v>
      </c>
      <c r="N91" s="1">
        <f>MIN($H91)</f>
        <v>0</v>
      </c>
      <c r="O91" s="1">
        <f>MEDIAN($B91)</f>
        <v>0</v>
      </c>
      <c r="P91" s="1">
        <f>MEDIAN($C91)</f>
        <v>0</v>
      </c>
      <c r="Q91" s="1">
        <f>MEDIAN($D91)</f>
        <v>0</v>
      </c>
      <c r="R91" s="1">
        <f>MEDIAN($E91)</f>
        <v>0</v>
      </c>
      <c r="S91" s="1">
        <f>MEDIAN($G91)</f>
        <v>0</v>
      </c>
      <c r="T91" s="1">
        <f>MEDIAN($H91)</f>
        <v>0</v>
      </c>
      <c r="U91" s="1">
        <f>MAX($B91)</f>
        <v>0</v>
      </c>
      <c r="V91" s="1">
        <f>MAX($C91)</f>
        <v>0</v>
      </c>
      <c r="W91" s="1">
        <f>MAX($D91)</f>
        <v>0</v>
      </c>
      <c r="X91" s="1">
        <f>MAX($E91)</f>
        <v>0</v>
      </c>
      <c r="Y91" s="1">
        <f>MAX($G91)</f>
        <v>0</v>
      </c>
      <c r="Z91" s="1">
        <f>MAX($H91)</f>
        <v>0</v>
      </c>
    </row>
    <row r="92" spans="1:26">
      <c r="A92" s="1" t="s">
        <v>89</v>
      </c>
      <c r="B92" s="1">
        <v>1</v>
      </c>
      <c r="C92" s="1">
        <v>0</v>
      </c>
      <c r="D92" s="1">
        <v>0</v>
      </c>
      <c r="E92" s="1">
        <v>3000</v>
      </c>
      <c r="F92" s="1" t="s">
        <v>374</v>
      </c>
      <c r="G92" s="1">
        <v>1500</v>
      </c>
      <c r="H92" s="1">
        <v>1</v>
      </c>
      <c r="I92" s="1">
        <f>MIN($B92)</f>
        <v>0</v>
      </c>
      <c r="J92" s="1">
        <f>MIN($C92)</f>
        <v>0</v>
      </c>
      <c r="K92" s="1">
        <f>MIN($D92)</f>
        <v>0</v>
      </c>
      <c r="L92" s="1">
        <f>MIN($E92)</f>
        <v>0</v>
      </c>
      <c r="M92" s="1">
        <f>MIN($G92)</f>
        <v>0</v>
      </c>
      <c r="N92" s="1">
        <f>MIN($H92)</f>
        <v>0</v>
      </c>
      <c r="O92" s="1">
        <f>MEDIAN($B92)</f>
        <v>0</v>
      </c>
      <c r="P92" s="1">
        <f>MEDIAN($C92)</f>
        <v>0</v>
      </c>
      <c r="Q92" s="1">
        <f>MEDIAN($D92)</f>
        <v>0</v>
      </c>
      <c r="R92" s="1">
        <f>MEDIAN($E92)</f>
        <v>0</v>
      </c>
      <c r="S92" s="1">
        <f>MEDIAN($G92)</f>
        <v>0</v>
      </c>
      <c r="T92" s="1">
        <f>MEDIAN($H92)</f>
        <v>0</v>
      </c>
      <c r="U92" s="1">
        <f>MAX($B92)</f>
        <v>0</v>
      </c>
      <c r="V92" s="1">
        <f>MAX($C92)</f>
        <v>0</v>
      </c>
      <c r="W92" s="1">
        <f>MAX($D92)</f>
        <v>0</v>
      </c>
      <c r="X92" s="1">
        <f>MAX($E92)</f>
        <v>0</v>
      </c>
      <c r="Y92" s="1">
        <f>MAX($G92)</f>
        <v>0</v>
      </c>
      <c r="Z92" s="1">
        <f>MAX($H92)</f>
        <v>0</v>
      </c>
    </row>
    <row r="93" spans="1:26">
      <c r="A93" s="1" t="s">
        <v>90</v>
      </c>
      <c r="B93" s="1">
        <v>1</v>
      </c>
      <c r="C93" s="1">
        <v>0</v>
      </c>
      <c r="D93" s="1">
        <v>0</v>
      </c>
      <c r="E93" s="1">
        <v>3000</v>
      </c>
      <c r="F93" s="1" t="s">
        <v>374</v>
      </c>
      <c r="G93" s="1">
        <v>1500</v>
      </c>
      <c r="H93" s="1">
        <v>1</v>
      </c>
      <c r="I93" s="1">
        <f>MIN($B93)</f>
        <v>0</v>
      </c>
      <c r="J93" s="1">
        <f>MIN($C93)</f>
        <v>0</v>
      </c>
      <c r="K93" s="1">
        <f>MIN($D93)</f>
        <v>0</v>
      </c>
      <c r="L93" s="1">
        <f>MIN($E93)</f>
        <v>0</v>
      </c>
      <c r="M93" s="1">
        <f>MIN($G93)</f>
        <v>0</v>
      </c>
      <c r="N93" s="1">
        <f>MIN($H93)</f>
        <v>0</v>
      </c>
      <c r="O93" s="1">
        <f>MEDIAN($B93)</f>
        <v>0</v>
      </c>
      <c r="P93" s="1">
        <f>MEDIAN($C93)</f>
        <v>0</v>
      </c>
      <c r="Q93" s="1">
        <f>MEDIAN($D93)</f>
        <v>0</v>
      </c>
      <c r="R93" s="1">
        <f>MEDIAN($E93)</f>
        <v>0</v>
      </c>
      <c r="S93" s="1">
        <f>MEDIAN($G93)</f>
        <v>0</v>
      </c>
      <c r="T93" s="1">
        <f>MEDIAN($H93)</f>
        <v>0</v>
      </c>
      <c r="U93" s="1">
        <f>MAX($B93)</f>
        <v>0</v>
      </c>
      <c r="V93" s="1">
        <f>MAX($C93)</f>
        <v>0</v>
      </c>
      <c r="W93" s="1">
        <f>MAX($D93)</f>
        <v>0</v>
      </c>
      <c r="X93" s="1">
        <f>MAX($E93)</f>
        <v>0</v>
      </c>
      <c r="Y93" s="1">
        <f>MAX($G93)</f>
        <v>0</v>
      </c>
      <c r="Z93" s="1">
        <f>MAX($H93)</f>
        <v>0</v>
      </c>
    </row>
    <row r="94" spans="1:26">
      <c r="A94" s="1" t="s">
        <v>91</v>
      </c>
      <c r="B94" s="1">
        <v>1</v>
      </c>
      <c r="C94" s="1">
        <v>0</v>
      </c>
      <c r="D94" s="1">
        <v>0</v>
      </c>
      <c r="E94" s="1">
        <v>3000</v>
      </c>
      <c r="F94" s="1" t="s">
        <v>374</v>
      </c>
      <c r="G94" s="1">
        <v>1500</v>
      </c>
      <c r="H94" s="1">
        <v>1</v>
      </c>
      <c r="I94" s="1">
        <f>MIN($B94)</f>
        <v>0</v>
      </c>
      <c r="J94" s="1">
        <f>MIN($C94)</f>
        <v>0</v>
      </c>
      <c r="K94" s="1">
        <f>MIN($D94)</f>
        <v>0</v>
      </c>
      <c r="L94" s="1">
        <f>MIN($E94)</f>
        <v>0</v>
      </c>
      <c r="M94" s="1">
        <f>MIN($G94)</f>
        <v>0</v>
      </c>
      <c r="N94" s="1">
        <f>MIN($H94)</f>
        <v>0</v>
      </c>
      <c r="O94" s="1">
        <f>MEDIAN($B94)</f>
        <v>0</v>
      </c>
      <c r="P94" s="1">
        <f>MEDIAN($C94)</f>
        <v>0</v>
      </c>
      <c r="Q94" s="1">
        <f>MEDIAN($D94)</f>
        <v>0</v>
      </c>
      <c r="R94" s="1">
        <f>MEDIAN($E94)</f>
        <v>0</v>
      </c>
      <c r="S94" s="1">
        <f>MEDIAN($G94)</f>
        <v>0</v>
      </c>
      <c r="T94" s="1">
        <f>MEDIAN($H94)</f>
        <v>0</v>
      </c>
      <c r="U94" s="1">
        <f>MAX($B94)</f>
        <v>0</v>
      </c>
      <c r="V94" s="1">
        <f>MAX($C94)</f>
        <v>0</v>
      </c>
      <c r="W94" s="1">
        <f>MAX($D94)</f>
        <v>0</v>
      </c>
      <c r="X94" s="1">
        <f>MAX($E94)</f>
        <v>0</v>
      </c>
      <c r="Y94" s="1">
        <f>MAX($G94)</f>
        <v>0</v>
      </c>
      <c r="Z94" s="1">
        <f>MAX($H94)</f>
        <v>0</v>
      </c>
    </row>
    <row r="95" spans="1:26">
      <c r="A95" s="1" t="s">
        <v>92</v>
      </c>
      <c r="B95" s="1">
        <v>1</v>
      </c>
      <c r="C95" s="1">
        <v>0</v>
      </c>
      <c r="D95" s="1">
        <v>0</v>
      </c>
      <c r="E95" s="1">
        <v>3000</v>
      </c>
      <c r="F95" s="1" t="s">
        <v>374</v>
      </c>
      <c r="G95" s="1">
        <v>1500</v>
      </c>
      <c r="H95" s="1">
        <v>1</v>
      </c>
      <c r="I95" s="1">
        <f>MIN($B95)</f>
        <v>0</v>
      </c>
      <c r="J95" s="1">
        <f>MIN($C95)</f>
        <v>0</v>
      </c>
      <c r="K95" s="1">
        <f>MIN($D95)</f>
        <v>0</v>
      </c>
      <c r="L95" s="1">
        <f>MIN($E95)</f>
        <v>0</v>
      </c>
      <c r="M95" s="1">
        <f>MIN($G95)</f>
        <v>0</v>
      </c>
      <c r="N95" s="1">
        <f>MIN($H95)</f>
        <v>0</v>
      </c>
      <c r="O95" s="1">
        <f>MEDIAN($B95)</f>
        <v>0</v>
      </c>
      <c r="P95" s="1">
        <f>MEDIAN($C95)</f>
        <v>0</v>
      </c>
      <c r="Q95" s="1">
        <f>MEDIAN($D95)</f>
        <v>0</v>
      </c>
      <c r="R95" s="1">
        <f>MEDIAN($E95)</f>
        <v>0</v>
      </c>
      <c r="S95" s="1">
        <f>MEDIAN($G95)</f>
        <v>0</v>
      </c>
      <c r="T95" s="1">
        <f>MEDIAN($H95)</f>
        <v>0</v>
      </c>
      <c r="U95" s="1">
        <f>MAX($B95)</f>
        <v>0</v>
      </c>
      <c r="V95" s="1">
        <f>MAX($C95)</f>
        <v>0</v>
      </c>
      <c r="W95" s="1">
        <f>MAX($D95)</f>
        <v>0</v>
      </c>
      <c r="X95" s="1">
        <f>MAX($E95)</f>
        <v>0</v>
      </c>
      <c r="Y95" s="1">
        <f>MAX($G95)</f>
        <v>0</v>
      </c>
      <c r="Z95" s="1">
        <f>MAX($H95)</f>
        <v>0</v>
      </c>
    </row>
    <row r="96" spans="1:26">
      <c r="A96" s="1" t="s">
        <v>93</v>
      </c>
      <c r="B96" s="1">
        <v>1</v>
      </c>
      <c r="C96" s="1">
        <v>0</v>
      </c>
      <c r="D96" s="1">
        <v>0</v>
      </c>
      <c r="E96" s="1">
        <v>3000</v>
      </c>
      <c r="F96" s="1" t="s">
        <v>374</v>
      </c>
      <c r="G96" s="1">
        <v>1500</v>
      </c>
      <c r="H96" s="1">
        <v>1</v>
      </c>
      <c r="I96" s="1">
        <f>MIN($B96)</f>
        <v>0</v>
      </c>
      <c r="J96" s="1">
        <f>MIN($C96)</f>
        <v>0</v>
      </c>
      <c r="K96" s="1">
        <f>MIN($D96)</f>
        <v>0</v>
      </c>
      <c r="L96" s="1">
        <f>MIN($E96)</f>
        <v>0</v>
      </c>
      <c r="M96" s="1">
        <f>MIN($G96)</f>
        <v>0</v>
      </c>
      <c r="N96" s="1">
        <f>MIN($H96)</f>
        <v>0</v>
      </c>
      <c r="O96" s="1">
        <f>MEDIAN($B96)</f>
        <v>0</v>
      </c>
      <c r="P96" s="1">
        <f>MEDIAN($C96)</f>
        <v>0</v>
      </c>
      <c r="Q96" s="1">
        <f>MEDIAN($D96)</f>
        <v>0</v>
      </c>
      <c r="R96" s="1">
        <f>MEDIAN($E96)</f>
        <v>0</v>
      </c>
      <c r="S96" s="1">
        <f>MEDIAN($G96)</f>
        <v>0</v>
      </c>
      <c r="T96" s="1">
        <f>MEDIAN($H96)</f>
        <v>0</v>
      </c>
      <c r="U96" s="1">
        <f>MAX($B96)</f>
        <v>0</v>
      </c>
      <c r="V96" s="1">
        <f>MAX($C96)</f>
        <v>0</v>
      </c>
      <c r="W96" s="1">
        <f>MAX($D96)</f>
        <v>0</v>
      </c>
      <c r="X96" s="1">
        <f>MAX($E96)</f>
        <v>0</v>
      </c>
      <c r="Y96" s="1">
        <f>MAX($G96)</f>
        <v>0</v>
      </c>
      <c r="Z96" s="1">
        <f>MAX($H96)</f>
        <v>0</v>
      </c>
    </row>
    <row r="97" spans="1:26">
      <c r="A97" s="1" t="s">
        <v>94</v>
      </c>
      <c r="B97" s="1">
        <v>1</v>
      </c>
      <c r="C97" s="1">
        <v>0</v>
      </c>
      <c r="D97" s="1">
        <v>0</v>
      </c>
      <c r="E97" s="1">
        <v>3000</v>
      </c>
      <c r="F97" s="1" t="s">
        <v>374</v>
      </c>
      <c r="G97" s="1">
        <v>1500</v>
      </c>
      <c r="H97" s="1">
        <v>1</v>
      </c>
      <c r="I97" s="1">
        <f>MIN($B97)</f>
        <v>0</v>
      </c>
      <c r="J97" s="1">
        <f>MIN($C97)</f>
        <v>0</v>
      </c>
      <c r="K97" s="1">
        <f>MIN($D97)</f>
        <v>0</v>
      </c>
      <c r="L97" s="1">
        <f>MIN($E97)</f>
        <v>0</v>
      </c>
      <c r="M97" s="1">
        <f>MIN($G97)</f>
        <v>0</v>
      </c>
      <c r="N97" s="1">
        <f>MIN($H97)</f>
        <v>0</v>
      </c>
      <c r="O97" s="1">
        <f>MEDIAN($B97)</f>
        <v>0</v>
      </c>
      <c r="P97" s="1">
        <f>MEDIAN($C97)</f>
        <v>0</v>
      </c>
      <c r="Q97" s="1">
        <f>MEDIAN($D97)</f>
        <v>0</v>
      </c>
      <c r="R97" s="1">
        <f>MEDIAN($E97)</f>
        <v>0</v>
      </c>
      <c r="S97" s="1">
        <f>MEDIAN($G97)</f>
        <v>0</v>
      </c>
      <c r="T97" s="1">
        <f>MEDIAN($H97)</f>
        <v>0</v>
      </c>
      <c r="U97" s="1">
        <f>MAX($B97)</f>
        <v>0</v>
      </c>
      <c r="V97" s="1">
        <f>MAX($C97)</f>
        <v>0</v>
      </c>
      <c r="W97" s="1">
        <f>MAX($D97)</f>
        <v>0</v>
      </c>
      <c r="X97" s="1">
        <f>MAX($E97)</f>
        <v>0</v>
      </c>
      <c r="Y97" s="1">
        <f>MAX($G97)</f>
        <v>0</v>
      </c>
      <c r="Z97" s="1">
        <f>MAX($H97)</f>
        <v>0</v>
      </c>
    </row>
    <row r="98" spans="1:26">
      <c r="A98" s="1" t="s">
        <v>95</v>
      </c>
      <c r="B98" s="1">
        <v>1</v>
      </c>
      <c r="C98" s="1">
        <v>0</v>
      </c>
      <c r="D98" s="1">
        <v>0</v>
      </c>
      <c r="E98" s="1">
        <v>3000</v>
      </c>
      <c r="F98" s="1" t="s">
        <v>374</v>
      </c>
      <c r="G98" s="1">
        <v>1500</v>
      </c>
      <c r="H98" s="1">
        <v>1</v>
      </c>
      <c r="I98" s="1">
        <f>MIN($B98)</f>
        <v>0</v>
      </c>
      <c r="J98" s="1">
        <f>MIN($C98)</f>
        <v>0</v>
      </c>
      <c r="K98" s="1">
        <f>MIN($D98)</f>
        <v>0</v>
      </c>
      <c r="L98" s="1">
        <f>MIN($E98)</f>
        <v>0</v>
      </c>
      <c r="M98" s="1">
        <f>MIN($G98)</f>
        <v>0</v>
      </c>
      <c r="N98" s="1">
        <f>MIN($H98)</f>
        <v>0</v>
      </c>
      <c r="O98" s="1">
        <f>MEDIAN($B98)</f>
        <v>0</v>
      </c>
      <c r="P98" s="1">
        <f>MEDIAN($C98)</f>
        <v>0</v>
      </c>
      <c r="Q98" s="1">
        <f>MEDIAN($D98)</f>
        <v>0</v>
      </c>
      <c r="R98" s="1">
        <f>MEDIAN($E98)</f>
        <v>0</v>
      </c>
      <c r="S98" s="1">
        <f>MEDIAN($G98)</f>
        <v>0</v>
      </c>
      <c r="T98" s="1">
        <f>MEDIAN($H98)</f>
        <v>0</v>
      </c>
      <c r="U98" s="1">
        <f>MAX($B98)</f>
        <v>0</v>
      </c>
      <c r="V98" s="1">
        <f>MAX($C98)</f>
        <v>0</v>
      </c>
      <c r="W98" s="1">
        <f>MAX($D98)</f>
        <v>0</v>
      </c>
      <c r="X98" s="1">
        <f>MAX($E98)</f>
        <v>0</v>
      </c>
      <c r="Y98" s="1">
        <f>MAX($G98)</f>
        <v>0</v>
      </c>
      <c r="Z98" s="1">
        <f>MAX($H98)</f>
        <v>0</v>
      </c>
    </row>
    <row r="99" spans="1:26">
      <c r="A99" s="1" t="s">
        <v>96</v>
      </c>
      <c r="B99" s="1">
        <v>1</v>
      </c>
      <c r="C99" s="1">
        <v>0</v>
      </c>
      <c r="D99" s="1">
        <v>0</v>
      </c>
      <c r="E99" s="1">
        <v>3000</v>
      </c>
      <c r="F99" s="1" t="s">
        <v>374</v>
      </c>
      <c r="G99" s="1">
        <v>1500</v>
      </c>
      <c r="H99" s="1">
        <v>1</v>
      </c>
      <c r="I99" s="1">
        <f>MIN($B99)</f>
        <v>0</v>
      </c>
      <c r="J99" s="1">
        <f>MIN($C99)</f>
        <v>0</v>
      </c>
      <c r="K99" s="1">
        <f>MIN($D99)</f>
        <v>0</v>
      </c>
      <c r="L99" s="1">
        <f>MIN($E99)</f>
        <v>0</v>
      </c>
      <c r="M99" s="1">
        <f>MIN($G99)</f>
        <v>0</v>
      </c>
      <c r="N99" s="1">
        <f>MIN($H99)</f>
        <v>0</v>
      </c>
      <c r="O99" s="1">
        <f>MEDIAN($B99)</f>
        <v>0</v>
      </c>
      <c r="P99" s="1">
        <f>MEDIAN($C99)</f>
        <v>0</v>
      </c>
      <c r="Q99" s="1">
        <f>MEDIAN($D99)</f>
        <v>0</v>
      </c>
      <c r="R99" s="1">
        <f>MEDIAN($E99)</f>
        <v>0</v>
      </c>
      <c r="S99" s="1">
        <f>MEDIAN($G99)</f>
        <v>0</v>
      </c>
      <c r="T99" s="1">
        <f>MEDIAN($H99)</f>
        <v>0</v>
      </c>
      <c r="U99" s="1">
        <f>MAX($B99)</f>
        <v>0</v>
      </c>
      <c r="V99" s="1">
        <f>MAX($C99)</f>
        <v>0</v>
      </c>
      <c r="W99" s="1">
        <f>MAX($D99)</f>
        <v>0</v>
      </c>
      <c r="X99" s="1">
        <f>MAX($E99)</f>
        <v>0</v>
      </c>
      <c r="Y99" s="1">
        <f>MAX($G99)</f>
        <v>0</v>
      </c>
      <c r="Z99" s="1">
        <f>MAX($H99)</f>
        <v>0</v>
      </c>
    </row>
    <row r="100" spans="1:26">
      <c r="A100" s="1" t="s">
        <v>97</v>
      </c>
      <c r="B100" s="1">
        <v>1</v>
      </c>
      <c r="C100" s="1">
        <v>0</v>
      </c>
      <c r="D100" s="1">
        <v>0</v>
      </c>
      <c r="E100" s="1">
        <v>3000</v>
      </c>
      <c r="F100" s="1" t="s">
        <v>374</v>
      </c>
      <c r="G100" s="1">
        <v>1500</v>
      </c>
      <c r="H100" s="1">
        <v>1</v>
      </c>
      <c r="I100" s="1">
        <f>MIN($B100)</f>
        <v>0</v>
      </c>
      <c r="J100" s="1">
        <f>MIN($C100)</f>
        <v>0</v>
      </c>
      <c r="K100" s="1">
        <f>MIN($D100)</f>
        <v>0</v>
      </c>
      <c r="L100" s="1">
        <f>MIN($E100)</f>
        <v>0</v>
      </c>
      <c r="M100" s="1">
        <f>MIN($G100)</f>
        <v>0</v>
      </c>
      <c r="N100" s="1">
        <f>MIN($H100)</f>
        <v>0</v>
      </c>
      <c r="O100" s="1">
        <f>MEDIAN($B100)</f>
        <v>0</v>
      </c>
      <c r="P100" s="1">
        <f>MEDIAN($C100)</f>
        <v>0</v>
      </c>
      <c r="Q100" s="1">
        <f>MEDIAN($D100)</f>
        <v>0</v>
      </c>
      <c r="R100" s="1">
        <f>MEDIAN($E100)</f>
        <v>0</v>
      </c>
      <c r="S100" s="1">
        <f>MEDIAN($G100)</f>
        <v>0</v>
      </c>
      <c r="T100" s="1">
        <f>MEDIAN($H100)</f>
        <v>0</v>
      </c>
      <c r="U100" s="1">
        <f>MAX($B100)</f>
        <v>0</v>
      </c>
      <c r="V100" s="1">
        <f>MAX($C100)</f>
        <v>0</v>
      </c>
      <c r="W100" s="1">
        <f>MAX($D100)</f>
        <v>0</v>
      </c>
      <c r="X100" s="1">
        <f>MAX($E100)</f>
        <v>0</v>
      </c>
      <c r="Y100" s="1">
        <f>MAX($G100)</f>
        <v>0</v>
      </c>
      <c r="Z100" s="1">
        <f>MAX($H100)</f>
        <v>0</v>
      </c>
    </row>
    <row r="101" spans="1:26">
      <c r="A101" s="1" t="s">
        <v>98</v>
      </c>
      <c r="B101" s="1">
        <v>1</v>
      </c>
      <c r="C101" s="1">
        <v>0</v>
      </c>
      <c r="D101" s="1">
        <v>0</v>
      </c>
      <c r="E101" s="1">
        <v>3000</v>
      </c>
      <c r="F101" s="1" t="s">
        <v>374</v>
      </c>
      <c r="G101" s="1">
        <v>1500</v>
      </c>
      <c r="H101" s="1">
        <v>1</v>
      </c>
      <c r="I101" s="1">
        <f>MIN($B101)</f>
        <v>0</v>
      </c>
      <c r="J101" s="1">
        <f>MIN($C101)</f>
        <v>0</v>
      </c>
      <c r="K101" s="1">
        <f>MIN($D101)</f>
        <v>0</v>
      </c>
      <c r="L101" s="1">
        <f>MIN($E101)</f>
        <v>0</v>
      </c>
      <c r="M101" s="1">
        <f>MIN($G101)</f>
        <v>0</v>
      </c>
      <c r="N101" s="1">
        <f>MIN($H101)</f>
        <v>0</v>
      </c>
      <c r="O101" s="1">
        <f>MEDIAN($B101)</f>
        <v>0</v>
      </c>
      <c r="P101" s="1">
        <f>MEDIAN($C101)</f>
        <v>0</v>
      </c>
      <c r="Q101" s="1">
        <f>MEDIAN($D101)</f>
        <v>0</v>
      </c>
      <c r="R101" s="1">
        <f>MEDIAN($E101)</f>
        <v>0</v>
      </c>
      <c r="S101" s="1">
        <f>MEDIAN($G101)</f>
        <v>0</v>
      </c>
      <c r="T101" s="1">
        <f>MEDIAN($H101)</f>
        <v>0</v>
      </c>
      <c r="U101" s="1">
        <f>MAX($B101)</f>
        <v>0</v>
      </c>
      <c r="V101" s="1">
        <f>MAX($C101)</f>
        <v>0</v>
      </c>
      <c r="W101" s="1">
        <f>MAX($D101)</f>
        <v>0</v>
      </c>
      <c r="X101" s="1">
        <f>MAX($E101)</f>
        <v>0</v>
      </c>
      <c r="Y101" s="1">
        <f>MAX($G101)</f>
        <v>0</v>
      </c>
      <c r="Z101" s="1">
        <f>MAX($H101)</f>
        <v>0</v>
      </c>
    </row>
    <row r="102" spans="1:26">
      <c r="A102" s="1" t="s">
        <v>99</v>
      </c>
      <c r="B102" s="1">
        <v>1</v>
      </c>
      <c r="C102" s="1">
        <v>0</v>
      </c>
      <c r="D102" s="1">
        <v>0</v>
      </c>
      <c r="E102" s="1">
        <v>3000</v>
      </c>
      <c r="F102" s="1" t="s">
        <v>374</v>
      </c>
      <c r="G102" s="1">
        <v>1500</v>
      </c>
      <c r="H102" s="1">
        <v>1</v>
      </c>
      <c r="I102" s="1">
        <f>MIN($B102)</f>
        <v>0</v>
      </c>
      <c r="J102" s="1">
        <f>MIN($C102)</f>
        <v>0</v>
      </c>
      <c r="K102" s="1">
        <f>MIN($D102)</f>
        <v>0</v>
      </c>
      <c r="L102" s="1">
        <f>MIN($E102)</f>
        <v>0</v>
      </c>
      <c r="M102" s="1">
        <f>MIN($G102)</f>
        <v>0</v>
      </c>
      <c r="N102" s="1">
        <f>MIN($H102)</f>
        <v>0</v>
      </c>
      <c r="O102" s="1">
        <f>MEDIAN($B102)</f>
        <v>0</v>
      </c>
      <c r="P102" s="1">
        <f>MEDIAN($C102)</f>
        <v>0</v>
      </c>
      <c r="Q102" s="1">
        <f>MEDIAN($D102)</f>
        <v>0</v>
      </c>
      <c r="R102" s="1">
        <f>MEDIAN($E102)</f>
        <v>0</v>
      </c>
      <c r="S102" s="1">
        <f>MEDIAN($G102)</f>
        <v>0</v>
      </c>
      <c r="T102" s="1">
        <f>MEDIAN($H102)</f>
        <v>0</v>
      </c>
      <c r="U102" s="1">
        <f>MAX($B102)</f>
        <v>0</v>
      </c>
      <c r="V102" s="1">
        <f>MAX($C102)</f>
        <v>0</v>
      </c>
      <c r="W102" s="1">
        <f>MAX($D102)</f>
        <v>0</v>
      </c>
      <c r="X102" s="1">
        <f>MAX($E102)</f>
        <v>0</v>
      </c>
      <c r="Y102" s="1">
        <f>MAX($G102)</f>
        <v>0</v>
      </c>
      <c r="Z102" s="1">
        <f>MAX($H102)</f>
        <v>0</v>
      </c>
    </row>
    <row r="103" spans="1:26">
      <c r="A103" s="1" t="s">
        <v>100</v>
      </c>
      <c r="B103" s="1">
        <v>1</v>
      </c>
      <c r="C103" s="1">
        <v>0</v>
      </c>
      <c r="D103" s="1">
        <v>0</v>
      </c>
      <c r="E103" s="1">
        <v>3000</v>
      </c>
      <c r="F103" s="1" t="s">
        <v>374</v>
      </c>
      <c r="G103" s="1">
        <v>1500</v>
      </c>
      <c r="H103" s="1">
        <v>1</v>
      </c>
      <c r="I103" s="1">
        <f>MIN($B103)</f>
        <v>0</v>
      </c>
      <c r="J103" s="1">
        <f>MIN($C103)</f>
        <v>0</v>
      </c>
      <c r="K103" s="1">
        <f>MIN($D103)</f>
        <v>0</v>
      </c>
      <c r="L103" s="1">
        <f>MIN($E103)</f>
        <v>0</v>
      </c>
      <c r="M103" s="1">
        <f>MIN($G103)</f>
        <v>0</v>
      </c>
      <c r="N103" s="1">
        <f>MIN($H103)</f>
        <v>0</v>
      </c>
      <c r="O103" s="1">
        <f>MEDIAN($B103)</f>
        <v>0</v>
      </c>
      <c r="P103" s="1">
        <f>MEDIAN($C103)</f>
        <v>0</v>
      </c>
      <c r="Q103" s="1">
        <f>MEDIAN($D103)</f>
        <v>0</v>
      </c>
      <c r="R103" s="1">
        <f>MEDIAN($E103)</f>
        <v>0</v>
      </c>
      <c r="S103" s="1">
        <f>MEDIAN($G103)</f>
        <v>0</v>
      </c>
      <c r="T103" s="1">
        <f>MEDIAN($H103)</f>
        <v>0</v>
      </c>
      <c r="U103" s="1">
        <f>MAX($B103)</f>
        <v>0</v>
      </c>
      <c r="V103" s="1">
        <f>MAX($C103)</f>
        <v>0</v>
      </c>
      <c r="W103" s="1">
        <f>MAX($D103)</f>
        <v>0</v>
      </c>
      <c r="X103" s="1">
        <f>MAX($E103)</f>
        <v>0</v>
      </c>
      <c r="Y103" s="1">
        <f>MAX($G103)</f>
        <v>0</v>
      </c>
      <c r="Z103" s="1">
        <f>MAX($H103)</f>
        <v>0</v>
      </c>
    </row>
    <row r="104" spans="1:26">
      <c r="A104" s="1" t="s">
        <v>101</v>
      </c>
      <c r="B104" s="1">
        <v>1</v>
      </c>
      <c r="C104" s="1">
        <v>0</v>
      </c>
      <c r="D104" s="1">
        <v>0</v>
      </c>
      <c r="E104" s="1">
        <v>3000</v>
      </c>
      <c r="F104" s="1" t="s">
        <v>374</v>
      </c>
      <c r="G104" s="1">
        <v>1500</v>
      </c>
      <c r="H104" s="1">
        <v>1</v>
      </c>
      <c r="I104" s="1">
        <f>MIN($B104)</f>
        <v>0</v>
      </c>
      <c r="J104" s="1">
        <f>MIN($C104)</f>
        <v>0</v>
      </c>
      <c r="K104" s="1">
        <f>MIN($D104)</f>
        <v>0</v>
      </c>
      <c r="L104" s="1">
        <f>MIN($E104)</f>
        <v>0</v>
      </c>
      <c r="M104" s="1">
        <f>MIN($G104)</f>
        <v>0</v>
      </c>
      <c r="N104" s="1">
        <f>MIN($H104)</f>
        <v>0</v>
      </c>
      <c r="O104" s="1">
        <f>MEDIAN($B104)</f>
        <v>0</v>
      </c>
      <c r="P104" s="1">
        <f>MEDIAN($C104)</f>
        <v>0</v>
      </c>
      <c r="Q104" s="1">
        <f>MEDIAN($D104)</f>
        <v>0</v>
      </c>
      <c r="R104" s="1">
        <f>MEDIAN($E104)</f>
        <v>0</v>
      </c>
      <c r="S104" s="1">
        <f>MEDIAN($G104)</f>
        <v>0</v>
      </c>
      <c r="T104" s="1">
        <f>MEDIAN($H104)</f>
        <v>0</v>
      </c>
      <c r="U104" s="1">
        <f>MAX($B104)</f>
        <v>0</v>
      </c>
      <c r="V104" s="1">
        <f>MAX($C104)</f>
        <v>0</v>
      </c>
      <c r="W104" s="1">
        <f>MAX($D104)</f>
        <v>0</v>
      </c>
      <c r="X104" s="1">
        <f>MAX($E104)</f>
        <v>0</v>
      </c>
      <c r="Y104" s="1">
        <f>MAX($G104)</f>
        <v>0</v>
      </c>
      <c r="Z104" s="1">
        <f>MAX($H104)</f>
        <v>0</v>
      </c>
    </row>
    <row r="105" spans="1:26">
      <c r="A105" s="1" t="s">
        <v>102</v>
      </c>
      <c r="B105" s="1">
        <v>1</v>
      </c>
      <c r="C105" s="1">
        <v>0</v>
      </c>
      <c r="D105" s="1">
        <v>0</v>
      </c>
      <c r="E105" s="1">
        <v>3000</v>
      </c>
      <c r="F105" s="1" t="s">
        <v>374</v>
      </c>
      <c r="G105" s="1">
        <v>1500</v>
      </c>
      <c r="H105" s="1">
        <v>1</v>
      </c>
      <c r="I105" s="1">
        <f>MIN($B105)</f>
        <v>0</v>
      </c>
      <c r="J105" s="1">
        <f>MIN($C105)</f>
        <v>0</v>
      </c>
      <c r="K105" s="1">
        <f>MIN($D105)</f>
        <v>0</v>
      </c>
      <c r="L105" s="1">
        <f>MIN($E105)</f>
        <v>0</v>
      </c>
      <c r="M105" s="1">
        <f>MIN($G105)</f>
        <v>0</v>
      </c>
      <c r="N105" s="1">
        <f>MIN($H105)</f>
        <v>0</v>
      </c>
      <c r="O105" s="1">
        <f>MEDIAN($B105)</f>
        <v>0</v>
      </c>
      <c r="P105" s="1">
        <f>MEDIAN($C105)</f>
        <v>0</v>
      </c>
      <c r="Q105" s="1">
        <f>MEDIAN($D105)</f>
        <v>0</v>
      </c>
      <c r="R105" s="1">
        <f>MEDIAN($E105)</f>
        <v>0</v>
      </c>
      <c r="S105" s="1">
        <f>MEDIAN($G105)</f>
        <v>0</v>
      </c>
      <c r="T105" s="1">
        <f>MEDIAN($H105)</f>
        <v>0</v>
      </c>
      <c r="U105" s="1">
        <f>MAX($B105)</f>
        <v>0</v>
      </c>
      <c r="V105" s="1">
        <f>MAX($C105)</f>
        <v>0</v>
      </c>
      <c r="W105" s="1">
        <f>MAX($D105)</f>
        <v>0</v>
      </c>
      <c r="X105" s="1">
        <f>MAX($E105)</f>
        <v>0</v>
      </c>
      <c r="Y105" s="1">
        <f>MAX($G105)</f>
        <v>0</v>
      </c>
      <c r="Z105" s="1">
        <f>MAX($H105)</f>
        <v>0</v>
      </c>
    </row>
    <row r="106" spans="1:26">
      <c r="A106" s="1" t="s">
        <v>103</v>
      </c>
      <c r="B106" s="1">
        <v>1</v>
      </c>
      <c r="C106" s="1">
        <v>0</v>
      </c>
      <c r="D106" s="1">
        <v>0</v>
      </c>
      <c r="E106" s="1">
        <v>3000</v>
      </c>
      <c r="F106" s="1" t="s">
        <v>374</v>
      </c>
      <c r="G106" s="1">
        <v>1500</v>
      </c>
      <c r="H106" s="1">
        <v>1</v>
      </c>
      <c r="I106" s="1">
        <f>MIN($B106)</f>
        <v>0</v>
      </c>
      <c r="J106" s="1">
        <f>MIN($C106)</f>
        <v>0</v>
      </c>
      <c r="K106" s="1">
        <f>MIN($D106)</f>
        <v>0</v>
      </c>
      <c r="L106" s="1">
        <f>MIN($E106)</f>
        <v>0</v>
      </c>
      <c r="M106" s="1">
        <f>MIN($G106)</f>
        <v>0</v>
      </c>
      <c r="N106" s="1">
        <f>MIN($H106)</f>
        <v>0</v>
      </c>
      <c r="O106" s="1">
        <f>MEDIAN($B106)</f>
        <v>0</v>
      </c>
      <c r="P106" s="1">
        <f>MEDIAN($C106)</f>
        <v>0</v>
      </c>
      <c r="Q106" s="1">
        <f>MEDIAN($D106)</f>
        <v>0</v>
      </c>
      <c r="R106" s="1">
        <f>MEDIAN($E106)</f>
        <v>0</v>
      </c>
      <c r="S106" s="1">
        <f>MEDIAN($G106)</f>
        <v>0</v>
      </c>
      <c r="T106" s="1">
        <f>MEDIAN($H106)</f>
        <v>0</v>
      </c>
      <c r="U106" s="1">
        <f>MAX($B106)</f>
        <v>0</v>
      </c>
      <c r="V106" s="1">
        <f>MAX($C106)</f>
        <v>0</v>
      </c>
      <c r="W106" s="1">
        <f>MAX($D106)</f>
        <v>0</v>
      </c>
      <c r="X106" s="1">
        <f>MAX($E106)</f>
        <v>0</v>
      </c>
      <c r="Y106" s="1">
        <f>MAX($G106)</f>
        <v>0</v>
      </c>
      <c r="Z106" s="1">
        <f>MAX($H106)</f>
        <v>0</v>
      </c>
    </row>
    <row r="107" spans="1:26">
      <c r="A107" s="1" t="s">
        <v>104</v>
      </c>
      <c r="B107" s="1">
        <v>1</v>
      </c>
      <c r="C107" s="1">
        <v>0</v>
      </c>
      <c r="D107" s="1">
        <v>0</v>
      </c>
      <c r="E107" s="1">
        <v>3000</v>
      </c>
      <c r="F107" s="1" t="s">
        <v>374</v>
      </c>
      <c r="G107" s="1">
        <v>1500</v>
      </c>
      <c r="H107" s="1">
        <v>1</v>
      </c>
      <c r="I107" s="1">
        <f>MIN($B107)</f>
        <v>0</v>
      </c>
      <c r="J107" s="1">
        <f>MIN($C107)</f>
        <v>0</v>
      </c>
      <c r="K107" s="1">
        <f>MIN($D107)</f>
        <v>0</v>
      </c>
      <c r="L107" s="1">
        <f>MIN($E107)</f>
        <v>0</v>
      </c>
      <c r="M107" s="1">
        <f>MIN($G107)</f>
        <v>0</v>
      </c>
      <c r="N107" s="1">
        <f>MIN($H107)</f>
        <v>0</v>
      </c>
      <c r="O107" s="1">
        <f>MEDIAN($B107)</f>
        <v>0</v>
      </c>
      <c r="P107" s="1">
        <f>MEDIAN($C107)</f>
        <v>0</v>
      </c>
      <c r="Q107" s="1">
        <f>MEDIAN($D107)</f>
        <v>0</v>
      </c>
      <c r="R107" s="1">
        <f>MEDIAN($E107)</f>
        <v>0</v>
      </c>
      <c r="S107" s="1">
        <f>MEDIAN($G107)</f>
        <v>0</v>
      </c>
      <c r="T107" s="1">
        <f>MEDIAN($H107)</f>
        <v>0</v>
      </c>
      <c r="U107" s="1">
        <f>MAX($B107)</f>
        <v>0</v>
      </c>
      <c r="V107" s="1">
        <f>MAX($C107)</f>
        <v>0</v>
      </c>
      <c r="W107" s="1">
        <f>MAX($D107)</f>
        <v>0</v>
      </c>
      <c r="X107" s="1">
        <f>MAX($E107)</f>
        <v>0</v>
      </c>
      <c r="Y107" s="1">
        <f>MAX($G107)</f>
        <v>0</v>
      </c>
      <c r="Z107" s="1">
        <f>MAX($H107)</f>
        <v>0</v>
      </c>
    </row>
    <row r="108" spans="1:26">
      <c r="A108" s="1" t="s">
        <v>105</v>
      </c>
      <c r="B108" s="1">
        <v>1</v>
      </c>
      <c r="C108" s="1">
        <v>0</v>
      </c>
      <c r="D108" s="1">
        <v>0</v>
      </c>
      <c r="E108" s="1">
        <v>3000</v>
      </c>
      <c r="F108" s="1" t="s">
        <v>374</v>
      </c>
      <c r="G108" s="1">
        <v>1500</v>
      </c>
      <c r="H108" s="1">
        <v>1</v>
      </c>
      <c r="I108" s="1">
        <f>MIN($B108)</f>
        <v>0</v>
      </c>
      <c r="J108" s="1">
        <f>MIN($C108)</f>
        <v>0</v>
      </c>
      <c r="K108" s="1">
        <f>MIN($D108)</f>
        <v>0</v>
      </c>
      <c r="L108" s="1">
        <f>MIN($E108)</f>
        <v>0</v>
      </c>
      <c r="M108" s="1">
        <f>MIN($G108)</f>
        <v>0</v>
      </c>
      <c r="N108" s="1">
        <f>MIN($H108)</f>
        <v>0</v>
      </c>
      <c r="O108" s="1">
        <f>MEDIAN($B108)</f>
        <v>0</v>
      </c>
      <c r="P108" s="1">
        <f>MEDIAN($C108)</f>
        <v>0</v>
      </c>
      <c r="Q108" s="1">
        <f>MEDIAN($D108)</f>
        <v>0</v>
      </c>
      <c r="R108" s="1">
        <f>MEDIAN($E108)</f>
        <v>0</v>
      </c>
      <c r="S108" s="1">
        <f>MEDIAN($G108)</f>
        <v>0</v>
      </c>
      <c r="T108" s="1">
        <f>MEDIAN($H108)</f>
        <v>0</v>
      </c>
      <c r="U108" s="1">
        <f>MAX($B108)</f>
        <v>0</v>
      </c>
      <c r="V108" s="1">
        <f>MAX($C108)</f>
        <v>0</v>
      </c>
      <c r="W108" s="1">
        <f>MAX($D108)</f>
        <v>0</v>
      </c>
      <c r="X108" s="1">
        <f>MAX($E108)</f>
        <v>0</v>
      </c>
      <c r="Y108" s="1">
        <f>MAX($G108)</f>
        <v>0</v>
      </c>
      <c r="Z108" s="1">
        <f>MAX($H108)</f>
        <v>0</v>
      </c>
    </row>
    <row r="109" spans="1:26">
      <c r="A109" s="1" t="s">
        <v>106</v>
      </c>
      <c r="B109" s="1">
        <v>1</v>
      </c>
      <c r="C109" s="1">
        <v>0</v>
      </c>
      <c r="D109" s="1">
        <v>0</v>
      </c>
      <c r="E109" s="1">
        <v>3000</v>
      </c>
      <c r="F109" s="1" t="s">
        <v>374</v>
      </c>
      <c r="G109" s="1">
        <v>1500</v>
      </c>
      <c r="H109" s="1">
        <v>1</v>
      </c>
      <c r="I109" s="1">
        <f>MIN($B109)</f>
        <v>0</v>
      </c>
      <c r="J109" s="1">
        <f>MIN($C109)</f>
        <v>0</v>
      </c>
      <c r="K109" s="1">
        <f>MIN($D109)</f>
        <v>0</v>
      </c>
      <c r="L109" s="1">
        <f>MIN($E109)</f>
        <v>0</v>
      </c>
      <c r="M109" s="1">
        <f>MIN($G109)</f>
        <v>0</v>
      </c>
      <c r="N109" s="1">
        <f>MIN($H109)</f>
        <v>0</v>
      </c>
      <c r="O109" s="1">
        <f>MEDIAN($B109)</f>
        <v>0</v>
      </c>
      <c r="P109" s="1">
        <f>MEDIAN($C109)</f>
        <v>0</v>
      </c>
      <c r="Q109" s="1">
        <f>MEDIAN($D109)</f>
        <v>0</v>
      </c>
      <c r="R109" s="1">
        <f>MEDIAN($E109)</f>
        <v>0</v>
      </c>
      <c r="S109" s="1">
        <f>MEDIAN($G109)</f>
        <v>0</v>
      </c>
      <c r="T109" s="1">
        <f>MEDIAN($H109)</f>
        <v>0</v>
      </c>
      <c r="U109" s="1">
        <f>MAX($B109)</f>
        <v>0</v>
      </c>
      <c r="V109" s="1">
        <f>MAX($C109)</f>
        <v>0</v>
      </c>
      <c r="W109" s="1">
        <f>MAX($D109)</f>
        <v>0</v>
      </c>
      <c r="X109" s="1">
        <f>MAX($E109)</f>
        <v>0</v>
      </c>
      <c r="Y109" s="1">
        <f>MAX($G109)</f>
        <v>0</v>
      </c>
      <c r="Z109" s="1">
        <f>MAX($H109)</f>
        <v>0</v>
      </c>
    </row>
    <row r="110" spans="1:26">
      <c r="A110" s="1" t="s">
        <v>107</v>
      </c>
      <c r="B110" s="1">
        <v>1</v>
      </c>
      <c r="C110" s="1">
        <v>0</v>
      </c>
      <c r="D110" s="1">
        <v>0</v>
      </c>
      <c r="E110" s="1">
        <v>3000</v>
      </c>
      <c r="F110" s="1" t="s">
        <v>374</v>
      </c>
      <c r="G110" s="1">
        <v>1500</v>
      </c>
      <c r="H110" s="1">
        <v>1</v>
      </c>
      <c r="I110" s="1">
        <f>MIN($B110)</f>
        <v>0</v>
      </c>
      <c r="J110" s="1">
        <f>MIN($C110)</f>
        <v>0</v>
      </c>
      <c r="K110" s="1">
        <f>MIN($D110)</f>
        <v>0</v>
      </c>
      <c r="L110" s="1">
        <f>MIN($E110)</f>
        <v>0</v>
      </c>
      <c r="M110" s="1">
        <f>MIN($G110)</f>
        <v>0</v>
      </c>
      <c r="N110" s="1">
        <f>MIN($H110)</f>
        <v>0</v>
      </c>
      <c r="O110" s="1">
        <f>MEDIAN($B110)</f>
        <v>0</v>
      </c>
      <c r="P110" s="1">
        <f>MEDIAN($C110)</f>
        <v>0</v>
      </c>
      <c r="Q110" s="1">
        <f>MEDIAN($D110)</f>
        <v>0</v>
      </c>
      <c r="R110" s="1">
        <f>MEDIAN($E110)</f>
        <v>0</v>
      </c>
      <c r="S110" s="1">
        <f>MEDIAN($G110)</f>
        <v>0</v>
      </c>
      <c r="T110" s="1">
        <f>MEDIAN($H110)</f>
        <v>0</v>
      </c>
      <c r="U110" s="1">
        <f>MAX($B110)</f>
        <v>0</v>
      </c>
      <c r="V110" s="1">
        <f>MAX($C110)</f>
        <v>0</v>
      </c>
      <c r="W110" s="1">
        <f>MAX($D110)</f>
        <v>0</v>
      </c>
      <c r="X110" s="1">
        <f>MAX($E110)</f>
        <v>0</v>
      </c>
      <c r="Y110" s="1">
        <f>MAX($G110)</f>
        <v>0</v>
      </c>
      <c r="Z110" s="1">
        <f>MAX($H110)</f>
        <v>0</v>
      </c>
    </row>
    <row r="111" spans="1:26">
      <c r="A111" s="1" t="s">
        <v>108</v>
      </c>
      <c r="B111" s="1">
        <v>1</v>
      </c>
      <c r="C111" s="1">
        <v>0</v>
      </c>
      <c r="D111" s="1">
        <v>0</v>
      </c>
      <c r="E111" s="1">
        <v>3000</v>
      </c>
      <c r="F111" s="1" t="s">
        <v>374</v>
      </c>
      <c r="G111" s="1">
        <v>1500</v>
      </c>
      <c r="H111" s="1">
        <v>1</v>
      </c>
      <c r="I111" s="1">
        <f>MIN($B111)</f>
        <v>0</v>
      </c>
      <c r="J111" s="1">
        <f>MIN($C111)</f>
        <v>0</v>
      </c>
      <c r="K111" s="1">
        <f>MIN($D111)</f>
        <v>0</v>
      </c>
      <c r="L111" s="1">
        <f>MIN($E111)</f>
        <v>0</v>
      </c>
      <c r="M111" s="1">
        <f>MIN($G111)</f>
        <v>0</v>
      </c>
      <c r="N111" s="1">
        <f>MIN($H111)</f>
        <v>0</v>
      </c>
      <c r="O111" s="1">
        <f>MEDIAN($B111)</f>
        <v>0</v>
      </c>
      <c r="P111" s="1">
        <f>MEDIAN($C111)</f>
        <v>0</v>
      </c>
      <c r="Q111" s="1">
        <f>MEDIAN($D111)</f>
        <v>0</v>
      </c>
      <c r="R111" s="1">
        <f>MEDIAN($E111)</f>
        <v>0</v>
      </c>
      <c r="S111" s="1">
        <f>MEDIAN($G111)</f>
        <v>0</v>
      </c>
      <c r="T111" s="1">
        <f>MEDIAN($H111)</f>
        <v>0</v>
      </c>
      <c r="U111" s="1">
        <f>MAX($B111)</f>
        <v>0</v>
      </c>
      <c r="V111" s="1">
        <f>MAX($C111)</f>
        <v>0</v>
      </c>
      <c r="W111" s="1">
        <f>MAX($D111)</f>
        <v>0</v>
      </c>
      <c r="X111" s="1">
        <f>MAX($E111)</f>
        <v>0</v>
      </c>
      <c r="Y111" s="1">
        <f>MAX($G111)</f>
        <v>0</v>
      </c>
      <c r="Z111" s="1">
        <f>MAX($H111)</f>
        <v>0</v>
      </c>
    </row>
    <row r="112" spans="1:26">
      <c r="A112" s="1" t="s">
        <v>109</v>
      </c>
      <c r="B112" s="1">
        <v>1</v>
      </c>
      <c r="C112" s="1">
        <v>0</v>
      </c>
      <c r="D112" s="1">
        <v>0</v>
      </c>
      <c r="E112" s="1">
        <v>3000</v>
      </c>
      <c r="F112" s="1" t="s">
        <v>374</v>
      </c>
      <c r="G112" s="1">
        <v>1500</v>
      </c>
      <c r="H112" s="1">
        <v>1</v>
      </c>
      <c r="I112" s="1">
        <f>MIN($B112)</f>
        <v>0</v>
      </c>
      <c r="J112" s="1">
        <f>MIN($C112)</f>
        <v>0</v>
      </c>
      <c r="K112" s="1">
        <f>MIN($D112)</f>
        <v>0</v>
      </c>
      <c r="L112" s="1">
        <f>MIN($E112)</f>
        <v>0</v>
      </c>
      <c r="M112" s="1">
        <f>MIN($G112)</f>
        <v>0</v>
      </c>
      <c r="N112" s="1">
        <f>MIN($H112)</f>
        <v>0</v>
      </c>
      <c r="O112" s="1">
        <f>MEDIAN($B112)</f>
        <v>0</v>
      </c>
      <c r="P112" s="1">
        <f>MEDIAN($C112)</f>
        <v>0</v>
      </c>
      <c r="Q112" s="1">
        <f>MEDIAN($D112)</f>
        <v>0</v>
      </c>
      <c r="R112" s="1">
        <f>MEDIAN($E112)</f>
        <v>0</v>
      </c>
      <c r="S112" s="1">
        <f>MEDIAN($G112)</f>
        <v>0</v>
      </c>
      <c r="T112" s="1">
        <f>MEDIAN($H112)</f>
        <v>0</v>
      </c>
      <c r="U112" s="1">
        <f>MAX($B112)</f>
        <v>0</v>
      </c>
      <c r="V112" s="1">
        <f>MAX($C112)</f>
        <v>0</v>
      </c>
      <c r="W112" s="1">
        <f>MAX($D112)</f>
        <v>0</v>
      </c>
      <c r="X112" s="1">
        <f>MAX($E112)</f>
        <v>0</v>
      </c>
      <c r="Y112" s="1">
        <f>MAX($G112)</f>
        <v>0</v>
      </c>
      <c r="Z112" s="1">
        <f>MAX($H112)</f>
        <v>0</v>
      </c>
    </row>
    <row r="113" spans="1:26">
      <c r="A113" s="1" t="s">
        <v>110</v>
      </c>
      <c r="B113" s="1">
        <v>1</v>
      </c>
      <c r="C113" s="1">
        <v>0</v>
      </c>
      <c r="D113" s="1">
        <v>0</v>
      </c>
      <c r="E113" s="1">
        <v>3000</v>
      </c>
      <c r="F113" s="1" t="s">
        <v>374</v>
      </c>
      <c r="G113" s="1">
        <v>1500</v>
      </c>
      <c r="H113" s="1">
        <v>1</v>
      </c>
      <c r="I113" s="1">
        <f>MIN($B113)</f>
        <v>0</v>
      </c>
      <c r="J113" s="1">
        <f>MIN($C113)</f>
        <v>0</v>
      </c>
      <c r="K113" s="1">
        <f>MIN($D113)</f>
        <v>0</v>
      </c>
      <c r="L113" s="1">
        <f>MIN($E113)</f>
        <v>0</v>
      </c>
      <c r="M113" s="1">
        <f>MIN($G113)</f>
        <v>0</v>
      </c>
      <c r="N113" s="1">
        <f>MIN($H113)</f>
        <v>0</v>
      </c>
      <c r="O113" s="1">
        <f>MEDIAN($B113)</f>
        <v>0</v>
      </c>
      <c r="P113" s="1">
        <f>MEDIAN($C113)</f>
        <v>0</v>
      </c>
      <c r="Q113" s="1">
        <f>MEDIAN($D113)</f>
        <v>0</v>
      </c>
      <c r="R113" s="1">
        <f>MEDIAN($E113)</f>
        <v>0</v>
      </c>
      <c r="S113" s="1">
        <f>MEDIAN($G113)</f>
        <v>0</v>
      </c>
      <c r="T113" s="1">
        <f>MEDIAN($H113)</f>
        <v>0</v>
      </c>
      <c r="U113" s="1">
        <f>MAX($B113)</f>
        <v>0</v>
      </c>
      <c r="V113" s="1">
        <f>MAX($C113)</f>
        <v>0</v>
      </c>
      <c r="W113" s="1">
        <f>MAX($D113)</f>
        <v>0</v>
      </c>
      <c r="X113" s="1">
        <f>MAX($E113)</f>
        <v>0</v>
      </c>
      <c r="Y113" s="1">
        <f>MAX($G113)</f>
        <v>0</v>
      </c>
      <c r="Z113" s="1">
        <f>MAX($H113)</f>
        <v>0</v>
      </c>
    </row>
    <row r="114" spans="1:26">
      <c r="A114" s="1" t="s">
        <v>111</v>
      </c>
      <c r="B114" s="1">
        <v>1</v>
      </c>
      <c r="C114" s="1">
        <v>0</v>
      </c>
      <c r="D114" s="1">
        <v>0</v>
      </c>
      <c r="E114" s="1">
        <v>3000</v>
      </c>
      <c r="F114" s="1" t="s">
        <v>374</v>
      </c>
      <c r="G114" s="1">
        <v>1500</v>
      </c>
      <c r="H114" s="1">
        <v>1</v>
      </c>
      <c r="I114" s="1">
        <f>MIN($B114)</f>
        <v>0</v>
      </c>
      <c r="J114" s="1">
        <f>MIN($C114)</f>
        <v>0</v>
      </c>
      <c r="K114" s="1">
        <f>MIN($D114)</f>
        <v>0</v>
      </c>
      <c r="L114" s="1">
        <f>MIN($E114)</f>
        <v>0</v>
      </c>
      <c r="M114" s="1">
        <f>MIN($G114)</f>
        <v>0</v>
      </c>
      <c r="N114" s="1">
        <f>MIN($H114)</f>
        <v>0</v>
      </c>
      <c r="O114" s="1">
        <f>MEDIAN($B114)</f>
        <v>0</v>
      </c>
      <c r="P114" s="1">
        <f>MEDIAN($C114)</f>
        <v>0</v>
      </c>
      <c r="Q114" s="1">
        <f>MEDIAN($D114)</f>
        <v>0</v>
      </c>
      <c r="R114" s="1">
        <f>MEDIAN($E114)</f>
        <v>0</v>
      </c>
      <c r="S114" s="1">
        <f>MEDIAN($G114)</f>
        <v>0</v>
      </c>
      <c r="T114" s="1">
        <f>MEDIAN($H114)</f>
        <v>0</v>
      </c>
      <c r="U114" s="1">
        <f>MAX($B114)</f>
        <v>0</v>
      </c>
      <c r="V114" s="1">
        <f>MAX($C114)</f>
        <v>0</v>
      </c>
      <c r="W114" s="1">
        <f>MAX($D114)</f>
        <v>0</v>
      </c>
      <c r="X114" s="1">
        <f>MAX($E114)</f>
        <v>0</v>
      </c>
      <c r="Y114" s="1">
        <f>MAX($G114)</f>
        <v>0</v>
      </c>
      <c r="Z114" s="1">
        <f>MAX($H114)</f>
        <v>0</v>
      </c>
    </row>
    <row r="115" spans="1:26">
      <c r="A115" s="1" t="s">
        <v>112</v>
      </c>
      <c r="B115" s="1">
        <v>1</v>
      </c>
      <c r="C115" s="1">
        <v>0</v>
      </c>
      <c r="D115" s="1">
        <v>0</v>
      </c>
      <c r="E115" s="1">
        <v>3000</v>
      </c>
      <c r="F115" s="1" t="s">
        <v>374</v>
      </c>
      <c r="G115" s="1">
        <v>1500</v>
      </c>
      <c r="H115" s="1">
        <v>1</v>
      </c>
      <c r="I115" s="1">
        <f>MIN($B115)</f>
        <v>0</v>
      </c>
      <c r="J115" s="1">
        <f>MIN($C115)</f>
        <v>0</v>
      </c>
      <c r="K115" s="1">
        <f>MIN($D115)</f>
        <v>0</v>
      </c>
      <c r="L115" s="1">
        <f>MIN($E115)</f>
        <v>0</v>
      </c>
      <c r="M115" s="1">
        <f>MIN($G115)</f>
        <v>0</v>
      </c>
      <c r="N115" s="1">
        <f>MIN($H115)</f>
        <v>0</v>
      </c>
      <c r="O115" s="1">
        <f>MEDIAN($B115)</f>
        <v>0</v>
      </c>
      <c r="P115" s="1">
        <f>MEDIAN($C115)</f>
        <v>0</v>
      </c>
      <c r="Q115" s="1">
        <f>MEDIAN($D115)</f>
        <v>0</v>
      </c>
      <c r="R115" s="1">
        <f>MEDIAN($E115)</f>
        <v>0</v>
      </c>
      <c r="S115" s="1">
        <f>MEDIAN($G115)</f>
        <v>0</v>
      </c>
      <c r="T115" s="1">
        <f>MEDIAN($H115)</f>
        <v>0</v>
      </c>
      <c r="U115" s="1">
        <f>MAX($B115)</f>
        <v>0</v>
      </c>
      <c r="V115" s="1">
        <f>MAX($C115)</f>
        <v>0</v>
      </c>
      <c r="W115" s="1">
        <f>MAX($D115)</f>
        <v>0</v>
      </c>
      <c r="X115" s="1">
        <f>MAX($E115)</f>
        <v>0</v>
      </c>
      <c r="Y115" s="1">
        <f>MAX($G115)</f>
        <v>0</v>
      </c>
      <c r="Z115" s="1">
        <f>MAX($H115)</f>
        <v>0</v>
      </c>
    </row>
    <row r="116" spans="1:26">
      <c r="A116" s="1" t="s">
        <v>113</v>
      </c>
      <c r="B116" s="1">
        <v>1</v>
      </c>
      <c r="C116" s="1">
        <v>0</v>
      </c>
      <c r="D116" s="1">
        <v>0</v>
      </c>
      <c r="E116" s="1">
        <v>3000</v>
      </c>
      <c r="F116" s="1" t="s">
        <v>374</v>
      </c>
      <c r="G116" s="1">
        <v>1500</v>
      </c>
      <c r="H116" s="1">
        <v>1</v>
      </c>
      <c r="I116" s="1">
        <f>MIN($B116)</f>
        <v>0</v>
      </c>
      <c r="J116" s="1">
        <f>MIN($C116)</f>
        <v>0</v>
      </c>
      <c r="K116" s="1">
        <f>MIN($D116)</f>
        <v>0</v>
      </c>
      <c r="L116" s="1">
        <f>MIN($E116)</f>
        <v>0</v>
      </c>
      <c r="M116" s="1">
        <f>MIN($G116)</f>
        <v>0</v>
      </c>
      <c r="N116" s="1">
        <f>MIN($H116)</f>
        <v>0</v>
      </c>
      <c r="O116" s="1">
        <f>MEDIAN($B116)</f>
        <v>0</v>
      </c>
      <c r="P116" s="1">
        <f>MEDIAN($C116)</f>
        <v>0</v>
      </c>
      <c r="Q116" s="1">
        <f>MEDIAN($D116)</f>
        <v>0</v>
      </c>
      <c r="R116" s="1">
        <f>MEDIAN($E116)</f>
        <v>0</v>
      </c>
      <c r="S116" s="1">
        <f>MEDIAN($G116)</f>
        <v>0</v>
      </c>
      <c r="T116" s="1">
        <f>MEDIAN($H116)</f>
        <v>0</v>
      </c>
      <c r="U116" s="1">
        <f>MAX($B116)</f>
        <v>0</v>
      </c>
      <c r="V116" s="1">
        <f>MAX($C116)</f>
        <v>0</v>
      </c>
      <c r="W116" s="1">
        <f>MAX($D116)</f>
        <v>0</v>
      </c>
      <c r="X116" s="1">
        <f>MAX($E116)</f>
        <v>0</v>
      </c>
      <c r="Y116" s="1">
        <f>MAX($G116)</f>
        <v>0</v>
      </c>
      <c r="Z116" s="1">
        <f>MAX($H116)</f>
        <v>0</v>
      </c>
    </row>
    <row r="117" spans="1:26">
      <c r="A117" s="1" t="s">
        <v>114</v>
      </c>
      <c r="B117" s="1">
        <v>1</v>
      </c>
      <c r="C117" s="1">
        <v>0</v>
      </c>
      <c r="D117" s="1">
        <v>0</v>
      </c>
      <c r="E117" s="1">
        <v>3000</v>
      </c>
      <c r="F117" s="1" t="s">
        <v>374</v>
      </c>
      <c r="G117" s="1">
        <v>1500</v>
      </c>
      <c r="H117" s="1">
        <v>1</v>
      </c>
      <c r="I117" s="1">
        <f>MIN($B117)</f>
        <v>0</v>
      </c>
      <c r="J117" s="1">
        <f>MIN($C117)</f>
        <v>0</v>
      </c>
      <c r="K117" s="1">
        <f>MIN($D117)</f>
        <v>0</v>
      </c>
      <c r="L117" s="1">
        <f>MIN($E117)</f>
        <v>0</v>
      </c>
      <c r="M117" s="1">
        <f>MIN($G117)</f>
        <v>0</v>
      </c>
      <c r="N117" s="1">
        <f>MIN($H117)</f>
        <v>0</v>
      </c>
      <c r="O117" s="1">
        <f>MEDIAN($B117)</f>
        <v>0</v>
      </c>
      <c r="P117" s="1">
        <f>MEDIAN($C117)</f>
        <v>0</v>
      </c>
      <c r="Q117" s="1">
        <f>MEDIAN($D117)</f>
        <v>0</v>
      </c>
      <c r="R117" s="1">
        <f>MEDIAN($E117)</f>
        <v>0</v>
      </c>
      <c r="S117" s="1">
        <f>MEDIAN($G117)</f>
        <v>0</v>
      </c>
      <c r="T117" s="1">
        <f>MEDIAN($H117)</f>
        <v>0</v>
      </c>
      <c r="U117" s="1">
        <f>MAX($B117)</f>
        <v>0</v>
      </c>
      <c r="V117" s="1">
        <f>MAX($C117)</f>
        <v>0</v>
      </c>
      <c r="W117" s="1">
        <f>MAX($D117)</f>
        <v>0</v>
      </c>
      <c r="X117" s="1">
        <f>MAX($E117)</f>
        <v>0</v>
      </c>
      <c r="Y117" s="1">
        <f>MAX($G117)</f>
        <v>0</v>
      </c>
      <c r="Z117" s="1">
        <f>MAX($H117)</f>
        <v>0</v>
      </c>
    </row>
    <row r="118" spans="1:26">
      <c r="A118" s="1" t="s">
        <v>115</v>
      </c>
      <c r="B118" s="1">
        <v>1</v>
      </c>
      <c r="C118" s="1">
        <v>0</v>
      </c>
      <c r="D118" s="1">
        <v>0</v>
      </c>
      <c r="E118" s="1">
        <v>3000</v>
      </c>
      <c r="F118" s="1" t="s">
        <v>374</v>
      </c>
      <c r="G118" s="1">
        <v>1500</v>
      </c>
      <c r="H118" s="1">
        <v>1</v>
      </c>
      <c r="I118" s="1">
        <f>MIN($B118)</f>
        <v>0</v>
      </c>
      <c r="J118" s="1">
        <f>MIN($C118)</f>
        <v>0</v>
      </c>
      <c r="K118" s="1">
        <f>MIN($D118)</f>
        <v>0</v>
      </c>
      <c r="L118" s="1">
        <f>MIN($E118)</f>
        <v>0</v>
      </c>
      <c r="M118" s="1">
        <f>MIN($G118)</f>
        <v>0</v>
      </c>
      <c r="N118" s="1">
        <f>MIN($H118)</f>
        <v>0</v>
      </c>
      <c r="O118" s="1">
        <f>MEDIAN($B118)</f>
        <v>0</v>
      </c>
      <c r="P118" s="1">
        <f>MEDIAN($C118)</f>
        <v>0</v>
      </c>
      <c r="Q118" s="1">
        <f>MEDIAN($D118)</f>
        <v>0</v>
      </c>
      <c r="R118" s="1">
        <f>MEDIAN($E118)</f>
        <v>0</v>
      </c>
      <c r="S118" s="1">
        <f>MEDIAN($G118)</f>
        <v>0</v>
      </c>
      <c r="T118" s="1">
        <f>MEDIAN($H118)</f>
        <v>0</v>
      </c>
      <c r="U118" s="1">
        <f>MAX($B118)</f>
        <v>0</v>
      </c>
      <c r="V118" s="1">
        <f>MAX($C118)</f>
        <v>0</v>
      </c>
      <c r="W118" s="1">
        <f>MAX($D118)</f>
        <v>0</v>
      </c>
      <c r="X118" s="1">
        <f>MAX($E118)</f>
        <v>0</v>
      </c>
      <c r="Y118" s="1">
        <f>MAX($G118)</f>
        <v>0</v>
      </c>
      <c r="Z118" s="1">
        <f>MAX($H118)</f>
        <v>0</v>
      </c>
    </row>
    <row r="119" spans="1:26">
      <c r="A119" s="1" t="s">
        <v>116</v>
      </c>
      <c r="B119" s="1">
        <v>1</v>
      </c>
      <c r="C119" s="1">
        <v>0</v>
      </c>
      <c r="D119" s="1">
        <v>0</v>
      </c>
      <c r="E119" s="1">
        <v>3000</v>
      </c>
      <c r="F119" s="1" t="s">
        <v>374</v>
      </c>
      <c r="G119" s="1">
        <v>1500</v>
      </c>
      <c r="H119" s="1">
        <v>1</v>
      </c>
      <c r="I119" s="1">
        <f>MIN($B119)</f>
        <v>0</v>
      </c>
      <c r="J119" s="1">
        <f>MIN($C119)</f>
        <v>0</v>
      </c>
      <c r="K119" s="1">
        <f>MIN($D119)</f>
        <v>0</v>
      </c>
      <c r="L119" s="1">
        <f>MIN($E119)</f>
        <v>0</v>
      </c>
      <c r="M119" s="1">
        <f>MIN($G119)</f>
        <v>0</v>
      </c>
      <c r="N119" s="1">
        <f>MIN($H119)</f>
        <v>0</v>
      </c>
      <c r="O119" s="1">
        <f>MEDIAN($B119)</f>
        <v>0</v>
      </c>
      <c r="P119" s="1">
        <f>MEDIAN($C119)</f>
        <v>0</v>
      </c>
      <c r="Q119" s="1">
        <f>MEDIAN($D119)</f>
        <v>0</v>
      </c>
      <c r="R119" s="1">
        <f>MEDIAN($E119)</f>
        <v>0</v>
      </c>
      <c r="S119" s="1">
        <f>MEDIAN($G119)</f>
        <v>0</v>
      </c>
      <c r="T119" s="1">
        <f>MEDIAN($H119)</f>
        <v>0</v>
      </c>
      <c r="U119" s="1">
        <f>MAX($B119)</f>
        <v>0</v>
      </c>
      <c r="V119" s="1">
        <f>MAX($C119)</f>
        <v>0</v>
      </c>
      <c r="W119" s="1">
        <f>MAX($D119)</f>
        <v>0</v>
      </c>
      <c r="X119" s="1">
        <f>MAX($E119)</f>
        <v>0</v>
      </c>
      <c r="Y119" s="1">
        <f>MAX($G119)</f>
        <v>0</v>
      </c>
      <c r="Z119" s="1">
        <f>MAX($H119)</f>
        <v>0</v>
      </c>
    </row>
    <row r="120" spans="1:26">
      <c r="A120" s="1" t="s">
        <v>117</v>
      </c>
      <c r="B120" s="1">
        <v>1</v>
      </c>
      <c r="C120" s="1">
        <v>0</v>
      </c>
      <c r="D120" s="1">
        <v>0</v>
      </c>
      <c r="E120" s="1">
        <v>3000</v>
      </c>
      <c r="F120" s="1" t="s">
        <v>374</v>
      </c>
      <c r="G120" s="1">
        <v>1500</v>
      </c>
      <c r="H120" s="1">
        <v>1</v>
      </c>
      <c r="I120" s="1">
        <f>MIN($B120)</f>
        <v>0</v>
      </c>
      <c r="J120" s="1">
        <f>MIN($C120)</f>
        <v>0</v>
      </c>
      <c r="K120" s="1">
        <f>MIN($D120)</f>
        <v>0</v>
      </c>
      <c r="L120" s="1">
        <f>MIN($E120)</f>
        <v>0</v>
      </c>
      <c r="M120" s="1">
        <f>MIN($G120)</f>
        <v>0</v>
      </c>
      <c r="N120" s="1">
        <f>MIN($H120)</f>
        <v>0</v>
      </c>
      <c r="O120" s="1">
        <f>MEDIAN($B120)</f>
        <v>0</v>
      </c>
      <c r="P120" s="1">
        <f>MEDIAN($C120)</f>
        <v>0</v>
      </c>
      <c r="Q120" s="1">
        <f>MEDIAN($D120)</f>
        <v>0</v>
      </c>
      <c r="R120" s="1">
        <f>MEDIAN($E120)</f>
        <v>0</v>
      </c>
      <c r="S120" s="1">
        <f>MEDIAN($G120)</f>
        <v>0</v>
      </c>
      <c r="T120" s="1">
        <f>MEDIAN($H120)</f>
        <v>0</v>
      </c>
      <c r="U120" s="1">
        <f>MAX($B120)</f>
        <v>0</v>
      </c>
      <c r="V120" s="1">
        <f>MAX($C120)</f>
        <v>0</v>
      </c>
      <c r="W120" s="1">
        <f>MAX($D120)</f>
        <v>0</v>
      </c>
      <c r="X120" s="1">
        <f>MAX($E120)</f>
        <v>0</v>
      </c>
      <c r="Y120" s="1">
        <f>MAX($G120)</f>
        <v>0</v>
      </c>
      <c r="Z120" s="1">
        <f>MAX($H120)</f>
        <v>0</v>
      </c>
    </row>
    <row r="121" spans="1:26">
      <c r="A121" s="1" t="s">
        <v>118</v>
      </c>
      <c r="B121" s="1">
        <v>1</v>
      </c>
      <c r="C121" s="1">
        <v>0</v>
      </c>
      <c r="D121" s="1">
        <v>0</v>
      </c>
      <c r="E121" s="1">
        <v>3000</v>
      </c>
      <c r="F121" s="1" t="s">
        <v>374</v>
      </c>
      <c r="G121" s="1">
        <v>1500</v>
      </c>
      <c r="H121" s="1">
        <v>1</v>
      </c>
      <c r="I121" s="1">
        <f>MIN($B121)</f>
        <v>0</v>
      </c>
      <c r="J121" s="1">
        <f>MIN($C121)</f>
        <v>0</v>
      </c>
      <c r="K121" s="1">
        <f>MIN($D121)</f>
        <v>0</v>
      </c>
      <c r="L121" s="1">
        <f>MIN($E121)</f>
        <v>0</v>
      </c>
      <c r="M121" s="1">
        <f>MIN($G121)</f>
        <v>0</v>
      </c>
      <c r="N121" s="1">
        <f>MIN($H121)</f>
        <v>0</v>
      </c>
      <c r="O121" s="1">
        <f>MEDIAN($B121)</f>
        <v>0</v>
      </c>
      <c r="P121" s="1">
        <f>MEDIAN($C121)</f>
        <v>0</v>
      </c>
      <c r="Q121" s="1">
        <f>MEDIAN($D121)</f>
        <v>0</v>
      </c>
      <c r="R121" s="1">
        <f>MEDIAN($E121)</f>
        <v>0</v>
      </c>
      <c r="S121" s="1">
        <f>MEDIAN($G121)</f>
        <v>0</v>
      </c>
      <c r="T121" s="1">
        <f>MEDIAN($H121)</f>
        <v>0</v>
      </c>
      <c r="U121" s="1">
        <f>MAX($B121)</f>
        <v>0</v>
      </c>
      <c r="V121" s="1">
        <f>MAX($C121)</f>
        <v>0</v>
      </c>
      <c r="W121" s="1">
        <f>MAX($D121)</f>
        <v>0</v>
      </c>
      <c r="X121" s="1">
        <f>MAX($E121)</f>
        <v>0</v>
      </c>
      <c r="Y121" s="1">
        <f>MAX($G121)</f>
        <v>0</v>
      </c>
      <c r="Z121" s="1">
        <f>MAX($H121)</f>
        <v>0</v>
      </c>
    </row>
    <row r="122" spans="1:26">
      <c r="A122" s="1" t="s">
        <v>119</v>
      </c>
      <c r="B122" s="1">
        <v>1</v>
      </c>
      <c r="C122" s="1">
        <v>0</v>
      </c>
      <c r="D122" s="1">
        <v>0</v>
      </c>
      <c r="E122" s="1">
        <v>3000</v>
      </c>
      <c r="F122" s="1" t="s">
        <v>374</v>
      </c>
      <c r="G122" s="1">
        <v>1500</v>
      </c>
      <c r="H122" s="1">
        <v>1</v>
      </c>
      <c r="I122" s="1">
        <f>MIN($B122)</f>
        <v>0</v>
      </c>
      <c r="J122" s="1">
        <f>MIN($C122)</f>
        <v>0</v>
      </c>
      <c r="K122" s="1">
        <f>MIN($D122)</f>
        <v>0</v>
      </c>
      <c r="L122" s="1">
        <f>MIN($E122)</f>
        <v>0</v>
      </c>
      <c r="M122" s="1">
        <f>MIN($G122)</f>
        <v>0</v>
      </c>
      <c r="N122" s="1">
        <f>MIN($H122)</f>
        <v>0</v>
      </c>
      <c r="O122" s="1">
        <f>MEDIAN($B122)</f>
        <v>0</v>
      </c>
      <c r="P122" s="1">
        <f>MEDIAN($C122)</f>
        <v>0</v>
      </c>
      <c r="Q122" s="1">
        <f>MEDIAN($D122)</f>
        <v>0</v>
      </c>
      <c r="R122" s="1">
        <f>MEDIAN($E122)</f>
        <v>0</v>
      </c>
      <c r="S122" s="1">
        <f>MEDIAN($G122)</f>
        <v>0</v>
      </c>
      <c r="T122" s="1">
        <f>MEDIAN($H122)</f>
        <v>0</v>
      </c>
      <c r="U122" s="1">
        <f>MAX($B122)</f>
        <v>0</v>
      </c>
      <c r="V122" s="1">
        <f>MAX($C122)</f>
        <v>0</v>
      </c>
      <c r="W122" s="1">
        <f>MAX($D122)</f>
        <v>0</v>
      </c>
      <c r="X122" s="1">
        <f>MAX($E122)</f>
        <v>0</v>
      </c>
      <c r="Y122" s="1">
        <f>MAX($G122)</f>
        <v>0</v>
      </c>
      <c r="Z122" s="1">
        <f>MAX($H122)</f>
        <v>0</v>
      </c>
    </row>
    <row r="123" spans="1:26">
      <c r="A123" s="1" t="s">
        <v>120</v>
      </c>
      <c r="B123" s="1">
        <v>1</v>
      </c>
      <c r="C123" s="1">
        <v>0</v>
      </c>
      <c r="D123" s="1">
        <v>0</v>
      </c>
      <c r="E123" s="1">
        <v>3000</v>
      </c>
      <c r="F123" s="1" t="s">
        <v>374</v>
      </c>
      <c r="G123" s="1">
        <v>1500</v>
      </c>
      <c r="H123" s="1">
        <v>1</v>
      </c>
      <c r="I123" s="1">
        <f>MIN($B123)</f>
        <v>0</v>
      </c>
      <c r="J123" s="1">
        <f>MIN($C123)</f>
        <v>0</v>
      </c>
      <c r="K123" s="1">
        <f>MIN($D123)</f>
        <v>0</v>
      </c>
      <c r="L123" s="1">
        <f>MIN($E123)</f>
        <v>0</v>
      </c>
      <c r="M123" s="1">
        <f>MIN($G123)</f>
        <v>0</v>
      </c>
      <c r="N123" s="1">
        <f>MIN($H123)</f>
        <v>0</v>
      </c>
      <c r="O123" s="1">
        <f>MEDIAN($B123)</f>
        <v>0</v>
      </c>
      <c r="P123" s="1">
        <f>MEDIAN($C123)</f>
        <v>0</v>
      </c>
      <c r="Q123" s="1">
        <f>MEDIAN($D123)</f>
        <v>0</v>
      </c>
      <c r="R123" s="1">
        <f>MEDIAN($E123)</f>
        <v>0</v>
      </c>
      <c r="S123" s="1">
        <f>MEDIAN($G123)</f>
        <v>0</v>
      </c>
      <c r="T123" s="1">
        <f>MEDIAN($H123)</f>
        <v>0</v>
      </c>
      <c r="U123" s="1">
        <f>MAX($B123)</f>
        <v>0</v>
      </c>
      <c r="V123" s="1">
        <f>MAX($C123)</f>
        <v>0</v>
      </c>
      <c r="W123" s="1">
        <f>MAX($D123)</f>
        <v>0</v>
      </c>
      <c r="X123" s="1">
        <f>MAX($E123)</f>
        <v>0</v>
      </c>
      <c r="Y123" s="1">
        <f>MAX($G123)</f>
        <v>0</v>
      </c>
      <c r="Z123" s="1">
        <f>MAX($H123)</f>
        <v>0</v>
      </c>
    </row>
    <row r="124" spans="1:26">
      <c r="A124" s="1" t="s">
        <v>121</v>
      </c>
      <c r="B124" s="1">
        <v>1</v>
      </c>
      <c r="C124" s="1">
        <v>0</v>
      </c>
      <c r="D124" s="1">
        <v>0</v>
      </c>
      <c r="E124" s="1">
        <v>3000</v>
      </c>
      <c r="F124" s="1" t="s">
        <v>374</v>
      </c>
      <c r="G124" s="1">
        <v>1500</v>
      </c>
      <c r="H124" s="1">
        <v>1</v>
      </c>
      <c r="I124" s="1">
        <f>MIN($B124)</f>
        <v>0</v>
      </c>
      <c r="J124" s="1">
        <f>MIN($C124)</f>
        <v>0</v>
      </c>
      <c r="K124" s="1">
        <f>MIN($D124)</f>
        <v>0</v>
      </c>
      <c r="L124" s="1">
        <f>MIN($E124)</f>
        <v>0</v>
      </c>
      <c r="M124" s="1">
        <f>MIN($G124)</f>
        <v>0</v>
      </c>
      <c r="N124" s="1">
        <f>MIN($H124)</f>
        <v>0</v>
      </c>
      <c r="O124" s="1">
        <f>MEDIAN($B124)</f>
        <v>0</v>
      </c>
      <c r="P124" s="1">
        <f>MEDIAN($C124)</f>
        <v>0</v>
      </c>
      <c r="Q124" s="1">
        <f>MEDIAN($D124)</f>
        <v>0</v>
      </c>
      <c r="R124" s="1">
        <f>MEDIAN($E124)</f>
        <v>0</v>
      </c>
      <c r="S124" s="1">
        <f>MEDIAN($G124)</f>
        <v>0</v>
      </c>
      <c r="T124" s="1">
        <f>MEDIAN($H124)</f>
        <v>0</v>
      </c>
      <c r="U124" s="1">
        <f>MAX($B124)</f>
        <v>0</v>
      </c>
      <c r="V124" s="1">
        <f>MAX($C124)</f>
        <v>0</v>
      </c>
      <c r="W124" s="1">
        <f>MAX($D124)</f>
        <v>0</v>
      </c>
      <c r="X124" s="1">
        <f>MAX($E124)</f>
        <v>0</v>
      </c>
      <c r="Y124" s="1">
        <f>MAX($G124)</f>
        <v>0</v>
      </c>
      <c r="Z124" s="1">
        <f>MAX($H124)</f>
        <v>0</v>
      </c>
    </row>
    <row r="125" spans="1:26">
      <c r="A125" s="1" t="s">
        <v>122</v>
      </c>
      <c r="B125" s="1">
        <v>1</v>
      </c>
      <c r="C125" s="1">
        <v>0</v>
      </c>
      <c r="D125" s="1">
        <v>0</v>
      </c>
      <c r="E125" s="1">
        <v>3000</v>
      </c>
      <c r="F125" s="1" t="s">
        <v>374</v>
      </c>
      <c r="G125" s="1">
        <v>1500</v>
      </c>
      <c r="H125" s="1">
        <v>1</v>
      </c>
      <c r="I125" s="1">
        <f>MIN($B125)</f>
        <v>0</v>
      </c>
      <c r="J125" s="1">
        <f>MIN($C125)</f>
        <v>0</v>
      </c>
      <c r="K125" s="1">
        <f>MIN($D125)</f>
        <v>0</v>
      </c>
      <c r="L125" s="1">
        <f>MIN($E125)</f>
        <v>0</v>
      </c>
      <c r="M125" s="1">
        <f>MIN($G125)</f>
        <v>0</v>
      </c>
      <c r="N125" s="1">
        <f>MIN($H125)</f>
        <v>0</v>
      </c>
      <c r="O125" s="1">
        <f>MEDIAN($B125)</f>
        <v>0</v>
      </c>
      <c r="P125" s="1">
        <f>MEDIAN($C125)</f>
        <v>0</v>
      </c>
      <c r="Q125" s="1">
        <f>MEDIAN($D125)</f>
        <v>0</v>
      </c>
      <c r="R125" s="1">
        <f>MEDIAN($E125)</f>
        <v>0</v>
      </c>
      <c r="S125" s="1">
        <f>MEDIAN($G125)</f>
        <v>0</v>
      </c>
      <c r="T125" s="1">
        <f>MEDIAN($H125)</f>
        <v>0</v>
      </c>
      <c r="U125" s="1">
        <f>MAX($B125)</f>
        <v>0</v>
      </c>
      <c r="V125" s="1">
        <f>MAX($C125)</f>
        <v>0</v>
      </c>
      <c r="W125" s="1">
        <f>MAX($D125)</f>
        <v>0</v>
      </c>
      <c r="X125" s="1">
        <f>MAX($E125)</f>
        <v>0</v>
      </c>
      <c r="Y125" s="1">
        <f>MAX($G125)</f>
        <v>0</v>
      </c>
      <c r="Z125" s="1">
        <f>MAX($H125)</f>
        <v>0</v>
      </c>
    </row>
    <row r="126" spans="1:26">
      <c r="A126" s="1" t="s">
        <v>123</v>
      </c>
      <c r="B126" s="1">
        <v>1</v>
      </c>
      <c r="C126" s="1">
        <v>0</v>
      </c>
      <c r="D126" s="1">
        <v>0</v>
      </c>
      <c r="E126" s="1">
        <v>3000</v>
      </c>
      <c r="F126" s="1" t="s">
        <v>374</v>
      </c>
      <c r="G126" s="1">
        <v>1500</v>
      </c>
      <c r="H126" s="1">
        <v>1</v>
      </c>
      <c r="I126" s="1">
        <f>MIN($B126)</f>
        <v>0</v>
      </c>
      <c r="J126" s="1">
        <f>MIN($C126)</f>
        <v>0</v>
      </c>
      <c r="K126" s="1">
        <f>MIN($D126)</f>
        <v>0</v>
      </c>
      <c r="L126" s="1">
        <f>MIN($E126)</f>
        <v>0</v>
      </c>
      <c r="M126" s="1">
        <f>MIN($G126)</f>
        <v>0</v>
      </c>
      <c r="N126" s="1">
        <f>MIN($H126)</f>
        <v>0</v>
      </c>
      <c r="O126" s="1">
        <f>MEDIAN($B126)</f>
        <v>0</v>
      </c>
      <c r="P126" s="1">
        <f>MEDIAN($C126)</f>
        <v>0</v>
      </c>
      <c r="Q126" s="1">
        <f>MEDIAN($D126)</f>
        <v>0</v>
      </c>
      <c r="R126" s="1">
        <f>MEDIAN($E126)</f>
        <v>0</v>
      </c>
      <c r="S126" s="1">
        <f>MEDIAN($G126)</f>
        <v>0</v>
      </c>
      <c r="T126" s="1">
        <f>MEDIAN($H126)</f>
        <v>0</v>
      </c>
      <c r="U126" s="1">
        <f>MAX($B126)</f>
        <v>0</v>
      </c>
      <c r="V126" s="1">
        <f>MAX($C126)</f>
        <v>0</v>
      </c>
      <c r="W126" s="1">
        <f>MAX($D126)</f>
        <v>0</v>
      </c>
      <c r="X126" s="1">
        <f>MAX($E126)</f>
        <v>0</v>
      </c>
      <c r="Y126" s="1">
        <f>MAX($G126)</f>
        <v>0</v>
      </c>
      <c r="Z126" s="1">
        <f>MAX($H126)</f>
        <v>0</v>
      </c>
    </row>
    <row r="127" spans="1:26">
      <c r="A127" s="1" t="s">
        <v>124</v>
      </c>
      <c r="B127" s="1">
        <v>1</v>
      </c>
      <c r="C127" s="1">
        <v>0</v>
      </c>
      <c r="D127" s="1">
        <v>0</v>
      </c>
      <c r="E127" s="1">
        <v>3000</v>
      </c>
      <c r="F127" s="1" t="s">
        <v>374</v>
      </c>
      <c r="G127" s="1">
        <v>1500</v>
      </c>
      <c r="H127" s="1">
        <v>1</v>
      </c>
      <c r="I127" s="1">
        <f>MIN($B127)</f>
        <v>0</v>
      </c>
      <c r="J127" s="1">
        <f>MIN($C127)</f>
        <v>0</v>
      </c>
      <c r="K127" s="1">
        <f>MIN($D127)</f>
        <v>0</v>
      </c>
      <c r="L127" s="1">
        <f>MIN($E127)</f>
        <v>0</v>
      </c>
      <c r="M127" s="1">
        <f>MIN($G127)</f>
        <v>0</v>
      </c>
      <c r="N127" s="1">
        <f>MIN($H127)</f>
        <v>0</v>
      </c>
      <c r="O127" s="1">
        <f>MEDIAN($B127)</f>
        <v>0</v>
      </c>
      <c r="P127" s="1">
        <f>MEDIAN($C127)</f>
        <v>0</v>
      </c>
      <c r="Q127" s="1">
        <f>MEDIAN($D127)</f>
        <v>0</v>
      </c>
      <c r="R127" s="1">
        <f>MEDIAN($E127)</f>
        <v>0</v>
      </c>
      <c r="S127" s="1">
        <f>MEDIAN($G127)</f>
        <v>0</v>
      </c>
      <c r="T127" s="1">
        <f>MEDIAN($H127)</f>
        <v>0</v>
      </c>
      <c r="U127" s="1">
        <f>MAX($B127)</f>
        <v>0</v>
      </c>
      <c r="V127" s="1">
        <f>MAX($C127)</f>
        <v>0</v>
      </c>
      <c r="W127" s="1">
        <f>MAX($D127)</f>
        <v>0</v>
      </c>
      <c r="X127" s="1">
        <f>MAX($E127)</f>
        <v>0</v>
      </c>
      <c r="Y127" s="1">
        <f>MAX($G127)</f>
        <v>0</v>
      </c>
      <c r="Z127" s="1">
        <f>MAX($H127)</f>
        <v>0</v>
      </c>
    </row>
    <row r="128" spans="1:26">
      <c r="A128" s="1" t="s">
        <v>125</v>
      </c>
      <c r="B128" s="1">
        <v>1</v>
      </c>
      <c r="C128" s="1">
        <v>0</v>
      </c>
      <c r="D128" s="1">
        <v>0</v>
      </c>
      <c r="E128" s="1">
        <v>3000</v>
      </c>
      <c r="F128" s="1" t="s">
        <v>374</v>
      </c>
      <c r="G128" s="1">
        <v>1500</v>
      </c>
      <c r="H128" s="1">
        <v>1</v>
      </c>
      <c r="I128" s="1">
        <f>MIN($B128)</f>
        <v>0</v>
      </c>
      <c r="J128" s="1">
        <f>MIN($C128)</f>
        <v>0</v>
      </c>
      <c r="K128" s="1">
        <f>MIN($D128)</f>
        <v>0</v>
      </c>
      <c r="L128" s="1">
        <f>MIN($E128)</f>
        <v>0</v>
      </c>
      <c r="M128" s="1">
        <f>MIN($G128)</f>
        <v>0</v>
      </c>
      <c r="N128" s="1">
        <f>MIN($H128)</f>
        <v>0</v>
      </c>
      <c r="O128" s="1">
        <f>MEDIAN($B128)</f>
        <v>0</v>
      </c>
      <c r="P128" s="1">
        <f>MEDIAN($C128)</f>
        <v>0</v>
      </c>
      <c r="Q128" s="1">
        <f>MEDIAN($D128)</f>
        <v>0</v>
      </c>
      <c r="R128" s="1">
        <f>MEDIAN($E128)</f>
        <v>0</v>
      </c>
      <c r="S128" s="1">
        <f>MEDIAN($G128)</f>
        <v>0</v>
      </c>
      <c r="T128" s="1">
        <f>MEDIAN($H128)</f>
        <v>0</v>
      </c>
      <c r="U128" s="1">
        <f>MAX($B128)</f>
        <v>0</v>
      </c>
      <c r="V128" s="1">
        <f>MAX($C128)</f>
        <v>0</v>
      </c>
      <c r="W128" s="1">
        <f>MAX($D128)</f>
        <v>0</v>
      </c>
      <c r="X128" s="1">
        <f>MAX($E128)</f>
        <v>0</v>
      </c>
      <c r="Y128" s="1">
        <f>MAX($G128)</f>
        <v>0</v>
      </c>
      <c r="Z128" s="1">
        <f>MAX($H128)</f>
        <v>0</v>
      </c>
    </row>
    <row r="129" spans="1:26">
      <c r="A129" s="1" t="s">
        <v>126</v>
      </c>
      <c r="B129" s="1">
        <v>1</v>
      </c>
      <c r="C129" s="1">
        <v>0</v>
      </c>
      <c r="D129" s="1">
        <v>0</v>
      </c>
      <c r="E129" s="1">
        <v>3000</v>
      </c>
      <c r="F129" s="1" t="s">
        <v>374</v>
      </c>
      <c r="G129" s="1">
        <v>1500</v>
      </c>
      <c r="H129" s="1">
        <v>1</v>
      </c>
      <c r="I129" s="1">
        <f>MIN($B129)</f>
        <v>0</v>
      </c>
      <c r="J129" s="1">
        <f>MIN($C129)</f>
        <v>0</v>
      </c>
      <c r="K129" s="1">
        <f>MIN($D129)</f>
        <v>0</v>
      </c>
      <c r="L129" s="1">
        <f>MIN($E129)</f>
        <v>0</v>
      </c>
      <c r="M129" s="1">
        <f>MIN($G129)</f>
        <v>0</v>
      </c>
      <c r="N129" s="1">
        <f>MIN($H129)</f>
        <v>0</v>
      </c>
      <c r="O129" s="1">
        <f>MEDIAN($B129)</f>
        <v>0</v>
      </c>
      <c r="P129" s="1">
        <f>MEDIAN($C129)</f>
        <v>0</v>
      </c>
      <c r="Q129" s="1">
        <f>MEDIAN($D129)</f>
        <v>0</v>
      </c>
      <c r="R129" s="1">
        <f>MEDIAN($E129)</f>
        <v>0</v>
      </c>
      <c r="S129" s="1">
        <f>MEDIAN($G129)</f>
        <v>0</v>
      </c>
      <c r="T129" s="1">
        <f>MEDIAN($H129)</f>
        <v>0</v>
      </c>
      <c r="U129" s="1">
        <f>MAX($B129)</f>
        <v>0</v>
      </c>
      <c r="V129" s="1">
        <f>MAX($C129)</f>
        <v>0</v>
      </c>
      <c r="W129" s="1">
        <f>MAX($D129)</f>
        <v>0</v>
      </c>
      <c r="X129" s="1">
        <f>MAX($E129)</f>
        <v>0</v>
      </c>
      <c r="Y129" s="1">
        <f>MAX($G129)</f>
        <v>0</v>
      </c>
      <c r="Z129" s="1">
        <f>MAX($H129)</f>
        <v>0</v>
      </c>
    </row>
    <row r="130" spans="1:26">
      <c r="A130" s="1" t="s">
        <v>127</v>
      </c>
      <c r="B130" s="1">
        <v>1</v>
      </c>
      <c r="C130" s="1">
        <v>0</v>
      </c>
      <c r="D130" s="1">
        <v>0</v>
      </c>
      <c r="E130" s="1">
        <v>3000</v>
      </c>
      <c r="F130" s="1" t="s">
        <v>374</v>
      </c>
      <c r="G130" s="1">
        <v>1500</v>
      </c>
      <c r="H130" s="1">
        <v>1</v>
      </c>
      <c r="I130" s="1">
        <f>MIN($B130)</f>
        <v>0</v>
      </c>
      <c r="J130" s="1">
        <f>MIN($C130)</f>
        <v>0</v>
      </c>
      <c r="K130" s="1">
        <f>MIN($D130)</f>
        <v>0</v>
      </c>
      <c r="L130" s="1">
        <f>MIN($E130)</f>
        <v>0</v>
      </c>
      <c r="M130" s="1">
        <f>MIN($G130)</f>
        <v>0</v>
      </c>
      <c r="N130" s="1">
        <f>MIN($H130)</f>
        <v>0</v>
      </c>
      <c r="O130" s="1">
        <f>MEDIAN($B130)</f>
        <v>0</v>
      </c>
      <c r="P130" s="1">
        <f>MEDIAN($C130)</f>
        <v>0</v>
      </c>
      <c r="Q130" s="1">
        <f>MEDIAN($D130)</f>
        <v>0</v>
      </c>
      <c r="R130" s="1">
        <f>MEDIAN($E130)</f>
        <v>0</v>
      </c>
      <c r="S130" s="1">
        <f>MEDIAN($G130)</f>
        <v>0</v>
      </c>
      <c r="T130" s="1">
        <f>MEDIAN($H130)</f>
        <v>0</v>
      </c>
      <c r="U130" s="1">
        <f>MAX($B130)</f>
        <v>0</v>
      </c>
      <c r="V130" s="1">
        <f>MAX($C130)</f>
        <v>0</v>
      </c>
      <c r="W130" s="1">
        <f>MAX($D130)</f>
        <v>0</v>
      </c>
      <c r="X130" s="1">
        <f>MAX($E130)</f>
        <v>0</v>
      </c>
      <c r="Y130" s="1">
        <f>MAX($G130)</f>
        <v>0</v>
      </c>
      <c r="Z130" s="1">
        <f>MAX($H130)</f>
        <v>0</v>
      </c>
    </row>
    <row r="131" spans="1:26">
      <c r="A131" s="1" t="s">
        <v>128</v>
      </c>
      <c r="B131" s="1">
        <v>1</v>
      </c>
      <c r="C131" s="1">
        <v>0</v>
      </c>
      <c r="D131" s="1">
        <v>0</v>
      </c>
      <c r="E131" s="1">
        <v>3000</v>
      </c>
      <c r="F131" s="1" t="s">
        <v>374</v>
      </c>
      <c r="G131" s="1">
        <v>1500</v>
      </c>
      <c r="H131" s="1">
        <v>1</v>
      </c>
      <c r="I131" s="1">
        <f>MIN($B131)</f>
        <v>0</v>
      </c>
      <c r="J131" s="1">
        <f>MIN($C131)</f>
        <v>0</v>
      </c>
      <c r="K131" s="1">
        <f>MIN($D131)</f>
        <v>0</v>
      </c>
      <c r="L131" s="1">
        <f>MIN($E131)</f>
        <v>0</v>
      </c>
      <c r="M131" s="1">
        <f>MIN($G131)</f>
        <v>0</v>
      </c>
      <c r="N131" s="1">
        <f>MIN($H131)</f>
        <v>0</v>
      </c>
      <c r="O131" s="1">
        <f>MEDIAN($B131)</f>
        <v>0</v>
      </c>
      <c r="P131" s="1">
        <f>MEDIAN($C131)</f>
        <v>0</v>
      </c>
      <c r="Q131" s="1">
        <f>MEDIAN($D131)</f>
        <v>0</v>
      </c>
      <c r="R131" s="1">
        <f>MEDIAN($E131)</f>
        <v>0</v>
      </c>
      <c r="S131" s="1">
        <f>MEDIAN($G131)</f>
        <v>0</v>
      </c>
      <c r="T131" s="1">
        <f>MEDIAN($H131)</f>
        <v>0</v>
      </c>
      <c r="U131" s="1">
        <f>MAX($B131)</f>
        <v>0</v>
      </c>
      <c r="V131" s="1">
        <f>MAX($C131)</f>
        <v>0</v>
      </c>
      <c r="W131" s="1">
        <f>MAX($D131)</f>
        <v>0</v>
      </c>
      <c r="X131" s="1">
        <f>MAX($E131)</f>
        <v>0</v>
      </c>
      <c r="Y131" s="1">
        <f>MAX($G131)</f>
        <v>0</v>
      </c>
      <c r="Z131" s="1">
        <f>MAX($H131)</f>
        <v>0</v>
      </c>
    </row>
    <row r="132" spans="1:26">
      <c r="A132" s="1" t="s">
        <v>129</v>
      </c>
      <c r="B132" s="1">
        <v>1</v>
      </c>
      <c r="C132" s="1">
        <v>0</v>
      </c>
      <c r="D132" s="1">
        <v>0</v>
      </c>
      <c r="E132" s="1">
        <v>3000</v>
      </c>
      <c r="F132" s="1" t="s">
        <v>374</v>
      </c>
      <c r="G132" s="1">
        <v>1500</v>
      </c>
      <c r="H132" s="1">
        <v>1</v>
      </c>
      <c r="I132" s="1">
        <f>MIN($B132)</f>
        <v>0</v>
      </c>
      <c r="J132" s="1">
        <f>MIN($C132)</f>
        <v>0</v>
      </c>
      <c r="K132" s="1">
        <f>MIN($D132)</f>
        <v>0</v>
      </c>
      <c r="L132" s="1">
        <f>MIN($E132)</f>
        <v>0</v>
      </c>
      <c r="M132" s="1">
        <f>MIN($G132)</f>
        <v>0</v>
      </c>
      <c r="N132" s="1">
        <f>MIN($H132)</f>
        <v>0</v>
      </c>
      <c r="O132" s="1">
        <f>MEDIAN($B132)</f>
        <v>0</v>
      </c>
      <c r="P132" s="1">
        <f>MEDIAN($C132)</f>
        <v>0</v>
      </c>
      <c r="Q132" s="1">
        <f>MEDIAN($D132)</f>
        <v>0</v>
      </c>
      <c r="R132" s="1">
        <f>MEDIAN($E132)</f>
        <v>0</v>
      </c>
      <c r="S132" s="1">
        <f>MEDIAN($G132)</f>
        <v>0</v>
      </c>
      <c r="T132" s="1">
        <f>MEDIAN($H132)</f>
        <v>0</v>
      </c>
      <c r="U132" s="1">
        <f>MAX($B132)</f>
        <v>0</v>
      </c>
      <c r="V132" s="1">
        <f>MAX($C132)</f>
        <v>0</v>
      </c>
      <c r="W132" s="1">
        <f>MAX($D132)</f>
        <v>0</v>
      </c>
      <c r="X132" s="1">
        <f>MAX($E132)</f>
        <v>0</v>
      </c>
      <c r="Y132" s="1">
        <f>MAX($G132)</f>
        <v>0</v>
      </c>
      <c r="Z132" s="1">
        <f>MAX($H132)</f>
        <v>0</v>
      </c>
    </row>
    <row r="133" spans="1:26">
      <c r="A133" s="1" t="s">
        <v>130</v>
      </c>
      <c r="B133" s="1">
        <v>1</v>
      </c>
      <c r="C133" s="1">
        <v>0</v>
      </c>
      <c r="D133" s="1">
        <v>0</v>
      </c>
      <c r="E133" s="1">
        <v>3000</v>
      </c>
      <c r="F133" s="1" t="s">
        <v>374</v>
      </c>
      <c r="G133" s="1">
        <v>1500</v>
      </c>
      <c r="H133" s="1">
        <v>1</v>
      </c>
      <c r="I133" s="1">
        <f>MIN($B133)</f>
        <v>0</v>
      </c>
      <c r="J133" s="1">
        <f>MIN($C133)</f>
        <v>0</v>
      </c>
      <c r="K133" s="1">
        <f>MIN($D133)</f>
        <v>0</v>
      </c>
      <c r="L133" s="1">
        <f>MIN($E133)</f>
        <v>0</v>
      </c>
      <c r="M133" s="1">
        <f>MIN($G133)</f>
        <v>0</v>
      </c>
      <c r="N133" s="1">
        <f>MIN($H133)</f>
        <v>0</v>
      </c>
      <c r="O133" s="1">
        <f>MEDIAN($B133)</f>
        <v>0</v>
      </c>
      <c r="P133" s="1">
        <f>MEDIAN($C133)</f>
        <v>0</v>
      </c>
      <c r="Q133" s="1">
        <f>MEDIAN($D133)</f>
        <v>0</v>
      </c>
      <c r="R133" s="1">
        <f>MEDIAN($E133)</f>
        <v>0</v>
      </c>
      <c r="S133" s="1">
        <f>MEDIAN($G133)</f>
        <v>0</v>
      </c>
      <c r="T133" s="1">
        <f>MEDIAN($H133)</f>
        <v>0</v>
      </c>
      <c r="U133" s="1">
        <f>MAX($B133)</f>
        <v>0</v>
      </c>
      <c r="V133" s="1">
        <f>MAX($C133)</f>
        <v>0</v>
      </c>
      <c r="W133" s="1">
        <f>MAX($D133)</f>
        <v>0</v>
      </c>
      <c r="X133" s="1">
        <f>MAX($E133)</f>
        <v>0</v>
      </c>
      <c r="Y133" s="1">
        <f>MAX($G133)</f>
        <v>0</v>
      </c>
      <c r="Z133" s="1">
        <f>MAX($H133)</f>
        <v>0</v>
      </c>
    </row>
    <row r="134" spans="1:26">
      <c r="A134" s="1" t="s">
        <v>131</v>
      </c>
      <c r="B134" s="1">
        <v>1</v>
      </c>
      <c r="C134" s="1">
        <v>0</v>
      </c>
      <c r="D134" s="1">
        <v>0</v>
      </c>
      <c r="E134" s="1">
        <v>3000</v>
      </c>
      <c r="F134" s="1" t="s">
        <v>374</v>
      </c>
      <c r="G134" s="1">
        <v>1500</v>
      </c>
      <c r="H134" s="1">
        <v>1</v>
      </c>
      <c r="I134" s="1">
        <f>MIN($B134)</f>
        <v>0</v>
      </c>
      <c r="J134" s="1">
        <f>MIN($C134)</f>
        <v>0</v>
      </c>
      <c r="K134" s="1">
        <f>MIN($D134)</f>
        <v>0</v>
      </c>
      <c r="L134" s="1">
        <f>MIN($E134)</f>
        <v>0</v>
      </c>
      <c r="M134" s="1">
        <f>MIN($G134)</f>
        <v>0</v>
      </c>
      <c r="N134" s="1">
        <f>MIN($H134)</f>
        <v>0</v>
      </c>
      <c r="O134" s="1">
        <f>MEDIAN($B134)</f>
        <v>0</v>
      </c>
      <c r="P134" s="1">
        <f>MEDIAN($C134)</f>
        <v>0</v>
      </c>
      <c r="Q134" s="1">
        <f>MEDIAN($D134)</f>
        <v>0</v>
      </c>
      <c r="R134" s="1">
        <f>MEDIAN($E134)</f>
        <v>0</v>
      </c>
      <c r="S134" s="1">
        <f>MEDIAN($G134)</f>
        <v>0</v>
      </c>
      <c r="T134" s="1">
        <f>MEDIAN($H134)</f>
        <v>0</v>
      </c>
      <c r="U134" s="1">
        <f>MAX($B134)</f>
        <v>0</v>
      </c>
      <c r="V134" s="1">
        <f>MAX($C134)</f>
        <v>0</v>
      </c>
      <c r="W134" s="1">
        <f>MAX($D134)</f>
        <v>0</v>
      </c>
      <c r="X134" s="1">
        <f>MAX($E134)</f>
        <v>0</v>
      </c>
      <c r="Y134" s="1">
        <f>MAX($G134)</f>
        <v>0</v>
      </c>
      <c r="Z134" s="1">
        <f>MAX($H134)</f>
        <v>0</v>
      </c>
    </row>
    <row r="135" spans="1:26">
      <c r="A135" s="1" t="s">
        <v>132</v>
      </c>
      <c r="B135" s="1">
        <v>1</v>
      </c>
      <c r="C135" s="1">
        <v>0</v>
      </c>
      <c r="D135" s="1">
        <v>0</v>
      </c>
      <c r="E135" s="1">
        <v>3000</v>
      </c>
      <c r="F135" s="1" t="s">
        <v>374</v>
      </c>
      <c r="G135" s="1">
        <v>1500</v>
      </c>
      <c r="H135" s="1">
        <v>1</v>
      </c>
      <c r="I135" s="1">
        <f>MIN($B135)</f>
        <v>0</v>
      </c>
      <c r="J135" s="1">
        <f>MIN($C135)</f>
        <v>0</v>
      </c>
      <c r="K135" s="1">
        <f>MIN($D135)</f>
        <v>0</v>
      </c>
      <c r="L135" s="1">
        <f>MIN($E135)</f>
        <v>0</v>
      </c>
      <c r="M135" s="1">
        <f>MIN($G135)</f>
        <v>0</v>
      </c>
      <c r="N135" s="1">
        <f>MIN($H135)</f>
        <v>0</v>
      </c>
      <c r="O135" s="1">
        <f>MEDIAN($B135)</f>
        <v>0</v>
      </c>
      <c r="P135" s="1">
        <f>MEDIAN($C135)</f>
        <v>0</v>
      </c>
      <c r="Q135" s="1">
        <f>MEDIAN($D135)</f>
        <v>0</v>
      </c>
      <c r="R135" s="1">
        <f>MEDIAN($E135)</f>
        <v>0</v>
      </c>
      <c r="S135" s="1">
        <f>MEDIAN($G135)</f>
        <v>0</v>
      </c>
      <c r="T135" s="1">
        <f>MEDIAN($H135)</f>
        <v>0</v>
      </c>
      <c r="U135" s="1">
        <f>MAX($B135)</f>
        <v>0</v>
      </c>
      <c r="V135" s="1">
        <f>MAX($C135)</f>
        <v>0</v>
      </c>
      <c r="W135" s="1">
        <f>MAX($D135)</f>
        <v>0</v>
      </c>
      <c r="X135" s="1">
        <f>MAX($E135)</f>
        <v>0</v>
      </c>
      <c r="Y135" s="1">
        <f>MAX($G135)</f>
        <v>0</v>
      </c>
      <c r="Z135" s="1">
        <f>MAX($H135)</f>
        <v>0</v>
      </c>
    </row>
    <row r="136" spans="1:26">
      <c r="A136" s="1" t="s">
        <v>133</v>
      </c>
      <c r="B136" s="1">
        <v>1</v>
      </c>
      <c r="C136" s="1">
        <v>0</v>
      </c>
      <c r="D136" s="1">
        <v>0</v>
      </c>
      <c r="E136" s="1">
        <v>3000</v>
      </c>
      <c r="F136" s="1" t="s">
        <v>374</v>
      </c>
      <c r="G136" s="1">
        <v>1500</v>
      </c>
      <c r="H136" s="1">
        <v>1</v>
      </c>
      <c r="I136" s="1">
        <f>MIN($B136)</f>
        <v>0</v>
      </c>
      <c r="J136" s="1">
        <f>MIN($C136)</f>
        <v>0</v>
      </c>
      <c r="K136" s="1">
        <f>MIN($D136)</f>
        <v>0</v>
      </c>
      <c r="L136" s="1">
        <f>MIN($E136)</f>
        <v>0</v>
      </c>
      <c r="M136" s="1">
        <f>MIN($G136)</f>
        <v>0</v>
      </c>
      <c r="N136" s="1">
        <f>MIN($H136)</f>
        <v>0</v>
      </c>
      <c r="O136" s="1">
        <f>MEDIAN($B136)</f>
        <v>0</v>
      </c>
      <c r="P136" s="1">
        <f>MEDIAN($C136)</f>
        <v>0</v>
      </c>
      <c r="Q136" s="1">
        <f>MEDIAN($D136)</f>
        <v>0</v>
      </c>
      <c r="R136" s="1">
        <f>MEDIAN($E136)</f>
        <v>0</v>
      </c>
      <c r="S136" s="1">
        <f>MEDIAN($G136)</f>
        <v>0</v>
      </c>
      <c r="T136" s="1">
        <f>MEDIAN($H136)</f>
        <v>0</v>
      </c>
      <c r="U136" s="1">
        <f>MAX($B136)</f>
        <v>0</v>
      </c>
      <c r="V136" s="1">
        <f>MAX($C136)</f>
        <v>0</v>
      </c>
      <c r="W136" s="1">
        <f>MAX($D136)</f>
        <v>0</v>
      </c>
      <c r="X136" s="1">
        <f>MAX($E136)</f>
        <v>0</v>
      </c>
      <c r="Y136" s="1">
        <f>MAX($G136)</f>
        <v>0</v>
      </c>
      <c r="Z136" s="1">
        <f>MAX($H136)</f>
        <v>0</v>
      </c>
    </row>
    <row r="137" spans="1:26">
      <c r="A137" s="1" t="s">
        <v>134</v>
      </c>
      <c r="B137" s="1">
        <v>1</v>
      </c>
      <c r="C137" s="1">
        <v>0</v>
      </c>
      <c r="D137" s="1">
        <v>0</v>
      </c>
      <c r="E137" s="1">
        <v>3000</v>
      </c>
      <c r="F137" s="1" t="s">
        <v>374</v>
      </c>
      <c r="G137" s="1">
        <v>1500</v>
      </c>
      <c r="H137" s="1">
        <v>1</v>
      </c>
      <c r="I137" s="1">
        <f>MIN($B137)</f>
        <v>0</v>
      </c>
      <c r="J137" s="1">
        <f>MIN($C137)</f>
        <v>0</v>
      </c>
      <c r="K137" s="1">
        <f>MIN($D137)</f>
        <v>0</v>
      </c>
      <c r="L137" s="1">
        <f>MIN($E137)</f>
        <v>0</v>
      </c>
      <c r="M137" s="1">
        <f>MIN($G137)</f>
        <v>0</v>
      </c>
      <c r="N137" s="1">
        <f>MIN($H137)</f>
        <v>0</v>
      </c>
      <c r="O137" s="1">
        <f>MEDIAN($B137)</f>
        <v>0</v>
      </c>
      <c r="P137" s="1">
        <f>MEDIAN($C137)</f>
        <v>0</v>
      </c>
      <c r="Q137" s="1">
        <f>MEDIAN($D137)</f>
        <v>0</v>
      </c>
      <c r="R137" s="1">
        <f>MEDIAN($E137)</f>
        <v>0</v>
      </c>
      <c r="S137" s="1">
        <f>MEDIAN($G137)</f>
        <v>0</v>
      </c>
      <c r="T137" s="1">
        <f>MEDIAN($H137)</f>
        <v>0</v>
      </c>
      <c r="U137" s="1">
        <f>MAX($B137)</f>
        <v>0</v>
      </c>
      <c r="V137" s="1">
        <f>MAX($C137)</f>
        <v>0</v>
      </c>
      <c r="W137" s="1">
        <f>MAX($D137)</f>
        <v>0</v>
      </c>
      <c r="X137" s="1">
        <f>MAX($E137)</f>
        <v>0</v>
      </c>
      <c r="Y137" s="1">
        <f>MAX($G137)</f>
        <v>0</v>
      </c>
      <c r="Z137" s="1">
        <f>MAX($H137)</f>
        <v>0</v>
      </c>
    </row>
    <row r="138" spans="1:26">
      <c r="A138" s="1" t="s">
        <v>135</v>
      </c>
      <c r="B138" s="1">
        <v>1</v>
      </c>
      <c r="C138" s="1">
        <v>0</v>
      </c>
      <c r="D138" s="1">
        <v>0</v>
      </c>
      <c r="E138" s="1">
        <v>3000</v>
      </c>
      <c r="F138" s="1" t="s">
        <v>374</v>
      </c>
      <c r="G138" s="1">
        <v>1500</v>
      </c>
      <c r="H138" s="1">
        <v>1</v>
      </c>
      <c r="I138" s="1">
        <f>MIN($B138)</f>
        <v>0</v>
      </c>
      <c r="J138" s="1">
        <f>MIN($C138)</f>
        <v>0</v>
      </c>
      <c r="K138" s="1">
        <f>MIN($D138)</f>
        <v>0</v>
      </c>
      <c r="L138" s="1">
        <f>MIN($E138)</f>
        <v>0</v>
      </c>
      <c r="M138" s="1">
        <f>MIN($G138)</f>
        <v>0</v>
      </c>
      <c r="N138" s="1">
        <f>MIN($H138)</f>
        <v>0</v>
      </c>
      <c r="O138" s="1">
        <f>MEDIAN($B138)</f>
        <v>0</v>
      </c>
      <c r="P138" s="1">
        <f>MEDIAN($C138)</f>
        <v>0</v>
      </c>
      <c r="Q138" s="1">
        <f>MEDIAN($D138)</f>
        <v>0</v>
      </c>
      <c r="R138" s="1">
        <f>MEDIAN($E138)</f>
        <v>0</v>
      </c>
      <c r="S138" s="1">
        <f>MEDIAN($G138)</f>
        <v>0</v>
      </c>
      <c r="T138" s="1">
        <f>MEDIAN($H138)</f>
        <v>0</v>
      </c>
      <c r="U138" s="1">
        <f>MAX($B138)</f>
        <v>0</v>
      </c>
      <c r="V138" s="1">
        <f>MAX($C138)</f>
        <v>0</v>
      </c>
      <c r="W138" s="1">
        <f>MAX($D138)</f>
        <v>0</v>
      </c>
      <c r="X138" s="1">
        <f>MAX($E138)</f>
        <v>0</v>
      </c>
      <c r="Y138" s="1">
        <f>MAX($G138)</f>
        <v>0</v>
      </c>
      <c r="Z138" s="1">
        <f>MAX($H138)</f>
        <v>0</v>
      </c>
    </row>
    <row r="139" spans="1:26">
      <c r="A139" s="1" t="s">
        <v>136</v>
      </c>
      <c r="B139" s="1">
        <v>1</v>
      </c>
      <c r="C139" s="1">
        <v>0</v>
      </c>
      <c r="D139" s="1">
        <v>0</v>
      </c>
      <c r="E139" s="1">
        <v>3000</v>
      </c>
      <c r="F139" s="1" t="s">
        <v>374</v>
      </c>
      <c r="G139" s="1">
        <v>1500</v>
      </c>
      <c r="H139" s="1">
        <v>1</v>
      </c>
      <c r="I139" s="1">
        <f>MIN($B139)</f>
        <v>0</v>
      </c>
      <c r="J139" s="1">
        <f>MIN($C139)</f>
        <v>0</v>
      </c>
      <c r="K139" s="1">
        <f>MIN($D139)</f>
        <v>0</v>
      </c>
      <c r="L139" s="1">
        <f>MIN($E139)</f>
        <v>0</v>
      </c>
      <c r="M139" s="1">
        <f>MIN($G139)</f>
        <v>0</v>
      </c>
      <c r="N139" s="1">
        <f>MIN($H139)</f>
        <v>0</v>
      </c>
      <c r="O139" s="1">
        <f>MEDIAN($B139)</f>
        <v>0</v>
      </c>
      <c r="P139" s="1">
        <f>MEDIAN($C139)</f>
        <v>0</v>
      </c>
      <c r="Q139" s="1">
        <f>MEDIAN($D139)</f>
        <v>0</v>
      </c>
      <c r="R139" s="1">
        <f>MEDIAN($E139)</f>
        <v>0</v>
      </c>
      <c r="S139" s="1">
        <f>MEDIAN($G139)</f>
        <v>0</v>
      </c>
      <c r="T139" s="1">
        <f>MEDIAN($H139)</f>
        <v>0</v>
      </c>
      <c r="U139" s="1">
        <f>MAX($B139)</f>
        <v>0</v>
      </c>
      <c r="V139" s="1">
        <f>MAX($C139)</f>
        <v>0</v>
      </c>
      <c r="W139" s="1">
        <f>MAX($D139)</f>
        <v>0</v>
      </c>
      <c r="X139" s="1">
        <f>MAX($E139)</f>
        <v>0</v>
      </c>
      <c r="Y139" s="1">
        <f>MAX($G139)</f>
        <v>0</v>
      </c>
      <c r="Z139" s="1">
        <f>MAX($H139)</f>
        <v>0</v>
      </c>
    </row>
    <row r="140" spans="1:26">
      <c r="A140" s="1" t="s">
        <v>137</v>
      </c>
      <c r="B140" s="1">
        <v>1</v>
      </c>
      <c r="C140" s="1">
        <v>0</v>
      </c>
      <c r="D140" s="1">
        <v>0</v>
      </c>
      <c r="E140" s="1">
        <v>3000</v>
      </c>
      <c r="F140" s="1" t="s">
        <v>374</v>
      </c>
      <c r="G140" s="1">
        <v>1500</v>
      </c>
      <c r="H140" s="1">
        <v>1</v>
      </c>
      <c r="I140" s="1">
        <f>MIN($B140)</f>
        <v>0</v>
      </c>
      <c r="J140" s="1">
        <f>MIN($C140)</f>
        <v>0</v>
      </c>
      <c r="K140" s="1">
        <f>MIN($D140)</f>
        <v>0</v>
      </c>
      <c r="L140" s="1">
        <f>MIN($E140)</f>
        <v>0</v>
      </c>
      <c r="M140" s="1">
        <f>MIN($G140)</f>
        <v>0</v>
      </c>
      <c r="N140" s="1">
        <f>MIN($H140)</f>
        <v>0</v>
      </c>
      <c r="O140" s="1">
        <f>MEDIAN($B140)</f>
        <v>0</v>
      </c>
      <c r="P140" s="1">
        <f>MEDIAN($C140)</f>
        <v>0</v>
      </c>
      <c r="Q140" s="1">
        <f>MEDIAN($D140)</f>
        <v>0</v>
      </c>
      <c r="R140" s="1">
        <f>MEDIAN($E140)</f>
        <v>0</v>
      </c>
      <c r="S140" s="1">
        <f>MEDIAN($G140)</f>
        <v>0</v>
      </c>
      <c r="T140" s="1">
        <f>MEDIAN($H140)</f>
        <v>0</v>
      </c>
      <c r="U140" s="1">
        <f>MAX($B140)</f>
        <v>0</v>
      </c>
      <c r="V140" s="1">
        <f>MAX($C140)</f>
        <v>0</v>
      </c>
      <c r="W140" s="1">
        <f>MAX($D140)</f>
        <v>0</v>
      </c>
      <c r="X140" s="1">
        <f>MAX($E140)</f>
        <v>0</v>
      </c>
      <c r="Y140" s="1">
        <f>MAX($G140)</f>
        <v>0</v>
      </c>
      <c r="Z140" s="1">
        <f>MAX($H140)</f>
        <v>0</v>
      </c>
    </row>
    <row r="141" spans="1:26">
      <c r="A141" s="1" t="s">
        <v>138</v>
      </c>
      <c r="B141" s="1">
        <v>1</v>
      </c>
      <c r="C141" s="1">
        <v>0</v>
      </c>
      <c r="D141" s="1">
        <v>0</v>
      </c>
      <c r="E141" s="1">
        <v>3000</v>
      </c>
      <c r="F141" s="1" t="s">
        <v>374</v>
      </c>
      <c r="G141" s="1">
        <v>1500</v>
      </c>
      <c r="H141" s="1">
        <v>1</v>
      </c>
      <c r="I141" s="1">
        <f>MIN($B141)</f>
        <v>0</v>
      </c>
      <c r="J141" s="1">
        <f>MIN($C141)</f>
        <v>0</v>
      </c>
      <c r="K141" s="1">
        <f>MIN($D141)</f>
        <v>0</v>
      </c>
      <c r="L141" s="1">
        <f>MIN($E141)</f>
        <v>0</v>
      </c>
      <c r="M141" s="1">
        <f>MIN($G141)</f>
        <v>0</v>
      </c>
      <c r="N141" s="1">
        <f>MIN($H141)</f>
        <v>0</v>
      </c>
      <c r="O141" s="1">
        <f>MEDIAN($B141)</f>
        <v>0</v>
      </c>
      <c r="P141" s="1">
        <f>MEDIAN($C141)</f>
        <v>0</v>
      </c>
      <c r="Q141" s="1">
        <f>MEDIAN($D141)</f>
        <v>0</v>
      </c>
      <c r="R141" s="1">
        <f>MEDIAN($E141)</f>
        <v>0</v>
      </c>
      <c r="S141" s="1">
        <f>MEDIAN($G141)</f>
        <v>0</v>
      </c>
      <c r="T141" s="1">
        <f>MEDIAN($H141)</f>
        <v>0</v>
      </c>
      <c r="U141" s="1">
        <f>MAX($B141)</f>
        <v>0</v>
      </c>
      <c r="V141" s="1">
        <f>MAX($C141)</f>
        <v>0</v>
      </c>
      <c r="W141" s="1">
        <f>MAX($D141)</f>
        <v>0</v>
      </c>
      <c r="X141" s="1">
        <f>MAX($E141)</f>
        <v>0</v>
      </c>
      <c r="Y141" s="1">
        <f>MAX($G141)</f>
        <v>0</v>
      </c>
      <c r="Z141" s="1">
        <f>MAX($H141)</f>
        <v>0</v>
      </c>
    </row>
    <row r="142" spans="1:26">
      <c r="A142" s="1" t="s">
        <v>139</v>
      </c>
      <c r="B142" s="1">
        <v>1</v>
      </c>
      <c r="C142" s="1">
        <v>0</v>
      </c>
      <c r="D142" s="1">
        <v>0</v>
      </c>
      <c r="E142" s="1">
        <v>3000</v>
      </c>
      <c r="F142" s="1" t="s">
        <v>374</v>
      </c>
      <c r="G142" s="1">
        <v>1500</v>
      </c>
      <c r="H142" s="1">
        <v>1</v>
      </c>
      <c r="I142" s="1">
        <f>MIN($B142)</f>
        <v>0</v>
      </c>
      <c r="J142" s="1">
        <f>MIN($C142)</f>
        <v>0</v>
      </c>
      <c r="K142" s="1">
        <f>MIN($D142)</f>
        <v>0</v>
      </c>
      <c r="L142" s="1">
        <f>MIN($E142)</f>
        <v>0</v>
      </c>
      <c r="M142" s="1">
        <f>MIN($G142)</f>
        <v>0</v>
      </c>
      <c r="N142" s="1">
        <f>MIN($H142)</f>
        <v>0</v>
      </c>
      <c r="O142" s="1">
        <f>MEDIAN($B142)</f>
        <v>0</v>
      </c>
      <c r="P142" s="1">
        <f>MEDIAN($C142)</f>
        <v>0</v>
      </c>
      <c r="Q142" s="1">
        <f>MEDIAN($D142)</f>
        <v>0</v>
      </c>
      <c r="R142" s="1">
        <f>MEDIAN($E142)</f>
        <v>0</v>
      </c>
      <c r="S142" s="1">
        <f>MEDIAN($G142)</f>
        <v>0</v>
      </c>
      <c r="T142" s="1">
        <f>MEDIAN($H142)</f>
        <v>0</v>
      </c>
      <c r="U142" s="1">
        <f>MAX($B142)</f>
        <v>0</v>
      </c>
      <c r="V142" s="1">
        <f>MAX($C142)</f>
        <v>0</v>
      </c>
      <c r="W142" s="1">
        <f>MAX($D142)</f>
        <v>0</v>
      </c>
      <c r="X142" s="1">
        <f>MAX($E142)</f>
        <v>0</v>
      </c>
      <c r="Y142" s="1">
        <f>MAX($G142)</f>
        <v>0</v>
      </c>
      <c r="Z142" s="1">
        <f>MAX($H142)</f>
        <v>0</v>
      </c>
    </row>
    <row r="143" spans="1:26">
      <c r="A143" s="1" t="s">
        <v>140</v>
      </c>
      <c r="B143" s="1">
        <v>1</v>
      </c>
      <c r="C143" s="1">
        <v>0</v>
      </c>
      <c r="D143" s="1">
        <v>0</v>
      </c>
      <c r="E143" s="1">
        <v>3000</v>
      </c>
      <c r="F143" s="1" t="s">
        <v>374</v>
      </c>
      <c r="G143" s="1">
        <v>1500</v>
      </c>
      <c r="H143" s="1">
        <v>1</v>
      </c>
      <c r="I143" s="1">
        <f>MIN($B143)</f>
        <v>0</v>
      </c>
      <c r="J143" s="1">
        <f>MIN($C143)</f>
        <v>0</v>
      </c>
      <c r="K143" s="1">
        <f>MIN($D143)</f>
        <v>0</v>
      </c>
      <c r="L143" s="1">
        <f>MIN($E143)</f>
        <v>0</v>
      </c>
      <c r="M143" s="1">
        <f>MIN($G143)</f>
        <v>0</v>
      </c>
      <c r="N143" s="1">
        <f>MIN($H143)</f>
        <v>0</v>
      </c>
      <c r="O143" s="1">
        <f>MEDIAN($B143)</f>
        <v>0</v>
      </c>
      <c r="P143" s="1">
        <f>MEDIAN($C143)</f>
        <v>0</v>
      </c>
      <c r="Q143" s="1">
        <f>MEDIAN($D143)</f>
        <v>0</v>
      </c>
      <c r="R143" s="1">
        <f>MEDIAN($E143)</f>
        <v>0</v>
      </c>
      <c r="S143" s="1">
        <f>MEDIAN($G143)</f>
        <v>0</v>
      </c>
      <c r="T143" s="1">
        <f>MEDIAN($H143)</f>
        <v>0</v>
      </c>
      <c r="U143" s="1">
        <f>MAX($B143)</f>
        <v>0</v>
      </c>
      <c r="V143" s="1">
        <f>MAX($C143)</f>
        <v>0</v>
      </c>
      <c r="W143" s="1">
        <f>MAX($D143)</f>
        <v>0</v>
      </c>
      <c r="X143" s="1">
        <f>MAX($E143)</f>
        <v>0</v>
      </c>
      <c r="Y143" s="1">
        <f>MAX($G143)</f>
        <v>0</v>
      </c>
      <c r="Z143" s="1">
        <f>MAX($H143)</f>
        <v>0</v>
      </c>
    </row>
    <row r="144" spans="1:26">
      <c r="A144" s="1" t="s">
        <v>141</v>
      </c>
      <c r="B144" s="1">
        <v>1</v>
      </c>
      <c r="C144" s="1">
        <v>0</v>
      </c>
      <c r="D144" s="1">
        <v>0</v>
      </c>
      <c r="E144" s="1">
        <v>3000</v>
      </c>
      <c r="F144" s="1" t="s">
        <v>374</v>
      </c>
      <c r="G144" s="1">
        <v>1500</v>
      </c>
      <c r="H144" s="1">
        <v>1</v>
      </c>
      <c r="I144" s="1">
        <f>MIN($B144)</f>
        <v>0</v>
      </c>
      <c r="J144" s="1">
        <f>MIN($C144)</f>
        <v>0</v>
      </c>
      <c r="K144" s="1">
        <f>MIN($D144)</f>
        <v>0</v>
      </c>
      <c r="L144" s="1">
        <f>MIN($E144)</f>
        <v>0</v>
      </c>
      <c r="M144" s="1">
        <f>MIN($G144)</f>
        <v>0</v>
      </c>
      <c r="N144" s="1">
        <f>MIN($H144)</f>
        <v>0</v>
      </c>
      <c r="O144" s="1">
        <f>MEDIAN($B144)</f>
        <v>0</v>
      </c>
      <c r="P144" s="1">
        <f>MEDIAN($C144)</f>
        <v>0</v>
      </c>
      <c r="Q144" s="1">
        <f>MEDIAN($D144)</f>
        <v>0</v>
      </c>
      <c r="R144" s="1">
        <f>MEDIAN($E144)</f>
        <v>0</v>
      </c>
      <c r="S144" s="1">
        <f>MEDIAN($G144)</f>
        <v>0</v>
      </c>
      <c r="T144" s="1">
        <f>MEDIAN($H144)</f>
        <v>0</v>
      </c>
      <c r="U144" s="1">
        <f>MAX($B144)</f>
        <v>0</v>
      </c>
      <c r="V144" s="1">
        <f>MAX($C144)</f>
        <v>0</v>
      </c>
      <c r="W144" s="1">
        <f>MAX($D144)</f>
        <v>0</v>
      </c>
      <c r="X144" s="1">
        <f>MAX($E144)</f>
        <v>0</v>
      </c>
      <c r="Y144" s="1">
        <f>MAX($G144)</f>
        <v>0</v>
      </c>
      <c r="Z144" s="1">
        <f>MAX($H144)</f>
        <v>0</v>
      </c>
    </row>
    <row r="145" spans="1:26">
      <c r="A145" s="1" t="s">
        <v>142</v>
      </c>
      <c r="B145" s="1">
        <v>1</v>
      </c>
      <c r="C145" s="1">
        <v>0</v>
      </c>
      <c r="D145" s="1">
        <v>0</v>
      </c>
      <c r="E145" s="1">
        <v>3000</v>
      </c>
      <c r="F145" s="1" t="s">
        <v>374</v>
      </c>
      <c r="G145" s="1">
        <v>1500</v>
      </c>
      <c r="H145" s="1">
        <v>1</v>
      </c>
      <c r="I145" s="1">
        <f>MIN($B145)</f>
        <v>0</v>
      </c>
      <c r="J145" s="1">
        <f>MIN($C145)</f>
        <v>0</v>
      </c>
      <c r="K145" s="1">
        <f>MIN($D145)</f>
        <v>0</v>
      </c>
      <c r="L145" s="1">
        <f>MIN($E145)</f>
        <v>0</v>
      </c>
      <c r="M145" s="1">
        <f>MIN($G145)</f>
        <v>0</v>
      </c>
      <c r="N145" s="1">
        <f>MIN($H145)</f>
        <v>0</v>
      </c>
      <c r="O145" s="1">
        <f>MEDIAN($B145)</f>
        <v>0</v>
      </c>
      <c r="P145" s="1">
        <f>MEDIAN($C145)</f>
        <v>0</v>
      </c>
      <c r="Q145" s="1">
        <f>MEDIAN($D145)</f>
        <v>0</v>
      </c>
      <c r="R145" s="1">
        <f>MEDIAN($E145)</f>
        <v>0</v>
      </c>
      <c r="S145" s="1">
        <f>MEDIAN($G145)</f>
        <v>0</v>
      </c>
      <c r="T145" s="1">
        <f>MEDIAN($H145)</f>
        <v>0</v>
      </c>
      <c r="U145" s="1">
        <f>MAX($B145)</f>
        <v>0</v>
      </c>
      <c r="V145" s="1">
        <f>MAX($C145)</f>
        <v>0</v>
      </c>
      <c r="W145" s="1">
        <f>MAX($D145)</f>
        <v>0</v>
      </c>
      <c r="X145" s="1">
        <f>MAX($E145)</f>
        <v>0</v>
      </c>
      <c r="Y145" s="1">
        <f>MAX($G145)</f>
        <v>0</v>
      </c>
      <c r="Z145" s="1">
        <f>MAX($H145)</f>
        <v>0</v>
      </c>
    </row>
    <row r="146" spans="1:26">
      <c r="A146" s="1" t="s">
        <v>143</v>
      </c>
      <c r="B146" s="1">
        <v>1</v>
      </c>
      <c r="C146" s="1">
        <v>0</v>
      </c>
      <c r="D146" s="1">
        <v>0</v>
      </c>
      <c r="E146" s="1">
        <v>3000</v>
      </c>
      <c r="F146" s="1" t="s">
        <v>374</v>
      </c>
      <c r="G146" s="1">
        <v>1500</v>
      </c>
      <c r="H146" s="1">
        <v>1</v>
      </c>
      <c r="I146" s="1">
        <f>MIN($B146)</f>
        <v>0</v>
      </c>
      <c r="J146" s="1">
        <f>MIN($C146)</f>
        <v>0</v>
      </c>
      <c r="K146" s="1">
        <f>MIN($D146)</f>
        <v>0</v>
      </c>
      <c r="L146" s="1">
        <f>MIN($E146)</f>
        <v>0</v>
      </c>
      <c r="M146" s="1">
        <f>MIN($G146)</f>
        <v>0</v>
      </c>
      <c r="N146" s="1">
        <f>MIN($H146)</f>
        <v>0</v>
      </c>
      <c r="O146" s="1">
        <f>MEDIAN($B146)</f>
        <v>0</v>
      </c>
      <c r="P146" s="1">
        <f>MEDIAN($C146)</f>
        <v>0</v>
      </c>
      <c r="Q146" s="1">
        <f>MEDIAN($D146)</f>
        <v>0</v>
      </c>
      <c r="R146" s="1">
        <f>MEDIAN($E146)</f>
        <v>0</v>
      </c>
      <c r="S146" s="1">
        <f>MEDIAN($G146)</f>
        <v>0</v>
      </c>
      <c r="T146" s="1">
        <f>MEDIAN($H146)</f>
        <v>0</v>
      </c>
      <c r="U146" s="1">
        <f>MAX($B146)</f>
        <v>0</v>
      </c>
      <c r="V146" s="1">
        <f>MAX($C146)</f>
        <v>0</v>
      </c>
      <c r="W146" s="1">
        <f>MAX($D146)</f>
        <v>0</v>
      </c>
      <c r="X146" s="1">
        <f>MAX($E146)</f>
        <v>0</v>
      </c>
      <c r="Y146" s="1">
        <f>MAX($G146)</f>
        <v>0</v>
      </c>
      <c r="Z146" s="1">
        <f>MAX($H146)</f>
        <v>0</v>
      </c>
    </row>
    <row r="147" spans="1:26">
      <c r="A147" s="1" t="s">
        <v>144</v>
      </c>
      <c r="B147" s="1">
        <v>1</v>
      </c>
      <c r="C147" s="1">
        <v>0</v>
      </c>
      <c r="D147" s="1">
        <v>0</v>
      </c>
      <c r="E147" s="1">
        <v>3000</v>
      </c>
      <c r="F147" s="1" t="s">
        <v>374</v>
      </c>
      <c r="G147" s="1">
        <v>1500</v>
      </c>
      <c r="H147" s="1">
        <v>1</v>
      </c>
      <c r="I147" s="1">
        <f>MIN($B147)</f>
        <v>0</v>
      </c>
      <c r="J147" s="1">
        <f>MIN($C147)</f>
        <v>0</v>
      </c>
      <c r="K147" s="1">
        <f>MIN($D147)</f>
        <v>0</v>
      </c>
      <c r="L147" s="1">
        <f>MIN($E147)</f>
        <v>0</v>
      </c>
      <c r="M147" s="1">
        <f>MIN($G147)</f>
        <v>0</v>
      </c>
      <c r="N147" s="1">
        <f>MIN($H147)</f>
        <v>0</v>
      </c>
      <c r="O147" s="1">
        <f>MEDIAN($B147)</f>
        <v>0</v>
      </c>
      <c r="P147" s="1">
        <f>MEDIAN($C147)</f>
        <v>0</v>
      </c>
      <c r="Q147" s="1">
        <f>MEDIAN($D147)</f>
        <v>0</v>
      </c>
      <c r="R147" s="1">
        <f>MEDIAN($E147)</f>
        <v>0</v>
      </c>
      <c r="S147" s="1">
        <f>MEDIAN($G147)</f>
        <v>0</v>
      </c>
      <c r="T147" s="1">
        <f>MEDIAN($H147)</f>
        <v>0</v>
      </c>
      <c r="U147" s="1">
        <f>MAX($B147)</f>
        <v>0</v>
      </c>
      <c r="V147" s="1">
        <f>MAX($C147)</f>
        <v>0</v>
      </c>
      <c r="W147" s="1">
        <f>MAX($D147)</f>
        <v>0</v>
      </c>
      <c r="X147" s="1">
        <f>MAX($E147)</f>
        <v>0</v>
      </c>
      <c r="Y147" s="1">
        <f>MAX($G147)</f>
        <v>0</v>
      </c>
      <c r="Z147" s="1">
        <f>MAX($H147)</f>
        <v>0</v>
      </c>
    </row>
    <row r="148" spans="1:26">
      <c r="A148" s="1" t="s">
        <v>145</v>
      </c>
      <c r="B148" s="1">
        <v>1</v>
      </c>
      <c r="C148" s="1">
        <v>0</v>
      </c>
      <c r="D148" s="1">
        <v>0</v>
      </c>
      <c r="E148" s="1">
        <v>3000</v>
      </c>
      <c r="F148" s="1" t="s">
        <v>374</v>
      </c>
      <c r="G148" s="1">
        <v>1500</v>
      </c>
      <c r="H148" s="1">
        <v>1</v>
      </c>
      <c r="I148" s="1">
        <f>MIN($B148)</f>
        <v>0</v>
      </c>
      <c r="J148" s="1">
        <f>MIN($C148)</f>
        <v>0</v>
      </c>
      <c r="K148" s="1">
        <f>MIN($D148)</f>
        <v>0</v>
      </c>
      <c r="L148" s="1">
        <f>MIN($E148)</f>
        <v>0</v>
      </c>
      <c r="M148" s="1">
        <f>MIN($G148)</f>
        <v>0</v>
      </c>
      <c r="N148" s="1">
        <f>MIN($H148)</f>
        <v>0</v>
      </c>
      <c r="O148" s="1">
        <f>MEDIAN($B148)</f>
        <v>0</v>
      </c>
      <c r="P148" s="1">
        <f>MEDIAN($C148)</f>
        <v>0</v>
      </c>
      <c r="Q148" s="1">
        <f>MEDIAN($D148)</f>
        <v>0</v>
      </c>
      <c r="R148" s="1">
        <f>MEDIAN($E148)</f>
        <v>0</v>
      </c>
      <c r="S148" s="1">
        <f>MEDIAN($G148)</f>
        <v>0</v>
      </c>
      <c r="T148" s="1">
        <f>MEDIAN($H148)</f>
        <v>0</v>
      </c>
      <c r="U148" s="1">
        <f>MAX($B148)</f>
        <v>0</v>
      </c>
      <c r="V148" s="1">
        <f>MAX($C148)</f>
        <v>0</v>
      </c>
      <c r="W148" s="1">
        <f>MAX($D148)</f>
        <v>0</v>
      </c>
      <c r="X148" s="1">
        <f>MAX($E148)</f>
        <v>0</v>
      </c>
      <c r="Y148" s="1">
        <f>MAX($G148)</f>
        <v>0</v>
      </c>
      <c r="Z148" s="1">
        <f>MAX($H148)</f>
        <v>0</v>
      </c>
    </row>
    <row r="149" spans="1:26">
      <c r="A149" s="1" t="s">
        <v>146</v>
      </c>
      <c r="B149" s="1">
        <v>1</v>
      </c>
      <c r="C149" s="1">
        <v>0</v>
      </c>
      <c r="D149" s="1">
        <v>0</v>
      </c>
      <c r="E149" s="1">
        <v>3000</v>
      </c>
      <c r="F149" s="1" t="s">
        <v>374</v>
      </c>
      <c r="G149" s="1">
        <v>1500</v>
      </c>
      <c r="H149" s="1">
        <v>1</v>
      </c>
      <c r="I149" s="1">
        <f>MIN($B149)</f>
        <v>0</v>
      </c>
      <c r="J149" s="1">
        <f>MIN($C149)</f>
        <v>0</v>
      </c>
      <c r="K149" s="1">
        <f>MIN($D149)</f>
        <v>0</v>
      </c>
      <c r="L149" s="1">
        <f>MIN($E149)</f>
        <v>0</v>
      </c>
      <c r="M149" s="1">
        <f>MIN($G149)</f>
        <v>0</v>
      </c>
      <c r="N149" s="1">
        <f>MIN($H149)</f>
        <v>0</v>
      </c>
      <c r="O149" s="1">
        <f>MEDIAN($B149)</f>
        <v>0</v>
      </c>
      <c r="P149" s="1">
        <f>MEDIAN($C149)</f>
        <v>0</v>
      </c>
      <c r="Q149" s="1">
        <f>MEDIAN($D149)</f>
        <v>0</v>
      </c>
      <c r="R149" s="1">
        <f>MEDIAN($E149)</f>
        <v>0</v>
      </c>
      <c r="S149" s="1">
        <f>MEDIAN($G149)</f>
        <v>0</v>
      </c>
      <c r="T149" s="1">
        <f>MEDIAN($H149)</f>
        <v>0</v>
      </c>
      <c r="U149" s="1">
        <f>MAX($B149)</f>
        <v>0</v>
      </c>
      <c r="V149" s="1">
        <f>MAX($C149)</f>
        <v>0</v>
      </c>
      <c r="W149" s="1">
        <f>MAX($D149)</f>
        <v>0</v>
      </c>
      <c r="X149" s="1">
        <f>MAX($E149)</f>
        <v>0</v>
      </c>
      <c r="Y149" s="1">
        <f>MAX($G149)</f>
        <v>0</v>
      </c>
      <c r="Z149" s="1">
        <f>MAX($H149)</f>
        <v>0</v>
      </c>
    </row>
    <row r="150" spans="1:26">
      <c r="A150" s="1" t="s">
        <v>147</v>
      </c>
      <c r="B150" s="1">
        <v>1</v>
      </c>
      <c r="C150" s="1">
        <v>0</v>
      </c>
      <c r="D150" s="1">
        <v>0</v>
      </c>
      <c r="E150" s="1">
        <v>3000</v>
      </c>
      <c r="F150" s="1" t="s">
        <v>374</v>
      </c>
      <c r="G150" s="1">
        <v>1500</v>
      </c>
      <c r="H150" s="1">
        <v>1</v>
      </c>
      <c r="I150" s="1">
        <f>MIN($B150)</f>
        <v>0</v>
      </c>
      <c r="J150" s="1">
        <f>MIN($C150)</f>
        <v>0</v>
      </c>
      <c r="K150" s="1">
        <f>MIN($D150)</f>
        <v>0</v>
      </c>
      <c r="L150" s="1">
        <f>MIN($E150)</f>
        <v>0</v>
      </c>
      <c r="M150" s="1">
        <f>MIN($G150)</f>
        <v>0</v>
      </c>
      <c r="N150" s="1">
        <f>MIN($H150)</f>
        <v>0</v>
      </c>
      <c r="O150" s="1">
        <f>MEDIAN($B150)</f>
        <v>0</v>
      </c>
      <c r="P150" s="1">
        <f>MEDIAN($C150)</f>
        <v>0</v>
      </c>
      <c r="Q150" s="1">
        <f>MEDIAN($D150)</f>
        <v>0</v>
      </c>
      <c r="R150" s="1">
        <f>MEDIAN($E150)</f>
        <v>0</v>
      </c>
      <c r="S150" s="1">
        <f>MEDIAN($G150)</f>
        <v>0</v>
      </c>
      <c r="T150" s="1">
        <f>MEDIAN($H150)</f>
        <v>0</v>
      </c>
      <c r="U150" s="1">
        <f>MAX($B150)</f>
        <v>0</v>
      </c>
      <c r="V150" s="1">
        <f>MAX($C150)</f>
        <v>0</v>
      </c>
      <c r="W150" s="1">
        <f>MAX($D150)</f>
        <v>0</v>
      </c>
      <c r="X150" s="1">
        <f>MAX($E150)</f>
        <v>0</v>
      </c>
      <c r="Y150" s="1">
        <f>MAX($G150)</f>
        <v>0</v>
      </c>
      <c r="Z150" s="1">
        <f>MAX($H150)</f>
        <v>0</v>
      </c>
    </row>
    <row r="151" spans="1:26">
      <c r="A151" s="1" t="s">
        <v>148</v>
      </c>
      <c r="B151" s="1">
        <v>1</v>
      </c>
      <c r="C151" s="1">
        <v>0</v>
      </c>
      <c r="D151" s="1">
        <v>0</v>
      </c>
      <c r="E151" s="1">
        <v>3000</v>
      </c>
      <c r="F151" s="1" t="s">
        <v>374</v>
      </c>
      <c r="G151" s="1">
        <v>1500</v>
      </c>
      <c r="H151" s="1">
        <v>1</v>
      </c>
      <c r="I151" s="1">
        <f>MIN($B151)</f>
        <v>0</v>
      </c>
      <c r="J151" s="1">
        <f>MIN($C151)</f>
        <v>0</v>
      </c>
      <c r="K151" s="1">
        <f>MIN($D151)</f>
        <v>0</v>
      </c>
      <c r="L151" s="1">
        <f>MIN($E151)</f>
        <v>0</v>
      </c>
      <c r="M151" s="1">
        <f>MIN($G151)</f>
        <v>0</v>
      </c>
      <c r="N151" s="1">
        <f>MIN($H151)</f>
        <v>0</v>
      </c>
      <c r="O151" s="1">
        <f>MEDIAN($B151)</f>
        <v>0</v>
      </c>
      <c r="P151" s="1">
        <f>MEDIAN($C151)</f>
        <v>0</v>
      </c>
      <c r="Q151" s="1">
        <f>MEDIAN($D151)</f>
        <v>0</v>
      </c>
      <c r="R151" s="1">
        <f>MEDIAN($E151)</f>
        <v>0</v>
      </c>
      <c r="S151" s="1">
        <f>MEDIAN($G151)</f>
        <v>0</v>
      </c>
      <c r="T151" s="1">
        <f>MEDIAN($H151)</f>
        <v>0</v>
      </c>
      <c r="U151" s="1">
        <f>MAX($B151)</f>
        <v>0</v>
      </c>
      <c r="V151" s="1">
        <f>MAX($C151)</f>
        <v>0</v>
      </c>
      <c r="W151" s="1">
        <f>MAX($D151)</f>
        <v>0</v>
      </c>
      <c r="X151" s="1">
        <f>MAX($E151)</f>
        <v>0</v>
      </c>
      <c r="Y151" s="1">
        <f>MAX($G151)</f>
        <v>0</v>
      </c>
      <c r="Z151" s="1">
        <f>MAX($H151)</f>
        <v>0</v>
      </c>
    </row>
    <row r="152" spans="1:26">
      <c r="A152" s="1" t="s">
        <v>149</v>
      </c>
      <c r="B152" s="1">
        <v>1</v>
      </c>
      <c r="C152" s="1">
        <v>0</v>
      </c>
      <c r="D152" s="1">
        <v>0</v>
      </c>
      <c r="E152" s="1">
        <v>3000</v>
      </c>
      <c r="F152" s="1" t="s">
        <v>374</v>
      </c>
      <c r="G152" s="1">
        <v>1500</v>
      </c>
      <c r="H152" s="1">
        <v>1</v>
      </c>
      <c r="I152" s="1">
        <f>MIN($B152)</f>
        <v>0</v>
      </c>
      <c r="J152" s="1">
        <f>MIN($C152)</f>
        <v>0</v>
      </c>
      <c r="K152" s="1">
        <f>MIN($D152)</f>
        <v>0</v>
      </c>
      <c r="L152" s="1">
        <f>MIN($E152)</f>
        <v>0</v>
      </c>
      <c r="M152" s="1">
        <f>MIN($G152)</f>
        <v>0</v>
      </c>
      <c r="N152" s="1">
        <f>MIN($H152)</f>
        <v>0</v>
      </c>
      <c r="O152" s="1">
        <f>MEDIAN($B152)</f>
        <v>0</v>
      </c>
      <c r="P152" s="1">
        <f>MEDIAN($C152)</f>
        <v>0</v>
      </c>
      <c r="Q152" s="1">
        <f>MEDIAN($D152)</f>
        <v>0</v>
      </c>
      <c r="R152" s="1">
        <f>MEDIAN($E152)</f>
        <v>0</v>
      </c>
      <c r="S152" s="1">
        <f>MEDIAN($G152)</f>
        <v>0</v>
      </c>
      <c r="T152" s="1">
        <f>MEDIAN($H152)</f>
        <v>0</v>
      </c>
      <c r="U152" s="1">
        <f>MAX($B152)</f>
        <v>0</v>
      </c>
      <c r="V152" s="1">
        <f>MAX($C152)</f>
        <v>0</v>
      </c>
      <c r="W152" s="1">
        <f>MAX($D152)</f>
        <v>0</v>
      </c>
      <c r="X152" s="1">
        <f>MAX($E152)</f>
        <v>0</v>
      </c>
      <c r="Y152" s="1">
        <f>MAX($G152)</f>
        <v>0</v>
      </c>
      <c r="Z152" s="1">
        <f>MAX($H152)</f>
        <v>0</v>
      </c>
    </row>
    <row r="153" spans="1:26">
      <c r="A153" s="1" t="s">
        <v>150</v>
      </c>
      <c r="B153" s="1">
        <v>1</v>
      </c>
      <c r="C153" s="1">
        <v>0</v>
      </c>
      <c r="D153" s="1">
        <v>0</v>
      </c>
      <c r="E153" s="1">
        <v>3000</v>
      </c>
      <c r="F153" s="1" t="s">
        <v>374</v>
      </c>
      <c r="G153" s="1">
        <v>1500</v>
      </c>
      <c r="H153" s="1">
        <v>1</v>
      </c>
      <c r="I153" s="1">
        <f>MIN($B153)</f>
        <v>0</v>
      </c>
      <c r="J153" s="1">
        <f>MIN($C153)</f>
        <v>0</v>
      </c>
      <c r="K153" s="1">
        <f>MIN($D153)</f>
        <v>0</v>
      </c>
      <c r="L153" s="1">
        <f>MIN($E153)</f>
        <v>0</v>
      </c>
      <c r="M153" s="1">
        <f>MIN($G153)</f>
        <v>0</v>
      </c>
      <c r="N153" s="1">
        <f>MIN($H153)</f>
        <v>0</v>
      </c>
      <c r="O153" s="1">
        <f>MEDIAN($B153)</f>
        <v>0</v>
      </c>
      <c r="P153" s="1">
        <f>MEDIAN($C153)</f>
        <v>0</v>
      </c>
      <c r="Q153" s="1">
        <f>MEDIAN($D153)</f>
        <v>0</v>
      </c>
      <c r="R153" s="1">
        <f>MEDIAN($E153)</f>
        <v>0</v>
      </c>
      <c r="S153" s="1">
        <f>MEDIAN($G153)</f>
        <v>0</v>
      </c>
      <c r="T153" s="1">
        <f>MEDIAN($H153)</f>
        <v>0</v>
      </c>
      <c r="U153" s="1">
        <f>MAX($B153)</f>
        <v>0</v>
      </c>
      <c r="V153" s="1">
        <f>MAX($C153)</f>
        <v>0</v>
      </c>
      <c r="W153" s="1">
        <f>MAX($D153)</f>
        <v>0</v>
      </c>
      <c r="X153" s="1">
        <f>MAX($E153)</f>
        <v>0</v>
      </c>
      <c r="Y153" s="1">
        <f>MAX($G153)</f>
        <v>0</v>
      </c>
      <c r="Z153" s="1">
        <f>MAX($H153)</f>
        <v>0</v>
      </c>
    </row>
    <row r="154" spans="1:26">
      <c r="A154" s="1" t="s">
        <v>151</v>
      </c>
      <c r="B154" s="1">
        <v>1</v>
      </c>
      <c r="C154" s="1">
        <v>0</v>
      </c>
      <c r="D154" s="1">
        <v>0</v>
      </c>
      <c r="E154" s="1">
        <v>3000</v>
      </c>
      <c r="F154" s="1" t="s">
        <v>374</v>
      </c>
      <c r="G154" s="1">
        <v>1500</v>
      </c>
      <c r="H154" s="1">
        <v>1</v>
      </c>
      <c r="I154" s="1">
        <f>MIN($B154)</f>
        <v>0</v>
      </c>
      <c r="J154" s="1">
        <f>MIN($C154)</f>
        <v>0</v>
      </c>
      <c r="K154" s="1">
        <f>MIN($D154)</f>
        <v>0</v>
      </c>
      <c r="L154" s="1">
        <f>MIN($E154)</f>
        <v>0</v>
      </c>
      <c r="M154" s="1">
        <f>MIN($G154)</f>
        <v>0</v>
      </c>
      <c r="N154" s="1">
        <f>MIN($H154)</f>
        <v>0</v>
      </c>
      <c r="O154" s="1">
        <f>MEDIAN($B154)</f>
        <v>0</v>
      </c>
      <c r="P154" s="1">
        <f>MEDIAN($C154)</f>
        <v>0</v>
      </c>
      <c r="Q154" s="1">
        <f>MEDIAN($D154)</f>
        <v>0</v>
      </c>
      <c r="R154" s="1">
        <f>MEDIAN($E154)</f>
        <v>0</v>
      </c>
      <c r="S154" s="1">
        <f>MEDIAN($G154)</f>
        <v>0</v>
      </c>
      <c r="T154" s="1">
        <f>MEDIAN($H154)</f>
        <v>0</v>
      </c>
      <c r="U154" s="1">
        <f>MAX($B154)</f>
        <v>0</v>
      </c>
      <c r="V154" s="1">
        <f>MAX($C154)</f>
        <v>0</v>
      </c>
      <c r="W154" s="1">
        <f>MAX($D154)</f>
        <v>0</v>
      </c>
      <c r="X154" s="1">
        <f>MAX($E154)</f>
        <v>0</v>
      </c>
      <c r="Y154" s="1">
        <f>MAX($G154)</f>
        <v>0</v>
      </c>
      <c r="Z154" s="1">
        <f>MAX($H154)</f>
        <v>0</v>
      </c>
    </row>
    <row r="155" spans="1:26">
      <c r="A155" s="1" t="s">
        <v>152</v>
      </c>
      <c r="B155" s="1">
        <v>1</v>
      </c>
      <c r="C155" s="1">
        <v>0</v>
      </c>
      <c r="D155" s="1">
        <v>0</v>
      </c>
      <c r="E155" s="1">
        <v>3000</v>
      </c>
      <c r="F155" s="1" t="s">
        <v>374</v>
      </c>
      <c r="G155" s="1">
        <v>1500</v>
      </c>
      <c r="H155" s="1">
        <v>1</v>
      </c>
      <c r="I155" s="1">
        <f>MIN($B155)</f>
        <v>0</v>
      </c>
      <c r="J155" s="1">
        <f>MIN($C155)</f>
        <v>0</v>
      </c>
      <c r="K155" s="1">
        <f>MIN($D155)</f>
        <v>0</v>
      </c>
      <c r="L155" s="1">
        <f>MIN($E155)</f>
        <v>0</v>
      </c>
      <c r="M155" s="1">
        <f>MIN($G155)</f>
        <v>0</v>
      </c>
      <c r="N155" s="1">
        <f>MIN($H155)</f>
        <v>0</v>
      </c>
      <c r="O155" s="1">
        <f>MEDIAN($B155)</f>
        <v>0</v>
      </c>
      <c r="P155" s="1">
        <f>MEDIAN($C155)</f>
        <v>0</v>
      </c>
      <c r="Q155" s="1">
        <f>MEDIAN($D155)</f>
        <v>0</v>
      </c>
      <c r="R155" s="1">
        <f>MEDIAN($E155)</f>
        <v>0</v>
      </c>
      <c r="S155" s="1">
        <f>MEDIAN($G155)</f>
        <v>0</v>
      </c>
      <c r="T155" s="1">
        <f>MEDIAN($H155)</f>
        <v>0</v>
      </c>
      <c r="U155" s="1">
        <f>MAX($B155)</f>
        <v>0</v>
      </c>
      <c r="V155" s="1">
        <f>MAX($C155)</f>
        <v>0</v>
      </c>
      <c r="W155" s="1">
        <f>MAX($D155)</f>
        <v>0</v>
      </c>
      <c r="X155" s="1">
        <f>MAX($E155)</f>
        <v>0</v>
      </c>
      <c r="Y155" s="1">
        <f>MAX($G155)</f>
        <v>0</v>
      </c>
      <c r="Z155" s="1">
        <f>MAX($H155)</f>
        <v>0</v>
      </c>
    </row>
    <row r="156" spans="1:26">
      <c r="A156" s="1" t="s">
        <v>153</v>
      </c>
      <c r="B156" s="1">
        <v>1</v>
      </c>
      <c r="C156" s="1">
        <v>0</v>
      </c>
      <c r="D156" s="1">
        <v>0</v>
      </c>
      <c r="E156" s="1">
        <v>3000</v>
      </c>
      <c r="F156" s="1" t="s">
        <v>374</v>
      </c>
      <c r="G156" s="1">
        <v>1500</v>
      </c>
      <c r="H156" s="1">
        <v>1</v>
      </c>
      <c r="I156" s="1">
        <f>MIN($B156)</f>
        <v>0</v>
      </c>
      <c r="J156" s="1">
        <f>MIN($C156)</f>
        <v>0</v>
      </c>
      <c r="K156" s="1">
        <f>MIN($D156)</f>
        <v>0</v>
      </c>
      <c r="L156" s="1">
        <f>MIN($E156)</f>
        <v>0</v>
      </c>
      <c r="M156" s="1">
        <f>MIN($G156)</f>
        <v>0</v>
      </c>
      <c r="N156" s="1">
        <f>MIN($H156)</f>
        <v>0</v>
      </c>
      <c r="O156" s="1">
        <f>MEDIAN($B156)</f>
        <v>0</v>
      </c>
      <c r="P156" s="1">
        <f>MEDIAN($C156)</f>
        <v>0</v>
      </c>
      <c r="Q156" s="1">
        <f>MEDIAN($D156)</f>
        <v>0</v>
      </c>
      <c r="R156" s="1">
        <f>MEDIAN($E156)</f>
        <v>0</v>
      </c>
      <c r="S156" s="1">
        <f>MEDIAN($G156)</f>
        <v>0</v>
      </c>
      <c r="T156" s="1">
        <f>MEDIAN($H156)</f>
        <v>0</v>
      </c>
      <c r="U156" s="1">
        <f>MAX($B156)</f>
        <v>0</v>
      </c>
      <c r="V156" s="1">
        <f>MAX($C156)</f>
        <v>0</v>
      </c>
      <c r="W156" s="1">
        <f>MAX($D156)</f>
        <v>0</v>
      </c>
      <c r="X156" s="1">
        <f>MAX($E156)</f>
        <v>0</v>
      </c>
      <c r="Y156" s="1">
        <f>MAX($G156)</f>
        <v>0</v>
      </c>
      <c r="Z156" s="1">
        <f>MAX($H156)</f>
        <v>0</v>
      </c>
    </row>
    <row r="157" spans="1:26">
      <c r="A157" s="1" t="s">
        <v>154</v>
      </c>
      <c r="B157" s="1">
        <v>1</v>
      </c>
      <c r="C157" s="1">
        <v>0</v>
      </c>
      <c r="D157" s="1">
        <v>0</v>
      </c>
      <c r="E157" s="1">
        <v>3000</v>
      </c>
      <c r="F157" s="1" t="s">
        <v>374</v>
      </c>
      <c r="G157" s="1">
        <v>1500</v>
      </c>
      <c r="H157" s="1">
        <v>1</v>
      </c>
      <c r="I157" s="1">
        <f>MIN($B157)</f>
        <v>0</v>
      </c>
      <c r="J157" s="1">
        <f>MIN($C157)</f>
        <v>0</v>
      </c>
      <c r="K157" s="1">
        <f>MIN($D157)</f>
        <v>0</v>
      </c>
      <c r="L157" s="1">
        <f>MIN($E157)</f>
        <v>0</v>
      </c>
      <c r="M157" s="1">
        <f>MIN($G157)</f>
        <v>0</v>
      </c>
      <c r="N157" s="1">
        <f>MIN($H157)</f>
        <v>0</v>
      </c>
      <c r="O157" s="1">
        <f>MEDIAN($B157)</f>
        <v>0</v>
      </c>
      <c r="P157" s="1">
        <f>MEDIAN($C157)</f>
        <v>0</v>
      </c>
      <c r="Q157" s="1">
        <f>MEDIAN($D157)</f>
        <v>0</v>
      </c>
      <c r="R157" s="1">
        <f>MEDIAN($E157)</f>
        <v>0</v>
      </c>
      <c r="S157" s="1">
        <f>MEDIAN($G157)</f>
        <v>0</v>
      </c>
      <c r="T157" s="1">
        <f>MEDIAN($H157)</f>
        <v>0</v>
      </c>
      <c r="U157" s="1">
        <f>MAX($B157)</f>
        <v>0</v>
      </c>
      <c r="V157" s="1">
        <f>MAX($C157)</f>
        <v>0</v>
      </c>
      <c r="W157" s="1">
        <f>MAX($D157)</f>
        <v>0</v>
      </c>
      <c r="X157" s="1">
        <f>MAX($E157)</f>
        <v>0</v>
      </c>
      <c r="Y157" s="1">
        <f>MAX($G157)</f>
        <v>0</v>
      </c>
      <c r="Z157" s="1">
        <f>MAX($H157)</f>
        <v>0</v>
      </c>
    </row>
    <row r="158" spans="1:26">
      <c r="A158" s="1" t="s">
        <v>155</v>
      </c>
      <c r="B158" s="1">
        <v>1</v>
      </c>
      <c r="C158" s="1">
        <v>0</v>
      </c>
      <c r="D158" s="1">
        <v>0</v>
      </c>
      <c r="E158" s="1">
        <v>3000</v>
      </c>
      <c r="F158" s="1" t="s">
        <v>374</v>
      </c>
      <c r="G158" s="1">
        <v>1500</v>
      </c>
      <c r="H158" s="1">
        <v>1</v>
      </c>
      <c r="I158" s="1">
        <f>MIN($B158)</f>
        <v>0</v>
      </c>
      <c r="J158" s="1">
        <f>MIN($C158)</f>
        <v>0</v>
      </c>
      <c r="K158" s="1">
        <f>MIN($D158)</f>
        <v>0</v>
      </c>
      <c r="L158" s="1">
        <f>MIN($E158)</f>
        <v>0</v>
      </c>
      <c r="M158" s="1">
        <f>MIN($G158)</f>
        <v>0</v>
      </c>
      <c r="N158" s="1">
        <f>MIN($H158)</f>
        <v>0</v>
      </c>
      <c r="O158" s="1">
        <f>MEDIAN($B158)</f>
        <v>0</v>
      </c>
      <c r="P158" s="1">
        <f>MEDIAN($C158)</f>
        <v>0</v>
      </c>
      <c r="Q158" s="1">
        <f>MEDIAN($D158)</f>
        <v>0</v>
      </c>
      <c r="R158" s="1">
        <f>MEDIAN($E158)</f>
        <v>0</v>
      </c>
      <c r="S158" s="1">
        <f>MEDIAN($G158)</f>
        <v>0</v>
      </c>
      <c r="T158" s="1">
        <f>MEDIAN($H158)</f>
        <v>0</v>
      </c>
      <c r="U158" s="1">
        <f>MAX($B158)</f>
        <v>0</v>
      </c>
      <c r="V158" s="1">
        <f>MAX($C158)</f>
        <v>0</v>
      </c>
      <c r="W158" s="1">
        <f>MAX($D158)</f>
        <v>0</v>
      </c>
      <c r="X158" s="1">
        <f>MAX($E158)</f>
        <v>0</v>
      </c>
      <c r="Y158" s="1">
        <f>MAX($G158)</f>
        <v>0</v>
      </c>
      <c r="Z158" s="1">
        <f>MAX($H158)</f>
        <v>0</v>
      </c>
    </row>
    <row r="159" spans="1:26">
      <c r="A159" s="1" t="s">
        <v>156</v>
      </c>
      <c r="B159" s="1">
        <v>1</v>
      </c>
      <c r="C159" s="1">
        <v>0</v>
      </c>
      <c r="D159" s="1">
        <v>0</v>
      </c>
      <c r="E159" s="1">
        <v>3000</v>
      </c>
      <c r="F159" s="1" t="s">
        <v>374</v>
      </c>
      <c r="G159" s="1">
        <v>1500</v>
      </c>
      <c r="H159" s="1">
        <v>1</v>
      </c>
      <c r="I159" s="1">
        <f>MIN($B159)</f>
        <v>0</v>
      </c>
      <c r="J159" s="1">
        <f>MIN($C159)</f>
        <v>0</v>
      </c>
      <c r="K159" s="1">
        <f>MIN($D159)</f>
        <v>0</v>
      </c>
      <c r="L159" s="1">
        <f>MIN($E159)</f>
        <v>0</v>
      </c>
      <c r="M159" s="1">
        <f>MIN($G159)</f>
        <v>0</v>
      </c>
      <c r="N159" s="1">
        <f>MIN($H159)</f>
        <v>0</v>
      </c>
      <c r="O159" s="1">
        <f>MEDIAN($B159)</f>
        <v>0</v>
      </c>
      <c r="P159" s="1">
        <f>MEDIAN($C159)</f>
        <v>0</v>
      </c>
      <c r="Q159" s="1">
        <f>MEDIAN($D159)</f>
        <v>0</v>
      </c>
      <c r="R159" s="1">
        <f>MEDIAN($E159)</f>
        <v>0</v>
      </c>
      <c r="S159" s="1">
        <f>MEDIAN($G159)</f>
        <v>0</v>
      </c>
      <c r="T159" s="1">
        <f>MEDIAN($H159)</f>
        <v>0</v>
      </c>
      <c r="U159" s="1">
        <f>MAX($B159)</f>
        <v>0</v>
      </c>
      <c r="V159" s="1">
        <f>MAX($C159)</f>
        <v>0</v>
      </c>
      <c r="W159" s="1">
        <f>MAX($D159)</f>
        <v>0</v>
      </c>
      <c r="X159" s="1">
        <f>MAX($E159)</f>
        <v>0</v>
      </c>
      <c r="Y159" s="1">
        <f>MAX($G159)</f>
        <v>0</v>
      </c>
      <c r="Z159" s="1">
        <f>MAX($H159)</f>
        <v>0</v>
      </c>
    </row>
    <row r="160" spans="1:26">
      <c r="A160" s="1" t="s">
        <v>157</v>
      </c>
      <c r="B160" s="1">
        <v>1</v>
      </c>
      <c r="C160" s="1">
        <v>0</v>
      </c>
      <c r="D160" s="1">
        <v>0</v>
      </c>
      <c r="E160" s="1">
        <v>3000</v>
      </c>
      <c r="F160" s="1" t="s">
        <v>374</v>
      </c>
      <c r="G160" s="1">
        <v>1500</v>
      </c>
      <c r="H160" s="1">
        <v>1</v>
      </c>
      <c r="I160" s="1">
        <f>MIN($B160)</f>
        <v>0</v>
      </c>
      <c r="J160" s="1">
        <f>MIN($C160)</f>
        <v>0</v>
      </c>
      <c r="K160" s="1">
        <f>MIN($D160)</f>
        <v>0</v>
      </c>
      <c r="L160" s="1">
        <f>MIN($E160)</f>
        <v>0</v>
      </c>
      <c r="M160" s="1">
        <f>MIN($G160)</f>
        <v>0</v>
      </c>
      <c r="N160" s="1">
        <f>MIN($H160)</f>
        <v>0</v>
      </c>
      <c r="O160" s="1">
        <f>MEDIAN($B160)</f>
        <v>0</v>
      </c>
      <c r="P160" s="1">
        <f>MEDIAN($C160)</f>
        <v>0</v>
      </c>
      <c r="Q160" s="1">
        <f>MEDIAN($D160)</f>
        <v>0</v>
      </c>
      <c r="R160" s="1">
        <f>MEDIAN($E160)</f>
        <v>0</v>
      </c>
      <c r="S160" s="1">
        <f>MEDIAN($G160)</f>
        <v>0</v>
      </c>
      <c r="T160" s="1">
        <f>MEDIAN($H160)</f>
        <v>0</v>
      </c>
      <c r="U160" s="1">
        <f>MAX($B160)</f>
        <v>0</v>
      </c>
      <c r="V160" s="1">
        <f>MAX($C160)</f>
        <v>0</v>
      </c>
      <c r="W160" s="1">
        <f>MAX($D160)</f>
        <v>0</v>
      </c>
      <c r="X160" s="1">
        <f>MAX($E160)</f>
        <v>0</v>
      </c>
      <c r="Y160" s="1">
        <f>MAX($G160)</f>
        <v>0</v>
      </c>
      <c r="Z160" s="1">
        <f>MAX($H160)</f>
        <v>0</v>
      </c>
    </row>
    <row r="161" spans="1:26">
      <c r="A161" s="1" t="s">
        <v>158</v>
      </c>
      <c r="B161" s="1">
        <v>1</v>
      </c>
      <c r="C161" s="1">
        <v>0</v>
      </c>
      <c r="D161" s="1">
        <v>0</v>
      </c>
      <c r="E161" s="1">
        <v>3000</v>
      </c>
      <c r="F161" s="1" t="s">
        <v>374</v>
      </c>
      <c r="G161" s="1">
        <v>1500</v>
      </c>
      <c r="H161" s="1">
        <v>1</v>
      </c>
      <c r="I161" s="1">
        <f>MIN($B161)</f>
        <v>0</v>
      </c>
      <c r="J161" s="1">
        <f>MIN($C161)</f>
        <v>0</v>
      </c>
      <c r="K161" s="1">
        <f>MIN($D161)</f>
        <v>0</v>
      </c>
      <c r="L161" s="1">
        <f>MIN($E161)</f>
        <v>0</v>
      </c>
      <c r="M161" s="1">
        <f>MIN($G161)</f>
        <v>0</v>
      </c>
      <c r="N161" s="1">
        <f>MIN($H161)</f>
        <v>0</v>
      </c>
      <c r="O161" s="1">
        <f>MEDIAN($B161)</f>
        <v>0</v>
      </c>
      <c r="P161" s="1">
        <f>MEDIAN($C161)</f>
        <v>0</v>
      </c>
      <c r="Q161" s="1">
        <f>MEDIAN($D161)</f>
        <v>0</v>
      </c>
      <c r="R161" s="1">
        <f>MEDIAN($E161)</f>
        <v>0</v>
      </c>
      <c r="S161" s="1">
        <f>MEDIAN($G161)</f>
        <v>0</v>
      </c>
      <c r="T161" s="1">
        <f>MEDIAN($H161)</f>
        <v>0</v>
      </c>
      <c r="U161" s="1">
        <f>MAX($B161)</f>
        <v>0</v>
      </c>
      <c r="V161" s="1">
        <f>MAX($C161)</f>
        <v>0</v>
      </c>
      <c r="W161" s="1">
        <f>MAX($D161)</f>
        <v>0</v>
      </c>
      <c r="X161" s="1">
        <f>MAX($E161)</f>
        <v>0</v>
      </c>
      <c r="Y161" s="1">
        <f>MAX($G161)</f>
        <v>0</v>
      </c>
      <c r="Z161" s="1">
        <f>MAX($H161)</f>
        <v>0</v>
      </c>
    </row>
    <row r="162" spans="1:26">
      <c r="A162" s="1" t="s">
        <v>159</v>
      </c>
      <c r="B162" s="1">
        <v>1</v>
      </c>
      <c r="C162" s="1">
        <v>0</v>
      </c>
      <c r="D162" s="1">
        <v>0</v>
      </c>
      <c r="E162" s="1">
        <v>3000</v>
      </c>
      <c r="F162" s="1" t="s">
        <v>374</v>
      </c>
      <c r="G162" s="1">
        <v>1500</v>
      </c>
      <c r="H162" s="1">
        <v>1</v>
      </c>
      <c r="I162" s="1">
        <f>MIN($B162)</f>
        <v>0</v>
      </c>
      <c r="J162" s="1">
        <f>MIN($C162)</f>
        <v>0</v>
      </c>
      <c r="K162" s="1">
        <f>MIN($D162)</f>
        <v>0</v>
      </c>
      <c r="L162" s="1">
        <f>MIN($E162)</f>
        <v>0</v>
      </c>
      <c r="M162" s="1">
        <f>MIN($G162)</f>
        <v>0</v>
      </c>
      <c r="N162" s="1">
        <f>MIN($H162)</f>
        <v>0</v>
      </c>
      <c r="O162" s="1">
        <f>MEDIAN($B162)</f>
        <v>0</v>
      </c>
      <c r="P162" s="1">
        <f>MEDIAN($C162)</f>
        <v>0</v>
      </c>
      <c r="Q162" s="1">
        <f>MEDIAN($D162)</f>
        <v>0</v>
      </c>
      <c r="R162" s="1">
        <f>MEDIAN($E162)</f>
        <v>0</v>
      </c>
      <c r="S162" s="1">
        <f>MEDIAN($G162)</f>
        <v>0</v>
      </c>
      <c r="T162" s="1">
        <f>MEDIAN($H162)</f>
        <v>0</v>
      </c>
      <c r="U162" s="1">
        <f>MAX($B162)</f>
        <v>0</v>
      </c>
      <c r="V162" s="1">
        <f>MAX($C162)</f>
        <v>0</v>
      </c>
      <c r="W162" s="1">
        <f>MAX($D162)</f>
        <v>0</v>
      </c>
      <c r="X162" s="1">
        <f>MAX($E162)</f>
        <v>0</v>
      </c>
      <c r="Y162" s="1">
        <f>MAX($G162)</f>
        <v>0</v>
      </c>
      <c r="Z162" s="1">
        <f>MAX($H162)</f>
        <v>0</v>
      </c>
    </row>
    <row r="163" spans="1:26">
      <c r="A163" s="1" t="s">
        <v>160</v>
      </c>
      <c r="B163" s="1">
        <v>1</v>
      </c>
      <c r="C163" s="1">
        <v>0</v>
      </c>
      <c r="D163" s="1">
        <v>0</v>
      </c>
      <c r="E163" s="1">
        <v>3000</v>
      </c>
      <c r="F163" s="1" t="s">
        <v>374</v>
      </c>
      <c r="G163" s="1">
        <v>1500</v>
      </c>
      <c r="H163" s="1">
        <v>1</v>
      </c>
      <c r="I163" s="1">
        <f>MIN($B163)</f>
        <v>0</v>
      </c>
      <c r="J163" s="1">
        <f>MIN($C163)</f>
        <v>0</v>
      </c>
      <c r="K163" s="1">
        <f>MIN($D163)</f>
        <v>0</v>
      </c>
      <c r="L163" s="1">
        <f>MIN($E163)</f>
        <v>0</v>
      </c>
      <c r="M163" s="1">
        <f>MIN($G163)</f>
        <v>0</v>
      </c>
      <c r="N163" s="1">
        <f>MIN($H163)</f>
        <v>0</v>
      </c>
      <c r="O163" s="1">
        <f>MEDIAN($B163)</f>
        <v>0</v>
      </c>
      <c r="P163" s="1">
        <f>MEDIAN($C163)</f>
        <v>0</v>
      </c>
      <c r="Q163" s="1">
        <f>MEDIAN($D163)</f>
        <v>0</v>
      </c>
      <c r="R163" s="1">
        <f>MEDIAN($E163)</f>
        <v>0</v>
      </c>
      <c r="S163" s="1">
        <f>MEDIAN($G163)</f>
        <v>0</v>
      </c>
      <c r="T163" s="1">
        <f>MEDIAN($H163)</f>
        <v>0</v>
      </c>
      <c r="U163" s="1">
        <f>MAX($B163)</f>
        <v>0</v>
      </c>
      <c r="V163" s="1">
        <f>MAX($C163)</f>
        <v>0</v>
      </c>
      <c r="W163" s="1">
        <f>MAX($D163)</f>
        <v>0</v>
      </c>
      <c r="X163" s="1">
        <f>MAX($E163)</f>
        <v>0</v>
      </c>
      <c r="Y163" s="1">
        <f>MAX($G163)</f>
        <v>0</v>
      </c>
      <c r="Z163" s="1">
        <f>MAX($H163)</f>
        <v>0</v>
      </c>
    </row>
    <row r="164" spans="1:26">
      <c r="A164" s="1" t="s">
        <v>161</v>
      </c>
      <c r="B164" s="1">
        <v>1</v>
      </c>
      <c r="C164" s="1">
        <v>0</v>
      </c>
      <c r="D164" s="1">
        <v>0</v>
      </c>
      <c r="E164" s="1">
        <v>3000</v>
      </c>
      <c r="F164" s="1" t="s">
        <v>374</v>
      </c>
      <c r="G164" s="1">
        <v>1500</v>
      </c>
      <c r="H164" s="1">
        <v>1</v>
      </c>
      <c r="I164" s="1">
        <f>MIN($B164)</f>
        <v>0</v>
      </c>
      <c r="J164" s="1">
        <f>MIN($C164)</f>
        <v>0</v>
      </c>
      <c r="K164" s="1">
        <f>MIN($D164)</f>
        <v>0</v>
      </c>
      <c r="L164" s="1">
        <f>MIN($E164)</f>
        <v>0</v>
      </c>
      <c r="M164" s="1">
        <f>MIN($G164)</f>
        <v>0</v>
      </c>
      <c r="N164" s="1">
        <f>MIN($H164)</f>
        <v>0</v>
      </c>
      <c r="O164" s="1">
        <f>MEDIAN($B164)</f>
        <v>0</v>
      </c>
      <c r="P164" s="1">
        <f>MEDIAN($C164)</f>
        <v>0</v>
      </c>
      <c r="Q164" s="1">
        <f>MEDIAN($D164)</f>
        <v>0</v>
      </c>
      <c r="R164" s="1">
        <f>MEDIAN($E164)</f>
        <v>0</v>
      </c>
      <c r="S164" s="1">
        <f>MEDIAN($G164)</f>
        <v>0</v>
      </c>
      <c r="T164" s="1">
        <f>MEDIAN($H164)</f>
        <v>0</v>
      </c>
      <c r="U164" s="1">
        <f>MAX($B164)</f>
        <v>0</v>
      </c>
      <c r="V164" s="1">
        <f>MAX($C164)</f>
        <v>0</v>
      </c>
      <c r="W164" s="1">
        <f>MAX($D164)</f>
        <v>0</v>
      </c>
      <c r="X164" s="1">
        <f>MAX($E164)</f>
        <v>0</v>
      </c>
      <c r="Y164" s="1">
        <f>MAX($G164)</f>
        <v>0</v>
      </c>
      <c r="Z164" s="1">
        <f>MAX($H164)</f>
        <v>0</v>
      </c>
    </row>
    <row r="165" spans="1:26">
      <c r="A165" s="1" t="s">
        <v>162</v>
      </c>
      <c r="B165" s="1">
        <v>1</v>
      </c>
      <c r="C165" s="1">
        <v>0</v>
      </c>
      <c r="D165" s="1">
        <v>0</v>
      </c>
      <c r="E165" s="1">
        <v>3000</v>
      </c>
      <c r="F165" s="1" t="s">
        <v>374</v>
      </c>
      <c r="G165" s="1">
        <v>1500</v>
      </c>
      <c r="H165" s="1">
        <v>1</v>
      </c>
      <c r="I165" s="1">
        <f>MIN($B165)</f>
        <v>0</v>
      </c>
      <c r="J165" s="1">
        <f>MIN($C165)</f>
        <v>0</v>
      </c>
      <c r="K165" s="1">
        <f>MIN($D165)</f>
        <v>0</v>
      </c>
      <c r="L165" s="1">
        <f>MIN($E165)</f>
        <v>0</v>
      </c>
      <c r="M165" s="1">
        <f>MIN($G165)</f>
        <v>0</v>
      </c>
      <c r="N165" s="1">
        <f>MIN($H165)</f>
        <v>0</v>
      </c>
      <c r="O165" s="1">
        <f>MEDIAN($B165)</f>
        <v>0</v>
      </c>
      <c r="P165" s="1">
        <f>MEDIAN($C165)</f>
        <v>0</v>
      </c>
      <c r="Q165" s="1">
        <f>MEDIAN($D165)</f>
        <v>0</v>
      </c>
      <c r="R165" s="1">
        <f>MEDIAN($E165)</f>
        <v>0</v>
      </c>
      <c r="S165" s="1">
        <f>MEDIAN($G165)</f>
        <v>0</v>
      </c>
      <c r="T165" s="1">
        <f>MEDIAN($H165)</f>
        <v>0</v>
      </c>
      <c r="U165" s="1">
        <f>MAX($B165)</f>
        <v>0</v>
      </c>
      <c r="V165" s="1">
        <f>MAX($C165)</f>
        <v>0</v>
      </c>
      <c r="W165" s="1">
        <f>MAX($D165)</f>
        <v>0</v>
      </c>
      <c r="X165" s="1">
        <f>MAX($E165)</f>
        <v>0</v>
      </c>
      <c r="Y165" s="1">
        <f>MAX($G165)</f>
        <v>0</v>
      </c>
      <c r="Z165" s="1">
        <f>MAX($H165)</f>
        <v>0</v>
      </c>
    </row>
    <row r="166" spans="1:26">
      <c r="A166" s="1" t="s">
        <v>163</v>
      </c>
      <c r="B166" s="1">
        <v>1</v>
      </c>
      <c r="C166" s="1">
        <v>0</v>
      </c>
      <c r="D166" s="1">
        <v>0</v>
      </c>
      <c r="E166" s="1">
        <v>3000</v>
      </c>
      <c r="F166" s="1" t="s">
        <v>374</v>
      </c>
      <c r="G166" s="1">
        <v>1500</v>
      </c>
      <c r="H166" s="1">
        <v>1</v>
      </c>
      <c r="I166" s="1">
        <f>MIN($B166)</f>
        <v>0</v>
      </c>
      <c r="J166" s="1">
        <f>MIN($C166)</f>
        <v>0</v>
      </c>
      <c r="K166" s="1">
        <f>MIN($D166)</f>
        <v>0</v>
      </c>
      <c r="L166" s="1">
        <f>MIN($E166)</f>
        <v>0</v>
      </c>
      <c r="M166" s="1">
        <f>MIN($G166)</f>
        <v>0</v>
      </c>
      <c r="N166" s="1">
        <f>MIN($H166)</f>
        <v>0</v>
      </c>
      <c r="O166" s="1">
        <f>MEDIAN($B166)</f>
        <v>0</v>
      </c>
      <c r="P166" s="1">
        <f>MEDIAN($C166)</f>
        <v>0</v>
      </c>
      <c r="Q166" s="1">
        <f>MEDIAN($D166)</f>
        <v>0</v>
      </c>
      <c r="R166" s="1">
        <f>MEDIAN($E166)</f>
        <v>0</v>
      </c>
      <c r="S166" s="1">
        <f>MEDIAN($G166)</f>
        <v>0</v>
      </c>
      <c r="T166" s="1">
        <f>MEDIAN($H166)</f>
        <v>0</v>
      </c>
      <c r="U166" s="1">
        <f>MAX($B166)</f>
        <v>0</v>
      </c>
      <c r="V166" s="1">
        <f>MAX($C166)</f>
        <v>0</v>
      </c>
      <c r="W166" s="1">
        <f>MAX($D166)</f>
        <v>0</v>
      </c>
      <c r="X166" s="1">
        <f>MAX($E166)</f>
        <v>0</v>
      </c>
      <c r="Y166" s="1">
        <f>MAX($G166)</f>
        <v>0</v>
      </c>
      <c r="Z166" s="1">
        <f>MAX($H166)</f>
        <v>0</v>
      </c>
    </row>
    <row r="167" spans="1:26">
      <c r="A167" s="1" t="s">
        <v>164</v>
      </c>
      <c r="B167" s="1">
        <v>1</v>
      </c>
      <c r="C167" s="1">
        <v>0</v>
      </c>
      <c r="D167" s="1">
        <v>0</v>
      </c>
      <c r="E167" s="1">
        <v>3000</v>
      </c>
      <c r="F167" s="1" t="s">
        <v>374</v>
      </c>
      <c r="G167" s="1">
        <v>1500</v>
      </c>
      <c r="H167" s="1">
        <v>1</v>
      </c>
      <c r="I167" s="1">
        <f>MIN($B167)</f>
        <v>0</v>
      </c>
      <c r="J167" s="1">
        <f>MIN($C167)</f>
        <v>0</v>
      </c>
      <c r="K167" s="1">
        <f>MIN($D167)</f>
        <v>0</v>
      </c>
      <c r="L167" s="1">
        <f>MIN($E167)</f>
        <v>0</v>
      </c>
      <c r="M167" s="1">
        <f>MIN($G167)</f>
        <v>0</v>
      </c>
      <c r="N167" s="1">
        <f>MIN($H167)</f>
        <v>0</v>
      </c>
      <c r="O167" s="1">
        <f>MEDIAN($B167)</f>
        <v>0</v>
      </c>
      <c r="P167" s="1">
        <f>MEDIAN($C167)</f>
        <v>0</v>
      </c>
      <c r="Q167" s="1">
        <f>MEDIAN($D167)</f>
        <v>0</v>
      </c>
      <c r="R167" s="1">
        <f>MEDIAN($E167)</f>
        <v>0</v>
      </c>
      <c r="S167" s="1">
        <f>MEDIAN($G167)</f>
        <v>0</v>
      </c>
      <c r="T167" s="1">
        <f>MEDIAN($H167)</f>
        <v>0</v>
      </c>
      <c r="U167" s="1">
        <f>MAX($B167)</f>
        <v>0</v>
      </c>
      <c r="V167" s="1">
        <f>MAX($C167)</f>
        <v>0</v>
      </c>
      <c r="W167" s="1">
        <f>MAX($D167)</f>
        <v>0</v>
      </c>
      <c r="X167" s="1">
        <f>MAX($E167)</f>
        <v>0</v>
      </c>
      <c r="Y167" s="1">
        <f>MAX($G167)</f>
        <v>0</v>
      </c>
      <c r="Z167" s="1">
        <f>MAX($H167)</f>
        <v>0</v>
      </c>
    </row>
    <row r="168" spans="1:26">
      <c r="A168" s="1" t="s">
        <v>165</v>
      </c>
      <c r="B168" s="1">
        <v>1</v>
      </c>
      <c r="C168" s="1">
        <v>0</v>
      </c>
      <c r="D168" s="1">
        <v>0</v>
      </c>
      <c r="E168" s="1">
        <v>3000</v>
      </c>
      <c r="F168" s="1" t="s">
        <v>374</v>
      </c>
      <c r="G168" s="1">
        <v>1500</v>
      </c>
      <c r="H168" s="1">
        <v>1</v>
      </c>
      <c r="I168" s="1">
        <f>MIN($B168)</f>
        <v>0</v>
      </c>
      <c r="J168" s="1">
        <f>MIN($C168)</f>
        <v>0</v>
      </c>
      <c r="K168" s="1">
        <f>MIN($D168)</f>
        <v>0</v>
      </c>
      <c r="L168" s="1">
        <f>MIN($E168)</f>
        <v>0</v>
      </c>
      <c r="M168" s="1">
        <f>MIN($G168)</f>
        <v>0</v>
      </c>
      <c r="N168" s="1">
        <f>MIN($H168)</f>
        <v>0</v>
      </c>
      <c r="O168" s="1">
        <f>MEDIAN($B168)</f>
        <v>0</v>
      </c>
      <c r="P168" s="1">
        <f>MEDIAN($C168)</f>
        <v>0</v>
      </c>
      <c r="Q168" s="1">
        <f>MEDIAN($D168)</f>
        <v>0</v>
      </c>
      <c r="R168" s="1">
        <f>MEDIAN($E168)</f>
        <v>0</v>
      </c>
      <c r="S168" s="1">
        <f>MEDIAN($G168)</f>
        <v>0</v>
      </c>
      <c r="T168" s="1">
        <f>MEDIAN($H168)</f>
        <v>0</v>
      </c>
      <c r="U168" s="1">
        <f>MAX($B168)</f>
        <v>0</v>
      </c>
      <c r="V168" s="1">
        <f>MAX($C168)</f>
        <v>0</v>
      </c>
      <c r="W168" s="1">
        <f>MAX($D168)</f>
        <v>0</v>
      </c>
      <c r="X168" s="1">
        <f>MAX($E168)</f>
        <v>0</v>
      </c>
      <c r="Y168" s="1">
        <f>MAX($G168)</f>
        <v>0</v>
      </c>
      <c r="Z168" s="1">
        <f>MAX($H168)</f>
        <v>0</v>
      </c>
    </row>
    <row r="169" spans="1:26">
      <c r="A169" s="1" t="s">
        <v>166</v>
      </c>
      <c r="B169" s="1">
        <v>1</v>
      </c>
      <c r="C169" s="1">
        <v>0</v>
      </c>
      <c r="D169" s="1">
        <v>0</v>
      </c>
      <c r="E169" s="1">
        <v>3000</v>
      </c>
      <c r="F169" s="1" t="s">
        <v>374</v>
      </c>
      <c r="G169" s="1">
        <v>1500</v>
      </c>
      <c r="H169" s="1">
        <v>1</v>
      </c>
      <c r="I169" s="1">
        <f>MIN($B169)</f>
        <v>0</v>
      </c>
      <c r="J169" s="1">
        <f>MIN($C169)</f>
        <v>0</v>
      </c>
      <c r="K169" s="1">
        <f>MIN($D169)</f>
        <v>0</v>
      </c>
      <c r="L169" s="1">
        <f>MIN($E169)</f>
        <v>0</v>
      </c>
      <c r="M169" s="1">
        <f>MIN($G169)</f>
        <v>0</v>
      </c>
      <c r="N169" s="1">
        <f>MIN($H169)</f>
        <v>0</v>
      </c>
      <c r="O169" s="1">
        <f>MEDIAN($B169)</f>
        <v>0</v>
      </c>
      <c r="P169" s="1">
        <f>MEDIAN($C169)</f>
        <v>0</v>
      </c>
      <c r="Q169" s="1">
        <f>MEDIAN($D169)</f>
        <v>0</v>
      </c>
      <c r="R169" s="1">
        <f>MEDIAN($E169)</f>
        <v>0</v>
      </c>
      <c r="S169" s="1">
        <f>MEDIAN($G169)</f>
        <v>0</v>
      </c>
      <c r="T169" s="1">
        <f>MEDIAN($H169)</f>
        <v>0</v>
      </c>
      <c r="U169" s="1">
        <f>MAX($B169)</f>
        <v>0</v>
      </c>
      <c r="V169" s="1">
        <f>MAX($C169)</f>
        <v>0</v>
      </c>
      <c r="W169" s="1">
        <f>MAX($D169)</f>
        <v>0</v>
      </c>
      <c r="X169" s="1">
        <f>MAX($E169)</f>
        <v>0</v>
      </c>
      <c r="Y169" s="1">
        <f>MAX($G169)</f>
        <v>0</v>
      </c>
      <c r="Z169" s="1">
        <f>MAX($H169)</f>
        <v>0</v>
      </c>
    </row>
    <row r="170" spans="1:26">
      <c r="A170" s="1" t="s">
        <v>167</v>
      </c>
      <c r="B170" s="1">
        <v>1</v>
      </c>
      <c r="C170" s="1">
        <v>0</v>
      </c>
      <c r="D170" s="1">
        <v>0</v>
      </c>
      <c r="E170" s="1">
        <v>3000</v>
      </c>
      <c r="F170" s="1" t="s">
        <v>374</v>
      </c>
      <c r="G170" s="1">
        <v>1500</v>
      </c>
      <c r="H170" s="1">
        <v>1</v>
      </c>
      <c r="I170" s="1">
        <f>MIN($B170)</f>
        <v>0</v>
      </c>
      <c r="J170" s="1">
        <f>MIN($C170)</f>
        <v>0</v>
      </c>
      <c r="K170" s="1">
        <f>MIN($D170)</f>
        <v>0</v>
      </c>
      <c r="L170" s="1">
        <f>MIN($E170)</f>
        <v>0</v>
      </c>
      <c r="M170" s="1">
        <f>MIN($G170)</f>
        <v>0</v>
      </c>
      <c r="N170" s="1">
        <f>MIN($H170)</f>
        <v>0</v>
      </c>
      <c r="O170" s="1">
        <f>MEDIAN($B170)</f>
        <v>0</v>
      </c>
      <c r="P170" s="1">
        <f>MEDIAN($C170)</f>
        <v>0</v>
      </c>
      <c r="Q170" s="1">
        <f>MEDIAN($D170)</f>
        <v>0</v>
      </c>
      <c r="R170" s="1">
        <f>MEDIAN($E170)</f>
        <v>0</v>
      </c>
      <c r="S170" s="1">
        <f>MEDIAN($G170)</f>
        <v>0</v>
      </c>
      <c r="T170" s="1">
        <f>MEDIAN($H170)</f>
        <v>0</v>
      </c>
      <c r="U170" s="1">
        <f>MAX($B170)</f>
        <v>0</v>
      </c>
      <c r="V170" s="1">
        <f>MAX($C170)</f>
        <v>0</v>
      </c>
      <c r="W170" s="1">
        <f>MAX($D170)</f>
        <v>0</v>
      </c>
      <c r="X170" s="1">
        <f>MAX($E170)</f>
        <v>0</v>
      </c>
      <c r="Y170" s="1">
        <f>MAX($G170)</f>
        <v>0</v>
      </c>
      <c r="Z170" s="1">
        <f>MAX($H170)</f>
        <v>0</v>
      </c>
    </row>
    <row r="171" spans="1:26">
      <c r="A171" s="1" t="s">
        <v>168</v>
      </c>
      <c r="B171" s="1">
        <v>1</v>
      </c>
      <c r="C171" s="1">
        <v>0</v>
      </c>
      <c r="D171" s="1">
        <v>0</v>
      </c>
      <c r="E171" s="1">
        <v>3000</v>
      </c>
      <c r="F171" s="1" t="s">
        <v>374</v>
      </c>
      <c r="G171" s="1">
        <v>1500</v>
      </c>
      <c r="H171" s="1">
        <v>1</v>
      </c>
      <c r="I171" s="1">
        <f>MIN($B171)</f>
        <v>0</v>
      </c>
      <c r="J171" s="1">
        <f>MIN($C171)</f>
        <v>0</v>
      </c>
      <c r="K171" s="1">
        <f>MIN($D171)</f>
        <v>0</v>
      </c>
      <c r="L171" s="1">
        <f>MIN($E171)</f>
        <v>0</v>
      </c>
      <c r="M171" s="1">
        <f>MIN($G171)</f>
        <v>0</v>
      </c>
      <c r="N171" s="1">
        <f>MIN($H171)</f>
        <v>0</v>
      </c>
      <c r="O171" s="1">
        <f>MEDIAN($B171)</f>
        <v>0</v>
      </c>
      <c r="P171" s="1">
        <f>MEDIAN($C171)</f>
        <v>0</v>
      </c>
      <c r="Q171" s="1">
        <f>MEDIAN($D171)</f>
        <v>0</v>
      </c>
      <c r="R171" s="1">
        <f>MEDIAN($E171)</f>
        <v>0</v>
      </c>
      <c r="S171" s="1">
        <f>MEDIAN($G171)</f>
        <v>0</v>
      </c>
      <c r="T171" s="1">
        <f>MEDIAN($H171)</f>
        <v>0</v>
      </c>
      <c r="U171" s="1">
        <f>MAX($B171)</f>
        <v>0</v>
      </c>
      <c r="V171" s="1">
        <f>MAX($C171)</f>
        <v>0</v>
      </c>
      <c r="W171" s="1">
        <f>MAX($D171)</f>
        <v>0</v>
      </c>
      <c r="X171" s="1">
        <f>MAX($E171)</f>
        <v>0</v>
      </c>
      <c r="Y171" s="1">
        <f>MAX($G171)</f>
        <v>0</v>
      </c>
      <c r="Z171" s="1">
        <f>MAX($H171)</f>
        <v>0</v>
      </c>
    </row>
    <row r="172" spans="1:26">
      <c r="A172" s="1" t="s">
        <v>169</v>
      </c>
      <c r="B172" s="1">
        <v>1</v>
      </c>
      <c r="C172" s="1">
        <v>0</v>
      </c>
      <c r="D172" s="1">
        <v>0</v>
      </c>
      <c r="E172" s="1">
        <v>3000</v>
      </c>
      <c r="F172" s="1" t="s">
        <v>374</v>
      </c>
      <c r="G172" s="1">
        <v>1500</v>
      </c>
      <c r="H172" s="1">
        <v>1</v>
      </c>
      <c r="I172" s="1">
        <f>MIN($B172)</f>
        <v>0</v>
      </c>
      <c r="J172" s="1">
        <f>MIN($C172)</f>
        <v>0</v>
      </c>
      <c r="K172" s="1">
        <f>MIN($D172)</f>
        <v>0</v>
      </c>
      <c r="L172" s="1">
        <f>MIN($E172)</f>
        <v>0</v>
      </c>
      <c r="M172" s="1">
        <f>MIN($G172)</f>
        <v>0</v>
      </c>
      <c r="N172" s="1">
        <f>MIN($H172)</f>
        <v>0</v>
      </c>
      <c r="O172" s="1">
        <f>MEDIAN($B172)</f>
        <v>0</v>
      </c>
      <c r="P172" s="1">
        <f>MEDIAN($C172)</f>
        <v>0</v>
      </c>
      <c r="Q172" s="1">
        <f>MEDIAN($D172)</f>
        <v>0</v>
      </c>
      <c r="R172" s="1">
        <f>MEDIAN($E172)</f>
        <v>0</v>
      </c>
      <c r="S172" s="1">
        <f>MEDIAN($G172)</f>
        <v>0</v>
      </c>
      <c r="T172" s="1">
        <f>MEDIAN($H172)</f>
        <v>0</v>
      </c>
      <c r="U172" s="1">
        <f>MAX($B172)</f>
        <v>0</v>
      </c>
      <c r="V172" s="1">
        <f>MAX($C172)</f>
        <v>0</v>
      </c>
      <c r="W172" s="1">
        <f>MAX($D172)</f>
        <v>0</v>
      </c>
      <c r="X172" s="1">
        <f>MAX($E172)</f>
        <v>0</v>
      </c>
      <c r="Y172" s="1">
        <f>MAX($G172)</f>
        <v>0</v>
      </c>
      <c r="Z172" s="1">
        <f>MAX($H172)</f>
        <v>0</v>
      </c>
    </row>
    <row r="173" spans="1:26">
      <c r="A173" s="1" t="s">
        <v>170</v>
      </c>
      <c r="B173" s="1">
        <v>1</v>
      </c>
      <c r="C173" s="1">
        <v>0</v>
      </c>
      <c r="D173" s="1">
        <v>0</v>
      </c>
      <c r="E173" s="1">
        <v>3000</v>
      </c>
      <c r="F173" s="1" t="s">
        <v>374</v>
      </c>
      <c r="G173" s="1">
        <v>1500</v>
      </c>
      <c r="H173" s="1">
        <v>1</v>
      </c>
      <c r="I173" s="1">
        <f>MIN($B173)</f>
        <v>0</v>
      </c>
      <c r="J173" s="1">
        <f>MIN($C173)</f>
        <v>0</v>
      </c>
      <c r="K173" s="1">
        <f>MIN($D173)</f>
        <v>0</v>
      </c>
      <c r="L173" s="1">
        <f>MIN($E173)</f>
        <v>0</v>
      </c>
      <c r="M173" s="1">
        <f>MIN($G173)</f>
        <v>0</v>
      </c>
      <c r="N173" s="1">
        <f>MIN($H173)</f>
        <v>0</v>
      </c>
      <c r="O173" s="1">
        <f>MEDIAN($B173)</f>
        <v>0</v>
      </c>
      <c r="P173" s="1">
        <f>MEDIAN($C173)</f>
        <v>0</v>
      </c>
      <c r="Q173" s="1">
        <f>MEDIAN($D173)</f>
        <v>0</v>
      </c>
      <c r="R173" s="1">
        <f>MEDIAN($E173)</f>
        <v>0</v>
      </c>
      <c r="S173" s="1">
        <f>MEDIAN($G173)</f>
        <v>0</v>
      </c>
      <c r="T173" s="1">
        <f>MEDIAN($H173)</f>
        <v>0</v>
      </c>
      <c r="U173" s="1">
        <f>MAX($B173)</f>
        <v>0</v>
      </c>
      <c r="V173" s="1">
        <f>MAX($C173)</f>
        <v>0</v>
      </c>
      <c r="W173" s="1">
        <f>MAX($D173)</f>
        <v>0</v>
      </c>
      <c r="X173" s="1">
        <f>MAX($E173)</f>
        <v>0</v>
      </c>
      <c r="Y173" s="1">
        <f>MAX($G173)</f>
        <v>0</v>
      </c>
      <c r="Z173" s="1">
        <f>MAX($H173)</f>
        <v>0</v>
      </c>
    </row>
    <row r="174" spans="1:26">
      <c r="A174" s="1" t="s">
        <v>171</v>
      </c>
      <c r="B174" s="1">
        <v>1</v>
      </c>
      <c r="C174" s="1">
        <v>0</v>
      </c>
      <c r="D174" s="1">
        <v>0</v>
      </c>
      <c r="E174" s="1">
        <v>3000</v>
      </c>
      <c r="F174" s="1" t="s">
        <v>374</v>
      </c>
      <c r="G174" s="1">
        <v>1500</v>
      </c>
      <c r="H174" s="1">
        <v>1</v>
      </c>
      <c r="I174" s="1">
        <f>MIN($B174)</f>
        <v>0</v>
      </c>
      <c r="J174" s="1">
        <f>MIN($C174)</f>
        <v>0</v>
      </c>
      <c r="K174" s="1">
        <f>MIN($D174)</f>
        <v>0</v>
      </c>
      <c r="L174" s="1">
        <f>MIN($E174)</f>
        <v>0</v>
      </c>
      <c r="M174" s="1">
        <f>MIN($G174)</f>
        <v>0</v>
      </c>
      <c r="N174" s="1">
        <f>MIN($H174)</f>
        <v>0</v>
      </c>
      <c r="O174" s="1">
        <f>MEDIAN($B174)</f>
        <v>0</v>
      </c>
      <c r="P174" s="1">
        <f>MEDIAN($C174)</f>
        <v>0</v>
      </c>
      <c r="Q174" s="1">
        <f>MEDIAN($D174)</f>
        <v>0</v>
      </c>
      <c r="R174" s="1">
        <f>MEDIAN($E174)</f>
        <v>0</v>
      </c>
      <c r="S174" s="1">
        <f>MEDIAN($G174)</f>
        <v>0</v>
      </c>
      <c r="T174" s="1">
        <f>MEDIAN($H174)</f>
        <v>0</v>
      </c>
      <c r="U174" s="1">
        <f>MAX($B174)</f>
        <v>0</v>
      </c>
      <c r="V174" s="1">
        <f>MAX($C174)</f>
        <v>0</v>
      </c>
      <c r="W174" s="1">
        <f>MAX($D174)</f>
        <v>0</v>
      </c>
      <c r="X174" s="1">
        <f>MAX($E174)</f>
        <v>0</v>
      </c>
      <c r="Y174" s="1">
        <f>MAX($G174)</f>
        <v>0</v>
      </c>
      <c r="Z174" s="1">
        <f>MAX($H174)</f>
        <v>0</v>
      </c>
    </row>
    <row r="175" spans="1:26">
      <c r="A175" s="1" t="s">
        <v>172</v>
      </c>
      <c r="B175" s="1">
        <v>1</v>
      </c>
      <c r="C175" s="1">
        <v>0</v>
      </c>
      <c r="D175" s="1">
        <v>0</v>
      </c>
      <c r="E175" s="1">
        <v>3000</v>
      </c>
      <c r="F175" s="1" t="s">
        <v>374</v>
      </c>
      <c r="G175" s="1">
        <v>1500</v>
      </c>
      <c r="H175" s="1">
        <v>1</v>
      </c>
      <c r="I175" s="1">
        <f>MIN($B175)</f>
        <v>0</v>
      </c>
      <c r="J175" s="1">
        <f>MIN($C175)</f>
        <v>0</v>
      </c>
      <c r="K175" s="1">
        <f>MIN($D175)</f>
        <v>0</v>
      </c>
      <c r="L175" s="1">
        <f>MIN($E175)</f>
        <v>0</v>
      </c>
      <c r="M175" s="1">
        <f>MIN($G175)</f>
        <v>0</v>
      </c>
      <c r="N175" s="1">
        <f>MIN($H175)</f>
        <v>0</v>
      </c>
      <c r="O175" s="1">
        <f>MEDIAN($B175)</f>
        <v>0</v>
      </c>
      <c r="P175" s="1">
        <f>MEDIAN($C175)</f>
        <v>0</v>
      </c>
      <c r="Q175" s="1">
        <f>MEDIAN($D175)</f>
        <v>0</v>
      </c>
      <c r="R175" s="1">
        <f>MEDIAN($E175)</f>
        <v>0</v>
      </c>
      <c r="S175" s="1">
        <f>MEDIAN($G175)</f>
        <v>0</v>
      </c>
      <c r="T175" s="1">
        <f>MEDIAN($H175)</f>
        <v>0</v>
      </c>
      <c r="U175" s="1">
        <f>MAX($B175)</f>
        <v>0</v>
      </c>
      <c r="V175" s="1">
        <f>MAX($C175)</f>
        <v>0</v>
      </c>
      <c r="W175" s="1">
        <f>MAX($D175)</f>
        <v>0</v>
      </c>
      <c r="X175" s="1">
        <f>MAX($E175)</f>
        <v>0</v>
      </c>
      <c r="Y175" s="1">
        <f>MAX($G175)</f>
        <v>0</v>
      </c>
      <c r="Z175" s="1">
        <f>MAX($H175)</f>
        <v>0</v>
      </c>
    </row>
    <row r="176" spans="1:26">
      <c r="A176" s="1" t="s">
        <v>173</v>
      </c>
      <c r="B176" s="1">
        <v>1</v>
      </c>
      <c r="C176" s="1">
        <v>0</v>
      </c>
      <c r="D176" s="1">
        <v>0</v>
      </c>
      <c r="E176" s="1">
        <v>3000</v>
      </c>
      <c r="F176" s="1" t="s">
        <v>374</v>
      </c>
      <c r="G176" s="1">
        <v>1500</v>
      </c>
      <c r="H176" s="1">
        <v>1</v>
      </c>
      <c r="I176" s="1">
        <f>MIN($B176)</f>
        <v>0</v>
      </c>
      <c r="J176" s="1">
        <f>MIN($C176)</f>
        <v>0</v>
      </c>
      <c r="K176" s="1">
        <f>MIN($D176)</f>
        <v>0</v>
      </c>
      <c r="L176" s="1">
        <f>MIN($E176)</f>
        <v>0</v>
      </c>
      <c r="M176" s="1">
        <f>MIN($G176)</f>
        <v>0</v>
      </c>
      <c r="N176" s="1">
        <f>MIN($H176)</f>
        <v>0</v>
      </c>
      <c r="O176" s="1">
        <f>MEDIAN($B176)</f>
        <v>0</v>
      </c>
      <c r="P176" s="1">
        <f>MEDIAN($C176)</f>
        <v>0</v>
      </c>
      <c r="Q176" s="1">
        <f>MEDIAN($D176)</f>
        <v>0</v>
      </c>
      <c r="R176" s="1">
        <f>MEDIAN($E176)</f>
        <v>0</v>
      </c>
      <c r="S176" s="1">
        <f>MEDIAN($G176)</f>
        <v>0</v>
      </c>
      <c r="T176" s="1">
        <f>MEDIAN($H176)</f>
        <v>0</v>
      </c>
      <c r="U176" s="1">
        <f>MAX($B176)</f>
        <v>0</v>
      </c>
      <c r="V176" s="1">
        <f>MAX($C176)</f>
        <v>0</v>
      </c>
      <c r="W176" s="1">
        <f>MAX($D176)</f>
        <v>0</v>
      </c>
      <c r="X176" s="1">
        <f>MAX($E176)</f>
        <v>0</v>
      </c>
      <c r="Y176" s="1">
        <f>MAX($G176)</f>
        <v>0</v>
      </c>
      <c r="Z176" s="1">
        <f>MAX($H176)</f>
        <v>0</v>
      </c>
    </row>
    <row r="177" spans="1:26">
      <c r="A177" s="1" t="s">
        <v>174</v>
      </c>
      <c r="B177" s="1">
        <v>1</v>
      </c>
      <c r="C177" s="1">
        <v>0</v>
      </c>
      <c r="D177" s="1">
        <v>0</v>
      </c>
      <c r="E177" s="1">
        <v>3000</v>
      </c>
      <c r="F177" s="1" t="s">
        <v>374</v>
      </c>
      <c r="G177" s="1">
        <v>1500</v>
      </c>
      <c r="H177" s="1">
        <v>1</v>
      </c>
      <c r="I177" s="1">
        <f>MIN($B177)</f>
        <v>0</v>
      </c>
      <c r="J177" s="1">
        <f>MIN($C177)</f>
        <v>0</v>
      </c>
      <c r="K177" s="1">
        <f>MIN($D177)</f>
        <v>0</v>
      </c>
      <c r="L177" s="1">
        <f>MIN($E177)</f>
        <v>0</v>
      </c>
      <c r="M177" s="1">
        <f>MIN($G177)</f>
        <v>0</v>
      </c>
      <c r="N177" s="1">
        <f>MIN($H177)</f>
        <v>0</v>
      </c>
      <c r="O177" s="1">
        <f>MEDIAN($B177)</f>
        <v>0</v>
      </c>
      <c r="P177" s="1">
        <f>MEDIAN($C177)</f>
        <v>0</v>
      </c>
      <c r="Q177" s="1">
        <f>MEDIAN($D177)</f>
        <v>0</v>
      </c>
      <c r="R177" s="1">
        <f>MEDIAN($E177)</f>
        <v>0</v>
      </c>
      <c r="S177" s="1">
        <f>MEDIAN($G177)</f>
        <v>0</v>
      </c>
      <c r="T177" s="1">
        <f>MEDIAN($H177)</f>
        <v>0</v>
      </c>
      <c r="U177" s="1">
        <f>MAX($B177)</f>
        <v>0</v>
      </c>
      <c r="V177" s="1">
        <f>MAX($C177)</f>
        <v>0</v>
      </c>
      <c r="W177" s="1">
        <f>MAX($D177)</f>
        <v>0</v>
      </c>
      <c r="X177" s="1">
        <f>MAX($E177)</f>
        <v>0</v>
      </c>
      <c r="Y177" s="1">
        <f>MAX($G177)</f>
        <v>0</v>
      </c>
      <c r="Z177" s="1">
        <f>MAX($H177)</f>
        <v>0</v>
      </c>
    </row>
    <row r="178" spans="1:26">
      <c r="A178" s="1" t="s">
        <v>175</v>
      </c>
      <c r="B178" s="1">
        <v>1</v>
      </c>
      <c r="C178" s="1">
        <v>0</v>
      </c>
      <c r="D178" s="1">
        <v>0</v>
      </c>
      <c r="E178" s="1">
        <v>3000</v>
      </c>
      <c r="F178" s="1" t="s">
        <v>374</v>
      </c>
      <c r="G178" s="1">
        <v>1500</v>
      </c>
      <c r="H178" s="1">
        <v>1</v>
      </c>
      <c r="I178" s="1">
        <f>MIN($B178)</f>
        <v>0</v>
      </c>
      <c r="J178" s="1">
        <f>MIN($C178)</f>
        <v>0</v>
      </c>
      <c r="K178" s="1">
        <f>MIN($D178)</f>
        <v>0</v>
      </c>
      <c r="L178" s="1">
        <f>MIN($E178)</f>
        <v>0</v>
      </c>
      <c r="M178" s="1">
        <f>MIN($G178)</f>
        <v>0</v>
      </c>
      <c r="N178" s="1">
        <f>MIN($H178)</f>
        <v>0</v>
      </c>
      <c r="O178" s="1">
        <f>MEDIAN($B178)</f>
        <v>0</v>
      </c>
      <c r="P178" s="1">
        <f>MEDIAN($C178)</f>
        <v>0</v>
      </c>
      <c r="Q178" s="1">
        <f>MEDIAN($D178)</f>
        <v>0</v>
      </c>
      <c r="R178" s="1">
        <f>MEDIAN($E178)</f>
        <v>0</v>
      </c>
      <c r="S178" s="1">
        <f>MEDIAN($G178)</f>
        <v>0</v>
      </c>
      <c r="T178" s="1">
        <f>MEDIAN($H178)</f>
        <v>0</v>
      </c>
      <c r="U178" s="1">
        <f>MAX($B178)</f>
        <v>0</v>
      </c>
      <c r="V178" s="1">
        <f>MAX($C178)</f>
        <v>0</v>
      </c>
      <c r="W178" s="1">
        <f>MAX($D178)</f>
        <v>0</v>
      </c>
      <c r="X178" s="1">
        <f>MAX($E178)</f>
        <v>0</v>
      </c>
      <c r="Y178" s="1">
        <f>MAX($G178)</f>
        <v>0</v>
      </c>
      <c r="Z178" s="1">
        <f>MAX($H178)</f>
        <v>0</v>
      </c>
    </row>
    <row r="179" spans="1:26">
      <c r="A179" s="1" t="s">
        <v>176</v>
      </c>
      <c r="B179" s="1">
        <v>1</v>
      </c>
      <c r="C179" s="1">
        <v>0</v>
      </c>
      <c r="D179" s="1">
        <v>0</v>
      </c>
      <c r="E179" s="1">
        <v>3000</v>
      </c>
      <c r="F179" s="1" t="s">
        <v>374</v>
      </c>
      <c r="G179" s="1">
        <v>1500</v>
      </c>
      <c r="H179" s="1">
        <v>1</v>
      </c>
      <c r="I179" s="1">
        <f>MIN($B179)</f>
        <v>0</v>
      </c>
      <c r="J179" s="1">
        <f>MIN($C179)</f>
        <v>0</v>
      </c>
      <c r="K179" s="1">
        <f>MIN($D179)</f>
        <v>0</v>
      </c>
      <c r="L179" s="1">
        <f>MIN($E179)</f>
        <v>0</v>
      </c>
      <c r="M179" s="1">
        <f>MIN($G179)</f>
        <v>0</v>
      </c>
      <c r="N179" s="1">
        <f>MIN($H179)</f>
        <v>0</v>
      </c>
      <c r="O179" s="1">
        <f>MEDIAN($B179)</f>
        <v>0</v>
      </c>
      <c r="P179" s="1">
        <f>MEDIAN($C179)</f>
        <v>0</v>
      </c>
      <c r="Q179" s="1">
        <f>MEDIAN($D179)</f>
        <v>0</v>
      </c>
      <c r="R179" s="1">
        <f>MEDIAN($E179)</f>
        <v>0</v>
      </c>
      <c r="S179" s="1">
        <f>MEDIAN($G179)</f>
        <v>0</v>
      </c>
      <c r="T179" s="1">
        <f>MEDIAN($H179)</f>
        <v>0</v>
      </c>
      <c r="U179" s="1">
        <f>MAX($B179)</f>
        <v>0</v>
      </c>
      <c r="V179" s="1">
        <f>MAX($C179)</f>
        <v>0</v>
      </c>
      <c r="W179" s="1">
        <f>MAX($D179)</f>
        <v>0</v>
      </c>
      <c r="X179" s="1">
        <f>MAX($E179)</f>
        <v>0</v>
      </c>
      <c r="Y179" s="1">
        <f>MAX($G179)</f>
        <v>0</v>
      </c>
      <c r="Z179" s="1">
        <f>MAX($H179)</f>
        <v>0</v>
      </c>
    </row>
    <row r="180" spans="1:26">
      <c r="A180" s="1" t="s">
        <v>177</v>
      </c>
      <c r="B180" s="1">
        <v>1</v>
      </c>
      <c r="C180" s="1">
        <v>0</v>
      </c>
      <c r="D180" s="1">
        <v>0</v>
      </c>
      <c r="E180" s="1">
        <v>3000</v>
      </c>
      <c r="F180" s="1" t="s">
        <v>374</v>
      </c>
      <c r="G180" s="1">
        <v>1500</v>
      </c>
      <c r="H180" s="1">
        <v>1</v>
      </c>
      <c r="I180" s="1">
        <f>MIN($B180)</f>
        <v>0</v>
      </c>
      <c r="J180" s="1">
        <f>MIN($C180)</f>
        <v>0</v>
      </c>
      <c r="K180" s="1">
        <f>MIN($D180)</f>
        <v>0</v>
      </c>
      <c r="L180" s="1">
        <f>MIN($E180)</f>
        <v>0</v>
      </c>
      <c r="M180" s="1">
        <f>MIN($G180)</f>
        <v>0</v>
      </c>
      <c r="N180" s="1">
        <f>MIN($H180)</f>
        <v>0</v>
      </c>
      <c r="O180" s="1">
        <f>MEDIAN($B180)</f>
        <v>0</v>
      </c>
      <c r="P180" s="1">
        <f>MEDIAN($C180)</f>
        <v>0</v>
      </c>
      <c r="Q180" s="1">
        <f>MEDIAN($D180)</f>
        <v>0</v>
      </c>
      <c r="R180" s="1">
        <f>MEDIAN($E180)</f>
        <v>0</v>
      </c>
      <c r="S180" s="1">
        <f>MEDIAN($G180)</f>
        <v>0</v>
      </c>
      <c r="T180" s="1">
        <f>MEDIAN($H180)</f>
        <v>0</v>
      </c>
      <c r="U180" s="1">
        <f>MAX($B180)</f>
        <v>0</v>
      </c>
      <c r="V180" s="1">
        <f>MAX($C180)</f>
        <v>0</v>
      </c>
      <c r="W180" s="1">
        <f>MAX($D180)</f>
        <v>0</v>
      </c>
      <c r="X180" s="1">
        <f>MAX($E180)</f>
        <v>0</v>
      </c>
      <c r="Y180" s="1">
        <f>MAX($G180)</f>
        <v>0</v>
      </c>
      <c r="Z180" s="1">
        <f>MAX($H180)</f>
        <v>0</v>
      </c>
    </row>
    <row r="181" spans="1:26">
      <c r="A181" s="1" t="s">
        <v>178</v>
      </c>
      <c r="B181" s="1">
        <v>1</v>
      </c>
      <c r="C181" s="1">
        <v>0</v>
      </c>
      <c r="D181" s="1">
        <v>0</v>
      </c>
      <c r="E181" s="1">
        <v>3000</v>
      </c>
      <c r="F181" s="1" t="s">
        <v>374</v>
      </c>
      <c r="G181" s="1">
        <v>1500</v>
      </c>
      <c r="H181" s="1">
        <v>1</v>
      </c>
      <c r="I181" s="1">
        <f>MIN($B181)</f>
        <v>0</v>
      </c>
      <c r="J181" s="1">
        <f>MIN($C181)</f>
        <v>0</v>
      </c>
      <c r="K181" s="1">
        <f>MIN($D181)</f>
        <v>0</v>
      </c>
      <c r="L181" s="1">
        <f>MIN($E181)</f>
        <v>0</v>
      </c>
      <c r="M181" s="1">
        <f>MIN($G181)</f>
        <v>0</v>
      </c>
      <c r="N181" s="1">
        <f>MIN($H181)</f>
        <v>0</v>
      </c>
      <c r="O181" s="1">
        <f>MEDIAN($B181)</f>
        <v>0</v>
      </c>
      <c r="P181" s="1">
        <f>MEDIAN($C181)</f>
        <v>0</v>
      </c>
      <c r="Q181" s="1">
        <f>MEDIAN($D181)</f>
        <v>0</v>
      </c>
      <c r="R181" s="1">
        <f>MEDIAN($E181)</f>
        <v>0</v>
      </c>
      <c r="S181" s="1">
        <f>MEDIAN($G181)</f>
        <v>0</v>
      </c>
      <c r="T181" s="1">
        <f>MEDIAN($H181)</f>
        <v>0</v>
      </c>
      <c r="U181" s="1">
        <f>MAX($B181)</f>
        <v>0</v>
      </c>
      <c r="V181" s="1">
        <f>MAX($C181)</f>
        <v>0</v>
      </c>
      <c r="W181" s="1">
        <f>MAX($D181)</f>
        <v>0</v>
      </c>
      <c r="X181" s="1">
        <f>MAX($E181)</f>
        <v>0</v>
      </c>
      <c r="Y181" s="1">
        <f>MAX($G181)</f>
        <v>0</v>
      </c>
      <c r="Z181" s="1">
        <f>MAX($H181)</f>
        <v>0</v>
      </c>
    </row>
    <row r="182" spans="1:26">
      <c r="A182" s="1" t="s">
        <v>179</v>
      </c>
      <c r="B182" s="1">
        <v>1</v>
      </c>
      <c r="C182" s="1">
        <v>0</v>
      </c>
      <c r="D182" s="1">
        <v>0</v>
      </c>
      <c r="E182" s="1">
        <v>3000</v>
      </c>
      <c r="F182" s="1" t="s">
        <v>374</v>
      </c>
      <c r="G182" s="1">
        <v>1500</v>
      </c>
      <c r="H182" s="1">
        <v>1</v>
      </c>
      <c r="I182" s="1">
        <f>MIN($B182)</f>
        <v>0</v>
      </c>
      <c r="J182" s="1">
        <f>MIN($C182)</f>
        <v>0</v>
      </c>
      <c r="K182" s="1">
        <f>MIN($D182)</f>
        <v>0</v>
      </c>
      <c r="L182" s="1">
        <f>MIN($E182)</f>
        <v>0</v>
      </c>
      <c r="M182" s="1">
        <f>MIN($G182)</f>
        <v>0</v>
      </c>
      <c r="N182" s="1">
        <f>MIN($H182)</f>
        <v>0</v>
      </c>
      <c r="O182" s="1">
        <f>MEDIAN($B182)</f>
        <v>0</v>
      </c>
      <c r="P182" s="1">
        <f>MEDIAN($C182)</f>
        <v>0</v>
      </c>
      <c r="Q182" s="1">
        <f>MEDIAN($D182)</f>
        <v>0</v>
      </c>
      <c r="R182" s="1">
        <f>MEDIAN($E182)</f>
        <v>0</v>
      </c>
      <c r="S182" s="1">
        <f>MEDIAN($G182)</f>
        <v>0</v>
      </c>
      <c r="T182" s="1">
        <f>MEDIAN($H182)</f>
        <v>0</v>
      </c>
      <c r="U182" s="1">
        <f>MAX($B182)</f>
        <v>0</v>
      </c>
      <c r="V182" s="1">
        <f>MAX($C182)</f>
        <v>0</v>
      </c>
      <c r="W182" s="1">
        <f>MAX($D182)</f>
        <v>0</v>
      </c>
      <c r="X182" s="1">
        <f>MAX($E182)</f>
        <v>0</v>
      </c>
      <c r="Y182" s="1">
        <f>MAX($G182)</f>
        <v>0</v>
      </c>
      <c r="Z182" s="1">
        <f>MAX($H182)</f>
        <v>0</v>
      </c>
    </row>
    <row r="183" spans="1:26">
      <c r="A183" s="1" t="s">
        <v>180</v>
      </c>
      <c r="B183" s="1">
        <v>1</v>
      </c>
      <c r="C183" s="1">
        <v>0</v>
      </c>
      <c r="D183" s="1">
        <v>0</v>
      </c>
      <c r="E183" s="1">
        <v>3000</v>
      </c>
      <c r="F183" s="1" t="s">
        <v>374</v>
      </c>
      <c r="G183" s="1">
        <v>1500</v>
      </c>
      <c r="H183" s="1">
        <v>1</v>
      </c>
      <c r="I183" s="1">
        <f>MIN($B183)</f>
        <v>0</v>
      </c>
      <c r="J183" s="1">
        <f>MIN($C183)</f>
        <v>0</v>
      </c>
      <c r="K183" s="1">
        <f>MIN($D183)</f>
        <v>0</v>
      </c>
      <c r="L183" s="1">
        <f>MIN($E183)</f>
        <v>0</v>
      </c>
      <c r="M183" s="1">
        <f>MIN($G183)</f>
        <v>0</v>
      </c>
      <c r="N183" s="1">
        <f>MIN($H183)</f>
        <v>0</v>
      </c>
      <c r="O183" s="1">
        <f>MEDIAN($B183)</f>
        <v>0</v>
      </c>
      <c r="P183" s="1">
        <f>MEDIAN($C183)</f>
        <v>0</v>
      </c>
      <c r="Q183" s="1">
        <f>MEDIAN($D183)</f>
        <v>0</v>
      </c>
      <c r="R183" s="1">
        <f>MEDIAN($E183)</f>
        <v>0</v>
      </c>
      <c r="S183" s="1">
        <f>MEDIAN($G183)</f>
        <v>0</v>
      </c>
      <c r="T183" s="1">
        <f>MEDIAN($H183)</f>
        <v>0</v>
      </c>
      <c r="U183" s="1">
        <f>MAX($B183)</f>
        <v>0</v>
      </c>
      <c r="V183" s="1">
        <f>MAX($C183)</f>
        <v>0</v>
      </c>
      <c r="W183" s="1">
        <f>MAX($D183)</f>
        <v>0</v>
      </c>
      <c r="X183" s="1">
        <f>MAX($E183)</f>
        <v>0</v>
      </c>
      <c r="Y183" s="1">
        <f>MAX($G183)</f>
        <v>0</v>
      </c>
      <c r="Z183" s="1">
        <f>MAX($H183)</f>
        <v>0</v>
      </c>
    </row>
    <row r="184" spans="1:26">
      <c r="A184" s="1" t="s">
        <v>181</v>
      </c>
      <c r="B184" s="1">
        <v>1</v>
      </c>
      <c r="C184" s="1">
        <v>0</v>
      </c>
      <c r="D184" s="1">
        <v>0</v>
      </c>
      <c r="E184" s="1">
        <v>3000</v>
      </c>
      <c r="F184" s="1" t="s">
        <v>374</v>
      </c>
      <c r="G184" s="1">
        <v>1500</v>
      </c>
      <c r="H184" s="1">
        <v>1</v>
      </c>
      <c r="I184" s="1">
        <f>MIN($B184)</f>
        <v>0</v>
      </c>
      <c r="J184" s="1">
        <f>MIN($C184)</f>
        <v>0</v>
      </c>
      <c r="K184" s="1">
        <f>MIN($D184)</f>
        <v>0</v>
      </c>
      <c r="L184" s="1">
        <f>MIN($E184)</f>
        <v>0</v>
      </c>
      <c r="M184" s="1">
        <f>MIN($G184)</f>
        <v>0</v>
      </c>
      <c r="N184" s="1">
        <f>MIN($H184)</f>
        <v>0</v>
      </c>
      <c r="O184" s="1">
        <f>MEDIAN($B184)</f>
        <v>0</v>
      </c>
      <c r="P184" s="1">
        <f>MEDIAN($C184)</f>
        <v>0</v>
      </c>
      <c r="Q184" s="1">
        <f>MEDIAN($D184)</f>
        <v>0</v>
      </c>
      <c r="R184" s="1">
        <f>MEDIAN($E184)</f>
        <v>0</v>
      </c>
      <c r="S184" s="1">
        <f>MEDIAN($G184)</f>
        <v>0</v>
      </c>
      <c r="T184" s="1">
        <f>MEDIAN($H184)</f>
        <v>0</v>
      </c>
      <c r="U184" s="1">
        <f>MAX($B184)</f>
        <v>0</v>
      </c>
      <c r="V184" s="1">
        <f>MAX($C184)</f>
        <v>0</v>
      </c>
      <c r="W184" s="1">
        <f>MAX($D184)</f>
        <v>0</v>
      </c>
      <c r="X184" s="1">
        <f>MAX($E184)</f>
        <v>0</v>
      </c>
      <c r="Y184" s="1">
        <f>MAX($G184)</f>
        <v>0</v>
      </c>
      <c r="Z184" s="1">
        <f>MAX($H184)</f>
        <v>0</v>
      </c>
    </row>
    <row r="185" spans="1:26">
      <c r="A185" s="1" t="s">
        <v>182</v>
      </c>
      <c r="B185" s="1">
        <v>1</v>
      </c>
      <c r="C185" s="1">
        <v>0</v>
      </c>
      <c r="D185" s="1">
        <v>0</v>
      </c>
      <c r="E185" s="1">
        <v>3000</v>
      </c>
      <c r="F185" s="1" t="s">
        <v>374</v>
      </c>
      <c r="G185" s="1">
        <v>1500</v>
      </c>
      <c r="H185" s="1">
        <v>1</v>
      </c>
      <c r="I185" s="1">
        <f>MIN($B185)</f>
        <v>0</v>
      </c>
      <c r="J185" s="1">
        <f>MIN($C185)</f>
        <v>0</v>
      </c>
      <c r="K185" s="1">
        <f>MIN($D185)</f>
        <v>0</v>
      </c>
      <c r="L185" s="1">
        <f>MIN($E185)</f>
        <v>0</v>
      </c>
      <c r="M185" s="1">
        <f>MIN($G185)</f>
        <v>0</v>
      </c>
      <c r="N185" s="1">
        <f>MIN($H185)</f>
        <v>0</v>
      </c>
      <c r="O185" s="1">
        <f>MEDIAN($B185)</f>
        <v>0</v>
      </c>
      <c r="P185" s="1">
        <f>MEDIAN($C185)</f>
        <v>0</v>
      </c>
      <c r="Q185" s="1">
        <f>MEDIAN($D185)</f>
        <v>0</v>
      </c>
      <c r="R185" s="1">
        <f>MEDIAN($E185)</f>
        <v>0</v>
      </c>
      <c r="S185" s="1">
        <f>MEDIAN($G185)</f>
        <v>0</v>
      </c>
      <c r="T185" s="1">
        <f>MEDIAN($H185)</f>
        <v>0</v>
      </c>
      <c r="U185" s="1">
        <f>MAX($B185)</f>
        <v>0</v>
      </c>
      <c r="V185" s="1">
        <f>MAX($C185)</f>
        <v>0</v>
      </c>
      <c r="W185" s="1">
        <f>MAX($D185)</f>
        <v>0</v>
      </c>
      <c r="X185" s="1">
        <f>MAX($E185)</f>
        <v>0</v>
      </c>
      <c r="Y185" s="1">
        <f>MAX($G185)</f>
        <v>0</v>
      </c>
      <c r="Z185" s="1">
        <f>MAX($H185)</f>
        <v>0</v>
      </c>
    </row>
    <row r="186" spans="1:26">
      <c r="A186" s="1" t="s">
        <v>183</v>
      </c>
      <c r="B186" s="1">
        <v>1</v>
      </c>
      <c r="C186" s="1">
        <v>0</v>
      </c>
      <c r="D186" s="1">
        <v>0</v>
      </c>
      <c r="E186" s="1">
        <v>3000</v>
      </c>
      <c r="F186" s="1" t="s">
        <v>374</v>
      </c>
      <c r="G186" s="1">
        <v>1500</v>
      </c>
      <c r="H186" s="1">
        <v>1</v>
      </c>
      <c r="I186" s="1">
        <f>MIN($B186)</f>
        <v>0</v>
      </c>
      <c r="J186" s="1">
        <f>MIN($C186)</f>
        <v>0</v>
      </c>
      <c r="K186" s="1">
        <f>MIN($D186)</f>
        <v>0</v>
      </c>
      <c r="L186" s="1">
        <f>MIN($E186)</f>
        <v>0</v>
      </c>
      <c r="M186" s="1">
        <f>MIN($G186)</f>
        <v>0</v>
      </c>
      <c r="N186" s="1">
        <f>MIN($H186)</f>
        <v>0</v>
      </c>
      <c r="O186" s="1">
        <f>MEDIAN($B186)</f>
        <v>0</v>
      </c>
      <c r="P186" s="1">
        <f>MEDIAN($C186)</f>
        <v>0</v>
      </c>
      <c r="Q186" s="1">
        <f>MEDIAN($D186)</f>
        <v>0</v>
      </c>
      <c r="R186" s="1">
        <f>MEDIAN($E186)</f>
        <v>0</v>
      </c>
      <c r="S186" s="1">
        <f>MEDIAN($G186)</f>
        <v>0</v>
      </c>
      <c r="T186" s="1">
        <f>MEDIAN($H186)</f>
        <v>0</v>
      </c>
      <c r="U186" s="1">
        <f>MAX($B186)</f>
        <v>0</v>
      </c>
      <c r="V186" s="1">
        <f>MAX($C186)</f>
        <v>0</v>
      </c>
      <c r="W186" s="1">
        <f>MAX($D186)</f>
        <v>0</v>
      </c>
      <c r="X186" s="1">
        <f>MAX($E186)</f>
        <v>0</v>
      </c>
      <c r="Y186" s="1">
        <f>MAX($G186)</f>
        <v>0</v>
      </c>
      <c r="Z186" s="1">
        <f>MAX($H186)</f>
        <v>0</v>
      </c>
    </row>
    <row r="187" spans="1:26">
      <c r="A187" s="1" t="s">
        <v>184</v>
      </c>
      <c r="B187" s="1">
        <v>1</v>
      </c>
      <c r="C187" s="1">
        <v>0</v>
      </c>
      <c r="D187" s="1">
        <v>0</v>
      </c>
      <c r="E187" s="1">
        <v>3000</v>
      </c>
      <c r="F187" s="1" t="s">
        <v>374</v>
      </c>
      <c r="G187" s="1">
        <v>1500</v>
      </c>
      <c r="H187" s="1">
        <v>1</v>
      </c>
      <c r="I187" s="1">
        <f>MIN($B187)</f>
        <v>0</v>
      </c>
      <c r="J187" s="1">
        <f>MIN($C187)</f>
        <v>0</v>
      </c>
      <c r="K187" s="1">
        <f>MIN($D187)</f>
        <v>0</v>
      </c>
      <c r="L187" s="1">
        <f>MIN($E187)</f>
        <v>0</v>
      </c>
      <c r="M187" s="1">
        <f>MIN($G187)</f>
        <v>0</v>
      </c>
      <c r="N187" s="1">
        <f>MIN($H187)</f>
        <v>0</v>
      </c>
      <c r="O187" s="1">
        <f>MEDIAN($B187)</f>
        <v>0</v>
      </c>
      <c r="P187" s="1">
        <f>MEDIAN($C187)</f>
        <v>0</v>
      </c>
      <c r="Q187" s="1">
        <f>MEDIAN($D187)</f>
        <v>0</v>
      </c>
      <c r="R187" s="1">
        <f>MEDIAN($E187)</f>
        <v>0</v>
      </c>
      <c r="S187" s="1">
        <f>MEDIAN($G187)</f>
        <v>0</v>
      </c>
      <c r="T187" s="1">
        <f>MEDIAN($H187)</f>
        <v>0</v>
      </c>
      <c r="U187" s="1">
        <f>MAX($B187)</f>
        <v>0</v>
      </c>
      <c r="V187" s="1">
        <f>MAX($C187)</f>
        <v>0</v>
      </c>
      <c r="W187" s="1">
        <f>MAX($D187)</f>
        <v>0</v>
      </c>
      <c r="X187" s="1">
        <f>MAX($E187)</f>
        <v>0</v>
      </c>
      <c r="Y187" s="1">
        <f>MAX($G187)</f>
        <v>0</v>
      </c>
      <c r="Z187" s="1">
        <f>MAX($H187)</f>
        <v>0</v>
      </c>
    </row>
    <row r="188" spans="1:26">
      <c r="A188" s="1" t="s">
        <v>185</v>
      </c>
      <c r="B188" s="1">
        <v>1</v>
      </c>
      <c r="C188" s="1">
        <v>0</v>
      </c>
      <c r="D188" s="1">
        <v>0</v>
      </c>
      <c r="E188" s="1">
        <v>3000</v>
      </c>
      <c r="F188" s="1" t="s">
        <v>374</v>
      </c>
      <c r="G188" s="1">
        <v>1500</v>
      </c>
      <c r="H188" s="1">
        <v>1</v>
      </c>
      <c r="I188" s="1">
        <f>MIN($B188)</f>
        <v>0</v>
      </c>
      <c r="J188" s="1">
        <f>MIN($C188)</f>
        <v>0</v>
      </c>
      <c r="K188" s="1">
        <f>MIN($D188)</f>
        <v>0</v>
      </c>
      <c r="L188" s="1">
        <f>MIN($E188)</f>
        <v>0</v>
      </c>
      <c r="M188" s="1">
        <f>MIN($G188)</f>
        <v>0</v>
      </c>
      <c r="N188" s="1">
        <f>MIN($H188)</f>
        <v>0</v>
      </c>
      <c r="O188" s="1">
        <f>MEDIAN($B188)</f>
        <v>0</v>
      </c>
      <c r="P188" s="1">
        <f>MEDIAN($C188)</f>
        <v>0</v>
      </c>
      <c r="Q188" s="1">
        <f>MEDIAN($D188)</f>
        <v>0</v>
      </c>
      <c r="R188" s="1">
        <f>MEDIAN($E188)</f>
        <v>0</v>
      </c>
      <c r="S188" s="1">
        <f>MEDIAN($G188)</f>
        <v>0</v>
      </c>
      <c r="T188" s="1">
        <f>MEDIAN($H188)</f>
        <v>0</v>
      </c>
      <c r="U188" s="1">
        <f>MAX($B188)</f>
        <v>0</v>
      </c>
      <c r="V188" s="1">
        <f>MAX($C188)</f>
        <v>0</v>
      </c>
      <c r="W188" s="1">
        <f>MAX($D188)</f>
        <v>0</v>
      </c>
      <c r="X188" s="1">
        <f>MAX($E188)</f>
        <v>0</v>
      </c>
      <c r="Y188" s="1">
        <f>MAX($G188)</f>
        <v>0</v>
      </c>
      <c r="Z188" s="1">
        <f>MAX($H188)</f>
        <v>0</v>
      </c>
    </row>
    <row r="189" spans="1:26">
      <c r="A189" s="1" t="s">
        <v>186</v>
      </c>
      <c r="B189" s="1">
        <v>1</v>
      </c>
      <c r="C189" s="1">
        <v>0</v>
      </c>
      <c r="D189" s="1">
        <v>0</v>
      </c>
      <c r="E189" s="1">
        <v>3000</v>
      </c>
      <c r="F189" s="1" t="s">
        <v>374</v>
      </c>
      <c r="G189" s="1">
        <v>1500</v>
      </c>
      <c r="H189" s="1">
        <v>1</v>
      </c>
      <c r="I189" s="1">
        <f>MIN($B189)</f>
        <v>0</v>
      </c>
      <c r="J189" s="1">
        <f>MIN($C189)</f>
        <v>0</v>
      </c>
      <c r="K189" s="1">
        <f>MIN($D189)</f>
        <v>0</v>
      </c>
      <c r="L189" s="1">
        <f>MIN($E189)</f>
        <v>0</v>
      </c>
      <c r="M189" s="1">
        <f>MIN($G189)</f>
        <v>0</v>
      </c>
      <c r="N189" s="1">
        <f>MIN($H189)</f>
        <v>0</v>
      </c>
      <c r="O189" s="1">
        <f>MEDIAN($B189)</f>
        <v>0</v>
      </c>
      <c r="P189" s="1">
        <f>MEDIAN($C189)</f>
        <v>0</v>
      </c>
      <c r="Q189" s="1">
        <f>MEDIAN($D189)</f>
        <v>0</v>
      </c>
      <c r="R189" s="1">
        <f>MEDIAN($E189)</f>
        <v>0</v>
      </c>
      <c r="S189" s="1">
        <f>MEDIAN($G189)</f>
        <v>0</v>
      </c>
      <c r="T189" s="1">
        <f>MEDIAN($H189)</f>
        <v>0</v>
      </c>
      <c r="U189" s="1">
        <f>MAX($B189)</f>
        <v>0</v>
      </c>
      <c r="V189" s="1">
        <f>MAX($C189)</f>
        <v>0</v>
      </c>
      <c r="W189" s="1">
        <f>MAX($D189)</f>
        <v>0</v>
      </c>
      <c r="X189" s="1">
        <f>MAX($E189)</f>
        <v>0</v>
      </c>
      <c r="Y189" s="1">
        <f>MAX($G189)</f>
        <v>0</v>
      </c>
      <c r="Z189" s="1">
        <f>MAX($H189)</f>
        <v>0</v>
      </c>
    </row>
    <row r="190" spans="1:26">
      <c r="A190" s="1" t="s">
        <v>187</v>
      </c>
      <c r="B190" s="1">
        <v>1</v>
      </c>
      <c r="C190" s="1">
        <v>0</v>
      </c>
      <c r="D190" s="1">
        <v>0</v>
      </c>
      <c r="E190" s="1">
        <v>3000</v>
      </c>
      <c r="F190" s="1" t="s">
        <v>374</v>
      </c>
      <c r="G190" s="1">
        <v>1500</v>
      </c>
      <c r="H190" s="1">
        <v>1</v>
      </c>
      <c r="I190" s="1">
        <f>MIN($B190)</f>
        <v>0</v>
      </c>
      <c r="J190" s="1">
        <f>MIN($C190)</f>
        <v>0</v>
      </c>
      <c r="K190" s="1">
        <f>MIN($D190)</f>
        <v>0</v>
      </c>
      <c r="L190" s="1">
        <f>MIN($E190)</f>
        <v>0</v>
      </c>
      <c r="M190" s="1">
        <f>MIN($G190)</f>
        <v>0</v>
      </c>
      <c r="N190" s="1">
        <f>MIN($H190)</f>
        <v>0</v>
      </c>
      <c r="O190" s="1">
        <f>MEDIAN($B190)</f>
        <v>0</v>
      </c>
      <c r="P190" s="1">
        <f>MEDIAN($C190)</f>
        <v>0</v>
      </c>
      <c r="Q190" s="1">
        <f>MEDIAN($D190)</f>
        <v>0</v>
      </c>
      <c r="R190" s="1">
        <f>MEDIAN($E190)</f>
        <v>0</v>
      </c>
      <c r="S190" s="1">
        <f>MEDIAN($G190)</f>
        <v>0</v>
      </c>
      <c r="T190" s="1">
        <f>MEDIAN($H190)</f>
        <v>0</v>
      </c>
      <c r="U190" s="1">
        <f>MAX($B190)</f>
        <v>0</v>
      </c>
      <c r="V190" s="1">
        <f>MAX($C190)</f>
        <v>0</v>
      </c>
      <c r="W190" s="1">
        <f>MAX($D190)</f>
        <v>0</v>
      </c>
      <c r="X190" s="1">
        <f>MAX($E190)</f>
        <v>0</v>
      </c>
      <c r="Y190" s="1">
        <f>MAX($G190)</f>
        <v>0</v>
      </c>
      <c r="Z190" s="1">
        <f>MAX($H190)</f>
        <v>0</v>
      </c>
    </row>
    <row r="191" spans="1:26">
      <c r="A191" s="1" t="s">
        <v>188</v>
      </c>
      <c r="B191" s="1">
        <v>1</v>
      </c>
      <c r="C191" s="1">
        <v>0</v>
      </c>
      <c r="D191" s="1">
        <v>0</v>
      </c>
      <c r="E191" s="1">
        <v>3000</v>
      </c>
      <c r="F191" s="1" t="s">
        <v>374</v>
      </c>
      <c r="G191" s="1">
        <v>1500</v>
      </c>
      <c r="H191" s="1">
        <v>1</v>
      </c>
      <c r="I191" s="1">
        <f>MIN($B191)</f>
        <v>0</v>
      </c>
      <c r="J191" s="1">
        <f>MIN($C191)</f>
        <v>0</v>
      </c>
      <c r="K191" s="1">
        <f>MIN($D191)</f>
        <v>0</v>
      </c>
      <c r="L191" s="1">
        <f>MIN($E191)</f>
        <v>0</v>
      </c>
      <c r="M191" s="1">
        <f>MIN($G191)</f>
        <v>0</v>
      </c>
      <c r="N191" s="1">
        <f>MIN($H191)</f>
        <v>0</v>
      </c>
      <c r="O191" s="1">
        <f>MEDIAN($B191)</f>
        <v>0</v>
      </c>
      <c r="P191" s="1">
        <f>MEDIAN($C191)</f>
        <v>0</v>
      </c>
      <c r="Q191" s="1">
        <f>MEDIAN($D191)</f>
        <v>0</v>
      </c>
      <c r="R191" s="1">
        <f>MEDIAN($E191)</f>
        <v>0</v>
      </c>
      <c r="S191" s="1">
        <f>MEDIAN($G191)</f>
        <v>0</v>
      </c>
      <c r="T191" s="1">
        <f>MEDIAN($H191)</f>
        <v>0</v>
      </c>
      <c r="U191" s="1">
        <f>MAX($B191)</f>
        <v>0</v>
      </c>
      <c r="V191" s="1">
        <f>MAX($C191)</f>
        <v>0</v>
      </c>
      <c r="W191" s="1">
        <f>MAX($D191)</f>
        <v>0</v>
      </c>
      <c r="X191" s="1">
        <f>MAX($E191)</f>
        <v>0</v>
      </c>
      <c r="Y191" s="1">
        <f>MAX($G191)</f>
        <v>0</v>
      </c>
      <c r="Z191" s="1">
        <f>MAX($H191)</f>
        <v>0</v>
      </c>
    </row>
    <row r="192" spans="1:26">
      <c r="A192" s="1" t="s">
        <v>189</v>
      </c>
      <c r="B192" s="1">
        <v>1</v>
      </c>
      <c r="C192" s="1">
        <v>0</v>
      </c>
      <c r="D192" s="1">
        <v>0</v>
      </c>
      <c r="E192" s="1">
        <v>3000</v>
      </c>
      <c r="F192" s="1" t="s">
        <v>374</v>
      </c>
      <c r="G192" s="1">
        <v>1500</v>
      </c>
      <c r="H192" s="1">
        <v>1</v>
      </c>
      <c r="I192" s="1">
        <f>MIN($B192)</f>
        <v>0</v>
      </c>
      <c r="J192" s="1">
        <f>MIN($C192)</f>
        <v>0</v>
      </c>
      <c r="K192" s="1">
        <f>MIN($D192)</f>
        <v>0</v>
      </c>
      <c r="L192" s="1">
        <f>MIN($E192)</f>
        <v>0</v>
      </c>
      <c r="M192" s="1">
        <f>MIN($G192)</f>
        <v>0</v>
      </c>
      <c r="N192" s="1">
        <f>MIN($H192)</f>
        <v>0</v>
      </c>
      <c r="O192" s="1">
        <f>MEDIAN($B192)</f>
        <v>0</v>
      </c>
      <c r="P192" s="1">
        <f>MEDIAN($C192)</f>
        <v>0</v>
      </c>
      <c r="Q192" s="1">
        <f>MEDIAN($D192)</f>
        <v>0</v>
      </c>
      <c r="R192" s="1">
        <f>MEDIAN($E192)</f>
        <v>0</v>
      </c>
      <c r="S192" s="1">
        <f>MEDIAN($G192)</f>
        <v>0</v>
      </c>
      <c r="T192" s="1">
        <f>MEDIAN($H192)</f>
        <v>0</v>
      </c>
      <c r="U192" s="1">
        <f>MAX($B192)</f>
        <v>0</v>
      </c>
      <c r="V192" s="1">
        <f>MAX($C192)</f>
        <v>0</v>
      </c>
      <c r="W192" s="1">
        <f>MAX($D192)</f>
        <v>0</v>
      </c>
      <c r="X192" s="1">
        <f>MAX($E192)</f>
        <v>0</v>
      </c>
      <c r="Y192" s="1">
        <f>MAX($G192)</f>
        <v>0</v>
      </c>
      <c r="Z192" s="1">
        <f>MAX($H192)</f>
        <v>0</v>
      </c>
    </row>
    <row r="193" spans="1:26">
      <c r="A193" s="1" t="s">
        <v>190</v>
      </c>
      <c r="B193" s="1">
        <v>1</v>
      </c>
      <c r="C193" s="1">
        <v>0</v>
      </c>
      <c r="D193" s="1">
        <v>0</v>
      </c>
      <c r="E193" s="1">
        <v>3000</v>
      </c>
      <c r="F193" s="1" t="s">
        <v>374</v>
      </c>
      <c r="G193" s="1">
        <v>1500</v>
      </c>
      <c r="H193" s="1">
        <v>1</v>
      </c>
      <c r="I193" s="1">
        <f>MIN($B193)</f>
        <v>0</v>
      </c>
      <c r="J193" s="1">
        <f>MIN($C193)</f>
        <v>0</v>
      </c>
      <c r="K193" s="1">
        <f>MIN($D193)</f>
        <v>0</v>
      </c>
      <c r="L193" s="1">
        <f>MIN($E193)</f>
        <v>0</v>
      </c>
      <c r="M193" s="1">
        <f>MIN($G193)</f>
        <v>0</v>
      </c>
      <c r="N193" s="1">
        <f>MIN($H193)</f>
        <v>0</v>
      </c>
      <c r="O193" s="1">
        <f>MEDIAN($B193)</f>
        <v>0</v>
      </c>
      <c r="P193" s="1">
        <f>MEDIAN($C193)</f>
        <v>0</v>
      </c>
      <c r="Q193" s="1">
        <f>MEDIAN($D193)</f>
        <v>0</v>
      </c>
      <c r="R193" s="1">
        <f>MEDIAN($E193)</f>
        <v>0</v>
      </c>
      <c r="S193" s="1">
        <f>MEDIAN($G193)</f>
        <v>0</v>
      </c>
      <c r="T193" s="1">
        <f>MEDIAN($H193)</f>
        <v>0</v>
      </c>
      <c r="U193" s="1">
        <f>MAX($B193)</f>
        <v>0</v>
      </c>
      <c r="V193" s="1">
        <f>MAX($C193)</f>
        <v>0</v>
      </c>
      <c r="W193" s="1">
        <f>MAX($D193)</f>
        <v>0</v>
      </c>
      <c r="X193" s="1">
        <f>MAX($E193)</f>
        <v>0</v>
      </c>
      <c r="Y193" s="1">
        <f>MAX($G193)</f>
        <v>0</v>
      </c>
      <c r="Z193" s="1">
        <f>MAX($H193)</f>
        <v>0</v>
      </c>
    </row>
    <row r="194" spans="1:26">
      <c r="A194" s="1" t="s">
        <v>191</v>
      </c>
      <c r="B194" s="1">
        <v>1</v>
      </c>
      <c r="C194" s="1">
        <v>0</v>
      </c>
      <c r="D194" s="1">
        <v>0</v>
      </c>
      <c r="E194" s="1">
        <v>3000</v>
      </c>
      <c r="F194" s="1" t="s">
        <v>374</v>
      </c>
      <c r="G194" s="1">
        <v>1500</v>
      </c>
      <c r="H194" s="1">
        <v>1</v>
      </c>
      <c r="I194" s="1">
        <f>MIN($B194)</f>
        <v>0</v>
      </c>
      <c r="J194" s="1">
        <f>MIN($C194)</f>
        <v>0</v>
      </c>
      <c r="K194" s="1">
        <f>MIN($D194)</f>
        <v>0</v>
      </c>
      <c r="L194" s="1">
        <f>MIN($E194)</f>
        <v>0</v>
      </c>
      <c r="M194" s="1">
        <f>MIN($G194)</f>
        <v>0</v>
      </c>
      <c r="N194" s="1">
        <f>MIN($H194)</f>
        <v>0</v>
      </c>
      <c r="O194" s="1">
        <f>MEDIAN($B194)</f>
        <v>0</v>
      </c>
      <c r="P194" s="1">
        <f>MEDIAN($C194)</f>
        <v>0</v>
      </c>
      <c r="Q194" s="1">
        <f>MEDIAN($D194)</f>
        <v>0</v>
      </c>
      <c r="R194" s="1">
        <f>MEDIAN($E194)</f>
        <v>0</v>
      </c>
      <c r="S194" s="1">
        <f>MEDIAN($G194)</f>
        <v>0</v>
      </c>
      <c r="T194" s="1">
        <f>MEDIAN($H194)</f>
        <v>0</v>
      </c>
      <c r="U194" s="1">
        <f>MAX($B194)</f>
        <v>0</v>
      </c>
      <c r="V194" s="1">
        <f>MAX($C194)</f>
        <v>0</v>
      </c>
      <c r="W194" s="1">
        <f>MAX($D194)</f>
        <v>0</v>
      </c>
      <c r="X194" s="1">
        <f>MAX($E194)</f>
        <v>0</v>
      </c>
      <c r="Y194" s="1">
        <f>MAX($G194)</f>
        <v>0</v>
      </c>
      <c r="Z194" s="1">
        <f>MAX($H194)</f>
        <v>0</v>
      </c>
    </row>
    <row r="195" spans="1:26">
      <c r="A195" s="1" t="s">
        <v>192</v>
      </c>
      <c r="B195" s="1">
        <v>1</v>
      </c>
      <c r="C195" s="1">
        <v>0</v>
      </c>
      <c r="D195" s="1">
        <v>0</v>
      </c>
      <c r="E195" s="1">
        <v>3000</v>
      </c>
      <c r="F195" s="1" t="s">
        <v>374</v>
      </c>
      <c r="G195" s="1">
        <v>1500</v>
      </c>
      <c r="H195" s="1">
        <v>1</v>
      </c>
      <c r="I195" s="1">
        <f>MIN($B195)</f>
        <v>0</v>
      </c>
      <c r="J195" s="1">
        <f>MIN($C195)</f>
        <v>0</v>
      </c>
      <c r="K195" s="1">
        <f>MIN($D195)</f>
        <v>0</v>
      </c>
      <c r="L195" s="1">
        <f>MIN($E195)</f>
        <v>0</v>
      </c>
      <c r="M195" s="1">
        <f>MIN($G195)</f>
        <v>0</v>
      </c>
      <c r="N195" s="1">
        <f>MIN($H195)</f>
        <v>0</v>
      </c>
      <c r="O195" s="1">
        <f>MEDIAN($B195)</f>
        <v>0</v>
      </c>
      <c r="P195" s="1">
        <f>MEDIAN($C195)</f>
        <v>0</v>
      </c>
      <c r="Q195" s="1">
        <f>MEDIAN($D195)</f>
        <v>0</v>
      </c>
      <c r="R195" s="1">
        <f>MEDIAN($E195)</f>
        <v>0</v>
      </c>
      <c r="S195" s="1">
        <f>MEDIAN($G195)</f>
        <v>0</v>
      </c>
      <c r="T195" s="1">
        <f>MEDIAN($H195)</f>
        <v>0</v>
      </c>
      <c r="U195" s="1">
        <f>MAX($B195)</f>
        <v>0</v>
      </c>
      <c r="V195" s="1">
        <f>MAX($C195)</f>
        <v>0</v>
      </c>
      <c r="W195" s="1">
        <f>MAX($D195)</f>
        <v>0</v>
      </c>
      <c r="X195" s="1">
        <f>MAX($E195)</f>
        <v>0</v>
      </c>
      <c r="Y195" s="1">
        <f>MAX($G195)</f>
        <v>0</v>
      </c>
      <c r="Z195" s="1">
        <f>MAX($H195)</f>
        <v>0</v>
      </c>
    </row>
    <row r="196" spans="1:26">
      <c r="A196" s="1" t="s">
        <v>193</v>
      </c>
      <c r="B196" s="1">
        <v>1</v>
      </c>
      <c r="C196" s="1">
        <v>0</v>
      </c>
      <c r="D196" s="1">
        <v>0</v>
      </c>
      <c r="E196" s="1">
        <v>3000</v>
      </c>
      <c r="F196" s="1" t="s">
        <v>374</v>
      </c>
      <c r="G196" s="1">
        <v>1500</v>
      </c>
      <c r="H196" s="1">
        <v>1</v>
      </c>
      <c r="I196" s="1">
        <f>MIN($B196)</f>
        <v>0</v>
      </c>
      <c r="J196" s="1">
        <f>MIN($C196)</f>
        <v>0</v>
      </c>
      <c r="K196" s="1">
        <f>MIN($D196)</f>
        <v>0</v>
      </c>
      <c r="L196" s="1">
        <f>MIN($E196)</f>
        <v>0</v>
      </c>
      <c r="M196" s="1">
        <f>MIN($G196)</f>
        <v>0</v>
      </c>
      <c r="N196" s="1">
        <f>MIN($H196)</f>
        <v>0</v>
      </c>
      <c r="O196" s="1">
        <f>MEDIAN($B196)</f>
        <v>0</v>
      </c>
      <c r="P196" s="1">
        <f>MEDIAN($C196)</f>
        <v>0</v>
      </c>
      <c r="Q196" s="1">
        <f>MEDIAN($D196)</f>
        <v>0</v>
      </c>
      <c r="R196" s="1">
        <f>MEDIAN($E196)</f>
        <v>0</v>
      </c>
      <c r="S196" s="1">
        <f>MEDIAN($G196)</f>
        <v>0</v>
      </c>
      <c r="T196" s="1">
        <f>MEDIAN($H196)</f>
        <v>0</v>
      </c>
      <c r="U196" s="1">
        <f>MAX($B196)</f>
        <v>0</v>
      </c>
      <c r="V196" s="1">
        <f>MAX($C196)</f>
        <v>0</v>
      </c>
      <c r="W196" s="1">
        <f>MAX($D196)</f>
        <v>0</v>
      </c>
      <c r="X196" s="1">
        <f>MAX($E196)</f>
        <v>0</v>
      </c>
      <c r="Y196" s="1">
        <f>MAX($G196)</f>
        <v>0</v>
      </c>
      <c r="Z196" s="1">
        <f>MAX($H196)</f>
        <v>0</v>
      </c>
    </row>
    <row r="197" spans="1:26">
      <c r="A197" s="1" t="s">
        <v>194</v>
      </c>
      <c r="B197" s="1">
        <v>1</v>
      </c>
      <c r="C197" s="1">
        <v>0</v>
      </c>
      <c r="D197" s="1">
        <v>0</v>
      </c>
      <c r="E197" s="1">
        <v>3000</v>
      </c>
      <c r="F197" s="1" t="s">
        <v>374</v>
      </c>
      <c r="G197" s="1">
        <v>1500</v>
      </c>
      <c r="H197" s="1">
        <v>1</v>
      </c>
      <c r="I197" s="1">
        <f>MIN($B197)</f>
        <v>0</v>
      </c>
      <c r="J197" s="1">
        <f>MIN($C197)</f>
        <v>0</v>
      </c>
      <c r="K197" s="1">
        <f>MIN($D197)</f>
        <v>0</v>
      </c>
      <c r="L197" s="1">
        <f>MIN($E197)</f>
        <v>0</v>
      </c>
      <c r="M197" s="1">
        <f>MIN($G197)</f>
        <v>0</v>
      </c>
      <c r="N197" s="1">
        <f>MIN($H197)</f>
        <v>0</v>
      </c>
      <c r="O197" s="1">
        <f>MEDIAN($B197)</f>
        <v>0</v>
      </c>
      <c r="P197" s="1">
        <f>MEDIAN($C197)</f>
        <v>0</v>
      </c>
      <c r="Q197" s="1">
        <f>MEDIAN($D197)</f>
        <v>0</v>
      </c>
      <c r="R197" s="1">
        <f>MEDIAN($E197)</f>
        <v>0</v>
      </c>
      <c r="S197" s="1">
        <f>MEDIAN($G197)</f>
        <v>0</v>
      </c>
      <c r="T197" s="1">
        <f>MEDIAN($H197)</f>
        <v>0</v>
      </c>
      <c r="U197" s="1">
        <f>MAX($B197)</f>
        <v>0</v>
      </c>
      <c r="V197" s="1">
        <f>MAX($C197)</f>
        <v>0</v>
      </c>
      <c r="W197" s="1">
        <f>MAX($D197)</f>
        <v>0</v>
      </c>
      <c r="X197" s="1">
        <f>MAX($E197)</f>
        <v>0</v>
      </c>
      <c r="Y197" s="1">
        <f>MAX($G197)</f>
        <v>0</v>
      </c>
      <c r="Z197" s="1">
        <f>MAX($H197)</f>
        <v>0</v>
      </c>
    </row>
    <row r="198" spans="1:26">
      <c r="A198" s="1" t="s">
        <v>195</v>
      </c>
      <c r="B198" s="1">
        <v>1</v>
      </c>
      <c r="C198" s="1">
        <v>0</v>
      </c>
      <c r="D198" s="1">
        <v>0</v>
      </c>
      <c r="E198" s="1">
        <v>3000</v>
      </c>
      <c r="F198" s="1" t="s">
        <v>374</v>
      </c>
      <c r="G198" s="1">
        <v>1500</v>
      </c>
      <c r="H198" s="1">
        <v>1</v>
      </c>
      <c r="I198" s="1">
        <f>MIN($B198)</f>
        <v>0</v>
      </c>
      <c r="J198" s="1">
        <f>MIN($C198)</f>
        <v>0</v>
      </c>
      <c r="K198" s="1">
        <f>MIN($D198)</f>
        <v>0</v>
      </c>
      <c r="L198" s="1">
        <f>MIN($E198)</f>
        <v>0</v>
      </c>
      <c r="M198" s="1">
        <f>MIN($G198)</f>
        <v>0</v>
      </c>
      <c r="N198" s="1">
        <f>MIN($H198)</f>
        <v>0</v>
      </c>
      <c r="O198" s="1">
        <f>MEDIAN($B198)</f>
        <v>0</v>
      </c>
      <c r="P198" s="1">
        <f>MEDIAN($C198)</f>
        <v>0</v>
      </c>
      <c r="Q198" s="1">
        <f>MEDIAN($D198)</f>
        <v>0</v>
      </c>
      <c r="R198" s="1">
        <f>MEDIAN($E198)</f>
        <v>0</v>
      </c>
      <c r="S198" s="1">
        <f>MEDIAN($G198)</f>
        <v>0</v>
      </c>
      <c r="T198" s="1">
        <f>MEDIAN($H198)</f>
        <v>0</v>
      </c>
      <c r="U198" s="1">
        <f>MAX($B198)</f>
        <v>0</v>
      </c>
      <c r="V198" s="1">
        <f>MAX($C198)</f>
        <v>0</v>
      </c>
      <c r="W198" s="1">
        <f>MAX($D198)</f>
        <v>0</v>
      </c>
      <c r="X198" s="1">
        <f>MAX($E198)</f>
        <v>0</v>
      </c>
      <c r="Y198" s="1">
        <f>MAX($G198)</f>
        <v>0</v>
      </c>
      <c r="Z198" s="1">
        <f>MAX($H198)</f>
        <v>0</v>
      </c>
    </row>
    <row r="199" spans="1:26">
      <c r="A199" s="1" t="s">
        <v>196</v>
      </c>
      <c r="B199" s="1">
        <v>1</v>
      </c>
      <c r="C199" s="1">
        <v>0</v>
      </c>
      <c r="D199" s="1">
        <v>0</v>
      </c>
      <c r="E199" s="1">
        <v>3000</v>
      </c>
      <c r="F199" s="1" t="s">
        <v>374</v>
      </c>
      <c r="G199" s="1">
        <v>1500</v>
      </c>
      <c r="H199" s="1">
        <v>1</v>
      </c>
      <c r="I199" s="1">
        <f>MIN($B199)</f>
        <v>0</v>
      </c>
      <c r="J199" s="1">
        <f>MIN($C199)</f>
        <v>0</v>
      </c>
      <c r="K199" s="1">
        <f>MIN($D199)</f>
        <v>0</v>
      </c>
      <c r="L199" s="1">
        <f>MIN($E199)</f>
        <v>0</v>
      </c>
      <c r="M199" s="1">
        <f>MIN($G199)</f>
        <v>0</v>
      </c>
      <c r="N199" s="1">
        <f>MIN($H199)</f>
        <v>0</v>
      </c>
      <c r="O199" s="1">
        <f>MEDIAN($B199)</f>
        <v>0</v>
      </c>
      <c r="P199" s="1">
        <f>MEDIAN($C199)</f>
        <v>0</v>
      </c>
      <c r="Q199" s="1">
        <f>MEDIAN($D199)</f>
        <v>0</v>
      </c>
      <c r="R199" s="1">
        <f>MEDIAN($E199)</f>
        <v>0</v>
      </c>
      <c r="S199" s="1">
        <f>MEDIAN($G199)</f>
        <v>0</v>
      </c>
      <c r="T199" s="1">
        <f>MEDIAN($H199)</f>
        <v>0</v>
      </c>
      <c r="U199" s="1">
        <f>MAX($B199)</f>
        <v>0</v>
      </c>
      <c r="V199" s="1">
        <f>MAX($C199)</f>
        <v>0</v>
      </c>
      <c r="W199" s="1">
        <f>MAX($D199)</f>
        <v>0</v>
      </c>
      <c r="X199" s="1">
        <f>MAX($E199)</f>
        <v>0</v>
      </c>
      <c r="Y199" s="1">
        <f>MAX($G199)</f>
        <v>0</v>
      </c>
      <c r="Z199" s="1">
        <f>MAX($H199)</f>
        <v>0</v>
      </c>
    </row>
    <row r="200" spans="1:26">
      <c r="A200" s="1" t="s">
        <v>197</v>
      </c>
      <c r="B200" s="1">
        <v>1</v>
      </c>
      <c r="C200" s="1">
        <v>0</v>
      </c>
      <c r="D200" s="1">
        <v>0</v>
      </c>
      <c r="E200" s="1">
        <v>3000</v>
      </c>
      <c r="F200" s="1" t="s">
        <v>374</v>
      </c>
      <c r="G200" s="1">
        <v>1500</v>
      </c>
      <c r="H200" s="1">
        <v>1</v>
      </c>
      <c r="I200" s="1">
        <f>MIN($B200)</f>
        <v>0</v>
      </c>
      <c r="J200" s="1">
        <f>MIN($C200)</f>
        <v>0</v>
      </c>
      <c r="K200" s="1">
        <f>MIN($D200)</f>
        <v>0</v>
      </c>
      <c r="L200" s="1">
        <f>MIN($E200)</f>
        <v>0</v>
      </c>
      <c r="M200" s="1">
        <f>MIN($G200)</f>
        <v>0</v>
      </c>
      <c r="N200" s="1">
        <f>MIN($H200)</f>
        <v>0</v>
      </c>
      <c r="O200" s="1">
        <f>MEDIAN($B200)</f>
        <v>0</v>
      </c>
      <c r="P200" s="1">
        <f>MEDIAN($C200)</f>
        <v>0</v>
      </c>
      <c r="Q200" s="1">
        <f>MEDIAN($D200)</f>
        <v>0</v>
      </c>
      <c r="R200" s="1">
        <f>MEDIAN($E200)</f>
        <v>0</v>
      </c>
      <c r="S200" s="1">
        <f>MEDIAN($G200)</f>
        <v>0</v>
      </c>
      <c r="T200" s="1">
        <f>MEDIAN($H200)</f>
        <v>0</v>
      </c>
      <c r="U200" s="1">
        <f>MAX($B200)</f>
        <v>0</v>
      </c>
      <c r="V200" s="1">
        <f>MAX($C200)</f>
        <v>0</v>
      </c>
      <c r="W200" s="1">
        <f>MAX($D200)</f>
        <v>0</v>
      </c>
      <c r="X200" s="1">
        <f>MAX($E200)</f>
        <v>0</v>
      </c>
      <c r="Y200" s="1">
        <f>MAX($G200)</f>
        <v>0</v>
      </c>
      <c r="Z200" s="1">
        <f>MAX($H200)</f>
        <v>0</v>
      </c>
    </row>
    <row r="201" spans="1:26">
      <c r="A201" s="1" t="s">
        <v>198</v>
      </c>
      <c r="B201" s="1">
        <v>1</v>
      </c>
      <c r="C201" s="1">
        <v>0</v>
      </c>
      <c r="D201" s="1">
        <v>0</v>
      </c>
      <c r="E201" s="1">
        <v>3000</v>
      </c>
      <c r="F201" s="1" t="s">
        <v>374</v>
      </c>
      <c r="G201" s="1">
        <v>1500</v>
      </c>
      <c r="H201" s="1">
        <v>1</v>
      </c>
      <c r="I201" s="1">
        <f>MIN($B201)</f>
        <v>0</v>
      </c>
      <c r="J201" s="1">
        <f>MIN($C201)</f>
        <v>0</v>
      </c>
      <c r="K201" s="1">
        <f>MIN($D201)</f>
        <v>0</v>
      </c>
      <c r="L201" s="1">
        <f>MIN($E201)</f>
        <v>0</v>
      </c>
      <c r="M201" s="1">
        <f>MIN($G201)</f>
        <v>0</v>
      </c>
      <c r="N201" s="1">
        <f>MIN($H201)</f>
        <v>0</v>
      </c>
      <c r="O201" s="1">
        <f>MEDIAN($B201)</f>
        <v>0</v>
      </c>
      <c r="P201" s="1">
        <f>MEDIAN($C201)</f>
        <v>0</v>
      </c>
      <c r="Q201" s="1">
        <f>MEDIAN($D201)</f>
        <v>0</v>
      </c>
      <c r="R201" s="1">
        <f>MEDIAN($E201)</f>
        <v>0</v>
      </c>
      <c r="S201" s="1">
        <f>MEDIAN($G201)</f>
        <v>0</v>
      </c>
      <c r="T201" s="1">
        <f>MEDIAN($H201)</f>
        <v>0</v>
      </c>
      <c r="U201" s="1">
        <f>MAX($B201)</f>
        <v>0</v>
      </c>
      <c r="V201" s="1">
        <f>MAX($C201)</f>
        <v>0</v>
      </c>
      <c r="W201" s="1">
        <f>MAX($D201)</f>
        <v>0</v>
      </c>
      <c r="X201" s="1">
        <f>MAX($E201)</f>
        <v>0</v>
      </c>
      <c r="Y201" s="1">
        <f>MAX($G201)</f>
        <v>0</v>
      </c>
      <c r="Z201" s="1">
        <f>MAX($H201)</f>
        <v>0</v>
      </c>
    </row>
    <row r="202" spans="1:26">
      <c r="A202" s="1" t="s">
        <v>199</v>
      </c>
      <c r="B202" s="1">
        <v>1</v>
      </c>
      <c r="C202" s="1">
        <v>0</v>
      </c>
      <c r="D202" s="1">
        <v>0</v>
      </c>
      <c r="E202" s="1">
        <v>3000</v>
      </c>
      <c r="F202" s="1" t="s">
        <v>374</v>
      </c>
      <c r="G202" s="1">
        <v>1500</v>
      </c>
      <c r="H202" s="1">
        <v>1</v>
      </c>
      <c r="I202" s="1">
        <f>MIN($B202)</f>
        <v>0</v>
      </c>
      <c r="J202" s="1">
        <f>MIN($C202)</f>
        <v>0</v>
      </c>
      <c r="K202" s="1">
        <f>MIN($D202)</f>
        <v>0</v>
      </c>
      <c r="L202" s="1">
        <f>MIN($E202)</f>
        <v>0</v>
      </c>
      <c r="M202" s="1">
        <f>MIN($G202)</f>
        <v>0</v>
      </c>
      <c r="N202" s="1">
        <f>MIN($H202)</f>
        <v>0</v>
      </c>
      <c r="O202" s="1">
        <f>MEDIAN($B202)</f>
        <v>0</v>
      </c>
      <c r="P202" s="1">
        <f>MEDIAN($C202)</f>
        <v>0</v>
      </c>
      <c r="Q202" s="1">
        <f>MEDIAN($D202)</f>
        <v>0</v>
      </c>
      <c r="R202" s="1">
        <f>MEDIAN($E202)</f>
        <v>0</v>
      </c>
      <c r="S202" s="1">
        <f>MEDIAN($G202)</f>
        <v>0</v>
      </c>
      <c r="T202" s="1">
        <f>MEDIAN($H202)</f>
        <v>0</v>
      </c>
      <c r="U202" s="1">
        <f>MAX($B202)</f>
        <v>0</v>
      </c>
      <c r="V202" s="1">
        <f>MAX($C202)</f>
        <v>0</v>
      </c>
      <c r="W202" s="1">
        <f>MAX($D202)</f>
        <v>0</v>
      </c>
      <c r="X202" s="1">
        <f>MAX($E202)</f>
        <v>0</v>
      </c>
      <c r="Y202" s="1">
        <f>MAX($G202)</f>
        <v>0</v>
      </c>
      <c r="Z202" s="1">
        <f>MAX($H202)</f>
        <v>0</v>
      </c>
    </row>
    <row r="203" spans="1:26">
      <c r="A203" s="1" t="s">
        <v>200</v>
      </c>
      <c r="B203" s="1">
        <v>1</v>
      </c>
      <c r="C203" s="1">
        <v>0</v>
      </c>
      <c r="D203" s="1">
        <v>0</v>
      </c>
      <c r="E203" s="1">
        <v>3000</v>
      </c>
      <c r="F203" s="1" t="s">
        <v>374</v>
      </c>
      <c r="G203" s="1">
        <v>1500</v>
      </c>
      <c r="H203" s="1">
        <v>1</v>
      </c>
      <c r="I203" s="1">
        <f>MIN($B203)</f>
        <v>0</v>
      </c>
      <c r="J203" s="1">
        <f>MIN($C203)</f>
        <v>0</v>
      </c>
      <c r="K203" s="1">
        <f>MIN($D203)</f>
        <v>0</v>
      </c>
      <c r="L203" s="1">
        <f>MIN($E203)</f>
        <v>0</v>
      </c>
      <c r="M203" s="1">
        <f>MIN($G203)</f>
        <v>0</v>
      </c>
      <c r="N203" s="1">
        <f>MIN($H203)</f>
        <v>0</v>
      </c>
      <c r="O203" s="1">
        <f>MEDIAN($B203)</f>
        <v>0</v>
      </c>
      <c r="P203" s="1">
        <f>MEDIAN($C203)</f>
        <v>0</v>
      </c>
      <c r="Q203" s="1">
        <f>MEDIAN($D203)</f>
        <v>0</v>
      </c>
      <c r="R203" s="1">
        <f>MEDIAN($E203)</f>
        <v>0</v>
      </c>
      <c r="S203" s="1">
        <f>MEDIAN($G203)</f>
        <v>0</v>
      </c>
      <c r="T203" s="1">
        <f>MEDIAN($H203)</f>
        <v>0</v>
      </c>
      <c r="U203" s="1">
        <f>MAX($B203)</f>
        <v>0</v>
      </c>
      <c r="V203" s="1">
        <f>MAX($C203)</f>
        <v>0</v>
      </c>
      <c r="W203" s="1">
        <f>MAX($D203)</f>
        <v>0</v>
      </c>
      <c r="X203" s="1">
        <f>MAX($E203)</f>
        <v>0</v>
      </c>
      <c r="Y203" s="1">
        <f>MAX($G203)</f>
        <v>0</v>
      </c>
      <c r="Z203" s="1">
        <f>MAX($H203)</f>
        <v>0</v>
      </c>
    </row>
    <row r="204" spans="1:26">
      <c r="A204" s="1" t="s">
        <v>201</v>
      </c>
      <c r="B204" s="1">
        <v>1</v>
      </c>
      <c r="C204" s="1">
        <v>0</v>
      </c>
      <c r="D204" s="1">
        <v>0</v>
      </c>
      <c r="E204" s="1">
        <v>3000</v>
      </c>
      <c r="F204" s="1" t="s">
        <v>374</v>
      </c>
      <c r="G204" s="1">
        <v>1500</v>
      </c>
      <c r="H204" s="1">
        <v>1</v>
      </c>
      <c r="I204" s="1">
        <f>MIN($B204)</f>
        <v>0</v>
      </c>
      <c r="J204" s="1">
        <f>MIN($C204)</f>
        <v>0</v>
      </c>
      <c r="K204" s="1">
        <f>MIN($D204)</f>
        <v>0</v>
      </c>
      <c r="L204" s="1">
        <f>MIN($E204)</f>
        <v>0</v>
      </c>
      <c r="M204" s="1">
        <f>MIN($G204)</f>
        <v>0</v>
      </c>
      <c r="N204" s="1">
        <f>MIN($H204)</f>
        <v>0</v>
      </c>
      <c r="O204" s="1">
        <f>MEDIAN($B204)</f>
        <v>0</v>
      </c>
      <c r="P204" s="1">
        <f>MEDIAN($C204)</f>
        <v>0</v>
      </c>
      <c r="Q204" s="1">
        <f>MEDIAN($D204)</f>
        <v>0</v>
      </c>
      <c r="R204" s="1">
        <f>MEDIAN($E204)</f>
        <v>0</v>
      </c>
      <c r="S204" s="1">
        <f>MEDIAN($G204)</f>
        <v>0</v>
      </c>
      <c r="T204" s="1">
        <f>MEDIAN($H204)</f>
        <v>0</v>
      </c>
      <c r="U204" s="1">
        <f>MAX($B204)</f>
        <v>0</v>
      </c>
      <c r="V204" s="1">
        <f>MAX($C204)</f>
        <v>0</v>
      </c>
      <c r="W204" s="1">
        <f>MAX($D204)</f>
        <v>0</v>
      </c>
      <c r="X204" s="1">
        <f>MAX($E204)</f>
        <v>0</v>
      </c>
      <c r="Y204" s="1">
        <f>MAX($G204)</f>
        <v>0</v>
      </c>
      <c r="Z204" s="1">
        <f>MAX($H204)</f>
        <v>0</v>
      </c>
    </row>
    <row r="205" spans="1:26">
      <c r="A205" s="1" t="s">
        <v>202</v>
      </c>
      <c r="B205" s="1">
        <v>1</v>
      </c>
      <c r="C205" s="1">
        <v>0</v>
      </c>
      <c r="D205" s="1">
        <v>0</v>
      </c>
      <c r="E205" s="1">
        <v>3000</v>
      </c>
      <c r="F205" s="1" t="s">
        <v>374</v>
      </c>
      <c r="G205" s="1">
        <v>1500</v>
      </c>
      <c r="H205" s="1">
        <v>1</v>
      </c>
      <c r="I205" s="1">
        <f>MIN($B205)</f>
        <v>0</v>
      </c>
      <c r="J205" s="1">
        <f>MIN($C205)</f>
        <v>0</v>
      </c>
      <c r="K205" s="1">
        <f>MIN($D205)</f>
        <v>0</v>
      </c>
      <c r="L205" s="1">
        <f>MIN($E205)</f>
        <v>0</v>
      </c>
      <c r="M205" s="1">
        <f>MIN($G205)</f>
        <v>0</v>
      </c>
      <c r="N205" s="1">
        <f>MIN($H205)</f>
        <v>0</v>
      </c>
      <c r="O205" s="1">
        <f>MEDIAN($B205)</f>
        <v>0</v>
      </c>
      <c r="P205" s="1">
        <f>MEDIAN($C205)</f>
        <v>0</v>
      </c>
      <c r="Q205" s="1">
        <f>MEDIAN($D205)</f>
        <v>0</v>
      </c>
      <c r="R205" s="1">
        <f>MEDIAN($E205)</f>
        <v>0</v>
      </c>
      <c r="S205" s="1">
        <f>MEDIAN($G205)</f>
        <v>0</v>
      </c>
      <c r="T205" s="1">
        <f>MEDIAN($H205)</f>
        <v>0</v>
      </c>
      <c r="U205" s="1">
        <f>MAX($B205)</f>
        <v>0</v>
      </c>
      <c r="V205" s="1">
        <f>MAX($C205)</f>
        <v>0</v>
      </c>
      <c r="W205" s="1">
        <f>MAX($D205)</f>
        <v>0</v>
      </c>
      <c r="X205" s="1">
        <f>MAX($E205)</f>
        <v>0</v>
      </c>
      <c r="Y205" s="1">
        <f>MAX($G205)</f>
        <v>0</v>
      </c>
      <c r="Z205" s="1">
        <f>MAX($H205)</f>
        <v>0</v>
      </c>
    </row>
    <row r="206" spans="1:26">
      <c r="A206" s="1" t="s">
        <v>203</v>
      </c>
      <c r="B206" s="1">
        <v>1</v>
      </c>
      <c r="C206" s="1">
        <v>0</v>
      </c>
      <c r="D206" s="1">
        <v>0</v>
      </c>
      <c r="E206" s="1">
        <v>3000</v>
      </c>
      <c r="F206" s="1" t="s">
        <v>374</v>
      </c>
      <c r="G206" s="1">
        <v>1500</v>
      </c>
      <c r="H206" s="1">
        <v>1</v>
      </c>
      <c r="I206" s="1">
        <f>MIN($B206)</f>
        <v>0</v>
      </c>
      <c r="J206" s="1">
        <f>MIN($C206)</f>
        <v>0</v>
      </c>
      <c r="K206" s="1">
        <f>MIN($D206)</f>
        <v>0</v>
      </c>
      <c r="L206" s="1">
        <f>MIN($E206)</f>
        <v>0</v>
      </c>
      <c r="M206" s="1">
        <f>MIN($G206)</f>
        <v>0</v>
      </c>
      <c r="N206" s="1">
        <f>MIN($H206)</f>
        <v>0</v>
      </c>
      <c r="O206" s="1">
        <f>MEDIAN($B206)</f>
        <v>0</v>
      </c>
      <c r="P206" s="1">
        <f>MEDIAN($C206)</f>
        <v>0</v>
      </c>
      <c r="Q206" s="1">
        <f>MEDIAN($D206)</f>
        <v>0</v>
      </c>
      <c r="R206" s="1">
        <f>MEDIAN($E206)</f>
        <v>0</v>
      </c>
      <c r="S206" s="1">
        <f>MEDIAN($G206)</f>
        <v>0</v>
      </c>
      <c r="T206" s="1">
        <f>MEDIAN($H206)</f>
        <v>0</v>
      </c>
      <c r="U206" s="1">
        <f>MAX($B206)</f>
        <v>0</v>
      </c>
      <c r="V206" s="1">
        <f>MAX($C206)</f>
        <v>0</v>
      </c>
      <c r="W206" s="1">
        <f>MAX($D206)</f>
        <v>0</v>
      </c>
      <c r="X206" s="1">
        <f>MAX($E206)</f>
        <v>0</v>
      </c>
      <c r="Y206" s="1">
        <f>MAX($G206)</f>
        <v>0</v>
      </c>
      <c r="Z206" s="1">
        <f>MAX($H206)</f>
        <v>0</v>
      </c>
    </row>
    <row r="207" spans="1:26">
      <c r="A207" s="1" t="s">
        <v>204</v>
      </c>
      <c r="B207" s="1">
        <v>1</v>
      </c>
      <c r="C207" s="1">
        <v>0</v>
      </c>
      <c r="D207" s="1">
        <v>0</v>
      </c>
      <c r="E207" s="1">
        <v>3000</v>
      </c>
      <c r="F207" s="1" t="s">
        <v>374</v>
      </c>
      <c r="G207" s="1">
        <v>1500</v>
      </c>
      <c r="H207" s="1">
        <v>1</v>
      </c>
      <c r="I207" s="1">
        <f>MIN($B207)</f>
        <v>0</v>
      </c>
      <c r="J207" s="1">
        <f>MIN($C207)</f>
        <v>0</v>
      </c>
      <c r="K207" s="1">
        <f>MIN($D207)</f>
        <v>0</v>
      </c>
      <c r="L207" s="1">
        <f>MIN($E207)</f>
        <v>0</v>
      </c>
      <c r="M207" s="1">
        <f>MIN($G207)</f>
        <v>0</v>
      </c>
      <c r="N207" s="1">
        <f>MIN($H207)</f>
        <v>0</v>
      </c>
      <c r="O207" s="1">
        <f>MEDIAN($B207)</f>
        <v>0</v>
      </c>
      <c r="P207" s="1">
        <f>MEDIAN($C207)</f>
        <v>0</v>
      </c>
      <c r="Q207" s="1">
        <f>MEDIAN($D207)</f>
        <v>0</v>
      </c>
      <c r="R207" s="1">
        <f>MEDIAN($E207)</f>
        <v>0</v>
      </c>
      <c r="S207" s="1">
        <f>MEDIAN($G207)</f>
        <v>0</v>
      </c>
      <c r="T207" s="1">
        <f>MEDIAN($H207)</f>
        <v>0</v>
      </c>
      <c r="U207" s="1">
        <f>MAX($B207)</f>
        <v>0</v>
      </c>
      <c r="V207" s="1">
        <f>MAX($C207)</f>
        <v>0</v>
      </c>
      <c r="W207" s="1">
        <f>MAX($D207)</f>
        <v>0</v>
      </c>
      <c r="X207" s="1">
        <f>MAX($E207)</f>
        <v>0</v>
      </c>
      <c r="Y207" s="1">
        <f>MAX($G207)</f>
        <v>0</v>
      </c>
      <c r="Z207" s="1">
        <f>MAX($H207)</f>
        <v>0</v>
      </c>
    </row>
    <row r="208" spans="1:26">
      <c r="A208" s="1" t="s">
        <v>205</v>
      </c>
      <c r="B208" s="1">
        <v>1</v>
      </c>
      <c r="C208" s="1">
        <v>0</v>
      </c>
      <c r="D208" s="1">
        <v>0</v>
      </c>
      <c r="E208" s="1">
        <v>3000</v>
      </c>
      <c r="F208" s="1" t="s">
        <v>374</v>
      </c>
      <c r="G208" s="1">
        <v>1500</v>
      </c>
      <c r="H208" s="1">
        <v>1</v>
      </c>
      <c r="I208" s="1">
        <f>MIN($B208)</f>
        <v>0</v>
      </c>
      <c r="J208" s="1">
        <f>MIN($C208)</f>
        <v>0</v>
      </c>
      <c r="K208" s="1">
        <f>MIN($D208)</f>
        <v>0</v>
      </c>
      <c r="L208" s="1">
        <f>MIN($E208)</f>
        <v>0</v>
      </c>
      <c r="M208" s="1">
        <f>MIN($G208)</f>
        <v>0</v>
      </c>
      <c r="N208" s="1">
        <f>MIN($H208)</f>
        <v>0</v>
      </c>
      <c r="O208" s="1">
        <f>MEDIAN($B208)</f>
        <v>0</v>
      </c>
      <c r="P208" s="1">
        <f>MEDIAN($C208)</f>
        <v>0</v>
      </c>
      <c r="Q208" s="1">
        <f>MEDIAN($D208)</f>
        <v>0</v>
      </c>
      <c r="R208" s="1">
        <f>MEDIAN($E208)</f>
        <v>0</v>
      </c>
      <c r="S208" s="1">
        <f>MEDIAN($G208)</f>
        <v>0</v>
      </c>
      <c r="T208" s="1">
        <f>MEDIAN($H208)</f>
        <v>0</v>
      </c>
      <c r="U208" s="1">
        <f>MAX($B208)</f>
        <v>0</v>
      </c>
      <c r="V208" s="1">
        <f>MAX($C208)</f>
        <v>0</v>
      </c>
      <c r="W208" s="1">
        <f>MAX($D208)</f>
        <v>0</v>
      </c>
      <c r="X208" s="1">
        <f>MAX($E208)</f>
        <v>0</v>
      </c>
      <c r="Y208" s="1">
        <f>MAX($G208)</f>
        <v>0</v>
      </c>
      <c r="Z208" s="1">
        <f>MAX($H208)</f>
        <v>0</v>
      </c>
    </row>
    <row r="209" spans="1:26">
      <c r="A209" s="1" t="s">
        <v>206</v>
      </c>
      <c r="B209" s="1">
        <v>1</v>
      </c>
      <c r="C209" s="1">
        <v>0</v>
      </c>
      <c r="D209" s="1">
        <v>0</v>
      </c>
      <c r="E209" s="1">
        <v>3000</v>
      </c>
      <c r="F209" s="1" t="s">
        <v>374</v>
      </c>
      <c r="G209" s="1">
        <v>1500</v>
      </c>
      <c r="H209" s="1">
        <v>1</v>
      </c>
      <c r="I209" s="1">
        <f>MIN($B209)</f>
        <v>0</v>
      </c>
      <c r="J209" s="1">
        <f>MIN($C209)</f>
        <v>0</v>
      </c>
      <c r="K209" s="1">
        <f>MIN($D209)</f>
        <v>0</v>
      </c>
      <c r="L209" s="1">
        <f>MIN($E209)</f>
        <v>0</v>
      </c>
      <c r="M209" s="1">
        <f>MIN($G209)</f>
        <v>0</v>
      </c>
      <c r="N209" s="1">
        <f>MIN($H209)</f>
        <v>0</v>
      </c>
      <c r="O209" s="1">
        <f>MEDIAN($B209)</f>
        <v>0</v>
      </c>
      <c r="P209" s="1">
        <f>MEDIAN($C209)</f>
        <v>0</v>
      </c>
      <c r="Q209" s="1">
        <f>MEDIAN($D209)</f>
        <v>0</v>
      </c>
      <c r="R209" s="1">
        <f>MEDIAN($E209)</f>
        <v>0</v>
      </c>
      <c r="S209" s="1">
        <f>MEDIAN($G209)</f>
        <v>0</v>
      </c>
      <c r="T209" s="1">
        <f>MEDIAN($H209)</f>
        <v>0</v>
      </c>
      <c r="U209" s="1">
        <f>MAX($B209)</f>
        <v>0</v>
      </c>
      <c r="V209" s="1">
        <f>MAX($C209)</f>
        <v>0</v>
      </c>
      <c r="W209" s="1">
        <f>MAX($D209)</f>
        <v>0</v>
      </c>
      <c r="X209" s="1">
        <f>MAX($E209)</f>
        <v>0</v>
      </c>
      <c r="Y209" s="1">
        <f>MAX($G209)</f>
        <v>0</v>
      </c>
      <c r="Z209" s="1">
        <f>MAX($H209)</f>
        <v>0</v>
      </c>
    </row>
    <row r="210" spans="1:26">
      <c r="A210" s="1" t="s">
        <v>207</v>
      </c>
      <c r="B210" s="1">
        <v>1</v>
      </c>
      <c r="C210" s="1">
        <v>0</v>
      </c>
      <c r="D210" s="1">
        <v>0</v>
      </c>
      <c r="E210" s="1">
        <v>3000</v>
      </c>
      <c r="F210" s="1" t="s">
        <v>374</v>
      </c>
      <c r="G210" s="1">
        <v>1500</v>
      </c>
      <c r="H210" s="1">
        <v>1</v>
      </c>
      <c r="I210" s="1">
        <f>MIN($B210)</f>
        <v>0</v>
      </c>
      <c r="J210" s="1">
        <f>MIN($C210)</f>
        <v>0</v>
      </c>
      <c r="K210" s="1">
        <f>MIN($D210)</f>
        <v>0</v>
      </c>
      <c r="L210" s="1">
        <f>MIN($E210)</f>
        <v>0</v>
      </c>
      <c r="M210" s="1">
        <f>MIN($G210)</f>
        <v>0</v>
      </c>
      <c r="N210" s="1">
        <f>MIN($H210)</f>
        <v>0</v>
      </c>
      <c r="O210" s="1">
        <f>MEDIAN($B210)</f>
        <v>0</v>
      </c>
      <c r="P210" s="1">
        <f>MEDIAN($C210)</f>
        <v>0</v>
      </c>
      <c r="Q210" s="1">
        <f>MEDIAN($D210)</f>
        <v>0</v>
      </c>
      <c r="R210" s="1">
        <f>MEDIAN($E210)</f>
        <v>0</v>
      </c>
      <c r="S210" s="1">
        <f>MEDIAN($G210)</f>
        <v>0</v>
      </c>
      <c r="T210" s="1">
        <f>MEDIAN($H210)</f>
        <v>0</v>
      </c>
      <c r="U210" s="1">
        <f>MAX($B210)</f>
        <v>0</v>
      </c>
      <c r="V210" s="1">
        <f>MAX($C210)</f>
        <v>0</v>
      </c>
      <c r="W210" s="1">
        <f>MAX($D210)</f>
        <v>0</v>
      </c>
      <c r="X210" s="1">
        <f>MAX($E210)</f>
        <v>0</v>
      </c>
      <c r="Y210" s="1">
        <f>MAX($G210)</f>
        <v>0</v>
      </c>
      <c r="Z210" s="1">
        <f>MAX($H210)</f>
        <v>0</v>
      </c>
    </row>
    <row r="211" spans="1:26">
      <c r="A211" s="1" t="s">
        <v>208</v>
      </c>
      <c r="B211" s="1">
        <v>1</v>
      </c>
      <c r="C211" s="1">
        <v>0</v>
      </c>
      <c r="D211" s="1">
        <v>0</v>
      </c>
      <c r="E211" s="1">
        <v>3000</v>
      </c>
      <c r="F211" s="1" t="s">
        <v>374</v>
      </c>
      <c r="G211" s="1">
        <v>1500</v>
      </c>
      <c r="H211" s="1">
        <v>1</v>
      </c>
      <c r="I211" s="1">
        <f>MIN($B211)</f>
        <v>0</v>
      </c>
      <c r="J211" s="1">
        <f>MIN($C211)</f>
        <v>0</v>
      </c>
      <c r="K211" s="1">
        <f>MIN($D211)</f>
        <v>0</v>
      </c>
      <c r="L211" s="1">
        <f>MIN($E211)</f>
        <v>0</v>
      </c>
      <c r="M211" s="1">
        <f>MIN($G211)</f>
        <v>0</v>
      </c>
      <c r="N211" s="1">
        <f>MIN($H211)</f>
        <v>0</v>
      </c>
      <c r="O211" s="1">
        <f>MEDIAN($B211)</f>
        <v>0</v>
      </c>
      <c r="P211" s="1">
        <f>MEDIAN($C211)</f>
        <v>0</v>
      </c>
      <c r="Q211" s="1">
        <f>MEDIAN($D211)</f>
        <v>0</v>
      </c>
      <c r="R211" s="1">
        <f>MEDIAN($E211)</f>
        <v>0</v>
      </c>
      <c r="S211" s="1">
        <f>MEDIAN($G211)</f>
        <v>0</v>
      </c>
      <c r="T211" s="1">
        <f>MEDIAN($H211)</f>
        <v>0</v>
      </c>
      <c r="U211" s="1">
        <f>MAX($B211)</f>
        <v>0</v>
      </c>
      <c r="V211" s="1">
        <f>MAX($C211)</f>
        <v>0</v>
      </c>
      <c r="W211" s="1">
        <f>MAX($D211)</f>
        <v>0</v>
      </c>
      <c r="X211" s="1">
        <f>MAX($E211)</f>
        <v>0</v>
      </c>
      <c r="Y211" s="1">
        <f>MAX($G211)</f>
        <v>0</v>
      </c>
      <c r="Z211" s="1">
        <f>MAX($H211)</f>
        <v>0</v>
      </c>
    </row>
    <row r="212" spans="1:26">
      <c r="A212" s="1" t="s">
        <v>209</v>
      </c>
      <c r="B212" s="1">
        <v>1</v>
      </c>
      <c r="C212" s="1">
        <v>0</v>
      </c>
      <c r="D212" s="1">
        <v>0</v>
      </c>
      <c r="E212" s="1">
        <v>3000</v>
      </c>
      <c r="F212" s="1" t="s">
        <v>374</v>
      </c>
      <c r="G212" s="1">
        <v>1500</v>
      </c>
      <c r="H212" s="1">
        <v>1</v>
      </c>
      <c r="I212" s="1">
        <f>MIN($B212)</f>
        <v>0</v>
      </c>
      <c r="J212" s="1">
        <f>MIN($C212)</f>
        <v>0</v>
      </c>
      <c r="K212" s="1">
        <f>MIN($D212)</f>
        <v>0</v>
      </c>
      <c r="L212" s="1">
        <f>MIN($E212)</f>
        <v>0</v>
      </c>
      <c r="M212" s="1">
        <f>MIN($G212)</f>
        <v>0</v>
      </c>
      <c r="N212" s="1">
        <f>MIN($H212)</f>
        <v>0</v>
      </c>
      <c r="O212" s="1">
        <f>MEDIAN($B212)</f>
        <v>0</v>
      </c>
      <c r="P212" s="1">
        <f>MEDIAN($C212)</f>
        <v>0</v>
      </c>
      <c r="Q212" s="1">
        <f>MEDIAN($D212)</f>
        <v>0</v>
      </c>
      <c r="R212" s="1">
        <f>MEDIAN($E212)</f>
        <v>0</v>
      </c>
      <c r="S212" s="1">
        <f>MEDIAN($G212)</f>
        <v>0</v>
      </c>
      <c r="T212" s="1">
        <f>MEDIAN($H212)</f>
        <v>0</v>
      </c>
      <c r="U212" s="1">
        <f>MAX($B212)</f>
        <v>0</v>
      </c>
      <c r="V212" s="1">
        <f>MAX($C212)</f>
        <v>0</v>
      </c>
      <c r="W212" s="1">
        <f>MAX($D212)</f>
        <v>0</v>
      </c>
      <c r="X212" s="1">
        <f>MAX($E212)</f>
        <v>0</v>
      </c>
      <c r="Y212" s="1">
        <f>MAX($G212)</f>
        <v>0</v>
      </c>
      <c r="Z212" s="1">
        <f>MAX($H212)</f>
        <v>0</v>
      </c>
    </row>
    <row r="213" spans="1:26">
      <c r="A213" s="1" t="s">
        <v>210</v>
      </c>
      <c r="B213" s="1">
        <v>1</v>
      </c>
      <c r="C213" s="1">
        <v>0</v>
      </c>
      <c r="D213" s="1">
        <v>0</v>
      </c>
      <c r="E213" s="1">
        <v>3000</v>
      </c>
      <c r="F213" s="1" t="s">
        <v>374</v>
      </c>
      <c r="G213" s="1">
        <v>1500</v>
      </c>
      <c r="H213" s="1">
        <v>1</v>
      </c>
      <c r="I213" s="1">
        <f>MIN($B213)</f>
        <v>0</v>
      </c>
      <c r="J213" s="1">
        <f>MIN($C213)</f>
        <v>0</v>
      </c>
      <c r="K213" s="1">
        <f>MIN($D213)</f>
        <v>0</v>
      </c>
      <c r="L213" s="1">
        <f>MIN($E213)</f>
        <v>0</v>
      </c>
      <c r="M213" s="1">
        <f>MIN($G213)</f>
        <v>0</v>
      </c>
      <c r="N213" s="1">
        <f>MIN($H213)</f>
        <v>0</v>
      </c>
      <c r="O213" s="1">
        <f>MEDIAN($B213)</f>
        <v>0</v>
      </c>
      <c r="P213" s="1">
        <f>MEDIAN($C213)</f>
        <v>0</v>
      </c>
      <c r="Q213" s="1">
        <f>MEDIAN($D213)</f>
        <v>0</v>
      </c>
      <c r="R213" s="1">
        <f>MEDIAN($E213)</f>
        <v>0</v>
      </c>
      <c r="S213" s="1">
        <f>MEDIAN($G213)</f>
        <v>0</v>
      </c>
      <c r="T213" s="1">
        <f>MEDIAN($H213)</f>
        <v>0</v>
      </c>
      <c r="U213" s="1">
        <f>MAX($B213)</f>
        <v>0</v>
      </c>
      <c r="V213" s="1">
        <f>MAX($C213)</f>
        <v>0</v>
      </c>
      <c r="W213" s="1">
        <f>MAX($D213)</f>
        <v>0</v>
      </c>
      <c r="X213" s="1">
        <f>MAX($E213)</f>
        <v>0</v>
      </c>
      <c r="Y213" s="1">
        <f>MAX($G213)</f>
        <v>0</v>
      </c>
      <c r="Z213" s="1">
        <f>MAX($H213)</f>
        <v>0</v>
      </c>
    </row>
    <row r="214" spans="1:26">
      <c r="A214" s="1" t="s">
        <v>211</v>
      </c>
      <c r="B214" s="1">
        <v>1</v>
      </c>
      <c r="C214" s="1">
        <v>0</v>
      </c>
      <c r="D214" s="1">
        <v>0</v>
      </c>
      <c r="E214" s="1">
        <v>3000</v>
      </c>
      <c r="F214" s="1" t="s">
        <v>374</v>
      </c>
      <c r="G214" s="1">
        <v>1500</v>
      </c>
      <c r="H214" s="1">
        <v>1</v>
      </c>
      <c r="I214" s="1">
        <f>MIN($B214)</f>
        <v>0</v>
      </c>
      <c r="J214" s="1">
        <f>MIN($C214)</f>
        <v>0</v>
      </c>
      <c r="K214" s="1">
        <f>MIN($D214)</f>
        <v>0</v>
      </c>
      <c r="L214" s="1">
        <f>MIN($E214)</f>
        <v>0</v>
      </c>
      <c r="M214" s="1">
        <f>MIN($G214)</f>
        <v>0</v>
      </c>
      <c r="N214" s="1">
        <f>MIN($H214)</f>
        <v>0</v>
      </c>
      <c r="O214" s="1">
        <f>MEDIAN($B214)</f>
        <v>0</v>
      </c>
      <c r="P214" s="1">
        <f>MEDIAN($C214)</f>
        <v>0</v>
      </c>
      <c r="Q214" s="1">
        <f>MEDIAN($D214)</f>
        <v>0</v>
      </c>
      <c r="R214" s="1">
        <f>MEDIAN($E214)</f>
        <v>0</v>
      </c>
      <c r="S214" s="1">
        <f>MEDIAN($G214)</f>
        <v>0</v>
      </c>
      <c r="T214" s="1">
        <f>MEDIAN($H214)</f>
        <v>0</v>
      </c>
      <c r="U214" s="1">
        <f>MAX($B214)</f>
        <v>0</v>
      </c>
      <c r="V214" s="1">
        <f>MAX($C214)</f>
        <v>0</v>
      </c>
      <c r="W214" s="1">
        <f>MAX($D214)</f>
        <v>0</v>
      </c>
      <c r="X214" s="1">
        <f>MAX($E214)</f>
        <v>0</v>
      </c>
      <c r="Y214" s="1">
        <f>MAX($G214)</f>
        <v>0</v>
      </c>
      <c r="Z214" s="1">
        <f>MAX($H214)</f>
        <v>0</v>
      </c>
    </row>
    <row r="215" spans="1:26">
      <c r="A215" s="1" t="s">
        <v>212</v>
      </c>
      <c r="B215" s="1">
        <v>1</v>
      </c>
      <c r="C215" s="1">
        <v>0</v>
      </c>
      <c r="D215" s="1">
        <v>0</v>
      </c>
      <c r="E215" s="1">
        <v>3000</v>
      </c>
      <c r="F215" s="1" t="s">
        <v>374</v>
      </c>
      <c r="G215" s="1">
        <v>1500</v>
      </c>
      <c r="H215" s="1">
        <v>1</v>
      </c>
      <c r="I215" s="1">
        <f>MIN($B215)</f>
        <v>0</v>
      </c>
      <c r="J215" s="1">
        <f>MIN($C215)</f>
        <v>0</v>
      </c>
      <c r="K215" s="1">
        <f>MIN($D215)</f>
        <v>0</v>
      </c>
      <c r="L215" s="1">
        <f>MIN($E215)</f>
        <v>0</v>
      </c>
      <c r="M215" s="1">
        <f>MIN($G215)</f>
        <v>0</v>
      </c>
      <c r="N215" s="1">
        <f>MIN($H215)</f>
        <v>0</v>
      </c>
      <c r="O215" s="1">
        <f>MEDIAN($B215)</f>
        <v>0</v>
      </c>
      <c r="P215" s="1">
        <f>MEDIAN($C215)</f>
        <v>0</v>
      </c>
      <c r="Q215" s="1">
        <f>MEDIAN($D215)</f>
        <v>0</v>
      </c>
      <c r="R215" s="1">
        <f>MEDIAN($E215)</f>
        <v>0</v>
      </c>
      <c r="S215" s="1">
        <f>MEDIAN($G215)</f>
        <v>0</v>
      </c>
      <c r="T215" s="1">
        <f>MEDIAN($H215)</f>
        <v>0</v>
      </c>
      <c r="U215" s="1">
        <f>MAX($B215)</f>
        <v>0</v>
      </c>
      <c r="V215" s="1">
        <f>MAX($C215)</f>
        <v>0</v>
      </c>
      <c r="W215" s="1">
        <f>MAX($D215)</f>
        <v>0</v>
      </c>
      <c r="X215" s="1">
        <f>MAX($E215)</f>
        <v>0</v>
      </c>
      <c r="Y215" s="1">
        <f>MAX($G215)</f>
        <v>0</v>
      </c>
      <c r="Z215" s="1">
        <f>MAX($H215)</f>
        <v>0</v>
      </c>
    </row>
    <row r="216" spans="1:26">
      <c r="A216" s="1" t="s">
        <v>213</v>
      </c>
      <c r="B216" s="1">
        <v>1</v>
      </c>
      <c r="C216" s="1">
        <v>0</v>
      </c>
      <c r="D216" s="1">
        <v>0</v>
      </c>
      <c r="E216" s="1">
        <v>3000</v>
      </c>
      <c r="F216" s="1" t="s">
        <v>374</v>
      </c>
      <c r="G216" s="1">
        <v>1500</v>
      </c>
      <c r="H216" s="1">
        <v>1</v>
      </c>
      <c r="I216" s="1">
        <f>MIN($B216)</f>
        <v>0</v>
      </c>
      <c r="J216" s="1">
        <f>MIN($C216)</f>
        <v>0</v>
      </c>
      <c r="K216" s="1">
        <f>MIN($D216)</f>
        <v>0</v>
      </c>
      <c r="L216" s="1">
        <f>MIN($E216)</f>
        <v>0</v>
      </c>
      <c r="M216" s="1">
        <f>MIN($G216)</f>
        <v>0</v>
      </c>
      <c r="N216" s="1">
        <f>MIN($H216)</f>
        <v>0</v>
      </c>
      <c r="O216" s="1">
        <f>MEDIAN($B216)</f>
        <v>0</v>
      </c>
      <c r="P216" s="1">
        <f>MEDIAN($C216)</f>
        <v>0</v>
      </c>
      <c r="Q216" s="1">
        <f>MEDIAN($D216)</f>
        <v>0</v>
      </c>
      <c r="R216" s="1">
        <f>MEDIAN($E216)</f>
        <v>0</v>
      </c>
      <c r="S216" s="1">
        <f>MEDIAN($G216)</f>
        <v>0</v>
      </c>
      <c r="T216" s="1">
        <f>MEDIAN($H216)</f>
        <v>0</v>
      </c>
      <c r="U216" s="1">
        <f>MAX($B216)</f>
        <v>0</v>
      </c>
      <c r="V216" s="1">
        <f>MAX($C216)</f>
        <v>0</v>
      </c>
      <c r="W216" s="1">
        <f>MAX($D216)</f>
        <v>0</v>
      </c>
      <c r="X216" s="1">
        <f>MAX($E216)</f>
        <v>0</v>
      </c>
      <c r="Y216" s="1">
        <f>MAX($G216)</f>
        <v>0</v>
      </c>
      <c r="Z216" s="1">
        <f>MAX($H216)</f>
        <v>0</v>
      </c>
    </row>
    <row r="217" spans="1:26">
      <c r="A217" s="1" t="s">
        <v>214</v>
      </c>
      <c r="B217" s="1">
        <v>1</v>
      </c>
      <c r="C217" s="1">
        <v>0</v>
      </c>
      <c r="D217" s="1">
        <v>0</v>
      </c>
      <c r="E217" s="1">
        <v>3000</v>
      </c>
      <c r="F217" s="1" t="s">
        <v>374</v>
      </c>
      <c r="G217" s="1">
        <v>1500</v>
      </c>
      <c r="H217" s="1">
        <v>1</v>
      </c>
      <c r="I217" s="1">
        <f>MIN($B217)</f>
        <v>0</v>
      </c>
      <c r="J217" s="1">
        <f>MIN($C217)</f>
        <v>0</v>
      </c>
      <c r="K217" s="1">
        <f>MIN($D217)</f>
        <v>0</v>
      </c>
      <c r="L217" s="1">
        <f>MIN($E217)</f>
        <v>0</v>
      </c>
      <c r="M217" s="1">
        <f>MIN($G217)</f>
        <v>0</v>
      </c>
      <c r="N217" s="1">
        <f>MIN($H217)</f>
        <v>0</v>
      </c>
      <c r="O217" s="1">
        <f>MEDIAN($B217)</f>
        <v>0</v>
      </c>
      <c r="P217" s="1">
        <f>MEDIAN($C217)</f>
        <v>0</v>
      </c>
      <c r="Q217" s="1">
        <f>MEDIAN($D217)</f>
        <v>0</v>
      </c>
      <c r="R217" s="1">
        <f>MEDIAN($E217)</f>
        <v>0</v>
      </c>
      <c r="S217" s="1">
        <f>MEDIAN($G217)</f>
        <v>0</v>
      </c>
      <c r="T217" s="1">
        <f>MEDIAN($H217)</f>
        <v>0</v>
      </c>
      <c r="U217" s="1">
        <f>MAX($B217)</f>
        <v>0</v>
      </c>
      <c r="V217" s="1">
        <f>MAX($C217)</f>
        <v>0</v>
      </c>
      <c r="W217" s="1">
        <f>MAX($D217)</f>
        <v>0</v>
      </c>
      <c r="X217" s="1">
        <f>MAX($E217)</f>
        <v>0</v>
      </c>
      <c r="Y217" s="1">
        <f>MAX($G217)</f>
        <v>0</v>
      </c>
      <c r="Z217" s="1">
        <f>MAX($H217)</f>
        <v>0</v>
      </c>
    </row>
    <row r="218" spans="1:26">
      <c r="A218" s="1" t="s">
        <v>215</v>
      </c>
      <c r="B218" s="1">
        <v>1</v>
      </c>
      <c r="C218" s="1">
        <v>0</v>
      </c>
      <c r="D218" s="1">
        <v>0</v>
      </c>
      <c r="E218" s="1">
        <v>3000</v>
      </c>
      <c r="F218" s="1" t="s">
        <v>374</v>
      </c>
      <c r="G218" s="1">
        <v>1500</v>
      </c>
      <c r="H218" s="1">
        <v>1</v>
      </c>
      <c r="I218" s="1">
        <f>MIN($B218)</f>
        <v>0</v>
      </c>
      <c r="J218" s="1">
        <f>MIN($C218)</f>
        <v>0</v>
      </c>
      <c r="K218" s="1">
        <f>MIN($D218)</f>
        <v>0</v>
      </c>
      <c r="L218" s="1">
        <f>MIN($E218)</f>
        <v>0</v>
      </c>
      <c r="M218" s="1">
        <f>MIN($G218)</f>
        <v>0</v>
      </c>
      <c r="N218" s="1">
        <f>MIN($H218)</f>
        <v>0</v>
      </c>
      <c r="O218" s="1">
        <f>MEDIAN($B218)</f>
        <v>0</v>
      </c>
      <c r="P218" s="1">
        <f>MEDIAN($C218)</f>
        <v>0</v>
      </c>
      <c r="Q218" s="1">
        <f>MEDIAN($D218)</f>
        <v>0</v>
      </c>
      <c r="R218" s="1">
        <f>MEDIAN($E218)</f>
        <v>0</v>
      </c>
      <c r="S218" s="1">
        <f>MEDIAN($G218)</f>
        <v>0</v>
      </c>
      <c r="T218" s="1">
        <f>MEDIAN($H218)</f>
        <v>0</v>
      </c>
      <c r="U218" s="1">
        <f>MAX($B218)</f>
        <v>0</v>
      </c>
      <c r="V218" s="1">
        <f>MAX($C218)</f>
        <v>0</v>
      </c>
      <c r="W218" s="1">
        <f>MAX($D218)</f>
        <v>0</v>
      </c>
      <c r="X218" s="1">
        <f>MAX($E218)</f>
        <v>0</v>
      </c>
      <c r="Y218" s="1">
        <f>MAX($G218)</f>
        <v>0</v>
      </c>
      <c r="Z218" s="1">
        <f>MAX($H218)</f>
        <v>0</v>
      </c>
    </row>
    <row r="219" spans="1:26">
      <c r="A219" s="1" t="s">
        <v>216</v>
      </c>
      <c r="B219" s="1">
        <v>1</v>
      </c>
      <c r="C219" s="1">
        <v>0</v>
      </c>
      <c r="D219" s="1">
        <v>0</v>
      </c>
      <c r="E219" s="1">
        <v>3000</v>
      </c>
      <c r="F219" s="1" t="s">
        <v>374</v>
      </c>
      <c r="G219" s="1">
        <v>1500</v>
      </c>
      <c r="H219" s="1">
        <v>1</v>
      </c>
      <c r="I219" s="1">
        <f>MIN($B219)</f>
        <v>0</v>
      </c>
      <c r="J219" s="1">
        <f>MIN($C219)</f>
        <v>0</v>
      </c>
      <c r="K219" s="1">
        <f>MIN($D219)</f>
        <v>0</v>
      </c>
      <c r="L219" s="1">
        <f>MIN($E219)</f>
        <v>0</v>
      </c>
      <c r="M219" s="1">
        <f>MIN($G219)</f>
        <v>0</v>
      </c>
      <c r="N219" s="1">
        <f>MIN($H219)</f>
        <v>0</v>
      </c>
      <c r="O219" s="1">
        <f>MEDIAN($B219)</f>
        <v>0</v>
      </c>
      <c r="P219" s="1">
        <f>MEDIAN($C219)</f>
        <v>0</v>
      </c>
      <c r="Q219" s="1">
        <f>MEDIAN($D219)</f>
        <v>0</v>
      </c>
      <c r="R219" s="1">
        <f>MEDIAN($E219)</f>
        <v>0</v>
      </c>
      <c r="S219" s="1">
        <f>MEDIAN($G219)</f>
        <v>0</v>
      </c>
      <c r="T219" s="1">
        <f>MEDIAN($H219)</f>
        <v>0</v>
      </c>
      <c r="U219" s="1">
        <f>MAX($B219)</f>
        <v>0</v>
      </c>
      <c r="V219" s="1">
        <f>MAX($C219)</f>
        <v>0</v>
      </c>
      <c r="W219" s="1">
        <f>MAX($D219)</f>
        <v>0</v>
      </c>
      <c r="X219" s="1">
        <f>MAX($E219)</f>
        <v>0</v>
      </c>
      <c r="Y219" s="1">
        <f>MAX($G219)</f>
        <v>0</v>
      </c>
      <c r="Z219" s="1">
        <f>MAX($H219)</f>
        <v>0</v>
      </c>
    </row>
    <row r="220" spans="1:26">
      <c r="A220" s="1" t="s">
        <v>217</v>
      </c>
      <c r="B220" s="1">
        <v>1</v>
      </c>
      <c r="C220" s="1">
        <v>0</v>
      </c>
      <c r="D220" s="1">
        <v>0</v>
      </c>
      <c r="E220" s="1">
        <v>3000</v>
      </c>
      <c r="F220" s="1" t="s">
        <v>374</v>
      </c>
      <c r="G220" s="1">
        <v>1500</v>
      </c>
      <c r="H220" s="1">
        <v>1</v>
      </c>
      <c r="I220" s="1">
        <f>MIN($B220)</f>
        <v>0</v>
      </c>
      <c r="J220" s="1">
        <f>MIN($C220)</f>
        <v>0</v>
      </c>
      <c r="K220" s="1">
        <f>MIN($D220)</f>
        <v>0</v>
      </c>
      <c r="L220" s="1">
        <f>MIN($E220)</f>
        <v>0</v>
      </c>
      <c r="M220" s="1">
        <f>MIN($G220)</f>
        <v>0</v>
      </c>
      <c r="N220" s="1">
        <f>MIN($H220)</f>
        <v>0</v>
      </c>
      <c r="O220" s="1">
        <f>MEDIAN($B220)</f>
        <v>0</v>
      </c>
      <c r="P220" s="1">
        <f>MEDIAN($C220)</f>
        <v>0</v>
      </c>
      <c r="Q220" s="1">
        <f>MEDIAN($D220)</f>
        <v>0</v>
      </c>
      <c r="R220" s="1">
        <f>MEDIAN($E220)</f>
        <v>0</v>
      </c>
      <c r="S220" s="1">
        <f>MEDIAN($G220)</f>
        <v>0</v>
      </c>
      <c r="T220" s="1">
        <f>MEDIAN($H220)</f>
        <v>0</v>
      </c>
      <c r="U220" s="1">
        <f>MAX($B220)</f>
        <v>0</v>
      </c>
      <c r="V220" s="1">
        <f>MAX($C220)</f>
        <v>0</v>
      </c>
      <c r="W220" s="1">
        <f>MAX($D220)</f>
        <v>0</v>
      </c>
      <c r="X220" s="1">
        <f>MAX($E220)</f>
        <v>0</v>
      </c>
      <c r="Y220" s="1">
        <f>MAX($G220)</f>
        <v>0</v>
      </c>
      <c r="Z220" s="1">
        <f>MAX($H220)</f>
        <v>0</v>
      </c>
    </row>
    <row r="221" spans="1:26">
      <c r="A221" s="1" t="s">
        <v>218</v>
      </c>
      <c r="B221" s="1">
        <v>1</v>
      </c>
      <c r="C221" s="1">
        <v>0</v>
      </c>
      <c r="D221" s="1">
        <v>0</v>
      </c>
      <c r="E221" s="1">
        <v>3000</v>
      </c>
      <c r="F221" s="1" t="s">
        <v>374</v>
      </c>
      <c r="G221" s="1">
        <v>1500</v>
      </c>
      <c r="H221" s="1">
        <v>1</v>
      </c>
      <c r="I221" s="1">
        <f>MIN($B221)</f>
        <v>0</v>
      </c>
      <c r="J221" s="1">
        <f>MIN($C221)</f>
        <v>0</v>
      </c>
      <c r="K221" s="1">
        <f>MIN($D221)</f>
        <v>0</v>
      </c>
      <c r="L221" s="1">
        <f>MIN($E221)</f>
        <v>0</v>
      </c>
      <c r="M221" s="1">
        <f>MIN($G221)</f>
        <v>0</v>
      </c>
      <c r="N221" s="1">
        <f>MIN($H221)</f>
        <v>0</v>
      </c>
      <c r="O221" s="1">
        <f>MEDIAN($B221)</f>
        <v>0</v>
      </c>
      <c r="P221" s="1">
        <f>MEDIAN($C221)</f>
        <v>0</v>
      </c>
      <c r="Q221" s="1">
        <f>MEDIAN($D221)</f>
        <v>0</v>
      </c>
      <c r="R221" s="1">
        <f>MEDIAN($E221)</f>
        <v>0</v>
      </c>
      <c r="S221" s="1">
        <f>MEDIAN($G221)</f>
        <v>0</v>
      </c>
      <c r="T221" s="1">
        <f>MEDIAN($H221)</f>
        <v>0</v>
      </c>
      <c r="U221" s="1">
        <f>MAX($B221)</f>
        <v>0</v>
      </c>
      <c r="V221" s="1">
        <f>MAX($C221)</f>
        <v>0</v>
      </c>
      <c r="W221" s="1">
        <f>MAX($D221)</f>
        <v>0</v>
      </c>
      <c r="X221" s="1">
        <f>MAX($E221)</f>
        <v>0</v>
      </c>
      <c r="Y221" s="1">
        <f>MAX($G221)</f>
        <v>0</v>
      </c>
      <c r="Z221" s="1">
        <f>MAX($H221)</f>
        <v>0</v>
      </c>
    </row>
    <row r="222" spans="1:26">
      <c r="A222" s="1" t="s">
        <v>219</v>
      </c>
      <c r="B222" s="1">
        <v>1</v>
      </c>
      <c r="C222" s="1">
        <v>0</v>
      </c>
      <c r="D222" s="1">
        <v>0</v>
      </c>
      <c r="E222" s="1">
        <v>3000</v>
      </c>
      <c r="F222" s="1" t="s">
        <v>374</v>
      </c>
      <c r="G222" s="1">
        <v>1500</v>
      </c>
      <c r="H222" s="1">
        <v>1</v>
      </c>
      <c r="I222" s="1">
        <f>MIN($B222)</f>
        <v>0</v>
      </c>
      <c r="J222" s="1">
        <f>MIN($C222)</f>
        <v>0</v>
      </c>
      <c r="K222" s="1">
        <f>MIN($D222)</f>
        <v>0</v>
      </c>
      <c r="L222" s="1">
        <f>MIN($E222)</f>
        <v>0</v>
      </c>
      <c r="M222" s="1">
        <f>MIN($G222)</f>
        <v>0</v>
      </c>
      <c r="N222" s="1">
        <f>MIN($H222)</f>
        <v>0</v>
      </c>
      <c r="O222" s="1">
        <f>MEDIAN($B222)</f>
        <v>0</v>
      </c>
      <c r="P222" s="1">
        <f>MEDIAN($C222)</f>
        <v>0</v>
      </c>
      <c r="Q222" s="1">
        <f>MEDIAN($D222)</f>
        <v>0</v>
      </c>
      <c r="R222" s="1">
        <f>MEDIAN($E222)</f>
        <v>0</v>
      </c>
      <c r="S222" s="1">
        <f>MEDIAN($G222)</f>
        <v>0</v>
      </c>
      <c r="T222" s="1">
        <f>MEDIAN($H222)</f>
        <v>0</v>
      </c>
      <c r="U222" s="1">
        <f>MAX($B222)</f>
        <v>0</v>
      </c>
      <c r="V222" s="1">
        <f>MAX($C222)</f>
        <v>0</v>
      </c>
      <c r="W222" s="1">
        <f>MAX($D222)</f>
        <v>0</v>
      </c>
      <c r="X222" s="1">
        <f>MAX($E222)</f>
        <v>0</v>
      </c>
      <c r="Y222" s="1">
        <f>MAX($G222)</f>
        <v>0</v>
      </c>
      <c r="Z222" s="1">
        <f>MAX($H222)</f>
        <v>0</v>
      </c>
    </row>
    <row r="223" spans="1:26">
      <c r="A223" s="1" t="s">
        <v>220</v>
      </c>
      <c r="B223" s="1">
        <v>1</v>
      </c>
      <c r="C223" s="1">
        <v>0</v>
      </c>
      <c r="D223" s="1">
        <v>0</v>
      </c>
      <c r="E223" s="1">
        <v>3000</v>
      </c>
      <c r="F223" s="1" t="s">
        <v>374</v>
      </c>
      <c r="G223" s="1">
        <v>1500</v>
      </c>
      <c r="H223" s="1">
        <v>1</v>
      </c>
      <c r="I223" s="1">
        <f>MIN($B223)</f>
        <v>0</v>
      </c>
      <c r="J223" s="1">
        <f>MIN($C223)</f>
        <v>0</v>
      </c>
      <c r="K223" s="1">
        <f>MIN($D223)</f>
        <v>0</v>
      </c>
      <c r="L223" s="1">
        <f>MIN($E223)</f>
        <v>0</v>
      </c>
      <c r="M223" s="1">
        <f>MIN($G223)</f>
        <v>0</v>
      </c>
      <c r="N223" s="1">
        <f>MIN($H223)</f>
        <v>0</v>
      </c>
      <c r="O223" s="1">
        <f>MEDIAN($B223)</f>
        <v>0</v>
      </c>
      <c r="P223" s="1">
        <f>MEDIAN($C223)</f>
        <v>0</v>
      </c>
      <c r="Q223" s="1">
        <f>MEDIAN($D223)</f>
        <v>0</v>
      </c>
      <c r="R223" s="1">
        <f>MEDIAN($E223)</f>
        <v>0</v>
      </c>
      <c r="S223" s="1">
        <f>MEDIAN($G223)</f>
        <v>0</v>
      </c>
      <c r="T223" s="1">
        <f>MEDIAN($H223)</f>
        <v>0</v>
      </c>
      <c r="U223" s="1">
        <f>MAX($B223)</f>
        <v>0</v>
      </c>
      <c r="V223" s="1">
        <f>MAX($C223)</f>
        <v>0</v>
      </c>
      <c r="W223" s="1">
        <f>MAX($D223)</f>
        <v>0</v>
      </c>
      <c r="X223" s="1">
        <f>MAX($E223)</f>
        <v>0</v>
      </c>
      <c r="Y223" s="1">
        <f>MAX($G223)</f>
        <v>0</v>
      </c>
      <c r="Z223" s="1">
        <f>MAX($H223)</f>
        <v>0</v>
      </c>
    </row>
    <row r="224" spans="1:26">
      <c r="A224" s="1" t="s">
        <v>221</v>
      </c>
      <c r="B224" s="1">
        <v>1</v>
      </c>
      <c r="C224" s="1">
        <v>0</v>
      </c>
      <c r="D224" s="1">
        <v>0</v>
      </c>
      <c r="E224" s="1">
        <v>3000</v>
      </c>
      <c r="F224" s="1" t="s">
        <v>374</v>
      </c>
      <c r="G224" s="1">
        <v>1500</v>
      </c>
      <c r="H224" s="1">
        <v>1</v>
      </c>
      <c r="I224" s="1">
        <f>MIN($B224)</f>
        <v>0</v>
      </c>
      <c r="J224" s="1">
        <f>MIN($C224)</f>
        <v>0</v>
      </c>
      <c r="K224" s="1">
        <f>MIN($D224)</f>
        <v>0</v>
      </c>
      <c r="L224" s="1">
        <f>MIN($E224)</f>
        <v>0</v>
      </c>
      <c r="M224" s="1">
        <f>MIN($G224)</f>
        <v>0</v>
      </c>
      <c r="N224" s="1">
        <f>MIN($H224)</f>
        <v>0</v>
      </c>
      <c r="O224" s="1">
        <f>MEDIAN($B224)</f>
        <v>0</v>
      </c>
      <c r="P224" s="1">
        <f>MEDIAN($C224)</f>
        <v>0</v>
      </c>
      <c r="Q224" s="1">
        <f>MEDIAN($D224)</f>
        <v>0</v>
      </c>
      <c r="R224" s="1">
        <f>MEDIAN($E224)</f>
        <v>0</v>
      </c>
      <c r="S224" s="1">
        <f>MEDIAN($G224)</f>
        <v>0</v>
      </c>
      <c r="T224" s="1">
        <f>MEDIAN($H224)</f>
        <v>0</v>
      </c>
      <c r="U224" s="1">
        <f>MAX($B224)</f>
        <v>0</v>
      </c>
      <c r="V224" s="1">
        <f>MAX($C224)</f>
        <v>0</v>
      </c>
      <c r="W224" s="1">
        <f>MAX($D224)</f>
        <v>0</v>
      </c>
      <c r="X224" s="1">
        <f>MAX($E224)</f>
        <v>0</v>
      </c>
      <c r="Y224" s="1">
        <f>MAX($G224)</f>
        <v>0</v>
      </c>
      <c r="Z224" s="1">
        <f>MAX($H224)</f>
        <v>0</v>
      </c>
    </row>
    <row r="225" spans="1:26">
      <c r="A225" s="1" t="s">
        <v>222</v>
      </c>
      <c r="B225" s="1">
        <v>1</v>
      </c>
      <c r="C225" s="1">
        <v>0</v>
      </c>
      <c r="D225" s="1">
        <v>0</v>
      </c>
      <c r="E225" s="1">
        <v>3000</v>
      </c>
      <c r="F225" s="1" t="s">
        <v>374</v>
      </c>
      <c r="G225" s="1">
        <v>1500</v>
      </c>
      <c r="H225" s="1">
        <v>1</v>
      </c>
      <c r="I225" s="1">
        <f>MIN($B225)</f>
        <v>0</v>
      </c>
      <c r="J225" s="1">
        <f>MIN($C225)</f>
        <v>0</v>
      </c>
      <c r="K225" s="1">
        <f>MIN($D225)</f>
        <v>0</v>
      </c>
      <c r="L225" s="1">
        <f>MIN($E225)</f>
        <v>0</v>
      </c>
      <c r="M225" s="1">
        <f>MIN($G225)</f>
        <v>0</v>
      </c>
      <c r="N225" s="1">
        <f>MIN($H225)</f>
        <v>0</v>
      </c>
      <c r="O225" s="1">
        <f>MEDIAN($B225)</f>
        <v>0</v>
      </c>
      <c r="P225" s="1">
        <f>MEDIAN($C225)</f>
        <v>0</v>
      </c>
      <c r="Q225" s="1">
        <f>MEDIAN($D225)</f>
        <v>0</v>
      </c>
      <c r="R225" s="1">
        <f>MEDIAN($E225)</f>
        <v>0</v>
      </c>
      <c r="S225" s="1">
        <f>MEDIAN($G225)</f>
        <v>0</v>
      </c>
      <c r="T225" s="1">
        <f>MEDIAN($H225)</f>
        <v>0</v>
      </c>
      <c r="U225" s="1">
        <f>MAX($B225)</f>
        <v>0</v>
      </c>
      <c r="V225" s="1">
        <f>MAX($C225)</f>
        <v>0</v>
      </c>
      <c r="W225" s="1">
        <f>MAX($D225)</f>
        <v>0</v>
      </c>
      <c r="X225" s="1">
        <f>MAX($E225)</f>
        <v>0</v>
      </c>
      <c r="Y225" s="1">
        <f>MAX($G225)</f>
        <v>0</v>
      </c>
      <c r="Z225" s="1">
        <f>MAX($H225)</f>
        <v>0</v>
      </c>
    </row>
    <row r="226" spans="1:26">
      <c r="A226" s="1" t="s">
        <v>223</v>
      </c>
      <c r="B226" s="1">
        <v>1</v>
      </c>
      <c r="C226" s="1">
        <v>0</v>
      </c>
      <c r="D226" s="1">
        <v>0</v>
      </c>
      <c r="E226" s="1">
        <v>3000</v>
      </c>
      <c r="F226" s="1" t="s">
        <v>374</v>
      </c>
      <c r="G226" s="1">
        <v>1500</v>
      </c>
      <c r="H226" s="1">
        <v>1</v>
      </c>
      <c r="I226" s="1">
        <f>MIN($B226)</f>
        <v>0</v>
      </c>
      <c r="J226" s="1">
        <f>MIN($C226)</f>
        <v>0</v>
      </c>
      <c r="K226" s="1">
        <f>MIN($D226)</f>
        <v>0</v>
      </c>
      <c r="L226" s="1">
        <f>MIN($E226)</f>
        <v>0</v>
      </c>
      <c r="M226" s="1">
        <f>MIN($G226)</f>
        <v>0</v>
      </c>
      <c r="N226" s="1">
        <f>MIN($H226)</f>
        <v>0</v>
      </c>
      <c r="O226" s="1">
        <f>MEDIAN($B226)</f>
        <v>0</v>
      </c>
      <c r="P226" s="1">
        <f>MEDIAN($C226)</f>
        <v>0</v>
      </c>
      <c r="Q226" s="1">
        <f>MEDIAN($D226)</f>
        <v>0</v>
      </c>
      <c r="R226" s="1">
        <f>MEDIAN($E226)</f>
        <v>0</v>
      </c>
      <c r="S226" s="1">
        <f>MEDIAN($G226)</f>
        <v>0</v>
      </c>
      <c r="T226" s="1">
        <f>MEDIAN($H226)</f>
        <v>0</v>
      </c>
      <c r="U226" s="1">
        <f>MAX($B226)</f>
        <v>0</v>
      </c>
      <c r="V226" s="1">
        <f>MAX($C226)</f>
        <v>0</v>
      </c>
      <c r="W226" s="1">
        <f>MAX($D226)</f>
        <v>0</v>
      </c>
      <c r="X226" s="1">
        <f>MAX($E226)</f>
        <v>0</v>
      </c>
      <c r="Y226" s="1">
        <f>MAX($G226)</f>
        <v>0</v>
      </c>
      <c r="Z226" s="1">
        <f>MAX($H226)</f>
        <v>0</v>
      </c>
    </row>
    <row r="227" spans="1:26">
      <c r="A227" s="1" t="s">
        <v>224</v>
      </c>
      <c r="B227" s="1">
        <v>1</v>
      </c>
      <c r="C227" s="1">
        <v>0</v>
      </c>
      <c r="D227" s="1">
        <v>0</v>
      </c>
      <c r="E227" s="1">
        <v>3000</v>
      </c>
      <c r="F227" s="1" t="s">
        <v>374</v>
      </c>
      <c r="G227" s="1">
        <v>1500</v>
      </c>
      <c r="H227" s="1">
        <v>1</v>
      </c>
      <c r="I227" s="1">
        <f>MIN($B227)</f>
        <v>0</v>
      </c>
      <c r="J227" s="1">
        <f>MIN($C227)</f>
        <v>0</v>
      </c>
      <c r="K227" s="1">
        <f>MIN($D227)</f>
        <v>0</v>
      </c>
      <c r="L227" s="1">
        <f>MIN($E227)</f>
        <v>0</v>
      </c>
      <c r="M227" s="1">
        <f>MIN($G227)</f>
        <v>0</v>
      </c>
      <c r="N227" s="1">
        <f>MIN($H227)</f>
        <v>0</v>
      </c>
      <c r="O227" s="1">
        <f>MEDIAN($B227)</f>
        <v>0</v>
      </c>
      <c r="P227" s="1">
        <f>MEDIAN($C227)</f>
        <v>0</v>
      </c>
      <c r="Q227" s="1">
        <f>MEDIAN($D227)</f>
        <v>0</v>
      </c>
      <c r="R227" s="1">
        <f>MEDIAN($E227)</f>
        <v>0</v>
      </c>
      <c r="S227" s="1">
        <f>MEDIAN($G227)</f>
        <v>0</v>
      </c>
      <c r="T227" s="1">
        <f>MEDIAN($H227)</f>
        <v>0</v>
      </c>
      <c r="U227" s="1">
        <f>MAX($B227)</f>
        <v>0</v>
      </c>
      <c r="V227" s="1">
        <f>MAX($C227)</f>
        <v>0</v>
      </c>
      <c r="W227" s="1">
        <f>MAX($D227)</f>
        <v>0</v>
      </c>
      <c r="X227" s="1">
        <f>MAX($E227)</f>
        <v>0</v>
      </c>
      <c r="Y227" s="1">
        <f>MAX($G227)</f>
        <v>0</v>
      </c>
      <c r="Z227" s="1">
        <f>MAX($H227)</f>
        <v>0</v>
      </c>
    </row>
    <row r="228" spans="1:26">
      <c r="A228" s="1" t="s">
        <v>225</v>
      </c>
      <c r="B228" s="1">
        <v>1</v>
      </c>
      <c r="C228" s="1">
        <v>0</v>
      </c>
      <c r="D228" s="1">
        <v>0</v>
      </c>
      <c r="E228" s="1">
        <v>3000</v>
      </c>
      <c r="F228" s="1" t="s">
        <v>374</v>
      </c>
      <c r="G228" s="1">
        <v>1500</v>
      </c>
      <c r="H228" s="1">
        <v>1</v>
      </c>
      <c r="I228" s="1">
        <f>MIN($B228)</f>
        <v>0</v>
      </c>
      <c r="J228" s="1">
        <f>MIN($C228)</f>
        <v>0</v>
      </c>
      <c r="K228" s="1">
        <f>MIN($D228)</f>
        <v>0</v>
      </c>
      <c r="L228" s="1">
        <f>MIN($E228)</f>
        <v>0</v>
      </c>
      <c r="M228" s="1">
        <f>MIN($G228)</f>
        <v>0</v>
      </c>
      <c r="N228" s="1">
        <f>MIN($H228)</f>
        <v>0</v>
      </c>
      <c r="O228" s="1">
        <f>MEDIAN($B228)</f>
        <v>0</v>
      </c>
      <c r="P228" s="1">
        <f>MEDIAN($C228)</f>
        <v>0</v>
      </c>
      <c r="Q228" s="1">
        <f>MEDIAN($D228)</f>
        <v>0</v>
      </c>
      <c r="R228" s="1">
        <f>MEDIAN($E228)</f>
        <v>0</v>
      </c>
      <c r="S228" s="1">
        <f>MEDIAN($G228)</f>
        <v>0</v>
      </c>
      <c r="T228" s="1">
        <f>MEDIAN($H228)</f>
        <v>0</v>
      </c>
      <c r="U228" s="1">
        <f>MAX($B228)</f>
        <v>0</v>
      </c>
      <c r="V228" s="1">
        <f>MAX($C228)</f>
        <v>0</v>
      </c>
      <c r="W228" s="1">
        <f>MAX($D228)</f>
        <v>0</v>
      </c>
      <c r="X228" s="1">
        <f>MAX($E228)</f>
        <v>0</v>
      </c>
      <c r="Y228" s="1">
        <f>MAX($G228)</f>
        <v>0</v>
      </c>
      <c r="Z228" s="1">
        <f>MAX($H228)</f>
        <v>0</v>
      </c>
    </row>
    <row r="229" spans="1:26">
      <c r="A229" s="1" t="s">
        <v>226</v>
      </c>
      <c r="B229" s="1">
        <v>1</v>
      </c>
      <c r="C229" s="1">
        <v>0</v>
      </c>
      <c r="D229" s="1">
        <v>0</v>
      </c>
      <c r="E229" s="1">
        <v>3000</v>
      </c>
      <c r="F229" s="1" t="s">
        <v>374</v>
      </c>
      <c r="G229" s="1">
        <v>1500</v>
      </c>
      <c r="H229" s="1">
        <v>1</v>
      </c>
      <c r="I229" s="1">
        <f>MIN($B229)</f>
        <v>0</v>
      </c>
      <c r="J229" s="1">
        <f>MIN($C229)</f>
        <v>0</v>
      </c>
      <c r="K229" s="1">
        <f>MIN($D229)</f>
        <v>0</v>
      </c>
      <c r="L229" s="1">
        <f>MIN($E229)</f>
        <v>0</v>
      </c>
      <c r="M229" s="1">
        <f>MIN($G229)</f>
        <v>0</v>
      </c>
      <c r="N229" s="1">
        <f>MIN($H229)</f>
        <v>0</v>
      </c>
      <c r="O229" s="1">
        <f>MEDIAN($B229)</f>
        <v>0</v>
      </c>
      <c r="P229" s="1">
        <f>MEDIAN($C229)</f>
        <v>0</v>
      </c>
      <c r="Q229" s="1">
        <f>MEDIAN($D229)</f>
        <v>0</v>
      </c>
      <c r="R229" s="1">
        <f>MEDIAN($E229)</f>
        <v>0</v>
      </c>
      <c r="S229" s="1">
        <f>MEDIAN($G229)</f>
        <v>0</v>
      </c>
      <c r="T229" s="1">
        <f>MEDIAN($H229)</f>
        <v>0</v>
      </c>
      <c r="U229" s="1">
        <f>MAX($B229)</f>
        <v>0</v>
      </c>
      <c r="V229" s="1">
        <f>MAX($C229)</f>
        <v>0</v>
      </c>
      <c r="W229" s="1">
        <f>MAX($D229)</f>
        <v>0</v>
      </c>
      <c r="X229" s="1">
        <f>MAX($E229)</f>
        <v>0</v>
      </c>
      <c r="Y229" s="1">
        <f>MAX($G229)</f>
        <v>0</v>
      </c>
      <c r="Z229" s="1">
        <f>MAX($H229)</f>
        <v>0</v>
      </c>
    </row>
    <row r="230" spans="1:26">
      <c r="A230" s="1" t="s">
        <v>227</v>
      </c>
      <c r="B230" s="1">
        <v>1</v>
      </c>
      <c r="C230" s="1">
        <v>0</v>
      </c>
      <c r="D230" s="1">
        <v>0</v>
      </c>
      <c r="E230" s="1">
        <v>3000</v>
      </c>
      <c r="F230" s="1" t="s">
        <v>374</v>
      </c>
      <c r="G230" s="1">
        <v>1500</v>
      </c>
      <c r="H230" s="1">
        <v>1</v>
      </c>
      <c r="I230" s="1">
        <f>MIN($B230)</f>
        <v>0</v>
      </c>
      <c r="J230" s="1">
        <f>MIN($C230)</f>
        <v>0</v>
      </c>
      <c r="K230" s="1">
        <f>MIN($D230)</f>
        <v>0</v>
      </c>
      <c r="L230" s="1">
        <f>MIN($E230)</f>
        <v>0</v>
      </c>
      <c r="M230" s="1">
        <f>MIN($G230)</f>
        <v>0</v>
      </c>
      <c r="N230" s="1">
        <f>MIN($H230)</f>
        <v>0</v>
      </c>
      <c r="O230" s="1">
        <f>MEDIAN($B230)</f>
        <v>0</v>
      </c>
      <c r="P230" s="1">
        <f>MEDIAN($C230)</f>
        <v>0</v>
      </c>
      <c r="Q230" s="1">
        <f>MEDIAN($D230)</f>
        <v>0</v>
      </c>
      <c r="R230" s="1">
        <f>MEDIAN($E230)</f>
        <v>0</v>
      </c>
      <c r="S230" s="1">
        <f>MEDIAN($G230)</f>
        <v>0</v>
      </c>
      <c r="T230" s="1">
        <f>MEDIAN($H230)</f>
        <v>0</v>
      </c>
      <c r="U230" s="1">
        <f>MAX($B230)</f>
        <v>0</v>
      </c>
      <c r="V230" s="1">
        <f>MAX($C230)</f>
        <v>0</v>
      </c>
      <c r="W230" s="1">
        <f>MAX($D230)</f>
        <v>0</v>
      </c>
      <c r="X230" s="1">
        <f>MAX($E230)</f>
        <v>0</v>
      </c>
      <c r="Y230" s="1">
        <f>MAX($G230)</f>
        <v>0</v>
      </c>
      <c r="Z230" s="1">
        <f>MAX($H230)</f>
        <v>0</v>
      </c>
    </row>
    <row r="231" spans="1:26">
      <c r="A231" s="1" t="s">
        <v>228</v>
      </c>
      <c r="B231" s="1">
        <v>1</v>
      </c>
      <c r="C231" s="1">
        <v>0</v>
      </c>
      <c r="D231" s="1">
        <v>0</v>
      </c>
      <c r="E231" s="1">
        <v>3000</v>
      </c>
      <c r="F231" s="1" t="s">
        <v>374</v>
      </c>
      <c r="G231" s="1">
        <v>1500</v>
      </c>
      <c r="H231" s="1">
        <v>1</v>
      </c>
      <c r="I231" s="1">
        <f>MIN($B231)</f>
        <v>0</v>
      </c>
      <c r="J231" s="1">
        <f>MIN($C231)</f>
        <v>0</v>
      </c>
      <c r="K231" s="1">
        <f>MIN($D231)</f>
        <v>0</v>
      </c>
      <c r="L231" s="1">
        <f>MIN($E231)</f>
        <v>0</v>
      </c>
      <c r="M231" s="1">
        <f>MIN($G231)</f>
        <v>0</v>
      </c>
      <c r="N231" s="1">
        <f>MIN($H231)</f>
        <v>0</v>
      </c>
      <c r="O231" s="1">
        <f>MEDIAN($B231)</f>
        <v>0</v>
      </c>
      <c r="P231" s="1">
        <f>MEDIAN($C231)</f>
        <v>0</v>
      </c>
      <c r="Q231" s="1">
        <f>MEDIAN($D231)</f>
        <v>0</v>
      </c>
      <c r="R231" s="1">
        <f>MEDIAN($E231)</f>
        <v>0</v>
      </c>
      <c r="S231" s="1">
        <f>MEDIAN($G231)</f>
        <v>0</v>
      </c>
      <c r="T231" s="1">
        <f>MEDIAN($H231)</f>
        <v>0</v>
      </c>
      <c r="U231" s="1">
        <f>MAX($B231)</f>
        <v>0</v>
      </c>
      <c r="V231" s="1">
        <f>MAX($C231)</f>
        <v>0</v>
      </c>
      <c r="W231" s="1">
        <f>MAX($D231)</f>
        <v>0</v>
      </c>
      <c r="X231" s="1">
        <f>MAX($E231)</f>
        <v>0</v>
      </c>
      <c r="Y231" s="1">
        <f>MAX($G231)</f>
        <v>0</v>
      </c>
      <c r="Z231" s="1">
        <f>MAX($H231)</f>
        <v>0</v>
      </c>
    </row>
    <row r="232" spans="1:26">
      <c r="A232" s="1" t="s">
        <v>229</v>
      </c>
      <c r="B232" s="1">
        <v>1</v>
      </c>
      <c r="C232" s="1">
        <v>0</v>
      </c>
      <c r="D232" s="1">
        <v>0</v>
      </c>
      <c r="E232" s="1">
        <v>3000</v>
      </c>
      <c r="F232" s="1" t="s">
        <v>374</v>
      </c>
      <c r="G232" s="1">
        <v>1500</v>
      </c>
      <c r="H232" s="1">
        <v>1</v>
      </c>
      <c r="I232" s="1">
        <f>MIN($B232)</f>
        <v>0</v>
      </c>
      <c r="J232" s="1">
        <f>MIN($C232)</f>
        <v>0</v>
      </c>
      <c r="K232" s="1">
        <f>MIN($D232)</f>
        <v>0</v>
      </c>
      <c r="L232" s="1">
        <f>MIN($E232)</f>
        <v>0</v>
      </c>
      <c r="M232" s="1">
        <f>MIN($G232)</f>
        <v>0</v>
      </c>
      <c r="N232" s="1">
        <f>MIN($H232)</f>
        <v>0</v>
      </c>
      <c r="O232" s="1">
        <f>MEDIAN($B232)</f>
        <v>0</v>
      </c>
      <c r="P232" s="1">
        <f>MEDIAN($C232)</f>
        <v>0</v>
      </c>
      <c r="Q232" s="1">
        <f>MEDIAN($D232)</f>
        <v>0</v>
      </c>
      <c r="R232" s="1">
        <f>MEDIAN($E232)</f>
        <v>0</v>
      </c>
      <c r="S232" s="1">
        <f>MEDIAN($G232)</f>
        <v>0</v>
      </c>
      <c r="T232" s="1">
        <f>MEDIAN($H232)</f>
        <v>0</v>
      </c>
      <c r="U232" s="1">
        <f>MAX($B232)</f>
        <v>0</v>
      </c>
      <c r="V232" s="1">
        <f>MAX($C232)</f>
        <v>0</v>
      </c>
      <c r="W232" s="1">
        <f>MAX($D232)</f>
        <v>0</v>
      </c>
      <c r="X232" s="1">
        <f>MAX($E232)</f>
        <v>0</v>
      </c>
      <c r="Y232" s="1">
        <f>MAX($G232)</f>
        <v>0</v>
      </c>
      <c r="Z232" s="1">
        <f>MAX($H232)</f>
        <v>0</v>
      </c>
    </row>
    <row r="233" spans="1:26">
      <c r="A233" s="1" t="s">
        <v>230</v>
      </c>
      <c r="B233" s="1">
        <v>1</v>
      </c>
      <c r="C233" s="1">
        <v>0</v>
      </c>
      <c r="D233" s="1">
        <v>0</v>
      </c>
      <c r="E233" s="1">
        <v>3000</v>
      </c>
      <c r="F233" s="1" t="s">
        <v>374</v>
      </c>
      <c r="G233" s="1">
        <v>1500</v>
      </c>
      <c r="H233" s="1">
        <v>1</v>
      </c>
      <c r="I233" s="1">
        <f>MIN($B233)</f>
        <v>0</v>
      </c>
      <c r="J233" s="1">
        <f>MIN($C233)</f>
        <v>0</v>
      </c>
      <c r="K233" s="1">
        <f>MIN($D233)</f>
        <v>0</v>
      </c>
      <c r="L233" s="1">
        <f>MIN($E233)</f>
        <v>0</v>
      </c>
      <c r="M233" s="1">
        <f>MIN($G233)</f>
        <v>0</v>
      </c>
      <c r="N233" s="1">
        <f>MIN($H233)</f>
        <v>0</v>
      </c>
      <c r="O233" s="1">
        <f>MEDIAN($B233)</f>
        <v>0</v>
      </c>
      <c r="P233" s="1">
        <f>MEDIAN($C233)</f>
        <v>0</v>
      </c>
      <c r="Q233" s="1">
        <f>MEDIAN($D233)</f>
        <v>0</v>
      </c>
      <c r="R233" s="1">
        <f>MEDIAN($E233)</f>
        <v>0</v>
      </c>
      <c r="S233" s="1">
        <f>MEDIAN($G233)</f>
        <v>0</v>
      </c>
      <c r="T233" s="1">
        <f>MEDIAN($H233)</f>
        <v>0</v>
      </c>
      <c r="U233" s="1">
        <f>MAX($B233)</f>
        <v>0</v>
      </c>
      <c r="V233" s="1">
        <f>MAX($C233)</f>
        <v>0</v>
      </c>
      <c r="W233" s="1">
        <f>MAX($D233)</f>
        <v>0</v>
      </c>
      <c r="X233" s="1">
        <f>MAX($E233)</f>
        <v>0</v>
      </c>
      <c r="Y233" s="1">
        <f>MAX($G233)</f>
        <v>0</v>
      </c>
      <c r="Z233" s="1">
        <f>MAX($H233)</f>
        <v>0</v>
      </c>
    </row>
    <row r="234" spans="1:26">
      <c r="A234" s="1" t="s">
        <v>231</v>
      </c>
      <c r="B234" s="1">
        <v>1</v>
      </c>
      <c r="C234" s="1">
        <v>0</v>
      </c>
      <c r="D234" s="1">
        <v>0</v>
      </c>
      <c r="E234" s="1">
        <v>3000</v>
      </c>
      <c r="F234" s="1" t="s">
        <v>374</v>
      </c>
      <c r="G234" s="1">
        <v>1500</v>
      </c>
      <c r="H234" s="1">
        <v>1</v>
      </c>
      <c r="I234" s="1">
        <f>MIN($B234)</f>
        <v>0</v>
      </c>
      <c r="J234" s="1">
        <f>MIN($C234)</f>
        <v>0</v>
      </c>
      <c r="K234" s="1">
        <f>MIN($D234)</f>
        <v>0</v>
      </c>
      <c r="L234" s="1">
        <f>MIN($E234)</f>
        <v>0</v>
      </c>
      <c r="M234" s="1">
        <f>MIN($G234)</f>
        <v>0</v>
      </c>
      <c r="N234" s="1">
        <f>MIN($H234)</f>
        <v>0</v>
      </c>
      <c r="O234" s="1">
        <f>MEDIAN($B234)</f>
        <v>0</v>
      </c>
      <c r="P234" s="1">
        <f>MEDIAN($C234)</f>
        <v>0</v>
      </c>
      <c r="Q234" s="1">
        <f>MEDIAN($D234)</f>
        <v>0</v>
      </c>
      <c r="R234" s="1">
        <f>MEDIAN($E234)</f>
        <v>0</v>
      </c>
      <c r="S234" s="1">
        <f>MEDIAN($G234)</f>
        <v>0</v>
      </c>
      <c r="T234" s="1">
        <f>MEDIAN($H234)</f>
        <v>0</v>
      </c>
      <c r="U234" s="1">
        <f>MAX($B234)</f>
        <v>0</v>
      </c>
      <c r="V234" s="1">
        <f>MAX($C234)</f>
        <v>0</v>
      </c>
      <c r="W234" s="1">
        <f>MAX($D234)</f>
        <v>0</v>
      </c>
      <c r="X234" s="1">
        <f>MAX($E234)</f>
        <v>0</v>
      </c>
      <c r="Y234" s="1">
        <f>MAX($G234)</f>
        <v>0</v>
      </c>
      <c r="Z234" s="1">
        <f>MAX($H234)</f>
        <v>0</v>
      </c>
    </row>
    <row r="235" spans="1:26">
      <c r="A235" s="1" t="s">
        <v>232</v>
      </c>
      <c r="B235" s="1">
        <v>1</v>
      </c>
      <c r="C235" s="1">
        <v>0</v>
      </c>
      <c r="D235" s="1">
        <v>0</v>
      </c>
      <c r="E235" s="1">
        <v>3000</v>
      </c>
      <c r="F235" s="1" t="s">
        <v>374</v>
      </c>
      <c r="G235" s="1">
        <v>1500</v>
      </c>
      <c r="H235" s="1">
        <v>1</v>
      </c>
      <c r="I235" s="1">
        <f>MIN($B235)</f>
        <v>0</v>
      </c>
      <c r="J235" s="1">
        <f>MIN($C235)</f>
        <v>0</v>
      </c>
      <c r="K235" s="1">
        <f>MIN($D235)</f>
        <v>0</v>
      </c>
      <c r="L235" s="1">
        <f>MIN($E235)</f>
        <v>0</v>
      </c>
      <c r="M235" s="1">
        <f>MIN($G235)</f>
        <v>0</v>
      </c>
      <c r="N235" s="1">
        <f>MIN($H235)</f>
        <v>0</v>
      </c>
      <c r="O235" s="1">
        <f>MEDIAN($B235)</f>
        <v>0</v>
      </c>
      <c r="P235" s="1">
        <f>MEDIAN($C235)</f>
        <v>0</v>
      </c>
      <c r="Q235" s="1">
        <f>MEDIAN($D235)</f>
        <v>0</v>
      </c>
      <c r="R235" s="1">
        <f>MEDIAN($E235)</f>
        <v>0</v>
      </c>
      <c r="S235" s="1">
        <f>MEDIAN($G235)</f>
        <v>0</v>
      </c>
      <c r="T235" s="1">
        <f>MEDIAN($H235)</f>
        <v>0</v>
      </c>
      <c r="U235" s="1">
        <f>MAX($B235)</f>
        <v>0</v>
      </c>
      <c r="V235" s="1">
        <f>MAX($C235)</f>
        <v>0</v>
      </c>
      <c r="W235" s="1">
        <f>MAX($D235)</f>
        <v>0</v>
      </c>
      <c r="X235" s="1">
        <f>MAX($E235)</f>
        <v>0</v>
      </c>
      <c r="Y235" s="1">
        <f>MAX($G235)</f>
        <v>0</v>
      </c>
      <c r="Z235" s="1">
        <f>MAX($H235)</f>
        <v>0</v>
      </c>
    </row>
    <row r="236" spans="1:26">
      <c r="A236" s="1" t="s">
        <v>233</v>
      </c>
      <c r="B236" s="1">
        <v>1</v>
      </c>
      <c r="C236" s="1">
        <v>0</v>
      </c>
      <c r="D236" s="1">
        <v>0</v>
      </c>
      <c r="E236" s="1">
        <v>3000</v>
      </c>
      <c r="F236" s="1" t="s">
        <v>374</v>
      </c>
      <c r="G236" s="1">
        <v>1500</v>
      </c>
      <c r="H236" s="1">
        <v>1</v>
      </c>
      <c r="I236" s="1">
        <f>MIN($B236)</f>
        <v>0</v>
      </c>
      <c r="J236" s="1">
        <f>MIN($C236)</f>
        <v>0</v>
      </c>
      <c r="K236" s="1">
        <f>MIN($D236)</f>
        <v>0</v>
      </c>
      <c r="L236" s="1">
        <f>MIN($E236)</f>
        <v>0</v>
      </c>
      <c r="M236" s="1">
        <f>MIN($G236)</f>
        <v>0</v>
      </c>
      <c r="N236" s="1">
        <f>MIN($H236)</f>
        <v>0</v>
      </c>
      <c r="O236" s="1">
        <f>MEDIAN($B236)</f>
        <v>0</v>
      </c>
      <c r="P236" s="1">
        <f>MEDIAN($C236)</f>
        <v>0</v>
      </c>
      <c r="Q236" s="1">
        <f>MEDIAN($D236)</f>
        <v>0</v>
      </c>
      <c r="R236" s="1">
        <f>MEDIAN($E236)</f>
        <v>0</v>
      </c>
      <c r="S236" s="1">
        <f>MEDIAN($G236)</f>
        <v>0</v>
      </c>
      <c r="T236" s="1">
        <f>MEDIAN($H236)</f>
        <v>0</v>
      </c>
      <c r="U236" s="1">
        <f>MAX($B236)</f>
        <v>0</v>
      </c>
      <c r="V236" s="1">
        <f>MAX($C236)</f>
        <v>0</v>
      </c>
      <c r="W236" s="1">
        <f>MAX($D236)</f>
        <v>0</v>
      </c>
      <c r="X236" s="1">
        <f>MAX($E236)</f>
        <v>0</v>
      </c>
      <c r="Y236" s="1">
        <f>MAX($G236)</f>
        <v>0</v>
      </c>
      <c r="Z236" s="1">
        <f>MAX($H236)</f>
        <v>0</v>
      </c>
    </row>
    <row r="237" spans="1:26">
      <c r="A237" s="1" t="s">
        <v>234</v>
      </c>
      <c r="B237" s="1">
        <v>1</v>
      </c>
      <c r="C237" s="1">
        <v>0</v>
      </c>
      <c r="D237" s="1">
        <v>0</v>
      </c>
      <c r="E237" s="1">
        <v>3000</v>
      </c>
      <c r="F237" s="1" t="s">
        <v>374</v>
      </c>
      <c r="G237" s="1">
        <v>1500</v>
      </c>
      <c r="H237" s="1">
        <v>1</v>
      </c>
      <c r="I237" s="1">
        <f>MIN($B237)</f>
        <v>0</v>
      </c>
      <c r="J237" s="1">
        <f>MIN($C237)</f>
        <v>0</v>
      </c>
      <c r="K237" s="1">
        <f>MIN($D237)</f>
        <v>0</v>
      </c>
      <c r="L237" s="1">
        <f>MIN($E237)</f>
        <v>0</v>
      </c>
      <c r="M237" s="1">
        <f>MIN($G237)</f>
        <v>0</v>
      </c>
      <c r="N237" s="1">
        <f>MIN($H237)</f>
        <v>0</v>
      </c>
      <c r="O237" s="1">
        <f>MEDIAN($B237)</f>
        <v>0</v>
      </c>
      <c r="P237" s="1">
        <f>MEDIAN($C237)</f>
        <v>0</v>
      </c>
      <c r="Q237" s="1">
        <f>MEDIAN($D237)</f>
        <v>0</v>
      </c>
      <c r="R237" s="1">
        <f>MEDIAN($E237)</f>
        <v>0</v>
      </c>
      <c r="S237" s="1">
        <f>MEDIAN($G237)</f>
        <v>0</v>
      </c>
      <c r="T237" s="1">
        <f>MEDIAN($H237)</f>
        <v>0</v>
      </c>
      <c r="U237" s="1">
        <f>MAX($B237)</f>
        <v>0</v>
      </c>
      <c r="V237" s="1">
        <f>MAX($C237)</f>
        <v>0</v>
      </c>
      <c r="W237" s="1">
        <f>MAX($D237)</f>
        <v>0</v>
      </c>
      <c r="X237" s="1">
        <f>MAX($E237)</f>
        <v>0</v>
      </c>
      <c r="Y237" s="1">
        <f>MAX($G237)</f>
        <v>0</v>
      </c>
      <c r="Z237" s="1">
        <f>MAX($H237)</f>
        <v>0</v>
      </c>
    </row>
    <row r="238" spans="1:26">
      <c r="A238" s="1" t="s">
        <v>235</v>
      </c>
      <c r="B238" s="1">
        <v>1</v>
      </c>
      <c r="C238" s="1">
        <v>0</v>
      </c>
      <c r="D238" s="1">
        <v>0</v>
      </c>
      <c r="E238" s="1">
        <v>3000</v>
      </c>
      <c r="F238" s="1" t="s">
        <v>374</v>
      </c>
      <c r="G238" s="1">
        <v>1500</v>
      </c>
      <c r="H238" s="1">
        <v>1</v>
      </c>
      <c r="I238" s="1">
        <f>MIN($B238)</f>
        <v>0</v>
      </c>
      <c r="J238" s="1">
        <f>MIN($C238)</f>
        <v>0</v>
      </c>
      <c r="K238" s="1">
        <f>MIN($D238)</f>
        <v>0</v>
      </c>
      <c r="L238" s="1">
        <f>MIN($E238)</f>
        <v>0</v>
      </c>
      <c r="M238" s="1">
        <f>MIN($G238)</f>
        <v>0</v>
      </c>
      <c r="N238" s="1">
        <f>MIN($H238)</f>
        <v>0</v>
      </c>
      <c r="O238" s="1">
        <f>MEDIAN($B238)</f>
        <v>0</v>
      </c>
      <c r="P238" s="1">
        <f>MEDIAN($C238)</f>
        <v>0</v>
      </c>
      <c r="Q238" s="1">
        <f>MEDIAN($D238)</f>
        <v>0</v>
      </c>
      <c r="R238" s="1">
        <f>MEDIAN($E238)</f>
        <v>0</v>
      </c>
      <c r="S238" s="1">
        <f>MEDIAN($G238)</f>
        <v>0</v>
      </c>
      <c r="T238" s="1">
        <f>MEDIAN($H238)</f>
        <v>0</v>
      </c>
      <c r="U238" s="1">
        <f>MAX($B238)</f>
        <v>0</v>
      </c>
      <c r="V238" s="1">
        <f>MAX($C238)</f>
        <v>0</v>
      </c>
      <c r="W238" s="1">
        <f>MAX($D238)</f>
        <v>0</v>
      </c>
      <c r="X238" s="1">
        <f>MAX($E238)</f>
        <v>0</v>
      </c>
      <c r="Y238" s="1">
        <f>MAX($G238)</f>
        <v>0</v>
      </c>
      <c r="Z238" s="1">
        <f>MAX($H238)</f>
        <v>0</v>
      </c>
    </row>
    <row r="239" spans="1:26">
      <c r="A239" s="1" t="s">
        <v>236</v>
      </c>
      <c r="B239" s="1">
        <v>1</v>
      </c>
      <c r="C239" s="1">
        <v>0</v>
      </c>
      <c r="D239" s="1">
        <v>0</v>
      </c>
      <c r="E239" s="1">
        <v>3000</v>
      </c>
      <c r="F239" s="1" t="s">
        <v>374</v>
      </c>
      <c r="G239" s="1">
        <v>1500</v>
      </c>
      <c r="H239" s="1">
        <v>1</v>
      </c>
      <c r="I239" s="1">
        <f>MIN($B239)</f>
        <v>0</v>
      </c>
      <c r="J239" s="1">
        <f>MIN($C239)</f>
        <v>0</v>
      </c>
      <c r="K239" s="1">
        <f>MIN($D239)</f>
        <v>0</v>
      </c>
      <c r="L239" s="1">
        <f>MIN($E239)</f>
        <v>0</v>
      </c>
      <c r="M239" s="1">
        <f>MIN($G239)</f>
        <v>0</v>
      </c>
      <c r="N239" s="1">
        <f>MIN($H239)</f>
        <v>0</v>
      </c>
      <c r="O239" s="1">
        <f>MEDIAN($B239)</f>
        <v>0</v>
      </c>
      <c r="P239" s="1">
        <f>MEDIAN($C239)</f>
        <v>0</v>
      </c>
      <c r="Q239" s="1">
        <f>MEDIAN($D239)</f>
        <v>0</v>
      </c>
      <c r="R239" s="1">
        <f>MEDIAN($E239)</f>
        <v>0</v>
      </c>
      <c r="S239" s="1">
        <f>MEDIAN($G239)</f>
        <v>0</v>
      </c>
      <c r="T239" s="1">
        <f>MEDIAN($H239)</f>
        <v>0</v>
      </c>
      <c r="U239" s="1">
        <f>MAX($B239)</f>
        <v>0</v>
      </c>
      <c r="V239" s="1">
        <f>MAX($C239)</f>
        <v>0</v>
      </c>
      <c r="W239" s="1">
        <f>MAX($D239)</f>
        <v>0</v>
      </c>
      <c r="X239" s="1">
        <f>MAX($E239)</f>
        <v>0</v>
      </c>
      <c r="Y239" s="1">
        <f>MAX($G239)</f>
        <v>0</v>
      </c>
      <c r="Z239" s="1">
        <f>MAX($H239)</f>
        <v>0</v>
      </c>
    </row>
    <row r="240" spans="1:26">
      <c r="A240" s="1" t="s">
        <v>237</v>
      </c>
      <c r="B240" s="1">
        <v>1</v>
      </c>
      <c r="C240" s="1">
        <v>0</v>
      </c>
      <c r="D240" s="1">
        <v>0</v>
      </c>
      <c r="E240" s="1">
        <v>3000</v>
      </c>
      <c r="F240" s="1" t="s">
        <v>374</v>
      </c>
      <c r="G240" s="1">
        <v>1500</v>
      </c>
      <c r="H240" s="1">
        <v>1</v>
      </c>
      <c r="I240" s="1">
        <f>MIN($B240)</f>
        <v>0</v>
      </c>
      <c r="J240" s="1">
        <f>MIN($C240)</f>
        <v>0</v>
      </c>
      <c r="K240" s="1">
        <f>MIN($D240)</f>
        <v>0</v>
      </c>
      <c r="L240" s="1">
        <f>MIN($E240)</f>
        <v>0</v>
      </c>
      <c r="M240" s="1">
        <f>MIN($G240)</f>
        <v>0</v>
      </c>
      <c r="N240" s="1">
        <f>MIN($H240)</f>
        <v>0</v>
      </c>
      <c r="O240" s="1">
        <f>MEDIAN($B240)</f>
        <v>0</v>
      </c>
      <c r="P240" s="1">
        <f>MEDIAN($C240)</f>
        <v>0</v>
      </c>
      <c r="Q240" s="1">
        <f>MEDIAN($D240)</f>
        <v>0</v>
      </c>
      <c r="R240" s="1">
        <f>MEDIAN($E240)</f>
        <v>0</v>
      </c>
      <c r="S240" s="1">
        <f>MEDIAN($G240)</f>
        <v>0</v>
      </c>
      <c r="T240" s="1">
        <f>MEDIAN($H240)</f>
        <v>0</v>
      </c>
      <c r="U240" s="1">
        <f>MAX($B240)</f>
        <v>0</v>
      </c>
      <c r="V240" s="1">
        <f>MAX($C240)</f>
        <v>0</v>
      </c>
      <c r="W240" s="1">
        <f>MAX($D240)</f>
        <v>0</v>
      </c>
      <c r="X240" s="1">
        <f>MAX($E240)</f>
        <v>0</v>
      </c>
      <c r="Y240" s="1">
        <f>MAX($G240)</f>
        <v>0</v>
      </c>
      <c r="Z240" s="1">
        <f>MAX($H240)</f>
        <v>0</v>
      </c>
    </row>
    <row r="241" spans="1:26">
      <c r="A241" s="1" t="s">
        <v>238</v>
      </c>
      <c r="B241" s="1">
        <v>1</v>
      </c>
      <c r="C241" s="1">
        <v>0</v>
      </c>
      <c r="D241" s="1">
        <v>0</v>
      </c>
      <c r="E241" s="1">
        <v>3000</v>
      </c>
      <c r="F241" s="1" t="s">
        <v>374</v>
      </c>
      <c r="G241" s="1">
        <v>1500</v>
      </c>
      <c r="H241" s="1">
        <v>1</v>
      </c>
      <c r="I241" s="1">
        <f>MIN($B241)</f>
        <v>0</v>
      </c>
      <c r="J241" s="1">
        <f>MIN($C241)</f>
        <v>0</v>
      </c>
      <c r="K241" s="1">
        <f>MIN($D241)</f>
        <v>0</v>
      </c>
      <c r="L241" s="1">
        <f>MIN($E241)</f>
        <v>0</v>
      </c>
      <c r="M241" s="1">
        <f>MIN($G241)</f>
        <v>0</v>
      </c>
      <c r="N241" s="1">
        <f>MIN($H241)</f>
        <v>0</v>
      </c>
      <c r="O241" s="1">
        <f>MEDIAN($B241)</f>
        <v>0</v>
      </c>
      <c r="P241" s="1">
        <f>MEDIAN($C241)</f>
        <v>0</v>
      </c>
      <c r="Q241" s="1">
        <f>MEDIAN($D241)</f>
        <v>0</v>
      </c>
      <c r="R241" s="1">
        <f>MEDIAN($E241)</f>
        <v>0</v>
      </c>
      <c r="S241" s="1">
        <f>MEDIAN($G241)</f>
        <v>0</v>
      </c>
      <c r="T241" s="1">
        <f>MEDIAN($H241)</f>
        <v>0</v>
      </c>
      <c r="U241" s="1">
        <f>MAX($B241)</f>
        <v>0</v>
      </c>
      <c r="V241" s="1">
        <f>MAX($C241)</f>
        <v>0</v>
      </c>
      <c r="W241" s="1">
        <f>MAX($D241)</f>
        <v>0</v>
      </c>
      <c r="X241" s="1">
        <f>MAX($E241)</f>
        <v>0</v>
      </c>
      <c r="Y241" s="1">
        <f>MAX($G241)</f>
        <v>0</v>
      </c>
      <c r="Z241" s="1">
        <f>MAX($H241)</f>
        <v>0</v>
      </c>
    </row>
    <row r="242" spans="1:26">
      <c r="A242" s="1" t="s">
        <v>239</v>
      </c>
      <c r="B242" s="1">
        <v>1</v>
      </c>
      <c r="C242" s="1">
        <v>0</v>
      </c>
      <c r="D242" s="1">
        <v>0</v>
      </c>
      <c r="E242" s="1">
        <v>3000</v>
      </c>
      <c r="F242" s="1" t="s">
        <v>374</v>
      </c>
      <c r="G242" s="1">
        <v>1500</v>
      </c>
      <c r="H242" s="1">
        <v>1</v>
      </c>
      <c r="I242" s="1">
        <f>MIN($B242)</f>
        <v>0</v>
      </c>
      <c r="J242" s="1">
        <f>MIN($C242)</f>
        <v>0</v>
      </c>
      <c r="K242" s="1">
        <f>MIN($D242)</f>
        <v>0</v>
      </c>
      <c r="L242" s="1">
        <f>MIN($E242)</f>
        <v>0</v>
      </c>
      <c r="M242" s="1">
        <f>MIN($G242)</f>
        <v>0</v>
      </c>
      <c r="N242" s="1">
        <f>MIN($H242)</f>
        <v>0</v>
      </c>
      <c r="O242" s="1">
        <f>MEDIAN($B242)</f>
        <v>0</v>
      </c>
      <c r="P242" s="1">
        <f>MEDIAN($C242)</f>
        <v>0</v>
      </c>
      <c r="Q242" s="1">
        <f>MEDIAN($D242)</f>
        <v>0</v>
      </c>
      <c r="R242" s="1">
        <f>MEDIAN($E242)</f>
        <v>0</v>
      </c>
      <c r="S242" s="1">
        <f>MEDIAN($G242)</f>
        <v>0</v>
      </c>
      <c r="T242" s="1">
        <f>MEDIAN($H242)</f>
        <v>0</v>
      </c>
      <c r="U242" s="1">
        <f>MAX($B242)</f>
        <v>0</v>
      </c>
      <c r="V242" s="1">
        <f>MAX($C242)</f>
        <v>0</v>
      </c>
      <c r="W242" s="1">
        <f>MAX($D242)</f>
        <v>0</v>
      </c>
      <c r="X242" s="1">
        <f>MAX($E242)</f>
        <v>0</v>
      </c>
      <c r="Y242" s="1">
        <f>MAX($G242)</f>
        <v>0</v>
      </c>
      <c r="Z242" s="1">
        <f>MAX($H242)</f>
        <v>0</v>
      </c>
    </row>
    <row r="243" spans="1:26">
      <c r="A243" s="1" t="s">
        <v>240</v>
      </c>
      <c r="B243" s="1">
        <v>1</v>
      </c>
      <c r="C243" s="1">
        <v>0</v>
      </c>
      <c r="D243" s="1">
        <v>0</v>
      </c>
      <c r="E243" s="1">
        <v>3000</v>
      </c>
      <c r="F243" s="1" t="s">
        <v>374</v>
      </c>
      <c r="G243" s="1">
        <v>1500</v>
      </c>
      <c r="H243" s="1">
        <v>1</v>
      </c>
      <c r="I243" s="1">
        <f>MIN($B243)</f>
        <v>0</v>
      </c>
      <c r="J243" s="1">
        <f>MIN($C243)</f>
        <v>0</v>
      </c>
      <c r="K243" s="1">
        <f>MIN($D243)</f>
        <v>0</v>
      </c>
      <c r="L243" s="1">
        <f>MIN($E243)</f>
        <v>0</v>
      </c>
      <c r="M243" s="1">
        <f>MIN($G243)</f>
        <v>0</v>
      </c>
      <c r="N243" s="1">
        <f>MIN($H243)</f>
        <v>0</v>
      </c>
      <c r="O243" s="1">
        <f>MEDIAN($B243)</f>
        <v>0</v>
      </c>
      <c r="P243" s="1">
        <f>MEDIAN($C243)</f>
        <v>0</v>
      </c>
      <c r="Q243" s="1">
        <f>MEDIAN($D243)</f>
        <v>0</v>
      </c>
      <c r="R243" s="1">
        <f>MEDIAN($E243)</f>
        <v>0</v>
      </c>
      <c r="S243" s="1">
        <f>MEDIAN($G243)</f>
        <v>0</v>
      </c>
      <c r="T243" s="1">
        <f>MEDIAN($H243)</f>
        <v>0</v>
      </c>
      <c r="U243" s="1">
        <f>MAX($B243)</f>
        <v>0</v>
      </c>
      <c r="V243" s="1">
        <f>MAX($C243)</f>
        <v>0</v>
      </c>
      <c r="W243" s="1">
        <f>MAX($D243)</f>
        <v>0</v>
      </c>
      <c r="X243" s="1">
        <f>MAX($E243)</f>
        <v>0</v>
      </c>
      <c r="Y243" s="1">
        <f>MAX($G243)</f>
        <v>0</v>
      </c>
      <c r="Z243" s="1">
        <f>MAX($H243)</f>
        <v>0</v>
      </c>
    </row>
    <row r="244" spans="1:26">
      <c r="A244" s="1" t="s">
        <v>241</v>
      </c>
      <c r="B244" s="1">
        <v>1</v>
      </c>
      <c r="C244" s="1">
        <v>0</v>
      </c>
      <c r="D244" s="1">
        <v>0</v>
      </c>
      <c r="E244" s="1">
        <v>3000</v>
      </c>
      <c r="F244" s="1" t="s">
        <v>374</v>
      </c>
      <c r="G244" s="1">
        <v>1500</v>
      </c>
      <c r="H244" s="1">
        <v>1</v>
      </c>
      <c r="I244" s="1">
        <f>MIN($B244)</f>
        <v>0</v>
      </c>
      <c r="J244" s="1">
        <f>MIN($C244)</f>
        <v>0</v>
      </c>
      <c r="K244" s="1">
        <f>MIN($D244)</f>
        <v>0</v>
      </c>
      <c r="L244" s="1">
        <f>MIN($E244)</f>
        <v>0</v>
      </c>
      <c r="M244" s="1">
        <f>MIN($G244)</f>
        <v>0</v>
      </c>
      <c r="N244" s="1">
        <f>MIN($H244)</f>
        <v>0</v>
      </c>
      <c r="O244" s="1">
        <f>MEDIAN($B244)</f>
        <v>0</v>
      </c>
      <c r="P244" s="1">
        <f>MEDIAN($C244)</f>
        <v>0</v>
      </c>
      <c r="Q244" s="1">
        <f>MEDIAN($D244)</f>
        <v>0</v>
      </c>
      <c r="R244" s="1">
        <f>MEDIAN($E244)</f>
        <v>0</v>
      </c>
      <c r="S244" s="1">
        <f>MEDIAN($G244)</f>
        <v>0</v>
      </c>
      <c r="T244" s="1">
        <f>MEDIAN($H244)</f>
        <v>0</v>
      </c>
      <c r="U244" s="1">
        <f>MAX($B244)</f>
        <v>0</v>
      </c>
      <c r="V244" s="1">
        <f>MAX($C244)</f>
        <v>0</v>
      </c>
      <c r="W244" s="1">
        <f>MAX($D244)</f>
        <v>0</v>
      </c>
      <c r="X244" s="1">
        <f>MAX($E244)</f>
        <v>0</v>
      </c>
      <c r="Y244" s="1">
        <f>MAX($G244)</f>
        <v>0</v>
      </c>
      <c r="Z244" s="1">
        <f>MAX($H244)</f>
        <v>0</v>
      </c>
    </row>
    <row r="245" spans="1:26">
      <c r="A245" s="1" t="s">
        <v>242</v>
      </c>
      <c r="B245" s="1">
        <v>1</v>
      </c>
      <c r="C245" s="1">
        <v>0</v>
      </c>
      <c r="D245" s="1">
        <v>0</v>
      </c>
      <c r="E245" s="1">
        <v>3000</v>
      </c>
      <c r="F245" s="1" t="s">
        <v>374</v>
      </c>
      <c r="G245" s="1">
        <v>1500</v>
      </c>
      <c r="H245" s="1">
        <v>1</v>
      </c>
      <c r="I245" s="1">
        <f>MIN($B245)</f>
        <v>0</v>
      </c>
      <c r="J245" s="1">
        <f>MIN($C245)</f>
        <v>0</v>
      </c>
      <c r="K245" s="1">
        <f>MIN($D245)</f>
        <v>0</v>
      </c>
      <c r="L245" s="1">
        <f>MIN($E245)</f>
        <v>0</v>
      </c>
      <c r="M245" s="1">
        <f>MIN($G245)</f>
        <v>0</v>
      </c>
      <c r="N245" s="1">
        <f>MIN($H245)</f>
        <v>0</v>
      </c>
      <c r="O245" s="1">
        <f>MEDIAN($B245)</f>
        <v>0</v>
      </c>
      <c r="P245" s="1">
        <f>MEDIAN($C245)</f>
        <v>0</v>
      </c>
      <c r="Q245" s="1">
        <f>MEDIAN($D245)</f>
        <v>0</v>
      </c>
      <c r="R245" s="1">
        <f>MEDIAN($E245)</f>
        <v>0</v>
      </c>
      <c r="S245" s="1">
        <f>MEDIAN($G245)</f>
        <v>0</v>
      </c>
      <c r="T245" s="1">
        <f>MEDIAN($H245)</f>
        <v>0</v>
      </c>
      <c r="U245" s="1">
        <f>MAX($B245)</f>
        <v>0</v>
      </c>
      <c r="V245" s="1">
        <f>MAX($C245)</f>
        <v>0</v>
      </c>
      <c r="W245" s="1">
        <f>MAX($D245)</f>
        <v>0</v>
      </c>
      <c r="X245" s="1">
        <f>MAX($E245)</f>
        <v>0</v>
      </c>
      <c r="Y245" s="1">
        <f>MAX($G245)</f>
        <v>0</v>
      </c>
      <c r="Z245" s="1">
        <f>MAX($H245)</f>
        <v>0</v>
      </c>
    </row>
    <row r="246" spans="1:26">
      <c r="A246" s="1" t="s">
        <v>243</v>
      </c>
      <c r="B246" s="1">
        <v>1</v>
      </c>
      <c r="C246" s="1">
        <v>0</v>
      </c>
      <c r="D246" s="1">
        <v>0</v>
      </c>
      <c r="E246" s="1">
        <v>3000</v>
      </c>
      <c r="F246" s="1" t="s">
        <v>374</v>
      </c>
      <c r="G246" s="1">
        <v>1500</v>
      </c>
      <c r="H246" s="1">
        <v>1</v>
      </c>
      <c r="I246" s="1">
        <f>MIN($B246)</f>
        <v>0</v>
      </c>
      <c r="J246" s="1">
        <f>MIN($C246)</f>
        <v>0</v>
      </c>
      <c r="K246" s="1">
        <f>MIN($D246)</f>
        <v>0</v>
      </c>
      <c r="L246" s="1">
        <f>MIN($E246)</f>
        <v>0</v>
      </c>
      <c r="M246" s="1">
        <f>MIN($G246)</f>
        <v>0</v>
      </c>
      <c r="N246" s="1">
        <f>MIN($H246)</f>
        <v>0</v>
      </c>
      <c r="O246" s="1">
        <f>MEDIAN($B246)</f>
        <v>0</v>
      </c>
      <c r="P246" s="1">
        <f>MEDIAN($C246)</f>
        <v>0</v>
      </c>
      <c r="Q246" s="1">
        <f>MEDIAN($D246)</f>
        <v>0</v>
      </c>
      <c r="R246" s="1">
        <f>MEDIAN($E246)</f>
        <v>0</v>
      </c>
      <c r="S246" s="1">
        <f>MEDIAN($G246)</f>
        <v>0</v>
      </c>
      <c r="T246" s="1">
        <f>MEDIAN($H246)</f>
        <v>0</v>
      </c>
      <c r="U246" s="1">
        <f>MAX($B246)</f>
        <v>0</v>
      </c>
      <c r="V246" s="1">
        <f>MAX($C246)</f>
        <v>0</v>
      </c>
      <c r="W246" s="1">
        <f>MAX($D246)</f>
        <v>0</v>
      </c>
      <c r="X246" s="1">
        <f>MAX($E246)</f>
        <v>0</v>
      </c>
      <c r="Y246" s="1">
        <f>MAX($G246)</f>
        <v>0</v>
      </c>
      <c r="Z246" s="1">
        <f>MAX($H246)</f>
        <v>0</v>
      </c>
    </row>
    <row r="247" spans="1:26">
      <c r="A247" s="1" t="s">
        <v>244</v>
      </c>
      <c r="B247" s="1">
        <v>1</v>
      </c>
      <c r="C247" s="1">
        <v>0</v>
      </c>
      <c r="D247" s="1">
        <v>0</v>
      </c>
      <c r="E247" s="1">
        <v>3000</v>
      </c>
      <c r="F247" s="1" t="s">
        <v>374</v>
      </c>
      <c r="G247" s="1">
        <v>1500</v>
      </c>
      <c r="H247" s="1">
        <v>1</v>
      </c>
      <c r="I247" s="1">
        <f>MIN($B247)</f>
        <v>0</v>
      </c>
      <c r="J247" s="1">
        <f>MIN($C247)</f>
        <v>0</v>
      </c>
      <c r="K247" s="1">
        <f>MIN($D247)</f>
        <v>0</v>
      </c>
      <c r="L247" s="1">
        <f>MIN($E247)</f>
        <v>0</v>
      </c>
      <c r="M247" s="1">
        <f>MIN($G247)</f>
        <v>0</v>
      </c>
      <c r="N247" s="1">
        <f>MIN($H247)</f>
        <v>0</v>
      </c>
      <c r="O247" s="1">
        <f>MEDIAN($B247)</f>
        <v>0</v>
      </c>
      <c r="P247" s="1">
        <f>MEDIAN($C247)</f>
        <v>0</v>
      </c>
      <c r="Q247" s="1">
        <f>MEDIAN($D247)</f>
        <v>0</v>
      </c>
      <c r="R247" s="1">
        <f>MEDIAN($E247)</f>
        <v>0</v>
      </c>
      <c r="S247" s="1">
        <f>MEDIAN($G247)</f>
        <v>0</v>
      </c>
      <c r="T247" s="1">
        <f>MEDIAN($H247)</f>
        <v>0</v>
      </c>
      <c r="U247" s="1">
        <f>MAX($B247)</f>
        <v>0</v>
      </c>
      <c r="V247" s="1">
        <f>MAX($C247)</f>
        <v>0</v>
      </c>
      <c r="W247" s="1">
        <f>MAX($D247)</f>
        <v>0</v>
      </c>
      <c r="X247" s="1">
        <f>MAX($E247)</f>
        <v>0</v>
      </c>
      <c r="Y247" s="1">
        <f>MAX($G247)</f>
        <v>0</v>
      </c>
      <c r="Z247" s="1">
        <f>MAX($H247)</f>
        <v>0</v>
      </c>
    </row>
    <row r="248" spans="1:26">
      <c r="A248" s="1" t="s">
        <v>245</v>
      </c>
      <c r="B248" s="1">
        <v>1</v>
      </c>
      <c r="C248" s="1">
        <v>0</v>
      </c>
      <c r="D248" s="1">
        <v>0</v>
      </c>
      <c r="E248" s="1">
        <v>3000</v>
      </c>
      <c r="F248" s="1" t="s">
        <v>374</v>
      </c>
      <c r="G248" s="1">
        <v>1500</v>
      </c>
      <c r="H248" s="1">
        <v>1</v>
      </c>
      <c r="I248" s="1">
        <f>MIN($B248)</f>
        <v>0</v>
      </c>
      <c r="J248" s="1">
        <f>MIN($C248)</f>
        <v>0</v>
      </c>
      <c r="K248" s="1">
        <f>MIN($D248)</f>
        <v>0</v>
      </c>
      <c r="L248" s="1">
        <f>MIN($E248)</f>
        <v>0</v>
      </c>
      <c r="M248" s="1">
        <f>MIN($G248)</f>
        <v>0</v>
      </c>
      <c r="N248" s="1">
        <f>MIN($H248)</f>
        <v>0</v>
      </c>
      <c r="O248" s="1">
        <f>MEDIAN($B248)</f>
        <v>0</v>
      </c>
      <c r="P248" s="1">
        <f>MEDIAN($C248)</f>
        <v>0</v>
      </c>
      <c r="Q248" s="1">
        <f>MEDIAN($D248)</f>
        <v>0</v>
      </c>
      <c r="R248" s="1">
        <f>MEDIAN($E248)</f>
        <v>0</v>
      </c>
      <c r="S248" s="1">
        <f>MEDIAN($G248)</f>
        <v>0</v>
      </c>
      <c r="T248" s="1">
        <f>MEDIAN($H248)</f>
        <v>0</v>
      </c>
      <c r="U248" s="1">
        <f>MAX($B248)</f>
        <v>0</v>
      </c>
      <c r="V248" s="1">
        <f>MAX($C248)</f>
        <v>0</v>
      </c>
      <c r="W248" s="1">
        <f>MAX($D248)</f>
        <v>0</v>
      </c>
      <c r="X248" s="1">
        <f>MAX($E248)</f>
        <v>0</v>
      </c>
      <c r="Y248" s="1">
        <f>MAX($G248)</f>
        <v>0</v>
      </c>
      <c r="Z248" s="1">
        <f>MAX($H248)</f>
        <v>0</v>
      </c>
    </row>
    <row r="249" spans="1:26">
      <c r="A249" s="1" t="s">
        <v>246</v>
      </c>
      <c r="B249" s="1">
        <v>1</v>
      </c>
      <c r="C249" s="1">
        <v>0</v>
      </c>
      <c r="D249" s="1">
        <v>0</v>
      </c>
      <c r="E249" s="1">
        <v>3000</v>
      </c>
      <c r="F249" s="1" t="s">
        <v>374</v>
      </c>
      <c r="G249" s="1">
        <v>1500</v>
      </c>
      <c r="H249" s="1">
        <v>1</v>
      </c>
      <c r="I249" s="1">
        <f>MIN($B249)</f>
        <v>0</v>
      </c>
      <c r="J249" s="1">
        <f>MIN($C249)</f>
        <v>0</v>
      </c>
      <c r="K249" s="1">
        <f>MIN($D249)</f>
        <v>0</v>
      </c>
      <c r="L249" s="1">
        <f>MIN($E249)</f>
        <v>0</v>
      </c>
      <c r="M249" s="1">
        <f>MIN($G249)</f>
        <v>0</v>
      </c>
      <c r="N249" s="1">
        <f>MIN($H249)</f>
        <v>0</v>
      </c>
      <c r="O249" s="1">
        <f>MEDIAN($B249)</f>
        <v>0</v>
      </c>
      <c r="P249" s="1">
        <f>MEDIAN($C249)</f>
        <v>0</v>
      </c>
      <c r="Q249" s="1">
        <f>MEDIAN($D249)</f>
        <v>0</v>
      </c>
      <c r="R249" s="1">
        <f>MEDIAN($E249)</f>
        <v>0</v>
      </c>
      <c r="S249" s="1">
        <f>MEDIAN($G249)</f>
        <v>0</v>
      </c>
      <c r="T249" s="1">
        <f>MEDIAN($H249)</f>
        <v>0</v>
      </c>
      <c r="U249" s="1">
        <f>MAX($B249)</f>
        <v>0</v>
      </c>
      <c r="V249" s="1">
        <f>MAX($C249)</f>
        <v>0</v>
      </c>
      <c r="W249" s="1">
        <f>MAX($D249)</f>
        <v>0</v>
      </c>
      <c r="X249" s="1">
        <f>MAX($E249)</f>
        <v>0</v>
      </c>
      <c r="Y249" s="1">
        <f>MAX($G249)</f>
        <v>0</v>
      </c>
      <c r="Z249" s="1">
        <f>MAX($H249)</f>
        <v>0</v>
      </c>
    </row>
    <row r="250" spans="1:26">
      <c r="A250" s="1" t="s">
        <v>247</v>
      </c>
      <c r="B250" s="1">
        <v>1</v>
      </c>
      <c r="C250" s="1">
        <v>0</v>
      </c>
      <c r="D250" s="1">
        <v>0</v>
      </c>
      <c r="E250" s="1">
        <v>3000</v>
      </c>
      <c r="F250" s="1" t="s">
        <v>374</v>
      </c>
      <c r="G250" s="1">
        <v>1500</v>
      </c>
      <c r="H250" s="1">
        <v>1</v>
      </c>
      <c r="I250" s="1">
        <f>MIN($B250)</f>
        <v>0</v>
      </c>
      <c r="J250" s="1">
        <f>MIN($C250)</f>
        <v>0</v>
      </c>
      <c r="K250" s="1">
        <f>MIN($D250)</f>
        <v>0</v>
      </c>
      <c r="L250" s="1">
        <f>MIN($E250)</f>
        <v>0</v>
      </c>
      <c r="M250" s="1">
        <f>MIN($G250)</f>
        <v>0</v>
      </c>
      <c r="N250" s="1">
        <f>MIN($H250)</f>
        <v>0</v>
      </c>
      <c r="O250" s="1">
        <f>MEDIAN($B250)</f>
        <v>0</v>
      </c>
      <c r="P250" s="1">
        <f>MEDIAN($C250)</f>
        <v>0</v>
      </c>
      <c r="Q250" s="1">
        <f>MEDIAN($D250)</f>
        <v>0</v>
      </c>
      <c r="R250" s="1">
        <f>MEDIAN($E250)</f>
        <v>0</v>
      </c>
      <c r="S250" s="1">
        <f>MEDIAN($G250)</f>
        <v>0</v>
      </c>
      <c r="T250" s="1">
        <f>MEDIAN($H250)</f>
        <v>0</v>
      </c>
      <c r="U250" s="1">
        <f>MAX($B250)</f>
        <v>0</v>
      </c>
      <c r="V250" s="1">
        <f>MAX($C250)</f>
        <v>0</v>
      </c>
      <c r="W250" s="1">
        <f>MAX($D250)</f>
        <v>0</v>
      </c>
      <c r="X250" s="1">
        <f>MAX($E250)</f>
        <v>0</v>
      </c>
      <c r="Y250" s="1">
        <f>MAX($G250)</f>
        <v>0</v>
      </c>
      <c r="Z250" s="1">
        <f>MAX($H250)</f>
        <v>0</v>
      </c>
    </row>
    <row r="251" spans="1:26">
      <c r="A251" s="1" t="s">
        <v>248</v>
      </c>
      <c r="B251" s="1">
        <v>1</v>
      </c>
      <c r="C251" s="1">
        <v>0</v>
      </c>
      <c r="D251" s="1">
        <v>0</v>
      </c>
      <c r="E251" s="1">
        <v>3000</v>
      </c>
      <c r="F251" s="1" t="s">
        <v>374</v>
      </c>
      <c r="G251" s="1">
        <v>1500</v>
      </c>
      <c r="H251" s="1">
        <v>1</v>
      </c>
      <c r="I251" s="1">
        <f>MIN($B251)</f>
        <v>0</v>
      </c>
      <c r="J251" s="1">
        <f>MIN($C251)</f>
        <v>0</v>
      </c>
      <c r="K251" s="1">
        <f>MIN($D251)</f>
        <v>0</v>
      </c>
      <c r="L251" s="1">
        <f>MIN($E251)</f>
        <v>0</v>
      </c>
      <c r="M251" s="1">
        <f>MIN($G251)</f>
        <v>0</v>
      </c>
      <c r="N251" s="1">
        <f>MIN($H251)</f>
        <v>0</v>
      </c>
      <c r="O251" s="1">
        <f>MEDIAN($B251)</f>
        <v>0</v>
      </c>
      <c r="P251" s="1">
        <f>MEDIAN($C251)</f>
        <v>0</v>
      </c>
      <c r="Q251" s="1">
        <f>MEDIAN($D251)</f>
        <v>0</v>
      </c>
      <c r="R251" s="1">
        <f>MEDIAN($E251)</f>
        <v>0</v>
      </c>
      <c r="S251" s="1">
        <f>MEDIAN($G251)</f>
        <v>0</v>
      </c>
      <c r="T251" s="1">
        <f>MEDIAN($H251)</f>
        <v>0</v>
      </c>
      <c r="U251" s="1">
        <f>MAX($B251)</f>
        <v>0</v>
      </c>
      <c r="V251" s="1">
        <f>MAX($C251)</f>
        <v>0</v>
      </c>
      <c r="W251" s="1">
        <f>MAX($D251)</f>
        <v>0</v>
      </c>
      <c r="X251" s="1">
        <f>MAX($E251)</f>
        <v>0</v>
      </c>
      <c r="Y251" s="1">
        <f>MAX($G251)</f>
        <v>0</v>
      </c>
      <c r="Z251" s="1">
        <f>MAX($H251)</f>
        <v>0</v>
      </c>
    </row>
    <row r="252" spans="1:26">
      <c r="A252" s="1" t="s">
        <v>249</v>
      </c>
      <c r="B252" s="1">
        <v>1</v>
      </c>
      <c r="C252" s="1">
        <v>0</v>
      </c>
      <c r="D252" s="1">
        <v>0</v>
      </c>
      <c r="E252" s="1">
        <v>3000</v>
      </c>
      <c r="F252" s="1" t="s">
        <v>374</v>
      </c>
      <c r="G252" s="1">
        <v>1500</v>
      </c>
      <c r="H252" s="1">
        <v>1</v>
      </c>
      <c r="I252" s="1">
        <f>MIN($B252)</f>
        <v>0</v>
      </c>
      <c r="J252" s="1">
        <f>MIN($C252)</f>
        <v>0</v>
      </c>
      <c r="K252" s="1">
        <f>MIN($D252)</f>
        <v>0</v>
      </c>
      <c r="L252" s="1">
        <f>MIN($E252)</f>
        <v>0</v>
      </c>
      <c r="M252" s="1">
        <f>MIN($G252)</f>
        <v>0</v>
      </c>
      <c r="N252" s="1">
        <f>MIN($H252)</f>
        <v>0</v>
      </c>
      <c r="O252" s="1">
        <f>MEDIAN($B252)</f>
        <v>0</v>
      </c>
      <c r="P252" s="1">
        <f>MEDIAN($C252)</f>
        <v>0</v>
      </c>
      <c r="Q252" s="1">
        <f>MEDIAN($D252)</f>
        <v>0</v>
      </c>
      <c r="R252" s="1">
        <f>MEDIAN($E252)</f>
        <v>0</v>
      </c>
      <c r="S252" s="1">
        <f>MEDIAN($G252)</f>
        <v>0</v>
      </c>
      <c r="T252" s="1">
        <f>MEDIAN($H252)</f>
        <v>0</v>
      </c>
      <c r="U252" s="1">
        <f>MAX($B252)</f>
        <v>0</v>
      </c>
      <c r="V252" s="1">
        <f>MAX($C252)</f>
        <v>0</v>
      </c>
      <c r="W252" s="1">
        <f>MAX($D252)</f>
        <v>0</v>
      </c>
      <c r="X252" s="1">
        <f>MAX($E252)</f>
        <v>0</v>
      </c>
      <c r="Y252" s="1">
        <f>MAX($G252)</f>
        <v>0</v>
      </c>
      <c r="Z252" s="1">
        <f>MAX($H252)</f>
        <v>0</v>
      </c>
    </row>
    <row r="253" spans="1:26">
      <c r="A253" s="1" t="s">
        <v>250</v>
      </c>
      <c r="B253" s="1">
        <v>1</v>
      </c>
      <c r="C253" s="1">
        <v>0</v>
      </c>
      <c r="D253" s="1">
        <v>0</v>
      </c>
      <c r="E253" s="1">
        <v>3000</v>
      </c>
      <c r="F253" s="1" t="s">
        <v>374</v>
      </c>
      <c r="G253" s="1">
        <v>1500</v>
      </c>
      <c r="H253" s="1">
        <v>1</v>
      </c>
      <c r="I253" s="1">
        <f>MIN($B253)</f>
        <v>0</v>
      </c>
      <c r="J253" s="1">
        <f>MIN($C253)</f>
        <v>0</v>
      </c>
      <c r="K253" s="1">
        <f>MIN($D253)</f>
        <v>0</v>
      </c>
      <c r="L253" s="1">
        <f>MIN($E253)</f>
        <v>0</v>
      </c>
      <c r="M253" s="1">
        <f>MIN($G253)</f>
        <v>0</v>
      </c>
      <c r="N253" s="1">
        <f>MIN($H253)</f>
        <v>0</v>
      </c>
      <c r="O253" s="1">
        <f>MEDIAN($B253)</f>
        <v>0</v>
      </c>
      <c r="P253" s="1">
        <f>MEDIAN($C253)</f>
        <v>0</v>
      </c>
      <c r="Q253" s="1">
        <f>MEDIAN($D253)</f>
        <v>0</v>
      </c>
      <c r="R253" s="1">
        <f>MEDIAN($E253)</f>
        <v>0</v>
      </c>
      <c r="S253" s="1">
        <f>MEDIAN($G253)</f>
        <v>0</v>
      </c>
      <c r="T253" s="1">
        <f>MEDIAN($H253)</f>
        <v>0</v>
      </c>
      <c r="U253" s="1">
        <f>MAX($B253)</f>
        <v>0</v>
      </c>
      <c r="V253" s="1">
        <f>MAX($C253)</f>
        <v>0</v>
      </c>
      <c r="W253" s="1">
        <f>MAX($D253)</f>
        <v>0</v>
      </c>
      <c r="X253" s="1">
        <f>MAX($E253)</f>
        <v>0</v>
      </c>
      <c r="Y253" s="1">
        <f>MAX($G253)</f>
        <v>0</v>
      </c>
      <c r="Z253" s="1">
        <f>MAX($H253)</f>
        <v>0</v>
      </c>
    </row>
    <row r="254" spans="1:26">
      <c r="A254" s="1" t="s">
        <v>251</v>
      </c>
      <c r="B254" s="1">
        <v>1</v>
      </c>
      <c r="C254" s="1">
        <v>0</v>
      </c>
      <c r="D254" s="1">
        <v>0</v>
      </c>
      <c r="E254" s="1">
        <v>3000</v>
      </c>
      <c r="F254" s="1" t="s">
        <v>374</v>
      </c>
      <c r="G254" s="1">
        <v>1500</v>
      </c>
      <c r="H254" s="1">
        <v>1</v>
      </c>
      <c r="I254" s="1">
        <f>MIN($B254)</f>
        <v>0</v>
      </c>
      <c r="J254" s="1">
        <f>MIN($C254)</f>
        <v>0</v>
      </c>
      <c r="K254" s="1">
        <f>MIN($D254)</f>
        <v>0</v>
      </c>
      <c r="L254" s="1">
        <f>MIN($E254)</f>
        <v>0</v>
      </c>
      <c r="M254" s="1">
        <f>MIN($G254)</f>
        <v>0</v>
      </c>
      <c r="N254" s="1">
        <f>MIN($H254)</f>
        <v>0</v>
      </c>
      <c r="O254" s="1">
        <f>MEDIAN($B254)</f>
        <v>0</v>
      </c>
      <c r="P254" s="1">
        <f>MEDIAN($C254)</f>
        <v>0</v>
      </c>
      <c r="Q254" s="1">
        <f>MEDIAN($D254)</f>
        <v>0</v>
      </c>
      <c r="R254" s="1">
        <f>MEDIAN($E254)</f>
        <v>0</v>
      </c>
      <c r="S254" s="1">
        <f>MEDIAN($G254)</f>
        <v>0</v>
      </c>
      <c r="T254" s="1">
        <f>MEDIAN($H254)</f>
        <v>0</v>
      </c>
      <c r="U254" s="1">
        <f>MAX($B254)</f>
        <v>0</v>
      </c>
      <c r="V254" s="1">
        <f>MAX($C254)</f>
        <v>0</v>
      </c>
      <c r="W254" s="1">
        <f>MAX($D254)</f>
        <v>0</v>
      </c>
      <c r="X254" s="1">
        <f>MAX($E254)</f>
        <v>0</v>
      </c>
      <c r="Y254" s="1">
        <f>MAX($G254)</f>
        <v>0</v>
      </c>
      <c r="Z254" s="1">
        <f>MAX($H254)</f>
        <v>0</v>
      </c>
    </row>
    <row r="255" spans="1:26">
      <c r="A255" s="1" t="s">
        <v>252</v>
      </c>
      <c r="B255" s="1">
        <v>1</v>
      </c>
      <c r="C255" s="1">
        <v>0</v>
      </c>
      <c r="D255" s="1">
        <v>0</v>
      </c>
      <c r="E255" s="1">
        <v>3000</v>
      </c>
      <c r="F255" s="1" t="s">
        <v>374</v>
      </c>
      <c r="G255" s="1">
        <v>1500</v>
      </c>
      <c r="H255" s="1">
        <v>1</v>
      </c>
      <c r="I255" s="1">
        <f>MIN($B255)</f>
        <v>0</v>
      </c>
      <c r="J255" s="1">
        <f>MIN($C255)</f>
        <v>0</v>
      </c>
      <c r="K255" s="1">
        <f>MIN($D255)</f>
        <v>0</v>
      </c>
      <c r="L255" s="1">
        <f>MIN($E255)</f>
        <v>0</v>
      </c>
      <c r="M255" s="1">
        <f>MIN($G255)</f>
        <v>0</v>
      </c>
      <c r="N255" s="1">
        <f>MIN($H255)</f>
        <v>0</v>
      </c>
      <c r="O255" s="1">
        <f>MEDIAN($B255)</f>
        <v>0</v>
      </c>
      <c r="P255" s="1">
        <f>MEDIAN($C255)</f>
        <v>0</v>
      </c>
      <c r="Q255" s="1">
        <f>MEDIAN($D255)</f>
        <v>0</v>
      </c>
      <c r="R255" s="1">
        <f>MEDIAN($E255)</f>
        <v>0</v>
      </c>
      <c r="S255" s="1">
        <f>MEDIAN($G255)</f>
        <v>0</v>
      </c>
      <c r="T255" s="1">
        <f>MEDIAN($H255)</f>
        <v>0</v>
      </c>
      <c r="U255" s="1">
        <f>MAX($B255)</f>
        <v>0</v>
      </c>
      <c r="V255" s="1">
        <f>MAX($C255)</f>
        <v>0</v>
      </c>
      <c r="W255" s="1">
        <f>MAX($D255)</f>
        <v>0</v>
      </c>
      <c r="X255" s="1">
        <f>MAX($E255)</f>
        <v>0</v>
      </c>
      <c r="Y255" s="1">
        <f>MAX($G255)</f>
        <v>0</v>
      </c>
      <c r="Z255" s="1">
        <f>MAX($H255)</f>
        <v>0</v>
      </c>
    </row>
    <row r="256" spans="1:26">
      <c r="A256" s="1" t="s">
        <v>253</v>
      </c>
      <c r="B256" s="1">
        <v>1</v>
      </c>
      <c r="C256" s="1">
        <v>0</v>
      </c>
      <c r="D256" s="1">
        <v>0</v>
      </c>
      <c r="E256" s="1">
        <v>3000</v>
      </c>
      <c r="F256" s="1" t="s">
        <v>374</v>
      </c>
      <c r="G256" s="1">
        <v>1500</v>
      </c>
      <c r="H256" s="1">
        <v>1</v>
      </c>
      <c r="I256" s="1">
        <f>MIN($B256)</f>
        <v>0</v>
      </c>
      <c r="J256" s="1">
        <f>MIN($C256)</f>
        <v>0</v>
      </c>
      <c r="K256" s="1">
        <f>MIN($D256)</f>
        <v>0</v>
      </c>
      <c r="L256" s="1">
        <f>MIN($E256)</f>
        <v>0</v>
      </c>
      <c r="M256" s="1">
        <f>MIN($G256)</f>
        <v>0</v>
      </c>
      <c r="N256" s="1">
        <f>MIN($H256)</f>
        <v>0</v>
      </c>
      <c r="O256" s="1">
        <f>MEDIAN($B256)</f>
        <v>0</v>
      </c>
      <c r="P256" s="1">
        <f>MEDIAN($C256)</f>
        <v>0</v>
      </c>
      <c r="Q256" s="1">
        <f>MEDIAN($D256)</f>
        <v>0</v>
      </c>
      <c r="R256" s="1">
        <f>MEDIAN($E256)</f>
        <v>0</v>
      </c>
      <c r="S256" s="1">
        <f>MEDIAN($G256)</f>
        <v>0</v>
      </c>
      <c r="T256" s="1">
        <f>MEDIAN($H256)</f>
        <v>0</v>
      </c>
      <c r="U256" s="1">
        <f>MAX($B256)</f>
        <v>0</v>
      </c>
      <c r="V256" s="1">
        <f>MAX($C256)</f>
        <v>0</v>
      </c>
      <c r="W256" s="1">
        <f>MAX($D256)</f>
        <v>0</v>
      </c>
      <c r="X256" s="1">
        <f>MAX($E256)</f>
        <v>0</v>
      </c>
      <c r="Y256" s="1">
        <f>MAX($G256)</f>
        <v>0</v>
      </c>
      <c r="Z256" s="1">
        <f>MAX($H256)</f>
        <v>0</v>
      </c>
    </row>
    <row r="257" spans="1:26">
      <c r="A257" s="1" t="s">
        <v>254</v>
      </c>
      <c r="B257" s="1">
        <v>1</v>
      </c>
      <c r="C257" s="1">
        <v>0</v>
      </c>
      <c r="D257" s="1">
        <v>0</v>
      </c>
      <c r="E257" s="1">
        <v>3000</v>
      </c>
      <c r="F257" s="1" t="s">
        <v>374</v>
      </c>
      <c r="G257" s="1">
        <v>1500</v>
      </c>
      <c r="H257" s="1">
        <v>1</v>
      </c>
      <c r="I257" s="1">
        <f>MIN($B257)</f>
        <v>0</v>
      </c>
      <c r="J257" s="1">
        <f>MIN($C257)</f>
        <v>0</v>
      </c>
      <c r="K257" s="1">
        <f>MIN($D257)</f>
        <v>0</v>
      </c>
      <c r="L257" s="1">
        <f>MIN($E257)</f>
        <v>0</v>
      </c>
      <c r="M257" s="1">
        <f>MIN($G257)</f>
        <v>0</v>
      </c>
      <c r="N257" s="1">
        <f>MIN($H257)</f>
        <v>0</v>
      </c>
      <c r="O257" s="1">
        <f>MEDIAN($B257)</f>
        <v>0</v>
      </c>
      <c r="P257" s="1">
        <f>MEDIAN($C257)</f>
        <v>0</v>
      </c>
      <c r="Q257" s="1">
        <f>MEDIAN($D257)</f>
        <v>0</v>
      </c>
      <c r="R257" s="1">
        <f>MEDIAN($E257)</f>
        <v>0</v>
      </c>
      <c r="S257" s="1">
        <f>MEDIAN($G257)</f>
        <v>0</v>
      </c>
      <c r="T257" s="1">
        <f>MEDIAN($H257)</f>
        <v>0</v>
      </c>
      <c r="U257" s="1">
        <f>MAX($B257)</f>
        <v>0</v>
      </c>
      <c r="V257" s="1">
        <f>MAX($C257)</f>
        <v>0</v>
      </c>
      <c r="W257" s="1">
        <f>MAX($D257)</f>
        <v>0</v>
      </c>
      <c r="X257" s="1">
        <f>MAX($E257)</f>
        <v>0</v>
      </c>
      <c r="Y257" s="1">
        <f>MAX($G257)</f>
        <v>0</v>
      </c>
      <c r="Z257" s="1">
        <f>MAX($H257)</f>
        <v>0</v>
      </c>
    </row>
    <row r="258" spans="1:26">
      <c r="A258" s="1" t="s">
        <v>255</v>
      </c>
      <c r="B258" s="1">
        <v>1</v>
      </c>
      <c r="C258" s="1">
        <v>0</v>
      </c>
      <c r="D258" s="1">
        <v>0</v>
      </c>
      <c r="E258" s="1">
        <v>3000</v>
      </c>
      <c r="F258" s="1" t="s">
        <v>374</v>
      </c>
      <c r="G258" s="1">
        <v>1500</v>
      </c>
      <c r="H258" s="1">
        <v>1</v>
      </c>
      <c r="I258" s="1">
        <f>MIN($B258)</f>
        <v>0</v>
      </c>
      <c r="J258" s="1">
        <f>MIN($C258)</f>
        <v>0</v>
      </c>
      <c r="K258" s="1">
        <f>MIN($D258)</f>
        <v>0</v>
      </c>
      <c r="L258" s="1">
        <f>MIN($E258)</f>
        <v>0</v>
      </c>
      <c r="M258" s="1">
        <f>MIN($G258)</f>
        <v>0</v>
      </c>
      <c r="N258" s="1">
        <f>MIN($H258)</f>
        <v>0</v>
      </c>
      <c r="O258" s="1">
        <f>MEDIAN($B258)</f>
        <v>0</v>
      </c>
      <c r="P258" s="1">
        <f>MEDIAN($C258)</f>
        <v>0</v>
      </c>
      <c r="Q258" s="1">
        <f>MEDIAN($D258)</f>
        <v>0</v>
      </c>
      <c r="R258" s="1">
        <f>MEDIAN($E258)</f>
        <v>0</v>
      </c>
      <c r="S258" s="1">
        <f>MEDIAN($G258)</f>
        <v>0</v>
      </c>
      <c r="T258" s="1">
        <f>MEDIAN($H258)</f>
        <v>0</v>
      </c>
      <c r="U258" s="1">
        <f>MAX($B258)</f>
        <v>0</v>
      </c>
      <c r="V258" s="1">
        <f>MAX($C258)</f>
        <v>0</v>
      </c>
      <c r="W258" s="1">
        <f>MAX($D258)</f>
        <v>0</v>
      </c>
      <c r="X258" s="1">
        <f>MAX($E258)</f>
        <v>0</v>
      </c>
      <c r="Y258" s="1">
        <f>MAX($G258)</f>
        <v>0</v>
      </c>
      <c r="Z258" s="1">
        <f>MAX($H258)</f>
        <v>0</v>
      </c>
    </row>
    <row r="259" spans="1:26">
      <c r="A259" s="1" t="s">
        <v>256</v>
      </c>
      <c r="B259" s="1">
        <v>1</v>
      </c>
      <c r="C259" s="1">
        <v>0</v>
      </c>
      <c r="D259" s="1">
        <v>0</v>
      </c>
      <c r="E259" s="1">
        <v>3000</v>
      </c>
      <c r="F259" s="1" t="s">
        <v>374</v>
      </c>
      <c r="G259" s="1">
        <v>1500</v>
      </c>
      <c r="H259" s="1">
        <v>1</v>
      </c>
      <c r="I259" s="1">
        <f>MIN($B259)</f>
        <v>0</v>
      </c>
      <c r="J259" s="1">
        <f>MIN($C259)</f>
        <v>0</v>
      </c>
      <c r="K259" s="1">
        <f>MIN($D259)</f>
        <v>0</v>
      </c>
      <c r="L259" s="1">
        <f>MIN($E259)</f>
        <v>0</v>
      </c>
      <c r="M259" s="1">
        <f>MIN($G259)</f>
        <v>0</v>
      </c>
      <c r="N259" s="1">
        <f>MIN($H259)</f>
        <v>0</v>
      </c>
      <c r="O259" s="1">
        <f>MEDIAN($B259)</f>
        <v>0</v>
      </c>
      <c r="P259" s="1">
        <f>MEDIAN($C259)</f>
        <v>0</v>
      </c>
      <c r="Q259" s="1">
        <f>MEDIAN($D259)</f>
        <v>0</v>
      </c>
      <c r="R259" s="1">
        <f>MEDIAN($E259)</f>
        <v>0</v>
      </c>
      <c r="S259" s="1">
        <f>MEDIAN($G259)</f>
        <v>0</v>
      </c>
      <c r="T259" s="1">
        <f>MEDIAN($H259)</f>
        <v>0</v>
      </c>
      <c r="U259" s="1">
        <f>MAX($B259)</f>
        <v>0</v>
      </c>
      <c r="V259" s="1">
        <f>MAX($C259)</f>
        <v>0</v>
      </c>
      <c r="W259" s="1">
        <f>MAX($D259)</f>
        <v>0</v>
      </c>
      <c r="X259" s="1">
        <f>MAX($E259)</f>
        <v>0</v>
      </c>
      <c r="Y259" s="1">
        <f>MAX($G259)</f>
        <v>0</v>
      </c>
      <c r="Z259" s="1">
        <f>MAX($H259)</f>
        <v>0</v>
      </c>
    </row>
    <row r="260" spans="1:26">
      <c r="A260" s="1" t="s">
        <v>257</v>
      </c>
      <c r="B260" s="1">
        <v>1</v>
      </c>
      <c r="C260" s="1">
        <v>0</v>
      </c>
      <c r="D260" s="1">
        <v>0</v>
      </c>
      <c r="E260" s="1">
        <v>3000</v>
      </c>
      <c r="F260" s="1" t="s">
        <v>374</v>
      </c>
      <c r="G260" s="1">
        <v>1500</v>
      </c>
      <c r="H260" s="1">
        <v>1</v>
      </c>
      <c r="I260" s="1">
        <f>MIN($B260)</f>
        <v>0</v>
      </c>
      <c r="J260" s="1">
        <f>MIN($C260)</f>
        <v>0</v>
      </c>
      <c r="K260" s="1">
        <f>MIN($D260)</f>
        <v>0</v>
      </c>
      <c r="L260" s="1">
        <f>MIN($E260)</f>
        <v>0</v>
      </c>
      <c r="M260" s="1">
        <f>MIN($G260)</f>
        <v>0</v>
      </c>
      <c r="N260" s="1">
        <f>MIN($H260)</f>
        <v>0</v>
      </c>
      <c r="O260" s="1">
        <f>MEDIAN($B260)</f>
        <v>0</v>
      </c>
      <c r="P260" s="1">
        <f>MEDIAN($C260)</f>
        <v>0</v>
      </c>
      <c r="Q260" s="1">
        <f>MEDIAN($D260)</f>
        <v>0</v>
      </c>
      <c r="R260" s="1">
        <f>MEDIAN($E260)</f>
        <v>0</v>
      </c>
      <c r="S260" s="1">
        <f>MEDIAN($G260)</f>
        <v>0</v>
      </c>
      <c r="T260" s="1">
        <f>MEDIAN($H260)</f>
        <v>0</v>
      </c>
      <c r="U260" s="1">
        <f>MAX($B260)</f>
        <v>0</v>
      </c>
      <c r="V260" s="1">
        <f>MAX($C260)</f>
        <v>0</v>
      </c>
      <c r="W260" s="1">
        <f>MAX($D260)</f>
        <v>0</v>
      </c>
      <c r="X260" s="1">
        <f>MAX($E260)</f>
        <v>0</v>
      </c>
      <c r="Y260" s="1">
        <f>MAX($G260)</f>
        <v>0</v>
      </c>
      <c r="Z260" s="1">
        <f>MAX($H260)</f>
        <v>0</v>
      </c>
    </row>
    <row r="261" spans="1:26">
      <c r="A261" s="1" t="s">
        <v>258</v>
      </c>
      <c r="B261" s="1">
        <v>1</v>
      </c>
      <c r="C261" s="1">
        <v>0</v>
      </c>
      <c r="D261" s="1">
        <v>0</v>
      </c>
      <c r="E261" s="1">
        <v>3000</v>
      </c>
      <c r="F261" s="1" t="s">
        <v>374</v>
      </c>
      <c r="G261" s="1">
        <v>1500</v>
      </c>
      <c r="H261" s="1">
        <v>1</v>
      </c>
      <c r="I261" s="1">
        <f>MIN($B261)</f>
        <v>0</v>
      </c>
      <c r="J261" s="1">
        <f>MIN($C261)</f>
        <v>0</v>
      </c>
      <c r="K261" s="1">
        <f>MIN($D261)</f>
        <v>0</v>
      </c>
      <c r="L261" s="1">
        <f>MIN($E261)</f>
        <v>0</v>
      </c>
      <c r="M261" s="1">
        <f>MIN($G261)</f>
        <v>0</v>
      </c>
      <c r="N261" s="1">
        <f>MIN($H261)</f>
        <v>0</v>
      </c>
      <c r="O261" s="1">
        <f>MEDIAN($B261)</f>
        <v>0</v>
      </c>
      <c r="P261" s="1">
        <f>MEDIAN($C261)</f>
        <v>0</v>
      </c>
      <c r="Q261" s="1">
        <f>MEDIAN($D261)</f>
        <v>0</v>
      </c>
      <c r="R261" s="1">
        <f>MEDIAN($E261)</f>
        <v>0</v>
      </c>
      <c r="S261" s="1">
        <f>MEDIAN($G261)</f>
        <v>0</v>
      </c>
      <c r="T261" s="1">
        <f>MEDIAN($H261)</f>
        <v>0</v>
      </c>
      <c r="U261" s="1">
        <f>MAX($B261)</f>
        <v>0</v>
      </c>
      <c r="V261" s="1">
        <f>MAX($C261)</f>
        <v>0</v>
      </c>
      <c r="W261" s="1">
        <f>MAX($D261)</f>
        <v>0</v>
      </c>
      <c r="X261" s="1">
        <f>MAX($E261)</f>
        <v>0</v>
      </c>
      <c r="Y261" s="1">
        <f>MAX($G261)</f>
        <v>0</v>
      </c>
      <c r="Z261" s="1">
        <f>MAX($H261)</f>
        <v>0</v>
      </c>
    </row>
    <row r="262" spans="1:26">
      <c r="A262" s="1" t="s">
        <v>259</v>
      </c>
      <c r="B262" s="1">
        <v>1</v>
      </c>
      <c r="C262" s="1">
        <v>0</v>
      </c>
      <c r="D262" s="1">
        <v>0</v>
      </c>
      <c r="E262" s="1">
        <v>3000</v>
      </c>
      <c r="F262" s="1" t="s">
        <v>374</v>
      </c>
      <c r="G262" s="1">
        <v>1500</v>
      </c>
      <c r="H262" s="1">
        <v>1</v>
      </c>
      <c r="I262" s="1">
        <f>MIN($B262)</f>
        <v>0</v>
      </c>
      <c r="J262" s="1">
        <f>MIN($C262)</f>
        <v>0</v>
      </c>
      <c r="K262" s="1">
        <f>MIN($D262)</f>
        <v>0</v>
      </c>
      <c r="L262" s="1">
        <f>MIN($E262)</f>
        <v>0</v>
      </c>
      <c r="M262" s="1">
        <f>MIN($G262)</f>
        <v>0</v>
      </c>
      <c r="N262" s="1">
        <f>MIN($H262)</f>
        <v>0</v>
      </c>
      <c r="O262" s="1">
        <f>MEDIAN($B262)</f>
        <v>0</v>
      </c>
      <c r="P262" s="1">
        <f>MEDIAN($C262)</f>
        <v>0</v>
      </c>
      <c r="Q262" s="1">
        <f>MEDIAN($D262)</f>
        <v>0</v>
      </c>
      <c r="R262" s="1">
        <f>MEDIAN($E262)</f>
        <v>0</v>
      </c>
      <c r="S262" s="1">
        <f>MEDIAN($G262)</f>
        <v>0</v>
      </c>
      <c r="T262" s="1">
        <f>MEDIAN($H262)</f>
        <v>0</v>
      </c>
      <c r="U262" s="1">
        <f>MAX($B262)</f>
        <v>0</v>
      </c>
      <c r="V262" s="1">
        <f>MAX($C262)</f>
        <v>0</v>
      </c>
      <c r="W262" s="1">
        <f>MAX($D262)</f>
        <v>0</v>
      </c>
      <c r="X262" s="1">
        <f>MAX($E262)</f>
        <v>0</v>
      </c>
      <c r="Y262" s="1">
        <f>MAX($G262)</f>
        <v>0</v>
      </c>
      <c r="Z262" s="1">
        <f>MAX($H262)</f>
        <v>0</v>
      </c>
    </row>
    <row r="263" spans="1:26">
      <c r="A263" s="1" t="s">
        <v>260</v>
      </c>
      <c r="B263" s="1">
        <v>1</v>
      </c>
      <c r="C263" s="1">
        <v>0</v>
      </c>
      <c r="D263" s="1">
        <v>0</v>
      </c>
      <c r="E263" s="1">
        <v>3000</v>
      </c>
      <c r="F263" s="1" t="s">
        <v>374</v>
      </c>
      <c r="G263" s="1">
        <v>1500</v>
      </c>
      <c r="H263" s="1">
        <v>1</v>
      </c>
      <c r="I263" s="1">
        <f>MIN($B263)</f>
        <v>0</v>
      </c>
      <c r="J263" s="1">
        <f>MIN($C263)</f>
        <v>0</v>
      </c>
      <c r="K263" s="1">
        <f>MIN($D263)</f>
        <v>0</v>
      </c>
      <c r="L263" s="1">
        <f>MIN($E263)</f>
        <v>0</v>
      </c>
      <c r="M263" s="1">
        <f>MIN($G263)</f>
        <v>0</v>
      </c>
      <c r="N263" s="1">
        <f>MIN($H263)</f>
        <v>0</v>
      </c>
      <c r="O263" s="1">
        <f>MEDIAN($B263)</f>
        <v>0</v>
      </c>
      <c r="P263" s="1">
        <f>MEDIAN($C263)</f>
        <v>0</v>
      </c>
      <c r="Q263" s="1">
        <f>MEDIAN($D263)</f>
        <v>0</v>
      </c>
      <c r="R263" s="1">
        <f>MEDIAN($E263)</f>
        <v>0</v>
      </c>
      <c r="S263" s="1">
        <f>MEDIAN($G263)</f>
        <v>0</v>
      </c>
      <c r="T263" s="1">
        <f>MEDIAN($H263)</f>
        <v>0</v>
      </c>
      <c r="U263" s="1">
        <f>MAX($B263)</f>
        <v>0</v>
      </c>
      <c r="V263" s="1">
        <f>MAX($C263)</f>
        <v>0</v>
      </c>
      <c r="W263" s="1">
        <f>MAX($D263)</f>
        <v>0</v>
      </c>
      <c r="X263" s="1">
        <f>MAX($E263)</f>
        <v>0</v>
      </c>
      <c r="Y263" s="1">
        <f>MAX($G263)</f>
        <v>0</v>
      </c>
      <c r="Z263" s="1">
        <f>MAX($H263)</f>
        <v>0</v>
      </c>
    </row>
    <row r="264" spans="1:26">
      <c r="A264" s="1" t="s">
        <v>261</v>
      </c>
      <c r="B264" s="1">
        <v>1</v>
      </c>
      <c r="C264" s="1">
        <v>0</v>
      </c>
      <c r="D264" s="1">
        <v>0</v>
      </c>
      <c r="E264" s="1">
        <v>3000</v>
      </c>
      <c r="F264" s="1" t="s">
        <v>374</v>
      </c>
      <c r="G264" s="1">
        <v>1500</v>
      </c>
      <c r="H264" s="1">
        <v>1</v>
      </c>
      <c r="I264" s="1">
        <f>MIN($B264)</f>
        <v>0</v>
      </c>
      <c r="J264" s="1">
        <f>MIN($C264)</f>
        <v>0</v>
      </c>
      <c r="K264" s="1">
        <f>MIN($D264)</f>
        <v>0</v>
      </c>
      <c r="L264" s="1">
        <f>MIN($E264)</f>
        <v>0</v>
      </c>
      <c r="M264" s="1">
        <f>MIN($G264)</f>
        <v>0</v>
      </c>
      <c r="N264" s="1">
        <f>MIN($H264)</f>
        <v>0</v>
      </c>
      <c r="O264" s="1">
        <f>MEDIAN($B264)</f>
        <v>0</v>
      </c>
      <c r="P264" s="1">
        <f>MEDIAN($C264)</f>
        <v>0</v>
      </c>
      <c r="Q264" s="1">
        <f>MEDIAN($D264)</f>
        <v>0</v>
      </c>
      <c r="R264" s="1">
        <f>MEDIAN($E264)</f>
        <v>0</v>
      </c>
      <c r="S264" s="1">
        <f>MEDIAN($G264)</f>
        <v>0</v>
      </c>
      <c r="T264" s="1">
        <f>MEDIAN($H264)</f>
        <v>0</v>
      </c>
      <c r="U264" s="1">
        <f>MAX($B264)</f>
        <v>0</v>
      </c>
      <c r="V264" s="1">
        <f>MAX($C264)</f>
        <v>0</v>
      </c>
      <c r="W264" s="1">
        <f>MAX($D264)</f>
        <v>0</v>
      </c>
      <c r="X264" s="1">
        <f>MAX($E264)</f>
        <v>0</v>
      </c>
      <c r="Y264" s="1">
        <f>MAX($G264)</f>
        <v>0</v>
      </c>
      <c r="Z264" s="1">
        <f>MAX($H264)</f>
        <v>0</v>
      </c>
    </row>
    <row r="265" spans="1:26">
      <c r="A265" s="1" t="s">
        <v>262</v>
      </c>
      <c r="B265" s="1">
        <v>1</v>
      </c>
      <c r="C265" s="1">
        <v>0</v>
      </c>
      <c r="D265" s="1">
        <v>0</v>
      </c>
      <c r="E265" s="1">
        <v>3000</v>
      </c>
      <c r="F265" s="1" t="s">
        <v>374</v>
      </c>
      <c r="G265" s="1">
        <v>1500</v>
      </c>
      <c r="H265" s="1">
        <v>1</v>
      </c>
      <c r="I265" s="1">
        <f>MIN($B265)</f>
        <v>0</v>
      </c>
      <c r="J265" s="1">
        <f>MIN($C265)</f>
        <v>0</v>
      </c>
      <c r="K265" s="1">
        <f>MIN($D265)</f>
        <v>0</v>
      </c>
      <c r="L265" s="1">
        <f>MIN($E265)</f>
        <v>0</v>
      </c>
      <c r="M265" s="1">
        <f>MIN($G265)</f>
        <v>0</v>
      </c>
      <c r="N265" s="1">
        <f>MIN($H265)</f>
        <v>0</v>
      </c>
      <c r="O265" s="1">
        <f>MEDIAN($B265)</f>
        <v>0</v>
      </c>
      <c r="P265" s="1">
        <f>MEDIAN($C265)</f>
        <v>0</v>
      </c>
      <c r="Q265" s="1">
        <f>MEDIAN($D265)</f>
        <v>0</v>
      </c>
      <c r="R265" s="1">
        <f>MEDIAN($E265)</f>
        <v>0</v>
      </c>
      <c r="S265" s="1">
        <f>MEDIAN($G265)</f>
        <v>0</v>
      </c>
      <c r="T265" s="1">
        <f>MEDIAN($H265)</f>
        <v>0</v>
      </c>
      <c r="U265" s="1">
        <f>MAX($B265)</f>
        <v>0</v>
      </c>
      <c r="V265" s="1">
        <f>MAX($C265)</f>
        <v>0</v>
      </c>
      <c r="W265" s="1">
        <f>MAX($D265)</f>
        <v>0</v>
      </c>
      <c r="X265" s="1">
        <f>MAX($E265)</f>
        <v>0</v>
      </c>
      <c r="Y265" s="1">
        <f>MAX($G265)</f>
        <v>0</v>
      </c>
      <c r="Z265" s="1">
        <f>MAX($H265)</f>
        <v>0</v>
      </c>
    </row>
    <row r="266" spans="1:26">
      <c r="A266" s="1" t="s">
        <v>263</v>
      </c>
      <c r="B266" s="1">
        <v>1</v>
      </c>
      <c r="C266" s="1">
        <v>0</v>
      </c>
      <c r="D266" s="1">
        <v>0</v>
      </c>
      <c r="E266" s="1">
        <v>3000</v>
      </c>
      <c r="F266" s="1" t="s">
        <v>374</v>
      </c>
      <c r="G266" s="1">
        <v>1500</v>
      </c>
      <c r="H266" s="1">
        <v>1</v>
      </c>
      <c r="I266" s="1">
        <f>MIN($B266)</f>
        <v>0</v>
      </c>
      <c r="J266" s="1">
        <f>MIN($C266)</f>
        <v>0</v>
      </c>
      <c r="K266" s="1">
        <f>MIN($D266)</f>
        <v>0</v>
      </c>
      <c r="L266" s="1">
        <f>MIN($E266)</f>
        <v>0</v>
      </c>
      <c r="M266" s="1">
        <f>MIN($G266)</f>
        <v>0</v>
      </c>
      <c r="N266" s="1">
        <f>MIN($H266)</f>
        <v>0</v>
      </c>
      <c r="O266" s="1">
        <f>MEDIAN($B266)</f>
        <v>0</v>
      </c>
      <c r="P266" s="1">
        <f>MEDIAN($C266)</f>
        <v>0</v>
      </c>
      <c r="Q266" s="1">
        <f>MEDIAN($D266)</f>
        <v>0</v>
      </c>
      <c r="R266" s="1">
        <f>MEDIAN($E266)</f>
        <v>0</v>
      </c>
      <c r="S266" s="1">
        <f>MEDIAN($G266)</f>
        <v>0</v>
      </c>
      <c r="T266" s="1">
        <f>MEDIAN($H266)</f>
        <v>0</v>
      </c>
      <c r="U266" s="1">
        <f>MAX($B266)</f>
        <v>0</v>
      </c>
      <c r="V266" s="1">
        <f>MAX($C266)</f>
        <v>0</v>
      </c>
      <c r="W266" s="1">
        <f>MAX($D266)</f>
        <v>0</v>
      </c>
      <c r="X266" s="1">
        <f>MAX($E266)</f>
        <v>0</v>
      </c>
      <c r="Y266" s="1">
        <f>MAX($G266)</f>
        <v>0</v>
      </c>
      <c r="Z266" s="1">
        <f>MAX($H266)</f>
        <v>0</v>
      </c>
    </row>
    <row r="267" spans="1:26">
      <c r="A267" s="1" t="s">
        <v>264</v>
      </c>
      <c r="B267" s="1">
        <v>1</v>
      </c>
      <c r="C267" s="1">
        <v>0</v>
      </c>
      <c r="D267" s="1">
        <v>0</v>
      </c>
      <c r="E267" s="1">
        <v>3000</v>
      </c>
      <c r="F267" s="1" t="s">
        <v>374</v>
      </c>
      <c r="G267" s="1">
        <v>1500</v>
      </c>
      <c r="H267" s="1">
        <v>1</v>
      </c>
      <c r="I267" s="1">
        <f>MIN($B267)</f>
        <v>0</v>
      </c>
      <c r="J267" s="1">
        <f>MIN($C267)</f>
        <v>0</v>
      </c>
      <c r="K267" s="1">
        <f>MIN($D267)</f>
        <v>0</v>
      </c>
      <c r="L267" s="1">
        <f>MIN($E267)</f>
        <v>0</v>
      </c>
      <c r="M267" s="1">
        <f>MIN($G267)</f>
        <v>0</v>
      </c>
      <c r="N267" s="1">
        <f>MIN($H267)</f>
        <v>0</v>
      </c>
      <c r="O267" s="1">
        <f>MEDIAN($B267)</f>
        <v>0</v>
      </c>
      <c r="P267" s="1">
        <f>MEDIAN($C267)</f>
        <v>0</v>
      </c>
      <c r="Q267" s="1">
        <f>MEDIAN($D267)</f>
        <v>0</v>
      </c>
      <c r="R267" s="1">
        <f>MEDIAN($E267)</f>
        <v>0</v>
      </c>
      <c r="S267" s="1">
        <f>MEDIAN($G267)</f>
        <v>0</v>
      </c>
      <c r="T267" s="1">
        <f>MEDIAN($H267)</f>
        <v>0</v>
      </c>
      <c r="U267" s="1">
        <f>MAX($B267)</f>
        <v>0</v>
      </c>
      <c r="V267" s="1">
        <f>MAX($C267)</f>
        <v>0</v>
      </c>
      <c r="W267" s="1">
        <f>MAX($D267)</f>
        <v>0</v>
      </c>
      <c r="X267" s="1">
        <f>MAX($E267)</f>
        <v>0</v>
      </c>
      <c r="Y267" s="1">
        <f>MAX($G267)</f>
        <v>0</v>
      </c>
      <c r="Z267" s="1">
        <f>MAX($H267)</f>
        <v>0</v>
      </c>
    </row>
    <row r="268" spans="1:26">
      <c r="A268" s="1" t="s">
        <v>265</v>
      </c>
      <c r="B268" s="1">
        <v>1</v>
      </c>
      <c r="C268" s="1">
        <v>0</v>
      </c>
      <c r="D268" s="1">
        <v>0</v>
      </c>
      <c r="E268" s="1">
        <v>3000</v>
      </c>
      <c r="F268" s="1" t="s">
        <v>374</v>
      </c>
      <c r="G268" s="1">
        <v>1500</v>
      </c>
      <c r="H268" s="1">
        <v>1</v>
      </c>
      <c r="I268" s="1">
        <f>MIN($B268)</f>
        <v>0</v>
      </c>
      <c r="J268" s="1">
        <f>MIN($C268)</f>
        <v>0</v>
      </c>
      <c r="K268" s="1">
        <f>MIN($D268)</f>
        <v>0</v>
      </c>
      <c r="L268" s="1">
        <f>MIN($E268)</f>
        <v>0</v>
      </c>
      <c r="M268" s="1">
        <f>MIN($G268)</f>
        <v>0</v>
      </c>
      <c r="N268" s="1">
        <f>MIN($H268)</f>
        <v>0</v>
      </c>
      <c r="O268" s="1">
        <f>MEDIAN($B268)</f>
        <v>0</v>
      </c>
      <c r="P268" s="1">
        <f>MEDIAN($C268)</f>
        <v>0</v>
      </c>
      <c r="Q268" s="1">
        <f>MEDIAN($D268)</f>
        <v>0</v>
      </c>
      <c r="R268" s="1">
        <f>MEDIAN($E268)</f>
        <v>0</v>
      </c>
      <c r="S268" s="1">
        <f>MEDIAN($G268)</f>
        <v>0</v>
      </c>
      <c r="T268" s="1">
        <f>MEDIAN($H268)</f>
        <v>0</v>
      </c>
      <c r="U268" s="1">
        <f>MAX($B268)</f>
        <v>0</v>
      </c>
      <c r="V268" s="1">
        <f>MAX($C268)</f>
        <v>0</v>
      </c>
      <c r="W268" s="1">
        <f>MAX($D268)</f>
        <v>0</v>
      </c>
      <c r="X268" s="1">
        <f>MAX($E268)</f>
        <v>0</v>
      </c>
      <c r="Y268" s="1">
        <f>MAX($G268)</f>
        <v>0</v>
      </c>
      <c r="Z268" s="1">
        <f>MAX($H268)</f>
        <v>0</v>
      </c>
    </row>
    <row r="269" spans="1:26">
      <c r="A269" s="1" t="s">
        <v>266</v>
      </c>
      <c r="B269" s="1">
        <v>1</v>
      </c>
      <c r="C269" s="1">
        <v>0</v>
      </c>
      <c r="D269" s="1">
        <v>0</v>
      </c>
      <c r="E269" s="1">
        <v>3000</v>
      </c>
      <c r="F269" s="1" t="s">
        <v>374</v>
      </c>
      <c r="G269" s="1">
        <v>1500</v>
      </c>
      <c r="H269" s="1">
        <v>1</v>
      </c>
      <c r="I269" s="1">
        <f>MIN($B269)</f>
        <v>0</v>
      </c>
      <c r="J269" s="1">
        <f>MIN($C269)</f>
        <v>0</v>
      </c>
      <c r="K269" s="1">
        <f>MIN($D269)</f>
        <v>0</v>
      </c>
      <c r="L269" s="1">
        <f>MIN($E269)</f>
        <v>0</v>
      </c>
      <c r="M269" s="1">
        <f>MIN($G269)</f>
        <v>0</v>
      </c>
      <c r="N269" s="1">
        <f>MIN($H269)</f>
        <v>0</v>
      </c>
      <c r="O269" s="1">
        <f>MEDIAN($B269)</f>
        <v>0</v>
      </c>
      <c r="P269" s="1">
        <f>MEDIAN($C269)</f>
        <v>0</v>
      </c>
      <c r="Q269" s="1">
        <f>MEDIAN($D269)</f>
        <v>0</v>
      </c>
      <c r="R269" s="1">
        <f>MEDIAN($E269)</f>
        <v>0</v>
      </c>
      <c r="S269" s="1">
        <f>MEDIAN($G269)</f>
        <v>0</v>
      </c>
      <c r="T269" s="1">
        <f>MEDIAN($H269)</f>
        <v>0</v>
      </c>
      <c r="U269" s="1">
        <f>MAX($B269)</f>
        <v>0</v>
      </c>
      <c r="V269" s="1">
        <f>MAX($C269)</f>
        <v>0</v>
      </c>
      <c r="W269" s="1">
        <f>MAX($D269)</f>
        <v>0</v>
      </c>
      <c r="X269" s="1">
        <f>MAX($E269)</f>
        <v>0</v>
      </c>
      <c r="Y269" s="1">
        <f>MAX($G269)</f>
        <v>0</v>
      </c>
      <c r="Z269" s="1">
        <f>MAX($H269)</f>
        <v>0</v>
      </c>
    </row>
    <row r="270" spans="1:26">
      <c r="A270" s="1" t="s">
        <v>267</v>
      </c>
      <c r="B270" s="1">
        <v>1</v>
      </c>
      <c r="C270" s="1">
        <v>0</v>
      </c>
      <c r="D270" s="1">
        <v>0</v>
      </c>
      <c r="E270" s="1">
        <v>3000</v>
      </c>
      <c r="F270" s="1" t="s">
        <v>374</v>
      </c>
      <c r="G270" s="1">
        <v>1500</v>
      </c>
      <c r="H270" s="1">
        <v>1</v>
      </c>
      <c r="I270" s="1">
        <f>MIN($B270)</f>
        <v>0</v>
      </c>
      <c r="J270" s="1">
        <f>MIN($C270)</f>
        <v>0</v>
      </c>
      <c r="K270" s="1">
        <f>MIN($D270)</f>
        <v>0</v>
      </c>
      <c r="L270" s="1">
        <f>MIN($E270)</f>
        <v>0</v>
      </c>
      <c r="M270" s="1">
        <f>MIN($G270)</f>
        <v>0</v>
      </c>
      <c r="N270" s="1">
        <f>MIN($H270)</f>
        <v>0</v>
      </c>
      <c r="O270" s="1">
        <f>MEDIAN($B270)</f>
        <v>0</v>
      </c>
      <c r="P270" s="1">
        <f>MEDIAN($C270)</f>
        <v>0</v>
      </c>
      <c r="Q270" s="1">
        <f>MEDIAN($D270)</f>
        <v>0</v>
      </c>
      <c r="R270" s="1">
        <f>MEDIAN($E270)</f>
        <v>0</v>
      </c>
      <c r="S270" s="1">
        <f>MEDIAN($G270)</f>
        <v>0</v>
      </c>
      <c r="T270" s="1">
        <f>MEDIAN($H270)</f>
        <v>0</v>
      </c>
      <c r="U270" s="1">
        <f>MAX($B270)</f>
        <v>0</v>
      </c>
      <c r="V270" s="1">
        <f>MAX($C270)</f>
        <v>0</v>
      </c>
      <c r="W270" s="1">
        <f>MAX($D270)</f>
        <v>0</v>
      </c>
      <c r="X270" s="1">
        <f>MAX($E270)</f>
        <v>0</v>
      </c>
      <c r="Y270" s="1">
        <f>MAX($G270)</f>
        <v>0</v>
      </c>
      <c r="Z270" s="1">
        <f>MAX($H270)</f>
        <v>0</v>
      </c>
    </row>
    <row r="271" spans="1:26">
      <c r="A271" s="1" t="s">
        <v>268</v>
      </c>
      <c r="B271" s="1">
        <v>1</v>
      </c>
      <c r="C271" s="1">
        <v>0</v>
      </c>
      <c r="D271" s="1">
        <v>0</v>
      </c>
      <c r="E271" s="1">
        <v>3000</v>
      </c>
      <c r="F271" s="1" t="s">
        <v>374</v>
      </c>
      <c r="G271" s="1">
        <v>1500</v>
      </c>
      <c r="H271" s="1">
        <v>1</v>
      </c>
      <c r="I271" s="1">
        <f>MIN($B271)</f>
        <v>0</v>
      </c>
      <c r="J271" s="1">
        <f>MIN($C271)</f>
        <v>0</v>
      </c>
      <c r="K271" s="1">
        <f>MIN($D271)</f>
        <v>0</v>
      </c>
      <c r="L271" s="1">
        <f>MIN($E271)</f>
        <v>0</v>
      </c>
      <c r="M271" s="1">
        <f>MIN($G271)</f>
        <v>0</v>
      </c>
      <c r="N271" s="1">
        <f>MIN($H271)</f>
        <v>0</v>
      </c>
      <c r="O271" s="1">
        <f>MEDIAN($B271)</f>
        <v>0</v>
      </c>
      <c r="P271" s="1">
        <f>MEDIAN($C271)</f>
        <v>0</v>
      </c>
      <c r="Q271" s="1">
        <f>MEDIAN($D271)</f>
        <v>0</v>
      </c>
      <c r="R271" s="1">
        <f>MEDIAN($E271)</f>
        <v>0</v>
      </c>
      <c r="S271" s="1">
        <f>MEDIAN($G271)</f>
        <v>0</v>
      </c>
      <c r="T271" s="1">
        <f>MEDIAN($H271)</f>
        <v>0</v>
      </c>
      <c r="U271" s="1">
        <f>MAX($B271)</f>
        <v>0</v>
      </c>
      <c r="V271" s="1">
        <f>MAX($C271)</f>
        <v>0</v>
      </c>
      <c r="W271" s="1">
        <f>MAX($D271)</f>
        <v>0</v>
      </c>
      <c r="X271" s="1">
        <f>MAX($E271)</f>
        <v>0</v>
      </c>
      <c r="Y271" s="1">
        <f>MAX($G271)</f>
        <v>0</v>
      </c>
      <c r="Z271" s="1">
        <f>MAX($H271)</f>
        <v>0</v>
      </c>
    </row>
    <row r="272" spans="1:26">
      <c r="A272" s="1" t="s">
        <v>269</v>
      </c>
      <c r="B272" s="1">
        <v>1</v>
      </c>
      <c r="C272" s="1">
        <v>0</v>
      </c>
      <c r="D272" s="1">
        <v>0</v>
      </c>
      <c r="E272" s="1">
        <v>3000</v>
      </c>
      <c r="F272" s="1" t="s">
        <v>374</v>
      </c>
      <c r="G272" s="1">
        <v>1500</v>
      </c>
      <c r="H272" s="1">
        <v>1</v>
      </c>
      <c r="I272" s="1">
        <f>MIN($B272)</f>
        <v>0</v>
      </c>
      <c r="J272" s="1">
        <f>MIN($C272)</f>
        <v>0</v>
      </c>
      <c r="K272" s="1">
        <f>MIN($D272)</f>
        <v>0</v>
      </c>
      <c r="L272" s="1">
        <f>MIN($E272)</f>
        <v>0</v>
      </c>
      <c r="M272" s="1">
        <f>MIN($G272)</f>
        <v>0</v>
      </c>
      <c r="N272" s="1">
        <f>MIN($H272)</f>
        <v>0</v>
      </c>
      <c r="O272" s="1">
        <f>MEDIAN($B272)</f>
        <v>0</v>
      </c>
      <c r="P272" s="1">
        <f>MEDIAN($C272)</f>
        <v>0</v>
      </c>
      <c r="Q272" s="1">
        <f>MEDIAN($D272)</f>
        <v>0</v>
      </c>
      <c r="R272" s="1">
        <f>MEDIAN($E272)</f>
        <v>0</v>
      </c>
      <c r="S272" s="1">
        <f>MEDIAN($G272)</f>
        <v>0</v>
      </c>
      <c r="T272" s="1">
        <f>MEDIAN($H272)</f>
        <v>0</v>
      </c>
      <c r="U272" s="1">
        <f>MAX($B272)</f>
        <v>0</v>
      </c>
      <c r="V272" s="1">
        <f>MAX($C272)</f>
        <v>0</v>
      </c>
      <c r="W272" s="1">
        <f>MAX($D272)</f>
        <v>0</v>
      </c>
      <c r="X272" s="1">
        <f>MAX($E272)</f>
        <v>0</v>
      </c>
      <c r="Y272" s="1">
        <f>MAX($G272)</f>
        <v>0</v>
      </c>
      <c r="Z272" s="1">
        <f>MAX($H272)</f>
        <v>0</v>
      </c>
    </row>
    <row r="273" spans="1:26">
      <c r="A273" s="1" t="s">
        <v>270</v>
      </c>
      <c r="B273" s="1">
        <v>1</v>
      </c>
      <c r="C273" s="1">
        <v>0</v>
      </c>
      <c r="D273" s="1">
        <v>0</v>
      </c>
      <c r="E273" s="1">
        <v>3000</v>
      </c>
      <c r="F273" s="1" t="s">
        <v>374</v>
      </c>
      <c r="G273" s="1">
        <v>1500</v>
      </c>
      <c r="H273" s="1">
        <v>1</v>
      </c>
      <c r="I273" s="1">
        <f>MIN($B273)</f>
        <v>0</v>
      </c>
      <c r="J273" s="1">
        <f>MIN($C273)</f>
        <v>0</v>
      </c>
      <c r="K273" s="1">
        <f>MIN($D273)</f>
        <v>0</v>
      </c>
      <c r="L273" s="1">
        <f>MIN($E273)</f>
        <v>0</v>
      </c>
      <c r="M273" s="1">
        <f>MIN($G273)</f>
        <v>0</v>
      </c>
      <c r="N273" s="1">
        <f>MIN($H273)</f>
        <v>0</v>
      </c>
      <c r="O273" s="1">
        <f>MEDIAN($B273)</f>
        <v>0</v>
      </c>
      <c r="P273" s="1">
        <f>MEDIAN($C273)</f>
        <v>0</v>
      </c>
      <c r="Q273" s="1">
        <f>MEDIAN($D273)</f>
        <v>0</v>
      </c>
      <c r="R273" s="1">
        <f>MEDIAN($E273)</f>
        <v>0</v>
      </c>
      <c r="S273" s="1">
        <f>MEDIAN($G273)</f>
        <v>0</v>
      </c>
      <c r="T273" s="1">
        <f>MEDIAN($H273)</f>
        <v>0</v>
      </c>
      <c r="U273" s="1">
        <f>MAX($B273)</f>
        <v>0</v>
      </c>
      <c r="V273" s="1">
        <f>MAX($C273)</f>
        <v>0</v>
      </c>
      <c r="W273" s="1">
        <f>MAX($D273)</f>
        <v>0</v>
      </c>
      <c r="X273" s="1">
        <f>MAX($E273)</f>
        <v>0</v>
      </c>
      <c r="Y273" s="1">
        <f>MAX($G273)</f>
        <v>0</v>
      </c>
      <c r="Z273" s="1">
        <f>MAX($H273)</f>
        <v>0</v>
      </c>
    </row>
    <row r="274" spans="1:26">
      <c r="A274" s="1" t="s">
        <v>271</v>
      </c>
      <c r="B274" s="1">
        <v>1</v>
      </c>
      <c r="C274" s="1">
        <v>0</v>
      </c>
      <c r="D274" s="1">
        <v>0</v>
      </c>
      <c r="E274" s="1">
        <v>3000</v>
      </c>
      <c r="F274" s="1" t="s">
        <v>374</v>
      </c>
      <c r="G274" s="1">
        <v>1500</v>
      </c>
      <c r="H274" s="1">
        <v>1</v>
      </c>
      <c r="I274" s="1">
        <f>MIN($B274)</f>
        <v>0</v>
      </c>
      <c r="J274" s="1">
        <f>MIN($C274)</f>
        <v>0</v>
      </c>
      <c r="K274" s="1">
        <f>MIN($D274)</f>
        <v>0</v>
      </c>
      <c r="L274" s="1">
        <f>MIN($E274)</f>
        <v>0</v>
      </c>
      <c r="M274" s="1">
        <f>MIN($G274)</f>
        <v>0</v>
      </c>
      <c r="N274" s="1">
        <f>MIN($H274)</f>
        <v>0</v>
      </c>
      <c r="O274" s="1">
        <f>MEDIAN($B274)</f>
        <v>0</v>
      </c>
      <c r="P274" s="1">
        <f>MEDIAN($C274)</f>
        <v>0</v>
      </c>
      <c r="Q274" s="1">
        <f>MEDIAN($D274)</f>
        <v>0</v>
      </c>
      <c r="R274" s="1">
        <f>MEDIAN($E274)</f>
        <v>0</v>
      </c>
      <c r="S274" s="1">
        <f>MEDIAN($G274)</f>
        <v>0</v>
      </c>
      <c r="T274" s="1">
        <f>MEDIAN($H274)</f>
        <v>0</v>
      </c>
      <c r="U274" s="1">
        <f>MAX($B274)</f>
        <v>0</v>
      </c>
      <c r="V274" s="1">
        <f>MAX($C274)</f>
        <v>0</v>
      </c>
      <c r="W274" s="1">
        <f>MAX($D274)</f>
        <v>0</v>
      </c>
      <c r="X274" s="1">
        <f>MAX($E274)</f>
        <v>0</v>
      </c>
      <c r="Y274" s="1">
        <f>MAX($G274)</f>
        <v>0</v>
      </c>
      <c r="Z274" s="1">
        <f>MAX($H274)</f>
        <v>0</v>
      </c>
    </row>
    <row r="275" spans="1:26">
      <c r="A275" s="1" t="s">
        <v>272</v>
      </c>
      <c r="B275" s="1">
        <v>1</v>
      </c>
      <c r="C275" s="1">
        <v>0</v>
      </c>
      <c r="D275" s="1">
        <v>0</v>
      </c>
      <c r="E275" s="1">
        <v>3000</v>
      </c>
      <c r="F275" s="1" t="s">
        <v>374</v>
      </c>
      <c r="G275" s="1">
        <v>1500</v>
      </c>
      <c r="H275" s="1">
        <v>1</v>
      </c>
      <c r="I275" s="1">
        <f>MIN($B275)</f>
        <v>0</v>
      </c>
      <c r="J275" s="1">
        <f>MIN($C275)</f>
        <v>0</v>
      </c>
      <c r="K275" s="1">
        <f>MIN($D275)</f>
        <v>0</v>
      </c>
      <c r="L275" s="1">
        <f>MIN($E275)</f>
        <v>0</v>
      </c>
      <c r="M275" s="1">
        <f>MIN($G275)</f>
        <v>0</v>
      </c>
      <c r="N275" s="1">
        <f>MIN($H275)</f>
        <v>0</v>
      </c>
      <c r="O275" s="1">
        <f>MEDIAN($B275)</f>
        <v>0</v>
      </c>
      <c r="P275" s="1">
        <f>MEDIAN($C275)</f>
        <v>0</v>
      </c>
      <c r="Q275" s="1">
        <f>MEDIAN($D275)</f>
        <v>0</v>
      </c>
      <c r="R275" s="1">
        <f>MEDIAN($E275)</f>
        <v>0</v>
      </c>
      <c r="S275" s="1">
        <f>MEDIAN($G275)</f>
        <v>0</v>
      </c>
      <c r="T275" s="1">
        <f>MEDIAN($H275)</f>
        <v>0</v>
      </c>
      <c r="U275" s="1">
        <f>MAX($B275)</f>
        <v>0</v>
      </c>
      <c r="V275" s="1">
        <f>MAX($C275)</f>
        <v>0</v>
      </c>
      <c r="W275" s="1">
        <f>MAX($D275)</f>
        <v>0</v>
      </c>
      <c r="X275" s="1">
        <f>MAX($E275)</f>
        <v>0</v>
      </c>
      <c r="Y275" s="1">
        <f>MAX($G275)</f>
        <v>0</v>
      </c>
      <c r="Z275" s="1">
        <f>MAX($H275)</f>
        <v>0</v>
      </c>
    </row>
    <row r="276" spans="1:26">
      <c r="A276" s="1" t="s">
        <v>273</v>
      </c>
      <c r="B276" s="1">
        <v>1</v>
      </c>
      <c r="C276" s="1">
        <v>0</v>
      </c>
      <c r="D276" s="1">
        <v>0</v>
      </c>
      <c r="E276" s="1">
        <v>3000</v>
      </c>
      <c r="F276" s="1" t="s">
        <v>374</v>
      </c>
      <c r="G276" s="1">
        <v>1500</v>
      </c>
      <c r="H276" s="1">
        <v>1</v>
      </c>
      <c r="I276" s="1">
        <f>MIN($B276)</f>
        <v>0</v>
      </c>
      <c r="J276" s="1">
        <f>MIN($C276)</f>
        <v>0</v>
      </c>
      <c r="K276" s="1">
        <f>MIN($D276)</f>
        <v>0</v>
      </c>
      <c r="L276" s="1">
        <f>MIN($E276)</f>
        <v>0</v>
      </c>
      <c r="M276" s="1">
        <f>MIN($G276)</f>
        <v>0</v>
      </c>
      <c r="N276" s="1">
        <f>MIN($H276)</f>
        <v>0</v>
      </c>
      <c r="O276" s="1">
        <f>MEDIAN($B276)</f>
        <v>0</v>
      </c>
      <c r="P276" s="1">
        <f>MEDIAN($C276)</f>
        <v>0</v>
      </c>
      <c r="Q276" s="1">
        <f>MEDIAN($D276)</f>
        <v>0</v>
      </c>
      <c r="R276" s="1">
        <f>MEDIAN($E276)</f>
        <v>0</v>
      </c>
      <c r="S276" s="1">
        <f>MEDIAN($G276)</f>
        <v>0</v>
      </c>
      <c r="T276" s="1">
        <f>MEDIAN($H276)</f>
        <v>0</v>
      </c>
      <c r="U276" s="1">
        <f>MAX($B276)</f>
        <v>0</v>
      </c>
      <c r="V276" s="1">
        <f>MAX($C276)</f>
        <v>0</v>
      </c>
      <c r="W276" s="1">
        <f>MAX($D276)</f>
        <v>0</v>
      </c>
      <c r="X276" s="1">
        <f>MAX($E276)</f>
        <v>0</v>
      </c>
      <c r="Y276" s="1">
        <f>MAX($G276)</f>
        <v>0</v>
      </c>
      <c r="Z276" s="1">
        <f>MAX($H276)</f>
        <v>0</v>
      </c>
    </row>
    <row r="277" spans="1:26">
      <c r="A277" s="1" t="s">
        <v>274</v>
      </c>
      <c r="B277" s="1">
        <v>1</v>
      </c>
      <c r="C277" s="1">
        <v>0</v>
      </c>
      <c r="D277" s="1">
        <v>0</v>
      </c>
      <c r="E277" s="1">
        <v>3000</v>
      </c>
      <c r="F277" s="1" t="s">
        <v>374</v>
      </c>
      <c r="G277" s="1">
        <v>1500</v>
      </c>
      <c r="H277" s="1">
        <v>1</v>
      </c>
      <c r="I277" s="1">
        <f>MIN($B277)</f>
        <v>0</v>
      </c>
      <c r="J277" s="1">
        <f>MIN($C277)</f>
        <v>0</v>
      </c>
      <c r="K277" s="1">
        <f>MIN($D277)</f>
        <v>0</v>
      </c>
      <c r="L277" s="1">
        <f>MIN($E277)</f>
        <v>0</v>
      </c>
      <c r="M277" s="1">
        <f>MIN($G277)</f>
        <v>0</v>
      </c>
      <c r="N277" s="1">
        <f>MIN($H277)</f>
        <v>0</v>
      </c>
      <c r="O277" s="1">
        <f>MEDIAN($B277)</f>
        <v>0</v>
      </c>
      <c r="P277" s="1">
        <f>MEDIAN($C277)</f>
        <v>0</v>
      </c>
      <c r="Q277" s="1">
        <f>MEDIAN($D277)</f>
        <v>0</v>
      </c>
      <c r="R277" s="1">
        <f>MEDIAN($E277)</f>
        <v>0</v>
      </c>
      <c r="S277" s="1">
        <f>MEDIAN($G277)</f>
        <v>0</v>
      </c>
      <c r="T277" s="1">
        <f>MEDIAN($H277)</f>
        <v>0</v>
      </c>
      <c r="U277" s="1">
        <f>MAX($B277)</f>
        <v>0</v>
      </c>
      <c r="V277" s="1">
        <f>MAX($C277)</f>
        <v>0</v>
      </c>
      <c r="W277" s="1">
        <f>MAX($D277)</f>
        <v>0</v>
      </c>
      <c r="X277" s="1">
        <f>MAX($E277)</f>
        <v>0</v>
      </c>
      <c r="Y277" s="1">
        <f>MAX($G277)</f>
        <v>0</v>
      </c>
      <c r="Z277" s="1">
        <f>MAX($H277)</f>
        <v>0</v>
      </c>
    </row>
    <row r="278" spans="1:26">
      <c r="A278" s="1" t="s">
        <v>275</v>
      </c>
      <c r="B278" s="1">
        <v>1</v>
      </c>
      <c r="C278" s="1">
        <v>0</v>
      </c>
      <c r="D278" s="1">
        <v>0</v>
      </c>
      <c r="E278" s="1">
        <v>3000</v>
      </c>
      <c r="F278" s="1" t="s">
        <v>374</v>
      </c>
      <c r="G278" s="1">
        <v>1500</v>
      </c>
      <c r="H278" s="1">
        <v>1</v>
      </c>
      <c r="I278" s="1">
        <f>MIN($B278)</f>
        <v>0</v>
      </c>
      <c r="J278" s="1">
        <f>MIN($C278)</f>
        <v>0</v>
      </c>
      <c r="K278" s="1">
        <f>MIN($D278)</f>
        <v>0</v>
      </c>
      <c r="L278" s="1">
        <f>MIN($E278)</f>
        <v>0</v>
      </c>
      <c r="M278" s="1">
        <f>MIN($G278)</f>
        <v>0</v>
      </c>
      <c r="N278" s="1">
        <f>MIN($H278)</f>
        <v>0</v>
      </c>
      <c r="O278" s="1">
        <f>MEDIAN($B278)</f>
        <v>0</v>
      </c>
      <c r="P278" s="1">
        <f>MEDIAN($C278)</f>
        <v>0</v>
      </c>
      <c r="Q278" s="1">
        <f>MEDIAN($D278)</f>
        <v>0</v>
      </c>
      <c r="R278" s="1">
        <f>MEDIAN($E278)</f>
        <v>0</v>
      </c>
      <c r="S278" s="1">
        <f>MEDIAN($G278)</f>
        <v>0</v>
      </c>
      <c r="T278" s="1">
        <f>MEDIAN($H278)</f>
        <v>0</v>
      </c>
      <c r="U278" s="1">
        <f>MAX($B278)</f>
        <v>0</v>
      </c>
      <c r="V278" s="1">
        <f>MAX($C278)</f>
        <v>0</v>
      </c>
      <c r="W278" s="1">
        <f>MAX($D278)</f>
        <v>0</v>
      </c>
      <c r="X278" s="1">
        <f>MAX($E278)</f>
        <v>0</v>
      </c>
      <c r="Y278" s="1">
        <f>MAX($G278)</f>
        <v>0</v>
      </c>
      <c r="Z278" s="1">
        <f>MAX($H278)</f>
        <v>0</v>
      </c>
    </row>
    <row r="279" spans="1:26">
      <c r="A279" s="1" t="s">
        <v>276</v>
      </c>
      <c r="B279" s="1">
        <v>1</v>
      </c>
      <c r="C279" s="1">
        <v>0</v>
      </c>
      <c r="D279" s="1">
        <v>0</v>
      </c>
      <c r="E279" s="1">
        <v>3000</v>
      </c>
      <c r="F279" s="1" t="s">
        <v>374</v>
      </c>
      <c r="G279" s="1">
        <v>1500</v>
      </c>
      <c r="H279" s="1">
        <v>1</v>
      </c>
      <c r="I279" s="1">
        <f>MIN($B279)</f>
        <v>0</v>
      </c>
      <c r="J279" s="1">
        <f>MIN($C279)</f>
        <v>0</v>
      </c>
      <c r="K279" s="1">
        <f>MIN($D279)</f>
        <v>0</v>
      </c>
      <c r="L279" s="1">
        <f>MIN($E279)</f>
        <v>0</v>
      </c>
      <c r="M279" s="1">
        <f>MIN($G279)</f>
        <v>0</v>
      </c>
      <c r="N279" s="1">
        <f>MIN($H279)</f>
        <v>0</v>
      </c>
      <c r="O279" s="1">
        <f>MEDIAN($B279)</f>
        <v>0</v>
      </c>
      <c r="P279" s="1">
        <f>MEDIAN($C279)</f>
        <v>0</v>
      </c>
      <c r="Q279" s="1">
        <f>MEDIAN($D279)</f>
        <v>0</v>
      </c>
      <c r="R279" s="1">
        <f>MEDIAN($E279)</f>
        <v>0</v>
      </c>
      <c r="S279" s="1">
        <f>MEDIAN($G279)</f>
        <v>0</v>
      </c>
      <c r="T279" s="1">
        <f>MEDIAN($H279)</f>
        <v>0</v>
      </c>
      <c r="U279" s="1">
        <f>MAX($B279)</f>
        <v>0</v>
      </c>
      <c r="V279" s="1">
        <f>MAX($C279)</f>
        <v>0</v>
      </c>
      <c r="W279" s="1">
        <f>MAX($D279)</f>
        <v>0</v>
      </c>
      <c r="X279" s="1">
        <f>MAX($E279)</f>
        <v>0</v>
      </c>
      <c r="Y279" s="1">
        <f>MAX($G279)</f>
        <v>0</v>
      </c>
      <c r="Z279" s="1">
        <f>MAX($H279)</f>
        <v>0</v>
      </c>
    </row>
    <row r="280" spans="1:26">
      <c r="A280" s="1" t="s">
        <v>277</v>
      </c>
      <c r="B280" s="1">
        <v>1</v>
      </c>
      <c r="C280" s="1">
        <v>0</v>
      </c>
      <c r="D280" s="1">
        <v>0</v>
      </c>
      <c r="E280" s="1">
        <v>3000</v>
      </c>
      <c r="F280" s="1" t="s">
        <v>374</v>
      </c>
      <c r="G280" s="1">
        <v>1500</v>
      </c>
      <c r="H280" s="1">
        <v>1</v>
      </c>
      <c r="I280" s="1">
        <f>MIN($B280)</f>
        <v>0</v>
      </c>
      <c r="J280" s="1">
        <f>MIN($C280)</f>
        <v>0</v>
      </c>
      <c r="K280" s="1">
        <f>MIN($D280)</f>
        <v>0</v>
      </c>
      <c r="L280" s="1">
        <f>MIN($E280)</f>
        <v>0</v>
      </c>
      <c r="M280" s="1">
        <f>MIN($G280)</f>
        <v>0</v>
      </c>
      <c r="N280" s="1">
        <f>MIN($H280)</f>
        <v>0</v>
      </c>
      <c r="O280" s="1">
        <f>MEDIAN($B280)</f>
        <v>0</v>
      </c>
      <c r="P280" s="1">
        <f>MEDIAN($C280)</f>
        <v>0</v>
      </c>
      <c r="Q280" s="1">
        <f>MEDIAN($D280)</f>
        <v>0</v>
      </c>
      <c r="R280" s="1">
        <f>MEDIAN($E280)</f>
        <v>0</v>
      </c>
      <c r="S280" s="1">
        <f>MEDIAN($G280)</f>
        <v>0</v>
      </c>
      <c r="T280" s="1">
        <f>MEDIAN($H280)</f>
        <v>0</v>
      </c>
      <c r="U280" s="1">
        <f>MAX($B280)</f>
        <v>0</v>
      </c>
      <c r="V280" s="1">
        <f>MAX($C280)</f>
        <v>0</v>
      </c>
      <c r="W280" s="1">
        <f>MAX($D280)</f>
        <v>0</v>
      </c>
      <c r="X280" s="1">
        <f>MAX($E280)</f>
        <v>0</v>
      </c>
      <c r="Y280" s="1">
        <f>MAX($G280)</f>
        <v>0</v>
      </c>
      <c r="Z280" s="1">
        <f>MAX($H280)</f>
        <v>0</v>
      </c>
    </row>
    <row r="281" spans="1:26">
      <c r="A281" s="1" t="s">
        <v>278</v>
      </c>
      <c r="B281" s="1">
        <v>1</v>
      </c>
      <c r="C281" s="1">
        <v>0</v>
      </c>
      <c r="D281" s="1">
        <v>0</v>
      </c>
      <c r="E281" s="1">
        <v>3000</v>
      </c>
      <c r="F281" s="1" t="s">
        <v>374</v>
      </c>
      <c r="G281" s="1">
        <v>1500</v>
      </c>
      <c r="H281" s="1">
        <v>1</v>
      </c>
      <c r="I281" s="1">
        <f>MIN($B281)</f>
        <v>0</v>
      </c>
      <c r="J281" s="1">
        <f>MIN($C281)</f>
        <v>0</v>
      </c>
      <c r="K281" s="1">
        <f>MIN($D281)</f>
        <v>0</v>
      </c>
      <c r="L281" s="1">
        <f>MIN($E281)</f>
        <v>0</v>
      </c>
      <c r="M281" s="1">
        <f>MIN($G281)</f>
        <v>0</v>
      </c>
      <c r="N281" s="1">
        <f>MIN($H281)</f>
        <v>0</v>
      </c>
      <c r="O281" s="1">
        <f>MEDIAN($B281)</f>
        <v>0</v>
      </c>
      <c r="P281" s="1">
        <f>MEDIAN($C281)</f>
        <v>0</v>
      </c>
      <c r="Q281" s="1">
        <f>MEDIAN($D281)</f>
        <v>0</v>
      </c>
      <c r="R281" s="1">
        <f>MEDIAN($E281)</f>
        <v>0</v>
      </c>
      <c r="S281" s="1">
        <f>MEDIAN($G281)</f>
        <v>0</v>
      </c>
      <c r="T281" s="1">
        <f>MEDIAN($H281)</f>
        <v>0</v>
      </c>
      <c r="U281" s="1">
        <f>MAX($B281)</f>
        <v>0</v>
      </c>
      <c r="V281" s="1">
        <f>MAX($C281)</f>
        <v>0</v>
      </c>
      <c r="W281" s="1">
        <f>MAX($D281)</f>
        <v>0</v>
      </c>
      <c r="X281" s="1">
        <f>MAX($E281)</f>
        <v>0</v>
      </c>
      <c r="Y281" s="1">
        <f>MAX($G281)</f>
        <v>0</v>
      </c>
      <c r="Z281" s="1">
        <f>MAX($H281)</f>
        <v>0</v>
      </c>
    </row>
    <row r="282" spans="1:26">
      <c r="A282" s="1" t="s">
        <v>279</v>
      </c>
      <c r="B282" s="1">
        <v>1</v>
      </c>
      <c r="C282" s="1">
        <v>0</v>
      </c>
      <c r="D282" s="1">
        <v>0</v>
      </c>
      <c r="E282" s="1">
        <v>3000</v>
      </c>
      <c r="F282" s="1" t="s">
        <v>374</v>
      </c>
      <c r="G282" s="1">
        <v>1500</v>
      </c>
      <c r="H282" s="1">
        <v>1</v>
      </c>
      <c r="I282" s="1">
        <f>MIN($B282)</f>
        <v>0</v>
      </c>
      <c r="J282" s="1">
        <f>MIN($C282)</f>
        <v>0</v>
      </c>
      <c r="K282" s="1">
        <f>MIN($D282)</f>
        <v>0</v>
      </c>
      <c r="L282" s="1">
        <f>MIN($E282)</f>
        <v>0</v>
      </c>
      <c r="M282" s="1">
        <f>MIN($G282)</f>
        <v>0</v>
      </c>
      <c r="N282" s="1">
        <f>MIN($H282)</f>
        <v>0</v>
      </c>
      <c r="O282" s="1">
        <f>MEDIAN($B282)</f>
        <v>0</v>
      </c>
      <c r="P282" s="1">
        <f>MEDIAN($C282)</f>
        <v>0</v>
      </c>
      <c r="Q282" s="1">
        <f>MEDIAN($D282)</f>
        <v>0</v>
      </c>
      <c r="R282" s="1">
        <f>MEDIAN($E282)</f>
        <v>0</v>
      </c>
      <c r="S282" s="1">
        <f>MEDIAN($G282)</f>
        <v>0</v>
      </c>
      <c r="T282" s="1">
        <f>MEDIAN($H282)</f>
        <v>0</v>
      </c>
      <c r="U282" s="1">
        <f>MAX($B282)</f>
        <v>0</v>
      </c>
      <c r="V282" s="1">
        <f>MAX($C282)</f>
        <v>0</v>
      </c>
      <c r="W282" s="1">
        <f>MAX($D282)</f>
        <v>0</v>
      </c>
      <c r="X282" s="1">
        <f>MAX($E282)</f>
        <v>0</v>
      </c>
      <c r="Y282" s="1">
        <f>MAX($G282)</f>
        <v>0</v>
      </c>
      <c r="Z282" s="1">
        <f>MAX($H282)</f>
        <v>0</v>
      </c>
    </row>
    <row r="283" spans="1:26">
      <c r="A283" s="1" t="s">
        <v>280</v>
      </c>
      <c r="B283" s="1">
        <v>1</v>
      </c>
      <c r="C283" s="1">
        <v>0</v>
      </c>
      <c r="D283" s="1">
        <v>0</v>
      </c>
      <c r="E283" s="1">
        <v>3000</v>
      </c>
      <c r="F283" s="1" t="s">
        <v>374</v>
      </c>
      <c r="G283" s="1">
        <v>1500</v>
      </c>
      <c r="H283" s="1">
        <v>1</v>
      </c>
      <c r="I283" s="1">
        <f>MIN($B283)</f>
        <v>0</v>
      </c>
      <c r="J283" s="1">
        <f>MIN($C283)</f>
        <v>0</v>
      </c>
      <c r="K283" s="1">
        <f>MIN($D283)</f>
        <v>0</v>
      </c>
      <c r="L283" s="1">
        <f>MIN($E283)</f>
        <v>0</v>
      </c>
      <c r="M283" s="1">
        <f>MIN($G283)</f>
        <v>0</v>
      </c>
      <c r="N283" s="1">
        <f>MIN($H283)</f>
        <v>0</v>
      </c>
      <c r="O283" s="1">
        <f>MEDIAN($B283)</f>
        <v>0</v>
      </c>
      <c r="P283" s="1">
        <f>MEDIAN($C283)</f>
        <v>0</v>
      </c>
      <c r="Q283" s="1">
        <f>MEDIAN($D283)</f>
        <v>0</v>
      </c>
      <c r="R283" s="1">
        <f>MEDIAN($E283)</f>
        <v>0</v>
      </c>
      <c r="S283" s="1">
        <f>MEDIAN($G283)</f>
        <v>0</v>
      </c>
      <c r="T283" s="1">
        <f>MEDIAN($H283)</f>
        <v>0</v>
      </c>
      <c r="U283" s="1">
        <f>MAX($B283)</f>
        <v>0</v>
      </c>
      <c r="V283" s="1">
        <f>MAX($C283)</f>
        <v>0</v>
      </c>
      <c r="W283" s="1">
        <f>MAX($D283)</f>
        <v>0</v>
      </c>
      <c r="X283" s="1">
        <f>MAX($E283)</f>
        <v>0</v>
      </c>
      <c r="Y283" s="1">
        <f>MAX($G283)</f>
        <v>0</v>
      </c>
      <c r="Z283" s="1">
        <f>MAX($H283)</f>
        <v>0</v>
      </c>
    </row>
    <row r="284" spans="1:26">
      <c r="A284" s="1" t="s">
        <v>281</v>
      </c>
      <c r="B284" s="1">
        <v>1</v>
      </c>
      <c r="C284" s="1">
        <v>0</v>
      </c>
      <c r="D284" s="1">
        <v>0</v>
      </c>
      <c r="E284" s="1">
        <v>3000</v>
      </c>
      <c r="F284" s="1" t="s">
        <v>374</v>
      </c>
      <c r="G284" s="1">
        <v>1500</v>
      </c>
      <c r="H284" s="1">
        <v>1</v>
      </c>
      <c r="I284" s="1">
        <f>MIN($B284)</f>
        <v>0</v>
      </c>
      <c r="J284" s="1">
        <f>MIN($C284)</f>
        <v>0</v>
      </c>
      <c r="K284" s="1">
        <f>MIN($D284)</f>
        <v>0</v>
      </c>
      <c r="L284" s="1">
        <f>MIN($E284)</f>
        <v>0</v>
      </c>
      <c r="M284" s="1">
        <f>MIN($G284)</f>
        <v>0</v>
      </c>
      <c r="N284" s="1">
        <f>MIN($H284)</f>
        <v>0</v>
      </c>
      <c r="O284" s="1">
        <f>MEDIAN($B284)</f>
        <v>0</v>
      </c>
      <c r="P284" s="1">
        <f>MEDIAN($C284)</f>
        <v>0</v>
      </c>
      <c r="Q284" s="1">
        <f>MEDIAN($D284)</f>
        <v>0</v>
      </c>
      <c r="R284" s="1">
        <f>MEDIAN($E284)</f>
        <v>0</v>
      </c>
      <c r="S284" s="1">
        <f>MEDIAN($G284)</f>
        <v>0</v>
      </c>
      <c r="T284" s="1">
        <f>MEDIAN($H284)</f>
        <v>0</v>
      </c>
      <c r="U284" s="1">
        <f>MAX($B284)</f>
        <v>0</v>
      </c>
      <c r="V284" s="1">
        <f>MAX($C284)</f>
        <v>0</v>
      </c>
      <c r="W284" s="1">
        <f>MAX($D284)</f>
        <v>0</v>
      </c>
      <c r="X284" s="1">
        <f>MAX($E284)</f>
        <v>0</v>
      </c>
      <c r="Y284" s="1">
        <f>MAX($G284)</f>
        <v>0</v>
      </c>
      <c r="Z284" s="1">
        <f>MAX($H284)</f>
        <v>0</v>
      </c>
    </row>
    <row r="285" spans="1:26">
      <c r="A285" s="1" t="s">
        <v>282</v>
      </c>
      <c r="B285" s="1">
        <v>1</v>
      </c>
      <c r="C285" s="1">
        <v>0</v>
      </c>
      <c r="D285" s="1">
        <v>0</v>
      </c>
      <c r="E285" s="1">
        <v>3000</v>
      </c>
      <c r="F285" s="1" t="s">
        <v>374</v>
      </c>
      <c r="G285" s="1">
        <v>1500</v>
      </c>
      <c r="H285" s="1">
        <v>1</v>
      </c>
      <c r="I285" s="1">
        <f>MIN($B285)</f>
        <v>0</v>
      </c>
      <c r="J285" s="1">
        <f>MIN($C285)</f>
        <v>0</v>
      </c>
      <c r="K285" s="1">
        <f>MIN($D285)</f>
        <v>0</v>
      </c>
      <c r="L285" s="1">
        <f>MIN($E285)</f>
        <v>0</v>
      </c>
      <c r="M285" s="1">
        <f>MIN($G285)</f>
        <v>0</v>
      </c>
      <c r="N285" s="1">
        <f>MIN($H285)</f>
        <v>0</v>
      </c>
      <c r="O285" s="1">
        <f>MEDIAN($B285)</f>
        <v>0</v>
      </c>
      <c r="P285" s="1">
        <f>MEDIAN($C285)</f>
        <v>0</v>
      </c>
      <c r="Q285" s="1">
        <f>MEDIAN($D285)</f>
        <v>0</v>
      </c>
      <c r="R285" s="1">
        <f>MEDIAN($E285)</f>
        <v>0</v>
      </c>
      <c r="S285" s="1">
        <f>MEDIAN($G285)</f>
        <v>0</v>
      </c>
      <c r="T285" s="1">
        <f>MEDIAN($H285)</f>
        <v>0</v>
      </c>
      <c r="U285" s="1">
        <f>MAX($B285)</f>
        <v>0</v>
      </c>
      <c r="V285" s="1">
        <f>MAX($C285)</f>
        <v>0</v>
      </c>
      <c r="W285" s="1">
        <f>MAX($D285)</f>
        <v>0</v>
      </c>
      <c r="X285" s="1">
        <f>MAX($E285)</f>
        <v>0</v>
      </c>
      <c r="Y285" s="1">
        <f>MAX($G285)</f>
        <v>0</v>
      </c>
      <c r="Z285" s="1">
        <f>MAX($H285)</f>
        <v>0</v>
      </c>
    </row>
    <row r="286" spans="1:26">
      <c r="A286" s="1" t="s">
        <v>283</v>
      </c>
      <c r="B286" s="1">
        <v>1</v>
      </c>
      <c r="C286" s="1">
        <v>0</v>
      </c>
      <c r="D286" s="1">
        <v>0</v>
      </c>
      <c r="E286" s="1">
        <v>3000</v>
      </c>
      <c r="F286" s="1" t="s">
        <v>374</v>
      </c>
      <c r="G286" s="1">
        <v>1500</v>
      </c>
      <c r="H286" s="1">
        <v>1</v>
      </c>
      <c r="I286" s="1">
        <f>MIN($B286)</f>
        <v>0</v>
      </c>
      <c r="J286" s="1">
        <f>MIN($C286)</f>
        <v>0</v>
      </c>
      <c r="K286" s="1">
        <f>MIN($D286)</f>
        <v>0</v>
      </c>
      <c r="L286" s="1">
        <f>MIN($E286)</f>
        <v>0</v>
      </c>
      <c r="M286" s="1">
        <f>MIN($G286)</f>
        <v>0</v>
      </c>
      <c r="N286" s="1">
        <f>MIN($H286)</f>
        <v>0</v>
      </c>
      <c r="O286" s="1">
        <f>MEDIAN($B286)</f>
        <v>0</v>
      </c>
      <c r="P286" s="1">
        <f>MEDIAN($C286)</f>
        <v>0</v>
      </c>
      <c r="Q286" s="1">
        <f>MEDIAN($D286)</f>
        <v>0</v>
      </c>
      <c r="R286" s="1">
        <f>MEDIAN($E286)</f>
        <v>0</v>
      </c>
      <c r="S286" s="1">
        <f>MEDIAN($G286)</f>
        <v>0</v>
      </c>
      <c r="T286" s="1">
        <f>MEDIAN($H286)</f>
        <v>0</v>
      </c>
      <c r="U286" s="1">
        <f>MAX($B286)</f>
        <v>0</v>
      </c>
      <c r="V286" s="1">
        <f>MAX($C286)</f>
        <v>0</v>
      </c>
      <c r="W286" s="1">
        <f>MAX($D286)</f>
        <v>0</v>
      </c>
      <c r="X286" s="1">
        <f>MAX($E286)</f>
        <v>0</v>
      </c>
      <c r="Y286" s="1">
        <f>MAX($G286)</f>
        <v>0</v>
      </c>
      <c r="Z286" s="1">
        <f>MAX($H286)</f>
        <v>0</v>
      </c>
    </row>
    <row r="287" spans="1:26">
      <c r="A287" s="1" t="s">
        <v>284</v>
      </c>
      <c r="B287" s="1">
        <v>1</v>
      </c>
      <c r="C287" s="1">
        <v>0</v>
      </c>
      <c r="D287" s="1">
        <v>0</v>
      </c>
      <c r="E287" s="1">
        <v>3000</v>
      </c>
      <c r="F287" s="1" t="s">
        <v>374</v>
      </c>
      <c r="G287" s="1">
        <v>1500</v>
      </c>
      <c r="H287" s="1">
        <v>1</v>
      </c>
      <c r="I287" s="1">
        <f>MIN($B287)</f>
        <v>0</v>
      </c>
      <c r="J287" s="1">
        <f>MIN($C287)</f>
        <v>0</v>
      </c>
      <c r="K287" s="1">
        <f>MIN($D287)</f>
        <v>0</v>
      </c>
      <c r="L287" s="1">
        <f>MIN($E287)</f>
        <v>0</v>
      </c>
      <c r="M287" s="1">
        <f>MIN($G287)</f>
        <v>0</v>
      </c>
      <c r="N287" s="1">
        <f>MIN($H287)</f>
        <v>0</v>
      </c>
      <c r="O287" s="1">
        <f>MEDIAN($B287)</f>
        <v>0</v>
      </c>
      <c r="P287" s="1">
        <f>MEDIAN($C287)</f>
        <v>0</v>
      </c>
      <c r="Q287" s="1">
        <f>MEDIAN($D287)</f>
        <v>0</v>
      </c>
      <c r="R287" s="1">
        <f>MEDIAN($E287)</f>
        <v>0</v>
      </c>
      <c r="S287" s="1">
        <f>MEDIAN($G287)</f>
        <v>0</v>
      </c>
      <c r="T287" s="1">
        <f>MEDIAN($H287)</f>
        <v>0</v>
      </c>
      <c r="U287" s="1">
        <f>MAX($B287)</f>
        <v>0</v>
      </c>
      <c r="V287" s="1">
        <f>MAX($C287)</f>
        <v>0</v>
      </c>
      <c r="W287" s="1">
        <f>MAX($D287)</f>
        <v>0</v>
      </c>
      <c r="X287" s="1">
        <f>MAX($E287)</f>
        <v>0</v>
      </c>
      <c r="Y287" s="1">
        <f>MAX($G287)</f>
        <v>0</v>
      </c>
      <c r="Z287" s="1">
        <f>MAX($H287)</f>
        <v>0</v>
      </c>
    </row>
    <row r="288" spans="1:26">
      <c r="A288" s="1" t="s">
        <v>285</v>
      </c>
      <c r="B288" s="1">
        <v>1</v>
      </c>
      <c r="C288" s="1">
        <v>0</v>
      </c>
      <c r="D288" s="1">
        <v>0</v>
      </c>
      <c r="E288" s="1">
        <v>3000</v>
      </c>
      <c r="F288" s="1" t="s">
        <v>374</v>
      </c>
      <c r="G288" s="1">
        <v>1500</v>
      </c>
      <c r="H288" s="1">
        <v>1</v>
      </c>
      <c r="I288" s="1">
        <f>MIN($B288)</f>
        <v>0</v>
      </c>
      <c r="J288" s="1">
        <f>MIN($C288)</f>
        <v>0</v>
      </c>
      <c r="K288" s="1">
        <f>MIN($D288)</f>
        <v>0</v>
      </c>
      <c r="L288" s="1">
        <f>MIN($E288)</f>
        <v>0</v>
      </c>
      <c r="M288" s="1">
        <f>MIN($G288)</f>
        <v>0</v>
      </c>
      <c r="N288" s="1">
        <f>MIN($H288)</f>
        <v>0</v>
      </c>
      <c r="O288" s="1">
        <f>MEDIAN($B288)</f>
        <v>0</v>
      </c>
      <c r="P288" s="1">
        <f>MEDIAN($C288)</f>
        <v>0</v>
      </c>
      <c r="Q288" s="1">
        <f>MEDIAN($D288)</f>
        <v>0</v>
      </c>
      <c r="R288" s="1">
        <f>MEDIAN($E288)</f>
        <v>0</v>
      </c>
      <c r="S288" s="1">
        <f>MEDIAN($G288)</f>
        <v>0</v>
      </c>
      <c r="T288" s="1">
        <f>MEDIAN($H288)</f>
        <v>0</v>
      </c>
      <c r="U288" s="1">
        <f>MAX($B288)</f>
        <v>0</v>
      </c>
      <c r="V288" s="1">
        <f>MAX($C288)</f>
        <v>0</v>
      </c>
      <c r="W288" s="1">
        <f>MAX($D288)</f>
        <v>0</v>
      </c>
      <c r="X288" s="1">
        <f>MAX($E288)</f>
        <v>0</v>
      </c>
      <c r="Y288" s="1">
        <f>MAX($G288)</f>
        <v>0</v>
      </c>
      <c r="Z288" s="1">
        <f>MAX($H288)</f>
        <v>0</v>
      </c>
    </row>
    <row r="289" spans="1:26">
      <c r="A289" s="1" t="s">
        <v>286</v>
      </c>
      <c r="B289" s="1">
        <v>1</v>
      </c>
      <c r="C289" s="1">
        <v>0</v>
      </c>
      <c r="D289" s="1">
        <v>0</v>
      </c>
      <c r="E289" s="1">
        <v>3000</v>
      </c>
      <c r="F289" s="1" t="s">
        <v>374</v>
      </c>
      <c r="G289" s="1">
        <v>1500</v>
      </c>
      <c r="H289" s="1">
        <v>1</v>
      </c>
      <c r="I289" s="1">
        <f>MIN($B289)</f>
        <v>0</v>
      </c>
      <c r="J289" s="1">
        <f>MIN($C289)</f>
        <v>0</v>
      </c>
      <c r="K289" s="1">
        <f>MIN($D289)</f>
        <v>0</v>
      </c>
      <c r="L289" s="1">
        <f>MIN($E289)</f>
        <v>0</v>
      </c>
      <c r="M289" s="1">
        <f>MIN($G289)</f>
        <v>0</v>
      </c>
      <c r="N289" s="1">
        <f>MIN($H289)</f>
        <v>0</v>
      </c>
      <c r="O289" s="1">
        <f>MEDIAN($B289)</f>
        <v>0</v>
      </c>
      <c r="P289" s="1">
        <f>MEDIAN($C289)</f>
        <v>0</v>
      </c>
      <c r="Q289" s="1">
        <f>MEDIAN($D289)</f>
        <v>0</v>
      </c>
      <c r="R289" s="1">
        <f>MEDIAN($E289)</f>
        <v>0</v>
      </c>
      <c r="S289" s="1">
        <f>MEDIAN($G289)</f>
        <v>0</v>
      </c>
      <c r="T289" s="1">
        <f>MEDIAN($H289)</f>
        <v>0</v>
      </c>
      <c r="U289" s="1">
        <f>MAX($B289)</f>
        <v>0</v>
      </c>
      <c r="V289" s="1">
        <f>MAX($C289)</f>
        <v>0</v>
      </c>
      <c r="W289" s="1">
        <f>MAX($D289)</f>
        <v>0</v>
      </c>
      <c r="X289" s="1">
        <f>MAX($E289)</f>
        <v>0</v>
      </c>
      <c r="Y289" s="1">
        <f>MAX($G289)</f>
        <v>0</v>
      </c>
      <c r="Z289" s="1">
        <f>MAX($H289)</f>
        <v>0</v>
      </c>
    </row>
    <row r="290" spans="1:26">
      <c r="A290" s="1" t="s">
        <v>287</v>
      </c>
      <c r="B290" s="1">
        <v>1</v>
      </c>
      <c r="C290" s="1">
        <v>0</v>
      </c>
      <c r="D290" s="1">
        <v>0</v>
      </c>
      <c r="E290" s="1">
        <v>3000</v>
      </c>
      <c r="F290" s="1" t="s">
        <v>374</v>
      </c>
      <c r="G290" s="1">
        <v>1500</v>
      </c>
      <c r="H290" s="1">
        <v>1</v>
      </c>
      <c r="I290" s="1">
        <f>MIN($B290)</f>
        <v>0</v>
      </c>
      <c r="J290" s="1">
        <f>MIN($C290)</f>
        <v>0</v>
      </c>
      <c r="K290" s="1">
        <f>MIN($D290)</f>
        <v>0</v>
      </c>
      <c r="L290" s="1">
        <f>MIN($E290)</f>
        <v>0</v>
      </c>
      <c r="M290" s="1">
        <f>MIN($G290)</f>
        <v>0</v>
      </c>
      <c r="N290" s="1">
        <f>MIN($H290)</f>
        <v>0</v>
      </c>
      <c r="O290" s="1">
        <f>MEDIAN($B290)</f>
        <v>0</v>
      </c>
      <c r="P290" s="1">
        <f>MEDIAN($C290)</f>
        <v>0</v>
      </c>
      <c r="Q290" s="1">
        <f>MEDIAN($D290)</f>
        <v>0</v>
      </c>
      <c r="R290" s="1">
        <f>MEDIAN($E290)</f>
        <v>0</v>
      </c>
      <c r="S290" s="1">
        <f>MEDIAN($G290)</f>
        <v>0</v>
      </c>
      <c r="T290" s="1">
        <f>MEDIAN($H290)</f>
        <v>0</v>
      </c>
      <c r="U290" s="1">
        <f>MAX($B290)</f>
        <v>0</v>
      </c>
      <c r="V290" s="1">
        <f>MAX($C290)</f>
        <v>0</v>
      </c>
      <c r="W290" s="1">
        <f>MAX($D290)</f>
        <v>0</v>
      </c>
      <c r="X290" s="1">
        <f>MAX($E290)</f>
        <v>0</v>
      </c>
      <c r="Y290" s="1">
        <f>MAX($G290)</f>
        <v>0</v>
      </c>
      <c r="Z290" s="1">
        <f>MAX($H290)</f>
        <v>0</v>
      </c>
    </row>
    <row r="291" spans="1:26">
      <c r="A291" s="1" t="s">
        <v>288</v>
      </c>
      <c r="B291" s="1">
        <v>1</v>
      </c>
      <c r="C291" s="1">
        <v>0</v>
      </c>
      <c r="D291" s="1">
        <v>0</v>
      </c>
      <c r="E291" s="1">
        <v>3000</v>
      </c>
      <c r="F291" s="1" t="s">
        <v>374</v>
      </c>
      <c r="G291" s="1">
        <v>1500</v>
      </c>
      <c r="H291" s="1">
        <v>1</v>
      </c>
      <c r="I291" s="1">
        <f>MIN($B291)</f>
        <v>0</v>
      </c>
      <c r="J291" s="1">
        <f>MIN($C291)</f>
        <v>0</v>
      </c>
      <c r="K291" s="1">
        <f>MIN($D291)</f>
        <v>0</v>
      </c>
      <c r="L291" s="1">
        <f>MIN($E291)</f>
        <v>0</v>
      </c>
      <c r="M291" s="1">
        <f>MIN($G291)</f>
        <v>0</v>
      </c>
      <c r="N291" s="1">
        <f>MIN($H291)</f>
        <v>0</v>
      </c>
      <c r="O291" s="1">
        <f>MEDIAN($B291)</f>
        <v>0</v>
      </c>
      <c r="P291" s="1">
        <f>MEDIAN($C291)</f>
        <v>0</v>
      </c>
      <c r="Q291" s="1">
        <f>MEDIAN($D291)</f>
        <v>0</v>
      </c>
      <c r="R291" s="1">
        <f>MEDIAN($E291)</f>
        <v>0</v>
      </c>
      <c r="S291" s="1">
        <f>MEDIAN($G291)</f>
        <v>0</v>
      </c>
      <c r="T291" s="1">
        <f>MEDIAN($H291)</f>
        <v>0</v>
      </c>
      <c r="U291" s="1">
        <f>MAX($B291)</f>
        <v>0</v>
      </c>
      <c r="V291" s="1">
        <f>MAX($C291)</f>
        <v>0</v>
      </c>
      <c r="W291" s="1">
        <f>MAX($D291)</f>
        <v>0</v>
      </c>
      <c r="X291" s="1">
        <f>MAX($E291)</f>
        <v>0</v>
      </c>
      <c r="Y291" s="1">
        <f>MAX($G291)</f>
        <v>0</v>
      </c>
      <c r="Z291" s="1">
        <f>MAX($H291)</f>
        <v>0</v>
      </c>
    </row>
    <row r="292" spans="1:26">
      <c r="A292" s="1" t="s">
        <v>289</v>
      </c>
      <c r="B292" s="1">
        <v>1</v>
      </c>
      <c r="C292" s="1">
        <v>0</v>
      </c>
      <c r="D292" s="1">
        <v>0</v>
      </c>
      <c r="E292" s="1">
        <v>3000</v>
      </c>
      <c r="F292" s="1" t="s">
        <v>374</v>
      </c>
      <c r="G292" s="1">
        <v>1500</v>
      </c>
      <c r="H292" s="1">
        <v>1</v>
      </c>
      <c r="I292" s="1">
        <f>MIN($B292)</f>
        <v>0</v>
      </c>
      <c r="J292" s="1">
        <f>MIN($C292)</f>
        <v>0</v>
      </c>
      <c r="K292" s="1">
        <f>MIN($D292)</f>
        <v>0</v>
      </c>
      <c r="L292" s="1">
        <f>MIN($E292)</f>
        <v>0</v>
      </c>
      <c r="M292" s="1">
        <f>MIN($G292)</f>
        <v>0</v>
      </c>
      <c r="N292" s="1">
        <f>MIN($H292)</f>
        <v>0</v>
      </c>
      <c r="O292" s="1">
        <f>MEDIAN($B292)</f>
        <v>0</v>
      </c>
      <c r="P292" s="1">
        <f>MEDIAN($C292)</f>
        <v>0</v>
      </c>
      <c r="Q292" s="1">
        <f>MEDIAN($D292)</f>
        <v>0</v>
      </c>
      <c r="R292" s="1">
        <f>MEDIAN($E292)</f>
        <v>0</v>
      </c>
      <c r="S292" s="1">
        <f>MEDIAN($G292)</f>
        <v>0</v>
      </c>
      <c r="T292" s="1">
        <f>MEDIAN($H292)</f>
        <v>0</v>
      </c>
      <c r="U292" s="1">
        <f>MAX($B292)</f>
        <v>0</v>
      </c>
      <c r="V292" s="1">
        <f>MAX($C292)</f>
        <v>0</v>
      </c>
      <c r="W292" s="1">
        <f>MAX($D292)</f>
        <v>0</v>
      </c>
      <c r="X292" s="1">
        <f>MAX($E292)</f>
        <v>0</v>
      </c>
      <c r="Y292" s="1">
        <f>MAX($G292)</f>
        <v>0</v>
      </c>
      <c r="Z292" s="1">
        <f>MAX($H292)</f>
        <v>0</v>
      </c>
    </row>
    <row r="293" spans="1:26">
      <c r="A293" s="1" t="s">
        <v>290</v>
      </c>
      <c r="B293" s="1">
        <v>1</v>
      </c>
      <c r="C293" s="1">
        <v>0</v>
      </c>
      <c r="D293" s="1">
        <v>0</v>
      </c>
      <c r="E293" s="1">
        <v>3000</v>
      </c>
      <c r="F293" s="1" t="s">
        <v>374</v>
      </c>
      <c r="G293" s="1">
        <v>1500</v>
      </c>
      <c r="H293" s="1">
        <v>1</v>
      </c>
      <c r="I293" s="1">
        <f>MIN($B293)</f>
        <v>0</v>
      </c>
      <c r="J293" s="1">
        <f>MIN($C293)</f>
        <v>0</v>
      </c>
      <c r="K293" s="1">
        <f>MIN($D293)</f>
        <v>0</v>
      </c>
      <c r="L293" s="1">
        <f>MIN($E293)</f>
        <v>0</v>
      </c>
      <c r="M293" s="1">
        <f>MIN($G293)</f>
        <v>0</v>
      </c>
      <c r="N293" s="1">
        <f>MIN($H293)</f>
        <v>0</v>
      </c>
      <c r="O293" s="1">
        <f>MEDIAN($B293)</f>
        <v>0</v>
      </c>
      <c r="P293" s="1">
        <f>MEDIAN($C293)</f>
        <v>0</v>
      </c>
      <c r="Q293" s="1">
        <f>MEDIAN($D293)</f>
        <v>0</v>
      </c>
      <c r="R293" s="1">
        <f>MEDIAN($E293)</f>
        <v>0</v>
      </c>
      <c r="S293" s="1">
        <f>MEDIAN($G293)</f>
        <v>0</v>
      </c>
      <c r="T293" s="1">
        <f>MEDIAN($H293)</f>
        <v>0</v>
      </c>
      <c r="U293" s="1">
        <f>MAX($B293)</f>
        <v>0</v>
      </c>
      <c r="V293" s="1">
        <f>MAX($C293)</f>
        <v>0</v>
      </c>
      <c r="W293" s="1">
        <f>MAX($D293)</f>
        <v>0</v>
      </c>
      <c r="X293" s="1">
        <f>MAX($E293)</f>
        <v>0</v>
      </c>
      <c r="Y293" s="1">
        <f>MAX($G293)</f>
        <v>0</v>
      </c>
      <c r="Z293" s="1">
        <f>MAX($H293)</f>
        <v>0</v>
      </c>
    </row>
    <row r="294" spans="1:26">
      <c r="A294" s="1" t="s">
        <v>291</v>
      </c>
      <c r="B294" s="1">
        <v>1</v>
      </c>
      <c r="C294" s="1">
        <v>0</v>
      </c>
      <c r="D294" s="1">
        <v>0</v>
      </c>
      <c r="E294" s="1">
        <v>3000</v>
      </c>
      <c r="F294" s="1" t="s">
        <v>374</v>
      </c>
      <c r="G294" s="1">
        <v>1500</v>
      </c>
      <c r="H294" s="1">
        <v>1</v>
      </c>
      <c r="I294" s="1">
        <f>MIN($B294)</f>
        <v>0</v>
      </c>
      <c r="J294" s="1">
        <f>MIN($C294)</f>
        <v>0</v>
      </c>
      <c r="K294" s="1">
        <f>MIN($D294)</f>
        <v>0</v>
      </c>
      <c r="L294" s="1">
        <f>MIN($E294)</f>
        <v>0</v>
      </c>
      <c r="M294" s="1">
        <f>MIN($G294)</f>
        <v>0</v>
      </c>
      <c r="N294" s="1">
        <f>MIN($H294)</f>
        <v>0</v>
      </c>
      <c r="O294" s="1">
        <f>MEDIAN($B294)</f>
        <v>0</v>
      </c>
      <c r="P294" s="1">
        <f>MEDIAN($C294)</f>
        <v>0</v>
      </c>
      <c r="Q294" s="1">
        <f>MEDIAN($D294)</f>
        <v>0</v>
      </c>
      <c r="R294" s="1">
        <f>MEDIAN($E294)</f>
        <v>0</v>
      </c>
      <c r="S294" s="1">
        <f>MEDIAN($G294)</f>
        <v>0</v>
      </c>
      <c r="T294" s="1">
        <f>MEDIAN($H294)</f>
        <v>0</v>
      </c>
      <c r="U294" s="1">
        <f>MAX($B294)</f>
        <v>0</v>
      </c>
      <c r="V294" s="1">
        <f>MAX($C294)</f>
        <v>0</v>
      </c>
      <c r="W294" s="1">
        <f>MAX($D294)</f>
        <v>0</v>
      </c>
      <c r="X294" s="1">
        <f>MAX($E294)</f>
        <v>0</v>
      </c>
      <c r="Y294" s="1">
        <f>MAX($G294)</f>
        <v>0</v>
      </c>
      <c r="Z294" s="1">
        <f>MAX($H294)</f>
        <v>0</v>
      </c>
    </row>
    <row r="295" spans="1:26">
      <c r="A295" s="1" t="s">
        <v>292</v>
      </c>
      <c r="B295" s="1">
        <v>1</v>
      </c>
      <c r="C295" s="1">
        <v>0</v>
      </c>
      <c r="D295" s="1">
        <v>0</v>
      </c>
      <c r="E295" s="1">
        <v>3000</v>
      </c>
      <c r="F295" s="1" t="s">
        <v>374</v>
      </c>
      <c r="G295" s="1">
        <v>1500</v>
      </c>
      <c r="H295" s="1">
        <v>1</v>
      </c>
      <c r="I295" s="1">
        <f>MIN($B295)</f>
        <v>0</v>
      </c>
      <c r="J295" s="1">
        <f>MIN($C295)</f>
        <v>0</v>
      </c>
      <c r="K295" s="1">
        <f>MIN($D295)</f>
        <v>0</v>
      </c>
      <c r="L295" s="1">
        <f>MIN($E295)</f>
        <v>0</v>
      </c>
      <c r="M295" s="1">
        <f>MIN($G295)</f>
        <v>0</v>
      </c>
      <c r="N295" s="1">
        <f>MIN($H295)</f>
        <v>0</v>
      </c>
      <c r="O295" s="1">
        <f>MEDIAN($B295)</f>
        <v>0</v>
      </c>
      <c r="P295" s="1">
        <f>MEDIAN($C295)</f>
        <v>0</v>
      </c>
      <c r="Q295" s="1">
        <f>MEDIAN($D295)</f>
        <v>0</v>
      </c>
      <c r="R295" s="1">
        <f>MEDIAN($E295)</f>
        <v>0</v>
      </c>
      <c r="S295" s="1">
        <f>MEDIAN($G295)</f>
        <v>0</v>
      </c>
      <c r="T295" s="1">
        <f>MEDIAN($H295)</f>
        <v>0</v>
      </c>
      <c r="U295" s="1">
        <f>MAX($B295)</f>
        <v>0</v>
      </c>
      <c r="V295" s="1">
        <f>MAX($C295)</f>
        <v>0</v>
      </c>
      <c r="W295" s="1">
        <f>MAX($D295)</f>
        <v>0</v>
      </c>
      <c r="X295" s="1">
        <f>MAX($E295)</f>
        <v>0</v>
      </c>
      <c r="Y295" s="1">
        <f>MAX($G295)</f>
        <v>0</v>
      </c>
      <c r="Z295" s="1">
        <f>MAX($H295)</f>
        <v>0</v>
      </c>
    </row>
    <row r="296" spans="1:26">
      <c r="A296" s="1" t="s">
        <v>293</v>
      </c>
      <c r="B296" s="1">
        <v>1</v>
      </c>
      <c r="C296" s="1">
        <v>0</v>
      </c>
      <c r="D296" s="1">
        <v>0</v>
      </c>
      <c r="E296" s="1">
        <v>3000</v>
      </c>
      <c r="F296" s="1" t="s">
        <v>374</v>
      </c>
      <c r="G296" s="1">
        <v>1500</v>
      </c>
      <c r="H296" s="1">
        <v>1</v>
      </c>
      <c r="I296" s="1">
        <f>MIN($B296)</f>
        <v>0</v>
      </c>
      <c r="J296" s="1">
        <f>MIN($C296)</f>
        <v>0</v>
      </c>
      <c r="K296" s="1">
        <f>MIN($D296)</f>
        <v>0</v>
      </c>
      <c r="L296" s="1">
        <f>MIN($E296)</f>
        <v>0</v>
      </c>
      <c r="M296" s="1">
        <f>MIN($G296)</f>
        <v>0</v>
      </c>
      <c r="N296" s="1">
        <f>MIN($H296)</f>
        <v>0</v>
      </c>
      <c r="O296" s="1">
        <f>MEDIAN($B296)</f>
        <v>0</v>
      </c>
      <c r="P296" s="1">
        <f>MEDIAN($C296)</f>
        <v>0</v>
      </c>
      <c r="Q296" s="1">
        <f>MEDIAN($D296)</f>
        <v>0</v>
      </c>
      <c r="R296" s="1">
        <f>MEDIAN($E296)</f>
        <v>0</v>
      </c>
      <c r="S296" s="1">
        <f>MEDIAN($G296)</f>
        <v>0</v>
      </c>
      <c r="T296" s="1">
        <f>MEDIAN($H296)</f>
        <v>0</v>
      </c>
      <c r="U296" s="1">
        <f>MAX($B296)</f>
        <v>0</v>
      </c>
      <c r="V296" s="1">
        <f>MAX($C296)</f>
        <v>0</v>
      </c>
      <c r="W296" s="1">
        <f>MAX($D296)</f>
        <v>0</v>
      </c>
      <c r="X296" s="1">
        <f>MAX($E296)</f>
        <v>0</v>
      </c>
      <c r="Y296" s="1">
        <f>MAX($G296)</f>
        <v>0</v>
      </c>
      <c r="Z296" s="1">
        <f>MAX($H296)</f>
        <v>0</v>
      </c>
    </row>
    <row r="297" spans="1:26">
      <c r="A297" s="1" t="s">
        <v>294</v>
      </c>
      <c r="B297" s="1">
        <v>1</v>
      </c>
      <c r="C297" s="1">
        <v>0</v>
      </c>
      <c r="D297" s="1">
        <v>0</v>
      </c>
      <c r="E297" s="1">
        <v>3000</v>
      </c>
      <c r="F297" s="1" t="s">
        <v>374</v>
      </c>
      <c r="G297" s="1">
        <v>1500</v>
      </c>
      <c r="H297" s="1">
        <v>1</v>
      </c>
      <c r="I297" s="1">
        <f>MIN($B297)</f>
        <v>0</v>
      </c>
      <c r="J297" s="1">
        <f>MIN($C297)</f>
        <v>0</v>
      </c>
      <c r="K297" s="1">
        <f>MIN($D297)</f>
        <v>0</v>
      </c>
      <c r="L297" s="1">
        <f>MIN($E297)</f>
        <v>0</v>
      </c>
      <c r="M297" s="1">
        <f>MIN($G297)</f>
        <v>0</v>
      </c>
      <c r="N297" s="1">
        <f>MIN($H297)</f>
        <v>0</v>
      </c>
      <c r="O297" s="1">
        <f>MEDIAN($B297)</f>
        <v>0</v>
      </c>
      <c r="P297" s="1">
        <f>MEDIAN($C297)</f>
        <v>0</v>
      </c>
      <c r="Q297" s="1">
        <f>MEDIAN($D297)</f>
        <v>0</v>
      </c>
      <c r="R297" s="1">
        <f>MEDIAN($E297)</f>
        <v>0</v>
      </c>
      <c r="S297" s="1">
        <f>MEDIAN($G297)</f>
        <v>0</v>
      </c>
      <c r="T297" s="1">
        <f>MEDIAN($H297)</f>
        <v>0</v>
      </c>
      <c r="U297" s="1">
        <f>MAX($B297)</f>
        <v>0</v>
      </c>
      <c r="V297" s="1">
        <f>MAX($C297)</f>
        <v>0</v>
      </c>
      <c r="W297" s="1">
        <f>MAX($D297)</f>
        <v>0</v>
      </c>
      <c r="X297" s="1">
        <f>MAX($E297)</f>
        <v>0</v>
      </c>
      <c r="Y297" s="1">
        <f>MAX($G297)</f>
        <v>0</v>
      </c>
      <c r="Z297" s="1">
        <f>MAX($H297)</f>
        <v>0</v>
      </c>
    </row>
    <row r="298" spans="1:26">
      <c r="A298" s="1" t="s">
        <v>295</v>
      </c>
      <c r="B298" s="1">
        <v>1</v>
      </c>
      <c r="C298" s="1">
        <v>0</v>
      </c>
      <c r="D298" s="1">
        <v>0</v>
      </c>
      <c r="E298" s="1">
        <v>3000</v>
      </c>
      <c r="F298" s="1" t="s">
        <v>374</v>
      </c>
      <c r="G298" s="1">
        <v>1500</v>
      </c>
      <c r="H298" s="1">
        <v>1</v>
      </c>
      <c r="I298" s="1">
        <f>MIN($B298)</f>
        <v>0</v>
      </c>
      <c r="J298" s="1">
        <f>MIN($C298)</f>
        <v>0</v>
      </c>
      <c r="K298" s="1">
        <f>MIN($D298)</f>
        <v>0</v>
      </c>
      <c r="L298" s="1">
        <f>MIN($E298)</f>
        <v>0</v>
      </c>
      <c r="M298" s="1">
        <f>MIN($G298)</f>
        <v>0</v>
      </c>
      <c r="N298" s="1">
        <f>MIN($H298)</f>
        <v>0</v>
      </c>
      <c r="O298" s="1">
        <f>MEDIAN($B298)</f>
        <v>0</v>
      </c>
      <c r="P298" s="1">
        <f>MEDIAN($C298)</f>
        <v>0</v>
      </c>
      <c r="Q298" s="1">
        <f>MEDIAN($D298)</f>
        <v>0</v>
      </c>
      <c r="R298" s="1">
        <f>MEDIAN($E298)</f>
        <v>0</v>
      </c>
      <c r="S298" s="1">
        <f>MEDIAN($G298)</f>
        <v>0</v>
      </c>
      <c r="T298" s="1">
        <f>MEDIAN($H298)</f>
        <v>0</v>
      </c>
      <c r="U298" s="1">
        <f>MAX($B298)</f>
        <v>0</v>
      </c>
      <c r="V298" s="1">
        <f>MAX($C298)</f>
        <v>0</v>
      </c>
      <c r="W298" s="1">
        <f>MAX($D298)</f>
        <v>0</v>
      </c>
      <c r="X298" s="1">
        <f>MAX($E298)</f>
        <v>0</v>
      </c>
      <c r="Y298" s="1">
        <f>MAX($G298)</f>
        <v>0</v>
      </c>
      <c r="Z298" s="1">
        <f>MAX($H298)</f>
        <v>0</v>
      </c>
    </row>
    <row r="299" spans="1:26">
      <c r="A299" s="1" t="s">
        <v>296</v>
      </c>
      <c r="B299" s="1">
        <v>1</v>
      </c>
      <c r="C299" s="1">
        <v>0</v>
      </c>
      <c r="D299" s="1">
        <v>0</v>
      </c>
      <c r="E299" s="1">
        <v>3000</v>
      </c>
      <c r="F299" s="1" t="s">
        <v>374</v>
      </c>
      <c r="G299" s="1">
        <v>1500</v>
      </c>
      <c r="H299" s="1">
        <v>1</v>
      </c>
      <c r="I299" s="1">
        <f>MIN($B299)</f>
        <v>0</v>
      </c>
      <c r="J299" s="1">
        <f>MIN($C299)</f>
        <v>0</v>
      </c>
      <c r="K299" s="1">
        <f>MIN($D299)</f>
        <v>0</v>
      </c>
      <c r="L299" s="1">
        <f>MIN($E299)</f>
        <v>0</v>
      </c>
      <c r="M299" s="1">
        <f>MIN($G299)</f>
        <v>0</v>
      </c>
      <c r="N299" s="1">
        <f>MIN($H299)</f>
        <v>0</v>
      </c>
      <c r="O299" s="1">
        <f>MEDIAN($B299)</f>
        <v>0</v>
      </c>
      <c r="P299" s="1">
        <f>MEDIAN($C299)</f>
        <v>0</v>
      </c>
      <c r="Q299" s="1">
        <f>MEDIAN($D299)</f>
        <v>0</v>
      </c>
      <c r="R299" s="1">
        <f>MEDIAN($E299)</f>
        <v>0</v>
      </c>
      <c r="S299" s="1">
        <f>MEDIAN($G299)</f>
        <v>0</v>
      </c>
      <c r="T299" s="1">
        <f>MEDIAN($H299)</f>
        <v>0</v>
      </c>
      <c r="U299" s="1">
        <f>MAX($B299)</f>
        <v>0</v>
      </c>
      <c r="V299" s="1">
        <f>MAX($C299)</f>
        <v>0</v>
      </c>
      <c r="W299" s="1">
        <f>MAX($D299)</f>
        <v>0</v>
      </c>
      <c r="X299" s="1">
        <f>MAX($E299)</f>
        <v>0</v>
      </c>
      <c r="Y299" s="1">
        <f>MAX($G299)</f>
        <v>0</v>
      </c>
      <c r="Z299" s="1">
        <f>MAX($H299)</f>
        <v>0</v>
      </c>
    </row>
    <row r="300" spans="1:26">
      <c r="A300" s="1" t="s">
        <v>297</v>
      </c>
      <c r="B300" s="1">
        <v>1</v>
      </c>
      <c r="C300" s="1">
        <v>0</v>
      </c>
      <c r="D300" s="1">
        <v>0</v>
      </c>
      <c r="E300" s="1">
        <v>3000</v>
      </c>
      <c r="F300" s="1" t="s">
        <v>374</v>
      </c>
      <c r="G300" s="1">
        <v>1500</v>
      </c>
      <c r="H300" s="1">
        <v>1</v>
      </c>
      <c r="I300" s="1">
        <f>MIN($B300)</f>
        <v>0</v>
      </c>
      <c r="J300" s="1">
        <f>MIN($C300)</f>
        <v>0</v>
      </c>
      <c r="K300" s="1">
        <f>MIN($D300)</f>
        <v>0</v>
      </c>
      <c r="L300" s="1">
        <f>MIN($E300)</f>
        <v>0</v>
      </c>
      <c r="M300" s="1">
        <f>MIN($G300)</f>
        <v>0</v>
      </c>
      <c r="N300" s="1">
        <f>MIN($H300)</f>
        <v>0</v>
      </c>
      <c r="O300" s="1">
        <f>MEDIAN($B300)</f>
        <v>0</v>
      </c>
      <c r="P300" s="1">
        <f>MEDIAN($C300)</f>
        <v>0</v>
      </c>
      <c r="Q300" s="1">
        <f>MEDIAN($D300)</f>
        <v>0</v>
      </c>
      <c r="R300" s="1">
        <f>MEDIAN($E300)</f>
        <v>0</v>
      </c>
      <c r="S300" s="1">
        <f>MEDIAN($G300)</f>
        <v>0</v>
      </c>
      <c r="T300" s="1">
        <f>MEDIAN($H300)</f>
        <v>0</v>
      </c>
      <c r="U300" s="1">
        <f>MAX($B300)</f>
        <v>0</v>
      </c>
      <c r="V300" s="1">
        <f>MAX($C300)</f>
        <v>0</v>
      </c>
      <c r="W300" s="1">
        <f>MAX($D300)</f>
        <v>0</v>
      </c>
      <c r="X300" s="1">
        <f>MAX($E300)</f>
        <v>0</v>
      </c>
      <c r="Y300" s="1">
        <f>MAX($G300)</f>
        <v>0</v>
      </c>
      <c r="Z300" s="1">
        <f>MAX($H300)</f>
        <v>0</v>
      </c>
    </row>
    <row r="301" spans="1:26">
      <c r="A301" s="1" t="s">
        <v>298</v>
      </c>
      <c r="B301" s="1">
        <v>1</v>
      </c>
      <c r="C301" s="1">
        <v>0</v>
      </c>
      <c r="D301" s="1">
        <v>0</v>
      </c>
      <c r="E301" s="1">
        <v>3000</v>
      </c>
      <c r="F301" s="1" t="s">
        <v>374</v>
      </c>
      <c r="G301" s="1">
        <v>1500</v>
      </c>
      <c r="H301" s="1">
        <v>1</v>
      </c>
      <c r="I301" s="1">
        <f>MIN($B301)</f>
        <v>0</v>
      </c>
      <c r="J301" s="1">
        <f>MIN($C301)</f>
        <v>0</v>
      </c>
      <c r="K301" s="1">
        <f>MIN($D301)</f>
        <v>0</v>
      </c>
      <c r="L301" s="1">
        <f>MIN($E301)</f>
        <v>0</v>
      </c>
      <c r="M301" s="1">
        <f>MIN($G301)</f>
        <v>0</v>
      </c>
      <c r="N301" s="1">
        <f>MIN($H301)</f>
        <v>0</v>
      </c>
      <c r="O301" s="1">
        <f>MEDIAN($B301)</f>
        <v>0</v>
      </c>
      <c r="P301" s="1">
        <f>MEDIAN($C301)</f>
        <v>0</v>
      </c>
      <c r="Q301" s="1">
        <f>MEDIAN($D301)</f>
        <v>0</v>
      </c>
      <c r="R301" s="1">
        <f>MEDIAN($E301)</f>
        <v>0</v>
      </c>
      <c r="S301" s="1">
        <f>MEDIAN($G301)</f>
        <v>0</v>
      </c>
      <c r="T301" s="1">
        <f>MEDIAN($H301)</f>
        <v>0</v>
      </c>
      <c r="U301" s="1">
        <f>MAX($B301)</f>
        <v>0</v>
      </c>
      <c r="V301" s="1">
        <f>MAX($C301)</f>
        <v>0</v>
      </c>
      <c r="W301" s="1">
        <f>MAX($D301)</f>
        <v>0</v>
      </c>
      <c r="X301" s="1">
        <f>MAX($E301)</f>
        <v>0</v>
      </c>
      <c r="Y301" s="1">
        <f>MAX($G301)</f>
        <v>0</v>
      </c>
      <c r="Z301" s="1">
        <f>MAX($H301)</f>
        <v>0</v>
      </c>
    </row>
    <row r="302" spans="1:26">
      <c r="A302" s="1" t="s">
        <v>299</v>
      </c>
      <c r="B302" s="1">
        <v>1</v>
      </c>
      <c r="C302" s="1">
        <v>0</v>
      </c>
      <c r="D302" s="1">
        <v>0</v>
      </c>
      <c r="E302" s="1">
        <v>3000</v>
      </c>
      <c r="F302" s="1" t="s">
        <v>374</v>
      </c>
      <c r="G302" s="1">
        <v>1500</v>
      </c>
      <c r="H302" s="1">
        <v>1</v>
      </c>
      <c r="I302" s="1">
        <f>MIN($B302)</f>
        <v>0</v>
      </c>
      <c r="J302" s="1">
        <f>MIN($C302)</f>
        <v>0</v>
      </c>
      <c r="K302" s="1">
        <f>MIN($D302)</f>
        <v>0</v>
      </c>
      <c r="L302" s="1">
        <f>MIN($E302)</f>
        <v>0</v>
      </c>
      <c r="M302" s="1">
        <f>MIN($G302)</f>
        <v>0</v>
      </c>
      <c r="N302" s="1">
        <f>MIN($H302)</f>
        <v>0</v>
      </c>
      <c r="O302" s="1">
        <f>MEDIAN($B302)</f>
        <v>0</v>
      </c>
      <c r="P302" s="1">
        <f>MEDIAN($C302)</f>
        <v>0</v>
      </c>
      <c r="Q302" s="1">
        <f>MEDIAN($D302)</f>
        <v>0</v>
      </c>
      <c r="R302" s="1">
        <f>MEDIAN($E302)</f>
        <v>0</v>
      </c>
      <c r="S302" s="1">
        <f>MEDIAN($G302)</f>
        <v>0</v>
      </c>
      <c r="T302" s="1">
        <f>MEDIAN($H302)</f>
        <v>0</v>
      </c>
      <c r="U302" s="1">
        <f>MAX($B302)</f>
        <v>0</v>
      </c>
      <c r="V302" s="1">
        <f>MAX($C302)</f>
        <v>0</v>
      </c>
      <c r="W302" s="1">
        <f>MAX($D302)</f>
        <v>0</v>
      </c>
      <c r="X302" s="1">
        <f>MAX($E302)</f>
        <v>0</v>
      </c>
      <c r="Y302" s="1">
        <f>MAX($G302)</f>
        <v>0</v>
      </c>
      <c r="Z302" s="1">
        <f>MAX($H302)</f>
        <v>0</v>
      </c>
    </row>
    <row r="303" spans="1:26">
      <c r="A303" s="1" t="s">
        <v>300</v>
      </c>
      <c r="B303" s="1">
        <v>1</v>
      </c>
      <c r="C303" s="1">
        <v>0</v>
      </c>
      <c r="D303" s="1">
        <v>0</v>
      </c>
      <c r="E303" s="1">
        <v>3000</v>
      </c>
      <c r="F303" s="1" t="s">
        <v>374</v>
      </c>
      <c r="G303" s="1">
        <v>1500</v>
      </c>
      <c r="H303" s="1">
        <v>1</v>
      </c>
      <c r="I303" s="1">
        <f>MIN($B303)</f>
        <v>0</v>
      </c>
      <c r="J303" s="1">
        <f>MIN($C303)</f>
        <v>0</v>
      </c>
      <c r="K303" s="1">
        <f>MIN($D303)</f>
        <v>0</v>
      </c>
      <c r="L303" s="1">
        <f>MIN($E303)</f>
        <v>0</v>
      </c>
      <c r="M303" s="1">
        <f>MIN($G303)</f>
        <v>0</v>
      </c>
      <c r="N303" s="1">
        <f>MIN($H303)</f>
        <v>0</v>
      </c>
      <c r="O303" s="1">
        <f>MEDIAN($B303)</f>
        <v>0</v>
      </c>
      <c r="P303" s="1">
        <f>MEDIAN($C303)</f>
        <v>0</v>
      </c>
      <c r="Q303" s="1">
        <f>MEDIAN($D303)</f>
        <v>0</v>
      </c>
      <c r="R303" s="1">
        <f>MEDIAN($E303)</f>
        <v>0</v>
      </c>
      <c r="S303" s="1">
        <f>MEDIAN($G303)</f>
        <v>0</v>
      </c>
      <c r="T303" s="1">
        <f>MEDIAN($H303)</f>
        <v>0</v>
      </c>
      <c r="U303" s="1">
        <f>MAX($B303)</f>
        <v>0</v>
      </c>
      <c r="V303" s="1">
        <f>MAX($C303)</f>
        <v>0</v>
      </c>
      <c r="W303" s="1">
        <f>MAX($D303)</f>
        <v>0</v>
      </c>
      <c r="X303" s="1">
        <f>MAX($E303)</f>
        <v>0</v>
      </c>
      <c r="Y303" s="1">
        <f>MAX($G303)</f>
        <v>0</v>
      </c>
      <c r="Z303" s="1">
        <f>MAX($H303)</f>
        <v>0</v>
      </c>
    </row>
    <row r="304" spans="1:26">
      <c r="A304" s="1" t="s">
        <v>301</v>
      </c>
      <c r="B304" s="1">
        <v>1</v>
      </c>
      <c r="C304" s="1">
        <v>0</v>
      </c>
      <c r="D304" s="1">
        <v>0</v>
      </c>
      <c r="E304" s="1">
        <v>3000</v>
      </c>
      <c r="F304" s="1" t="s">
        <v>374</v>
      </c>
      <c r="G304" s="1">
        <v>1500</v>
      </c>
      <c r="H304" s="1">
        <v>1</v>
      </c>
      <c r="I304" s="1">
        <f>MIN($B304)</f>
        <v>0</v>
      </c>
      <c r="J304" s="1">
        <f>MIN($C304)</f>
        <v>0</v>
      </c>
      <c r="K304" s="1">
        <f>MIN($D304)</f>
        <v>0</v>
      </c>
      <c r="L304" s="1">
        <f>MIN($E304)</f>
        <v>0</v>
      </c>
      <c r="M304" s="1">
        <f>MIN($G304)</f>
        <v>0</v>
      </c>
      <c r="N304" s="1">
        <f>MIN($H304)</f>
        <v>0</v>
      </c>
      <c r="O304" s="1">
        <f>MEDIAN($B304)</f>
        <v>0</v>
      </c>
      <c r="P304" s="1">
        <f>MEDIAN($C304)</f>
        <v>0</v>
      </c>
      <c r="Q304" s="1">
        <f>MEDIAN($D304)</f>
        <v>0</v>
      </c>
      <c r="R304" s="1">
        <f>MEDIAN($E304)</f>
        <v>0</v>
      </c>
      <c r="S304" s="1">
        <f>MEDIAN($G304)</f>
        <v>0</v>
      </c>
      <c r="T304" s="1">
        <f>MEDIAN($H304)</f>
        <v>0</v>
      </c>
      <c r="U304" s="1">
        <f>MAX($B304)</f>
        <v>0</v>
      </c>
      <c r="V304" s="1">
        <f>MAX($C304)</f>
        <v>0</v>
      </c>
      <c r="W304" s="1">
        <f>MAX($D304)</f>
        <v>0</v>
      </c>
      <c r="X304" s="1">
        <f>MAX($E304)</f>
        <v>0</v>
      </c>
      <c r="Y304" s="1">
        <f>MAX($G304)</f>
        <v>0</v>
      </c>
      <c r="Z304" s="1">
        <f>MAX($H304)</f>
        <v>0</v>
      </c>
    </row>
    <row r="305" spans="1:26">
      <c r="A305" s="1" t="s">
        <v>302</v>
      </c>
      <c r="B305" s="1">
        <v>1</v>
      </c>
      <c r="C305" s="1">
        <v>0</v>
      </c>
      <c r="D305" s="1">
        <v>0</v>
      </c>
      <c r="E305" s="1">
        <v>3000</v>
      </c>
      <c r="F305" s="1" t="s">
        <v>374</v>
      </c>
      <c r="G305" s="1">
        <v>1500</v>
      </c>
      <c r="H305" s="1">
        <v>1</v>
      </c>
      <c r="I305" s="1">
        <f>MIN($B305)</f>
        <v>0</v>
      </c>
      <c r="J305" s="1">
        <f>MIN($C305)</f>
        <v>0</v>
      </c>
      <c r="K305" s="1">
        <f>MIN($D305)</f>
        <v>0</v>
      </c>
      <c r="L305" s="1">
        <f>MIN($E305)</f>
        <v>0</v>
      </c>
      <c r="M305" s="1">
        <f>MIN($G305)</f>
        <v>0</v>
      </c>
      <c r="N305" s="1">
        <f>MIN($H305)</f>
        <v>0</v>
      </c>
      <c r="O305" s="1">
        <f>MEDIAN($B305)</f>
        <v>0</v>
      </c>
      <c r="P305" s="1">
        <f>MEDIAN($C305)</f>
        <v>0</v>
      </c>
      <c r="Q305" s="1">
        <f>MEDIAN($D305)</f>
        <v>0</v>
      </c>
      <c r="R305" s="1">
        <f>MEDIAN($E305)</f>
        <v>0</v>
      </c>
      <c r="S305" s="1">
        <f>MEDIAN($G305)</f>
        <v>0</v>
      </c>
      <c r="T305" s="1">
        <f>MEDIAN($H305)</f>
        <v>0</v>
      </c>
      <c r="U305" s="1">
        <f>MAX($B305)</f>
        <v>0</v>
      </c>
      <c r="V305" s="1">
        <f>MAX($C305)</f>
        <v>0</v>
      </c>
      <c r="W305" s="1">
        <f>MAX($D305)</f>
        <v>0</v>
      </c>
      <c r="X305" s="1">
        <f>MAX($E305)</f>
        <v>0</v>
      </c>
      <c r="Y305" s="1">
        <f>MAX($G305)</f>
        <v>0</v>
      </c>
      <c r="Z305" s="1">
        <f>MAX($H305)</f>
        <v>0</v>
      </c>
    </row>
    <row r="306" spans="1:26">
      <c r="A306" s="1" t="s">
        <v>303</v>
      </c>
      <c r="B306" s="1">
        <v>1</v>
      </c>
      <c r="C306" s="1">
        <v>0</v>
      </c>
      <c r="D306" s="1">
        <v>0</v>
      </c>
      <c r="E306" s="1">
        <v>3000</v>
      </c>
      <c r="F306" s="1" t="s">
        <v>374</v>
      </c>
      <c r="G306" s="1">
        <v>1500</v>
      </c>
      <c r="H306" s="1">
        <v>1</v>
      </c>
      <c r="I306" s="1">
        <f>MIN($B306)</f>
        <v>0</v>
      </c>
      <c r="J306" s="1">
        <f>MIN($C306)</f>
        <v>0</v>
      </c>
      <c r="K306" s="1">
        <f>MIN($D306)</f>
        <v>0</v>
      </c>
      <c r="L306" s="1">
        <f>MIN($E306)</f>
        <v>0</v>
      </c>
      <c r="M306" s="1">
        <f>MIN($G306)</f>
        <v>0</v>
      </c>
      <c r="N306" s="1">
        <f>MIN($H306)</f>
        <v>0</v>
      </c>
      <c r="O306" s="1">
        <f>MEDIAN($B306)</f>
        <v>0</v>
      </c>
      <c r="P306" s="1">
        <f>MEDIAN($C306)</f>
        <v>0</v>
      </c>
      <c r="Q306" s="1">
        <f>MEDIAN($D306)</f>
        <v>0</v>
      </c>
      <c r="R306" s="1">
        <f>MEDIAN($E306)</f>
        <v>0</v>
      </c>
      <c r="S306" s="1">
        <f>MEDIAN($G306)</f>
        <v>0</v>
      </c>
      <c r="T306" s="1">
        <f>MEDIAN($H306)</f>
        <v>0</v>
      </c>
      <c r="U306" s="1">
        <f>MAX($B306)</f>
        <v>0</v>
      </c>
      <c r="V306" s="1">
        <f>MAX($C306)</f>
        <v>0</v>
      </c>
      <c r="W306" s="1">
        <f>MAX($D306)</f>
        <v>0</v>
      </c>
      <c r="X306" s="1">
        <f>MAX($E306)</f>
        <v>0</v>
      </c>
      <c r="Y306" s="1">
        <f>MAX($G306)</f>
        <v>0</v>
      </c>
      <c r="Z306" s="1">
        <f>MAX($H306)</f>
        <v>0</v>
      </c>
    </row>
    <row r="307" spans="1:26">
      <c r="A307" s="1" t="s">
        <v>304</v>
      </c>
      <c r="B307" s="1">
        <v>1</v>
      </c>
      <c r="C307" s="1">
        <v>0</v>
      </c>
      <c r="D307" s="1">
        <v>0</v>
      </c>
      <c r="E307" s="1">
        <v>3000</v>
      </c>
      <c r="F307" s="1" t="s">
        <v>374</v>
      </c>
      <c r="G307" s="1">
        <v>1500</v>
      </c>
      <c r="H307" s="1">
        <v>1</v>
      </c>
      <c r="I307" s="1">
        <f>MIN($B307)</f>
        <v>0</v>
      </c>
      <c r="J307" s="1">
        <f>MIN($C307)</f>
        <v>0</v>
      </c>
      <c r="K307" s="1">
        <f>MIN($D307)</f>
        <v>0</v>
      </c>
      <c r="L307" s="1">
        <f>MIN($E307)</f>
        <v>0</v>
      </c>
      <c r="M307" s="1">
        <f>MIN($G307)</f>
        <v>0</v>
      </c>
      <c r="N307" s="1">
        <f>MIN($H307)</f>
        <v>0</v>
      </c>
      <c r="O307" s="1">
        <f>MEDIAN($B307)</f>
        <v>0</v>
      </c>
      <c r="P307" s="1">
        <f>MEDIAN($C307)</f>
        <v>0</v>
      </c>
      <c r="Q307" s="1">
        <f>MEDIAN($D307)</f>
        <v>0</v>
      </c>
      <c r="R307" s="1">
        <f>MEDIAN($E307)</f>
        <v>0</v>
      </c>
      <c r="S307" s="1">
        <f>MEDIAN($G307)</f>
        <v>0</v>
      </c>
      <c r="T307" s="1">
        <f>MEDIAN($H307)</f>
        <v>0</v>
      </c>
      <c r="U307" s="1">
        <f>MAX($B307)</f>
        <v>0</v>
      </c>
      <c r="V307" s="1">
        <f>MAX($C307)</f>
        <v>0</v>
      </c>
      <c r="W307" s="1">
        <f>MAX($D307)</f>
        <v>0</v>
      </c>
      <c r="X307" s="1">
        <f>MAX($E307)</f>
        <v>0</v>
      </c>
      <c r="Y307" s="1">
        <f>MAX($G307)</f>
        <v>0</v>
      </c>
      <c r="Z307" s="1">
        <f>MAX($H307)</f>
        <v>0</v>
      </c>
    </row>
    <row r="308" spans="1:26">
      <c r="A308" s="1" t="s">
        <v>305</v>
      </c>
      <c r="B308" s="1">
        <v>1</v>
      </c>
      <c r="C308" s="1">
        <v>0</v>
      </c>
      <c r="D308" s="1">
        <v>0</v>
      </c>
      <c r="E308" s="1">
        <v>3000</v>
      </c>
      <c r="F308" s="1" t="s">
        <v>374</v>
      </c>
      <c r="G308" s="1">
        <v>1500</v>
      </c>
      <c r="H308" s="1">
        <v>1</v>
      </c>
      <c r="I308" s="1">
        <f>MIN($B308)</f>
        <v>0</v>
      </c>
      <c r="J308" s="1">
        <f>MIN($C308)</f>
        <v>0</v>
      </c>
      <c r="K308" s="1">
        <f>MIN($D308)</f>
        <v>0</v>
      </c>
      <c r="L308" s="1">
        <f>MIN($E308)</f>
        <v>0</v>
      </c>
      <c r="M308" s="1">
        <f>MIN($G308)</f>
        <v>0</v>
      </c>
      <c r="N308" s="1">
        <f>MIN($H308)</f>
        <v>0</v>
      </c>
      <c r="O308" s="1">
        <f>MEDIAN($B308)</f>
        <v>0</v>
      </c>
      <c r="P308" s="1">
        <f>MEDIAN($C308)</f>
        <v>0</v>
      </c>
      <c r="Q308" s="1">
        <f>MEDIAN($D308)</f>
        <v>0</v>
      </c>
      <c r="R308" s="1">
        <f>MEDIAN($E308)</f>
        <v>0</v>
      </c>
      <c r="S308" s="1">
        <f>MEDIAN($G308)</f>
        <v>0</v>
      </c>
      <c r="T308" s="1">
        <f>MEDIAN($H308)</f>
        <v>0</v>
      </c>
      <c r="U308" s="1">
        <f>MAX($B308)</f>
        <v>0</v>
      </c>
      <c r="V308" s="1">
        <f>MAX($C308)</f>
        <v>0</v>
      </c>
      <c r="W308" s="1">
        <f>MAX($D308)</f>
        <v>0</v>
      </c>
      <c r="X308" s="1">
        <f>MAX($E308)</f>
        <v>0</v>
      </c>
      <c r="Y308" s="1">
        <f>MAX($G308)</f>
        <v>0</v>
      </c>
      <c r="Z308" s="1">
        <f>MAX($H308)</f>
        <v>0</v>
      </c>
    </row>
    <row r="309" spans="1:26">
      <c r="A309" s="1" t="s">
        <v>306</v>
      </c>
      <c r="B309" s="1">
        <v>1</v>
      </c>
      <c r="C309" s="1">
        <v>0</v>
      </c>
      <c r="D309" s="1">
        <v>0</v>
      </c>
      <c r="E309" s="1">
        <v>3000</v>
      </c>
      <c r="F309" s="1" t="s">
        <v>374</v>
      </c>
      <c r="G309" s="1">
        <v>1500</v>
      </c>
      <c r="H309" s="1">
        <v>1</v>
      </c>
      <c r="I309" s="1">
        <f>MIN($B309)</f>
        <v>0</v>
      </c>
      <c r="J309" s="1">
        <f>MIN($C309)</f>
        <v>0</v>
      </c>
      <c r="K309" s="1">
        <f>MIN($D309)</f>
        <v>0</v>
      </c>
      <c r="L309" s="1">
        <f>MIN($E309)</f>
        <v>0</v>
      </c>
      <c r="M309" s="1">
        <f>MIN($G309)</f>
        <v>0</v>
      </c>
      <c r="N309" s="1">
        <f>MIN($H309)</f>
        <v>0</v>
      </c>
      <c r="O309" s="1">
        <f>MEDIAN($B309)</f>
        <v>0</v>
      </c>
      <c r="P309" s="1">
        <f>MEDIAN($C309)</f>
        <v>0</v>
      </c>
      <c r="Q309" s="1">
        <f>MEDIAN($D309)</f>
        <v>0</v>
      </c>
      <c r="R309" s="1">
        <f>MEDIAN($E309)</f>
        <v>0</v>
      </c>
      <c r="S309" s="1">
        <f>MEDIAN($G309)</f>
        <v>0</v>
      </c>
      <c r="T309" s="1">
        <f>MEDIAN($H309)</f>
        <v>0</v>
      </c>
      <c r="U309" s="1">
        <f>MAX($B309)</f>
        <v>0</v>
      </c>
      <c r="V309" s="1">
        <f>MAX($C309)</f>
        <v>0</v>
      </c>
      <c r="W309" s="1">
        <f>MAX($D309)</f>
        <v>0</v>
      </c>
      <c r="X309" s="1">
        <f>MAX($E309)</f>
        <v>0</v>
      </c>
      <c r="Y309" s="1">
        <f>MAX($G309)</f>
        <v>0</v>
      </c>
      <c r="Z309" s="1">
        <f>MAX($H309)</f>
        <v>0</v>
      </c>
    </row>
    <row r="310" spans="1:26">
      <c r="A310" s="1" t="s">
        <v>307</v>
      </c>
      <c r="B310" s="1">
        <v>1</v>
      </c>
      <c r="C310" s="1">
        <v>0</v>
      </c>
      <c r="D310" s="1">
        <v>0</v>
      </c>
      <c r="E310" s="1">
        <v>3000</v>
      </c>
      <c r="F310" s="1" t="s">
        <v>374</v>
      </c>
      <c r="G310" s="1">
        <v>1500</v>
      </c>
      <c r="H310" s="1">
        <v>1</v>
      </c>
      <c r="I310" s="1">
        <f>MIN($B310)</f>
        <v>0</v>
      </c>
      <c r="J310" s="1">
        <f>MIN($C310)</f>
        <v>0</v>
      </c>
      <c r="K310" s="1">
        <f>MIN($D310)</f>
        <v>0</v>
      </c>
      <c r="L310" s="1">
        <f>MIN($E310)</f>
        <v>0</v>
      </c>
      <c r="M310" s="1">
        <f>MIN($G310)</f>
        <v>0</v>
      </c>
      <c r="N310" s="1">
        <f>MIN($H310)</f>
        <v>0</v>
      </c>
      <c r="O310" s="1">
        <f>MEDIAN($B310)</f>
        <v>0</v>
      </c>
      <c r="P310" s="1">
        <f>MEDIAN($C310)</f>
        <v>0</v>
      </c>
      <c r="Q310" s="1">
        <f>MEDIAN($D310)</f>
        <v>0</v>
      </c>
      <c r="R310" s="1">
        <f>MEDIAN($E310)</f>
        <v>0</v>
      </c>
      <c r="S310" s="1">
        <f>MEDIAN($G310)</f>
        <v>0</v>
      </c>
      <c r="T310" s="1">
        <f>MEDIAN($H310)</f>
        <v>0</v>
      </c>
      <c r="U310" s="1">
        <f>MAX($B310)</f>
        <v>0</v>
      </c>
      <c r="V310" s="1">
        <f>MAX($C310)</f>
        <v>0</v>
      </c>
      <c r="W310" s="1">
        <f>MAX($D310)</f>
        <v>0</v>
      </c>
      <c r="X310" s="1">
        <f>MAX($E310)</f>
        <v>0</v>
      </c>
      <c r="Y310" s="1">
        <f>MAX($G310)</f>
        <v>0</v>
      </c>
      <c r="Z310" s="1">
        <f>MAX($H310)</f>
        <v>0</v>
      </c>
    </row>
    <row r="311" spans="1:26">
      <c r="A311" s="1" t="s">
        <v>308</v>
      </c>
      <c r="B311" s="1">
        <v>1</v>
      </c>
      <c r="C311" s="1">
        <v>0</v>
      </c>
      <c r="D311" s="1">
        <v>0</v>
      </c>
      <c r="E311" s="1">
        <v>3000</v>
      </c>
      <c r="F311" s="1" t="s">
        <v>374</v>
      </c>
      <c r="G311" s="1">
        <v>1500</v>
      </c>
      <c r="H311" s="1">
        <v>1</v>
      </c>
      <c r="I311" s="1">
        <f>MIN($B311)</f>
        <v>0</v>
      </c>
      <c r="J311" s="1">
        <f>MIN($C311)</f>
        <v>0</v>
      </c>
      <c r="K311" s="1">
        <f>MIN($D311)</f>
        <v>0</v>
      </c>
      <c r="L311" s="1">
        <f>MIN($E311)</f>
        <v>0</v>
      </c>
      <c r="M311" s="1">
        <f>MIN($G311)</f>
        <v>0</v>
      </c>
      <c r="N311" s="1">
        <f>MIN($H311)</f>
        <v>0</v>
      </c>
      <c r="O311" s="1">
        <f>MEDIAN($B311)</f>
        <v>0</v>
      </c>
      <c r="P311" s="1">
        <f>MEDIAN($C311)</f>
        <v>0</v>
      </c>
      <c r="Q311" s="1">
        <f>MEDIAN($D311)</f>
        <v>0</v>
      </c>
      <c r="R311" s="1">
        <f>MEDIAN($E311)</f>
        <v>0</v>
      </c>
      <c r="S311" s="1">
        <f>MEDIAN($G311)</f>
        <v>0</v>
      </c>
      <c r="T311" s="1">
        <f>MEDIAN($H311)</f>
        <v>0</v>
      </c>
      <c r="U311" s="1">
        <f>MAX($B311)</f>
        <v>0</v>
      </c>
      <c r="V311" s="1">
        <f>MAX($C311)</f>
        <v>0</v>
      </c>
      <c r="W311" s="1">
        <f>MAX($D311)</f>
        <v>0</v>
      </c>
      <c r="X311" s="1">
        <f>MAX($E311)</f>
        <v>0</v>
      </c>
      <c r="Y311" s="1">
        <f>MAX($G311)</f>
        <v>0</v>
      </c>
      <c r="Z311" s="1">
        <f>MAX($H311)</f>
        <v>0</v>
      </c>
    </row>
    <row r="312" spans="1:26">
      <c r="A312" s="1" t="s">
        <v>309</v>
      </c>
      <c r="B312" s="1">
        <v>1</v>
      </c>
      <c r="C312" s="1">
        <v>0</v>
      </c>
      <c r="D312" s="1">
        <v>0</v>
      </c>
      <c r="E312" s="1">
        <v>3000</v>
      </c>
      <c r="F312" s="1" t="s">
        <v>374</v>
      </c>
      <c r="G312" s="1">
        <v>1500</v>
      </c>
      <c r="H312" s="1">
        <v>1</v>
      </c>
      <c r="I312" s="1">
        <f>MIN($B312)</f>
        <v>0</v>
      </c>
      <c r="J312" s="1">
        <f>MIN($C312)</f>
        <v>0</v>
      </c>
      <c r="K312" s="1">
        <f>MIN($D312)</f>
        <v>0</v>
      </c>
      <c r="L312" s="1">
        <f>MIN($E312)</f>
        <v>0</v>
      </c>
      <c r="M312" s="1">
        <f>MIN($G312)</f>
        <v>0</v>
      </c>
      <c r="N312" s="1">
        <f>MIN($H312)</f>
        <v>0</v>
      </c>
      <c r="O312" s="1">
        <f>MEDIAN($B312)</f>
        <v>0</v>
      </c>
      <c r="P312" s="1">
        <f>MEDIAN($C312)</f>
        <v>0</v>
      </c>
      <c r="Q312" s="1">
        <f>MEDIAN($D312)</f>
        <v>0</v>
      </c>
      <c r="R312" s="1">
        <f>MEDIAN($E312)</f>
        <v>0</v>
      </c>
      <c r="S312" s="1">
        <f>MEDIAN($G312)</f>
        <v>0</v>
      </c>
      <c r="T312" s="1">
        <f>MEDIAN($H312)</f>
        <v>0</v>
      </c>
      <c r="U312" s="1">
        <f>MAX($B312)</f>
        <v>0</v>
      </c>
      <c r="V312" s="1">
        <f>MAX($C312)</f>
        <v>0</v>
      </c>
      <c r="W312" s="1">
        <f>MAX($D312)</f>
        <v>0</v>
      </c>
      <c r="X312" s="1">
        <f>MAX($E312)</f>
        <v>0</v>
      </c>
      <c r="Y312" s="1">
        <f>MAX($G312)</f>
        <v>0</v>
      </c>
      <c r="Z312" s="1">
        <f>MAX($H312)</f>
        <v>0</v>
      </c>
    </row>
    <row r="313" spans="1:26">
      <c r="A313" s="1" t="s">
        <v>310</v>
      </c>
      <c r="B313" s="1">
        <v>1</v>
      </c>
      <c r="C313" s="1">
        <v>0</v>
      </c>
      <c r="D313" s="1">
        <v>0</v>
      </c>
      <c r="E313" s="1">
        <v>3000</v>
      </c>
      <c r="F313" s="1" t="s">
        <v>374</v>
      </c>
      <c r="G313" s="1">
        <v>1500</v>
      </c>
      <c r="H313" s="1">
        <v>1</v>
      </c>
      <c r="I313" s="1">
        <f>MIN($B313)</f>
        <v>0</v>
      </c>
      <c r="J313" s="1">
        <f>MIN($C313)</f>
        <v>0</v>
      </c>
      <c r="K313" s="1">
        <f>MIN($D313)</f>
        <v>0</v>
      </c>
      <c r="L313" s="1">
        <f>MIN($E313)</f>
        <v>0</v>
      </c>
      <c r="M313" s="1">
        <f>MIN($G313)</f>
        <v>0</v>
      </c>
      <c r="N313" s="1">
        <f>MIN($H313)</f>
        <v>0</v>
      </c>
      <c r="O313" s="1">
        <f>MEDIAN($B313)</f>
        <v>0</v>
      </c>
      <c r="P313" s="1">
        <f>MEDIAN($C313)</f>
        <v>0</v>
      </c>
      <c r="Q313" s="1">
        <f>MEDIAN($D313)</f>
        <v>0</v>
      </c>
      <c r="R313" s="1">
        <f>MEDIAN($E313)</f>
        <v>0</v>
      </c>
      <c r="S313" s="1">
        <f>MEDIAN($G313)</f>
        <v>0</v>
      </c>
      <c r="T313" s="1">
        <f>MEDIAN($H313)</f>
        <v>0</v>
      </c>
      <c r="U313" s="1">
        <f>MAX($B313)</f>
        <v>0</v>
      </c>
      <c r="V313" s="1">
        <f>MAX($C313)</f>
        <v>0</v>
      </c>
      <c r="W313" s="1">
        <f>MAX($D313)</f>
        <v>0</v>
      </c>
      <c r="X313" s="1">
        <f>MAX($E313)</f>
        <v>0</v>
      </c>
      <c r="Y313" s="1">
        <f>MAX($G313)</f>
        <v>0</v>
      </c>
      <c r="Z313" s="1">
        <f>MAX($H313)</f>
        <v>0</v>
      </c>
    </row>
    <row r="314" spans="1:26">
      <c r="A314" s="1" t="s">
        <v>311</v>
      </c>
      <c r="B314" s="1">
        <v>1</v>
      </c>
      <c r="C314" s="1">
        <v>0</v>
      </c>
      <c r="D314" s="1">
        <v>0</v>
      </c>
      <c r="E314" s="1">
        <v>3000</v>
      </c>
      <c r="F314" s="1" t="s">
        <v>374</v>
      </c>
      <c r="G314" s="1">
        <v>1500</v>
      </c>
      <c r="H314" s="1">
        <v>1</v>
      </c>
      <c r="I314" s="1">
        <f>MIN($B314)</f>
        <v>0</v>
      </c>
      <c r="J314" s="1">
        <f>MIN($C314)</f>
        <v>0</v>
      </c>
      <c r="K314" s="1">
        <f>MIN($D314)</f>
        <v>0</v>
      </c>
      <c r="L314" s="1">
        <f>MIN($E314)</f>
        <v>0</v>
      </c>
      <c r="M314" s="1">
        <f>MIN($G314)</f>
        <v>0</v>
      </c>
      <c r="N314" s="1">
        <f>MIN($H314)</f>
        <v>0</v>
      </c>
      <c r="O314" s="1">
        <f>MEDIAN($B314)</f>
        <v>0</v>
      </c>
      <c r="P314" s="1">
        <f>MEDIAN($C314)</f>
        <v>0</v>
      </c>
      <c r="Q314" s="1">
        <f>MEDIAN($D314)</f>
        <v>0</v>
      </c>
      <c r="R314" s="1">
        <f>MEDIAN($E314)</f>
        <v>0</v>
      </c>
      <c r="S314" s="1">
        <f>MEDIAN($G314)</f>
        <v>0</v>
      </c>
      <c r="T314" s="1">
        <f>MEDIAN($H314)</f>
        <v>0</v>
      </c>
      <c r="U314" s="1">
        <f>MAX($B314)</f>
        <v>0</v>
      </c>
      <c r="V314" s="1">
        <f>MAX($C314)</f>
        <v>0</v>
      </c>
      <c r="W314" s="1">
        <f>MAX($D314)</f>
        <v>0</v>
      </c>
      <c r="X314" s="1">
        <f>MAX($E314)</f>
        <v>0</v>
      </c>
      <c r="Y314" s="1">
        <f>MAX($G314)</f>
        <v>0</v>
      </c>
      <c r="Z314" s="1">
        <f>MAX($H314)</f>
        <v>0</v>
      </c>
    </row>
    <row r="315" spans="1:26">
      <c r="A315" s="1" t="s">
        <v>312</v>
      </c>
      <c r="B315" s="1">
        <v>1</v>
      </c>
      <c r="C315" s="1">
        <v>0</v>
      </c>
      <c r="D315" s="1">
        <v>0</v>
      </c>
      <c r="E315" s="1">
        <v>3000</v>
      </c>
      <c r="F315" s="1" t="s">
        <v>374</v>
      </c>
      <c r="G315" s="1">
        <v>1500</v>
      </c>
      <c r="H315" s="1">
        <v>1</v>
      </c>
      <c r="I315" s="1">
        <f>MIN($B315)</f>
        <v>0</v>
      </c>
      <c r="J315" s="1">
        <f>MIN($C315)</f>
        <v>0</v>
      </c>
      <c r="K315" s="1">
        <f>MIN($D315)</f>
        <v>0</v>
      </c>
      <c r="L315" s="1">
        <f>MIN($E315)</f>
        <v>0</v>
      </c>
      <c r="M315" s="1">
        <f>MIN($G315)</f>
        <v>0</v>
      </c>
      <c r="N315" s="1">
        <f>MIN($H315)</f>
        <v>0</v>
      </c>
      <c r="O315" s="1">
        <f>MEDIAN($B315)</f>
        <v>0</v>
      </c>
      <c r="P315" s="1">
        <f>MEDIAN($C315)</f>
        <v>0</v>
      </c>
      <c r="Q315" s="1">
        <f>MEDIAN($D315)</f>
        <v>0</v>
      </c>
      <c r="R315" s="1">
        <f>MEDIAN($E315)</f>
        <v>0</v>
      </c>
      <c r="S315" s="1">
        <f>MEDIAN($G315)</f>
        <v>0</v>
      </c>
      <c r="T315" s="1">
        <f>MEDIAN($H315)</f>
        <v>0</v>
      </c>
      <c r="U315" s="1">
        <f>MAX($B315)</f>
        <v>0</v>
      </c>
      <c r="V315" s="1">
        <f>MAX($C315)</f>
        <v>0</v>
      </c>
      <c r="W315" s="1">
        <f>MAX($D315)</f>
        <v>0</v>
      </c>
      <c r="X315" s="1">
        <f>MAX($E315)</f>
        <v>0</v>
      </c>
      <c r="Y315" s="1">
        <f>MAX($G315)</f>
        <v>0</v>
      </c>
      <c r="Z315" s="1">
        <f>MAX($H315)</f>
        <v>0</v>
      </c>
    </row>
    <row r="316" spans="1:26">
      <c r="A316" s="1" t="s">
        <v>313</v>
      </c>
      <c r="B316" s="1">
        <v>1</v>
      </c>
      <c r="C316" s="1">
        <v>0</v>
      </c>
      <c r="D316" s="1">
        <v>0</v>
      </c>
      <c r="E316" s="1">
        <v>3000</v>
      </c>
      <c r="F316" s="1" t="s">
        <v>374</v>
      </c>
      <c r="G316" s="1">
        <v>1500</v>
      </c>
      <c r="H316" s="1">
        <v>1</v>
      </c>
      <c r="I316" s="1">
        <f>MIN($B316)</f>
        <v>0</v>
      </c>
      <c r="J316" s="1">
        <f>MIN($C316)</f>
        <v>0</v>
      </c>
      <c r="K316" s="1">
        <f>MIN($D316)</f>
        <v>0</v>
      </c>
      <c r="L316" s="1">
        <f>MIN($E316)</f>
        <v>0</v>
      </c>
      <c r="M316" s="1">
        <f>MIN($G316)</f>
        <v>0</v>
      </c>
      <c r="N316" s="1">
        <f>MIN($H316)</f>
        <v>0</v>
      </c>
      <c r="O316" s="1">
        <f>MEDIAN($B316)</f>
        <v>0</v>
      </c>
      <c r="P316" s="1">
        <f>MEDIAN($C316)</f>
        <v>0</v>
      </c>
      <c r="Q316" s="1">
        <f>MEDIAN($D316)</f>
        <v>0</v>
      </c>
      <c r="R316" s="1">
        <f>MEDIAN($E316)</f>
        <v>0</v>
      </c>
      <c r="S316" s="1">
        <f>MEDIAN($G316)</f>
        <v>0</v>
      </c>
      <c r="T316" s="1">
        <f>MEDIAN($H316)</f>
        <v>0</v>
      </c>
      <c r="U316" s="1">
        <f>MAX($B316)</f>
        <v>0</v>
      </c>
      <c r="V316" s="1">
        <f>MAX($C316)</f>
        <v>0</v>
      </c>
      <c r="W316" s="1">
        <f>MAX($D316)</f>
        <v>0</v>
      </c>
      <c r="X316" s="1">
        <f>MAX($E316)</f>
        <v>0</v>
      </c>
      <c r="Y316" s="1">
        <f>MAX($G316)</f>
        <v>0</v>
      </c>
      <c r="Z316" s="1">
        <f>MAX($H316)</f>
        <v>0</v>
      </c>
    </row>
    <row r="317" spans="1:26">
      <c r="A317" s="1" t="s">
        <v>314</v>
      </c>
      <c r="B317" s="1">
        <v>1</v>
      </c>
      <c r="C317" s="1">
        <v>0</v>
      </c>
      <c r="D317" s="1">
        <v>0</v>
      </c>
      <c r="E317" s="1">
        <v>3000</v>
      </c>
      <c r="F317" s="1" t="s">
        <v>374</v>
      </c>
      <c r="G317" s="1">
        <v>1500</v>
      </c>
      <c r="H317" s="1">
        <v>1</v>
      </c>
      <c r="I317" s="1">
        <f>MIN($B317)</f>
        <v>0</v>
      </c>
      <c r="J317" s="1">
        <f>MIN($C317)</f>
        <v>0</v>
      </c>
      <c r="K317" s="1">
        <f>MIN($D317)</f>
        <v>0</v>
      </c>
      <c r="L317" s="1">
        <f>MIN($E317)</f>
        <v>0</v>
      </c>
      <c r="M317" s="1">
        <f>MIN($G317)</f>
        <v>0</v>
      </c>
      <c r="N317" s="1">
        <f>MIN($H317)</f>
        <v>0</v>
      </c>
      <c r="O317" s="1">
        <f>MEDIAN($B317)</f>
        <v>0</v>
      </c>
      <c r="P317" s="1">
        <f>MEDIAN($C317)</f>
        <v>0</v>
      </c>
      <c r="Q317" s="1">
        <f>MEDIAN($D317)</f>
        <v>0</v>
      </c>
      <c r="R317" s="1">
        <f>MEDIAN($E317)</f>
        <v>0</v>
      </c>
      <c r="S317" s="1">
        <f>MEDIAN($G317)</f>
        <v>0</v>
      </c>
      <c r="T317" s="1">
        <f>MEDIAN($H317)</f>
        <v>0</v>
      </c>
      <c r="U317" s="1">
        <f>MAX($B317)</f>
        <v>0</v>
      </c>
      <c r="V317" s="1">
        <f>MAX($C317)</f>
        <v>0</v>
      </c>
      <c r="W317" s="1">
        <f>MAX($D317)</f>
        <v>0</v>
      </c>
      <c r="X317" s="1">
        <f>MAX($E317)</f>
        <v>0</v>
      </c>
      <c r="Y317" s="1">
        <f>MAX($G317)</f>
        <v>0</v>
      </c>
      <c r="Z317" s="1">
        <f>MAX($H317)</f>
        <v>0</v>
      </c>
    </row>
    <row r="318" spans="1:26">
      <c r="A318" s="1" t="s">
        <v>315</v>
      </c>
      <c r="B318" s="1">
        <v>1</v>
      </c>
      <c r="C318" s="1">
        <v>0</v>
      </c>
      <c r="D318" s="1">
        <v>0</v>
      </c>
      <c r="E318" s="1">
        <v>3000</v>
      </c>
      <c r="F318" s="1" t="s">
        <v>374</v>
      </c>
      <c r="G318" s="1">
        <v>1500</v>
      </c>
      <c r="H318" s="1">
        <v>1</v>
      </c>
      <c r="I318" s="1">
        <f>MIN($B318)</f>
        <v>0</v>
      </c>
      <c r="J318" s="1">
        <f>MIN($C318)</f>
        <v>0</v>
      </c>
      <c r="K318" s="1">
        <f>MIN($D318)</f>
        <v>0</v>
      </c>
      <c r="L318" s="1">
        <f>MIN($E318)</f>
        <v>0</v>
      </c>
      <c r="M318" s="1">
        <f>MIN($G318)</f>
        <v>0</v>
      </c>
      <c r="N318" s="1">
        <f>MIN($H318)</f>
        <v>0</v>
      </c>
      <c r="O318" s="1">
        <f>MEDIAN($B318)</f>
        <v>0</v>
      </c>
      <c r="P318" s="1">
        <f>MEDIAN($C318)</f>
        <v>0</v>
      </c>
      <c r="Q318" s="1">
        <f>MEDIAN($D318)</f>
        <v>0</v>
      </c>
      <c r="R318" s="1">
        <f>MEDIAN($E318)</f>
        <v>0</v>
      </c>
      <c r="S318" s="1">
        <f>MEDIAN($G318)</f>
        <v>0</v>
      </c>
      <c r="T318" s="1">
        <f>MEDIAN($H318)</f>
        <v>0</v>
      </c>
      <c r="U318" s="1">
        <f>MAX($B318)</f>
        <v>0</v>
      </c>
      <c r="V318" s="1">
        <f>MAX($C318)</f>
        <v>0</v>
      </c>
      <c r="W318" s="1">
        <f>MAX($D318)</f>
        <v>0</v>
      </c>
      <c r="X318" s="1">
        <f>MAX($E318)</f>
        <v>0</v>
      </c>
      <c r="Y318" s="1">
        <f>MAX($G318)</f>
        <v>0</v>
      </c>
      <c r="Z318" s="1">
        <f>MAX($H318)</f>
        <v>0</v>
      </c>
    </row>
    <row r="319" spans="1:26">
      <c r="A319" s="1" t="s">
        <v>316</v>
      </c>
      <c r="B319" s="1">
        <v>1</v>
      </c>
      <c r="C319" s="1">
        <v>0</v>
      </c>
      <c r="D319" s="1">
        <v>0</v>
      </c>
      <c r="E319" s="1">
        <v>3000</v>
      </c>
      <c r="F319" s="1" t="s">
        <v>374</v>
      </c>
      <c r="G319" s="1">
        <v>1500</v>
      </c>
      <c r="H319" s="1">
        <v>1</v>
      </c>
      <c r="I319" s="1">
        <f>MIN($B319)</f>
        <v>0</v>
      </c>
      <c r="J319" s="1">
        <f>MIN($C319)</f>
        <v>0</v>
      </c>
      <c r="K319" s="1">
        <f>MIN($D319)</f>
        <v>0</v>
      </c>
      <c r="L319" s="1">
        <f>MIN($E319)</f>
        <v>0</v>
      </c>
      <c r="M319" s="1">
        <f>MIN($G319)</f>
        <v>0</v>
      </c>
      <c r="N319" s="1">
        <f>MIN($H319)</f>
        <v>0</v>
      </c>
      <c r="O319" s="1">
        <f>MEDIAN($B319)</f>
        <v>0</v>
      </c>
      <c r="P319" s="1">
        <f>MEDIAN($C319)</f>
        <v>0</v>
      </c>
      <c r="Q319" s="1">
        <f>MEDIAN($D319)</f>
        <v>0</v>
      </c>
      <c r="R319" s="1">
        <f>MEDIAN($E319)</f>
        <v>0</v>
      </c>
      <c r="S319" s="1">
        <f>MEDIAN($G319)</f>
        <v>0</v>
      </c>
      <c r="T319" s="1">
        <f>MEDIAN($H319)</f>
        <v>0</v>
      </c>
      <c r="U319" s="1">
        <f>MAX($B319)</f>
        <v>0</v>
      </c>
      <c r="V319" s="1">
        <f>MAX($C319)</f>
        <v>0</v>
      </c>
      <c r="W319" s="1">
        <f>MAX($D319)</f>
        <v>0</v>
      </c>
      <c r="X319" s="1">
        <f>MAX($E319)</f>
        <v>0</v>
      </c>
      <c r="Y319" s="1">
        <f>MAX($G319)</f>
        <v>0</v>
      </c>
      <c r="Z319" s="1">
        <f>MAX($H319)</f>
        <v>0</v>
      </c>
    </row>
    <row r="320" spans="1:26">
      <c r="A320" s="1" t="s">
        <v>317</v>
      </c>
      <c r="B320" s="1">
        <v>1</v>
      </c>
      <c r="C320" s="1">
        <v>0</v>
      </c>
      <c r="D320" s="1">
        <v>0</v>
      </c>
      <c r="E320" s="1">
        <v>3000</v>
      </c>
      <c r="F320" s="1" t="s">
        <v>374</v>
      </c>
      <c r="G320" s="1">
        <v>1500</v>
      </c>
      <c r="H320" s="1">
        <v>1</v>
      </c>
      <c r="I320" s="1">
        <f>MIN($B320)</f>
        <v>0</v>
      </c>
      <c r="J320" s="1">
        <f>MIN($C320)</f>
        <v>0</v>
      </c>
      <c r="K320" s="1">
        <f>MIN($D320)</f>
        <v>0</v>
      </c>
      <c r="L320" s="1">
        <f>MIN($E320)</f>
        <v>0</v>
      </c>
      <c r="M320" s="1">
        <f>MIN($G320)</f>
        <v>0</v>
      </c>
      <c r="N320" s="1">
        <f>MIN($H320)</f>
        <v>0</v>
      </c>
      <c r="O320" s="1">
        <f>MEDIAN($B320)</f>
        <v>0</v>
      </c>
      <c r="P320" s="1">
        <f>MEDIAN($C320)</f>
        <v>0</v>
      </c>
      <c r="Q320" s="1">
        <f>MEDIAN($D320)</f>
        <v>0</v>
      </c>
      <c r="R320" s="1">
        <f>MEDIAN($E320)</f>
        <v>0</v>
      </c>
      <c r="S320" s="1">
        <f>MEDIAN($G320)</f>
        <v>0</v>
      </c>
      <c r="T320" s="1">
        <f>MEDIAN($H320)</f>
        <v>0</v>
      </c>
      <c r="U320" s="1">
        <f>MAX($B320)</f>
        <v>0</v>
      </c>
      <c r="V320" s="1">
        <f>MAX($C320)</f>
        <v>0</v>
      </c>
      <c r="W320" s="1">
        <f>MAX($D320)</f>
        <v>0</v>
      </c>
      <c r="X320" s="1">
        <f>MAX($E320)</f>
        <v>0</v>
      </c>
      <c r="Y320" s="1">
        <f>MAX($G320)</f>
        <v>0</v>
      </c>
      <c r="Z320" s="1">
        <f>MAX($H320)</f>
        <v>0</v>
      </c>
    </row>
    <row r="321" spans="1:26">
      <c r="A321" s="1" t="s">
        <v>318</v>
      </c>
      <c r="B321" s="1">
        <v>1</v>
      </c>
      <c r="C321" s="1">
        <v>0</v>
      </c>
      <c r="D321" s="1">
        <v>0</v>
      </c>
      <c r="E321" s="1">
        <v>3000</v>
      </c>
      <c r="F321" s="1" t="s">
        <v>374</v>
      </c>
      <c r="G321" s="1">
        <v>1500</v>
      </c>
      <c r="H321" s="1">
        <v>1</v>
      </c>
      <c r="I321" s="1">
        <f>MIN($B321)</f>
        <v>0</v>
      </c>
      <c r="J321" s="1">
        <f>MIN($C321)</f>
        <v>0</v>
      </c>
      <c r="K321" s="1">
        <f>MIN($D321)</f>
        <v>0</v>
      </c>
      <c r="L321" s="1">
        <f>MIN($E321)</f>
        <v>0</v>
      </c>
      <c r="M321" s="1">
        <f>MIN($G321)</f>
        <v>0</v>
      </c>
      <c r="N321" s="1">
        <f>MIN($H321)</f>
        <v>0</v>
      </c>
      <c r="O321" s="1">
        <f>MEDIAN($B321)</f>
        <v>0</v>
      </c>
      <c r="P321" s="1">
        <f>MEDIAN($C321)</f>
        <v>0</v>
      </c>
      <c r="Q321" s="1">
        <f>MEDIAN($D321)</f>
        <v>0</v>
      </c>
      <c r="R321" s="1">
        <f>MEDIAN($E321)</f>
        <v>0</v>
      </c>
      <c r="S321" s="1">
        <f>MEDIAN($G321)</f>
        <v>0</v>
      </c>
      <c r="T321" s="1">
        <f>MEDIAN($H321)</f>
        <v>0</v>
      </c>
      <c r="U321" s="1">
        <f>MAX($B321)</f>
        <v>0</v>
      </c>
      <c r="V321" s="1">
        <f>MAX($C321)</f>
        <v>0</v>
      </c>
      <c r="W321" s="1">
        <f>MAX($D321)</f>
        <v>0</v>
      </c>
      <c r="X321" s="1">
        <f>MAX($E321)</f>
        <v>0</v>
      </c>
      <c r="Y321" s="1">
        <f>MAX($G321)</f>
        <v>0</v>
      </c>
      <c r="Z321" s="1">
        <f>MAX($H321)</f>
        <v>0</v>
      </c>
    </row>
    <row r="322" spans="1:26">
      <c r="A322" s="1" t="s">
        <v>319</v>
      </c>
      <c r="B322" s="1">
        <v>1</v>
      </c>
      <c r="C322" s="1">
        <v>0</v>
      </c>
      <c r="D322" s="1">
        <v>0</v>
      </c>
      <c r="E322" s="1">
        <v>3000</v>
      </c>
      <c r="F322" s="1" t="s">
        <v>374</v>
      </c>
      <c r="G322" s="1">
        <v>1500</v>
      </c>
      <c r="H322" s="1">
        <v>1</v>
      </c>
      <c r="I322" s="1">
        <f>MIN($B322)</f>
        <v>0</v>
      </c>
      <c r="J322" s="1">
        <f>MIN($C322)</f>
        <v>0</v>
      </c>
      <c r="K322" s="1">
        <f>MIN($D322)</f>
        <v>0</v>
      </c>
      <c r="L322" s="1">
        <f>MIN($E322)</f>
        <v>0</v>
      </c>
      <c r="M322" s="1">
        <f>MIN($G322)</f>
        <v>0</v>
      </c>
      <c r="N322" s="1">
        <f>MIN($H322)</f>
        <v>0</v>
      </c>
      <c r="O322" s="1">
        <f>MEDIAN($B322)</f>
        <v>0</v>
      </c>
      <c r="P322" s="1">
        <f>MEDIAN($C322)</f>
        <v>0</v>
      </c>
      <c r="Q322" s="1">
        <f>MEDIAN($D322)</f>
        <v>0</v>
      </c>
      <c r="R322" s="1">
        <f>MEDIAN($E322)</f>
        <v>0</v>
      </c>
      <c r="S322" s="1">
        <f>MEDIAN($G322)</f>
        <v>0</v>
      </c>
      <c r="T322" s="1">
        <f>MEDIAN($H322)</f>
        <v>0</v>
      </c>
      <c r="U322" s="1">
        <f>MAX($B322)</f>
        <v>0</v>
      </c>
      <c r="V322" s="1">
        <f>MAX($C322)</f>
        <v>0</v>
      </c>
      <c r="W322" s="1">
        <f>MAX($D322)</f>
        <v>0</v>
      </c>
      <c r="X322" s="1">
        <f>MAX($E322)</f>
        <v>0</v>
      </c>
      <c r="Y322" s="1">
        <f>MAX($G322)</f>
        <v>0</v>
      </c>
      <c r="Z322" s="1">
        <f>MAX($H322)</f>
        <v>0</v>
      </c>
    </row>
    <row r="323" spans="1:26">
      <c r="A323" s="1" t="s">
        <v>320</v>
      </c>
      <c r="B323" s="1">
        <v>1</v>
      </c>
      <c r="C323" s="1">
        <v>0</v>
      </c>
      <c r="D323" s="1">
        <v>0</v>
      </c>
      <c r="E323" s="1">
        <v>3000</v>
      </c>
      <c r="F323" s="1" t="s">
        <v>374</v>
      </c>
      <c r="G323" s="1">
        <v>1500</v>
      </c>
      <c r="H323" s="1">
        <v>1</v>
      </c>
      <c r="I323" s="1">
        <f>MIN($B323)</f>
        <v>0</v>
      </c>
      <c r="J323" s="1">
        <f>MIN($C323)</f>
        <v>0</v>
      </c>
      <c r="K323" s="1">
        <f>MIN($D323)</f>
        <v>0</v>
      </c>
      <c r="L323" s="1">
        <f>MIN($E323)</f>
        <v>0</v>
      </c>
      <c r="M323" s="1">
        <f>MIN($G323)</f>
        <v>0</v>
      </c>
      <c r="N323" s="1">
        <f>MIN($H323)</f>
        <v>0</v>
      </c>
      <c r="O323" s="1">
        <f>MEDIAN($B323)</f>
        <v>0</v>
      </c>
      <c r="P323" s="1">
        <f>MEDIAN($C323)</f>
        <v>0</v>
      </c>
      <c r="Q323" s="1">
        <f>MEDIAN($D323)</f>
        <v>0</v>
      </c>
      <c r="R323" s="1">
        <f>MEDIAN($E323)</f>
        <v>0</v>
      </c>
      <c r="S323" s="1">
        <f>MEDIAN($G323)</f>
        <v>0</v>
      </c>
      <c r="T323" s="1">
        <f>MEDIAN($H323)</f>
        <v>0</v>
      </c>
      <c r="U323" s="1">
        <f>MAX($B323)</f>
        <v>0</v>
      </c>
      <c r="V323" s="1">
        <f>MAX($C323)</f>
        <v>0</v>
      </c>
      <c r="W323" s="1">
        <f>MAX($D323)</f>
        <v>0</v>
      </c>
      <c r="X323" s="1">
        <f>MAX($E323)</f>
        <v>0</v>
      </c>
      <c r="Y323" s="1">
        <f>MAX($G323)</f>
        <v>0</v>
      </c>
      <c r="Z323" s="1">
        <f>MAX($H323)</f>
        <v>0</v>
      </c>
    </row>
    <row r="324" spans="1:26">
      <c r="A324" s="1" t="s">
        <v>321</v>
      </c>
      <c r="B324" s="1">
        <v>1</v>
      </c>
      <c r="C324" s="1">
        <v>0</v>
      </c>
      <c r="D324" s="1">
        <v>0</v>
      </c>
      <c r="E324" s="1">
        <v>3000</v>
      </c>
      <c r="F324" s="1" t="s">
        <v>374</v>
      </c>
      <c r="G324" s="1">
        <v>1500</v>
      </c>
      <c r="H324" s="1">
        <v>1</v>
      </c>
      <c r="I324" s="1">
        <f>MIN($B324)</f>
        <v>0</v>
      </c>
      <c r="J324" s="1">
        <f>MIN($C324)</f>
        <v>0</v>
      </c>
      <c r="K324" s="1">
        <f>MIN($D324)</f>
        <v>0</v>
      </c>
      <c r="L324" s="1">
        <f>MIN($E324)</f>
        <v>0</v>
      </c>
      <c r="M324" s="1">
        <f>MIN($G324)</f>
        <v>0</v>
      </c>
      <c r="N324" s="1">
        <f>MIN($H324)</f>
        <v>0</v>
      </c>
      <c r="O324" s="1">
        <f>MEDIAN($B324)</f>
        <v>0</v>
      </c>
      <c r="P324" s="1">
        <f>MEDIAN($C324)</f>
        <v>0</v>
      </c>
      <c r="Q324" s="1">
        <f>MEDIAN($D324)</f>
        <v>0</v>
      </c>
      <c r="R324" s="1">
        <f>MEDIAN($E324)</f>
        <v>0</v>
      </c>
      <c r="S324" s="1">
        <f>MEDIAN($G324)</f>
        <v>0</v>
      </c>
      <c r="T324" s="1">
        <f>MEDIAN($H324)</f>
        <v>0</v>
      </c>
      <c r="U324" s="1">
        <f>MAX($B324)</f>
        <v>0</v>
      </c>
      <c r="V324" s="1">
        <f>MAX($C324)</f>
        <v>0</v>
      </c>
      <c r="W324" s="1">
        <f>MAX($D324)</f>
        <v>0</v>
      </c>
      <c r="X324" s="1">
        <f>MAX($E324)</f>
        <v>0</v>
      </c>
      <c r="Y324" s="1">
        <f>MAX($G324)</f>
        <v>0</v>
      </c>
      <c r="Z324" s="1">
        <f>MAX($H324)</f>
        <v>0</v>
      </c>
    </row>
    <row r="325" spans="1:26">
      <c r="A325" s="1" t="s">
        <v>322</v>
      </c>
      <c r="B325" s="1">
        <v>1</v>
      </c>
      <c r="C325" s="1">
        <v>0</v>
      </c>
      <c r="D325" s="1">
        <v>0</v>
      </c>
      <c r="E325" s="1">
        <v>3000</v>
      </c>
      <c r="F325" s="1" t="s">
        <v>374</v>
      </c>
      <c r="G325" s="1">
        <v>1500</v>
      </c>
      <c r="H325" s="1">
        <v>1</v>
      </c>
      <c r="I325" s="1">
        <f>MIN($B325)</f>
        <v>0</v>
      </c>
      <c r="J325" s="1">
        <f>MIN($C325)</f>
        <v>0</v>
      </c>
      <c r="K325" s="1">
        <f>MIN($D325)</f>
        <v>0</v>
      </c>
      <c r="L325" s="1">
        <f>MIN($E325)</f>
        <v>0</v>
      </c>
      <c r="M325" s="1">
        <f>MIN($G325)</f>
        <v>0</v>
      </c>
      <c r="N325" s="1">
        <f>MIN($H325)</f>
        <v>0</v>
      </c>
      <c r="O325" s="1">
        <f>MEDIAN($B325)</f>
        <v>0</v>
      </c>
      <c r="P325" s="1">
        <f>MEDIAN($C325)</f>
        <v>0</v>
      </c>
      <c r="Q325" s="1">
        <f>MEDIAN($D325)</f>
        <v>0</v>
      </c>
      <c r="R325" s="1">
        <f>MEDIAN($E325)</f>
        <v>0</v>
      </c>
      <c r="S325" s="1">
        <f>MEDIAN($G325)</f>
        <v>0</v>
      </c>
      <c r="T325" s="1">
        <f>MEDIAN($H325)</f>
        <v>0</v>
      </c>
      <c r="U325" s="1">
        <f>MAX($B325)</f>
        <v>0</v>
      </c>
      <c r="V325" s="1">
        <f>MAX($C325)</f>
        <v>0</v>
      </c>
      <c r="W325" s="1">
        <f>MAX($D325)</f>
        <v>0</v>
      </c>
      <c r="X325" s="1">
        <f>MAX($E325)</f>
        <v>0</v>
      </c>
      <c r="Y325" s="1">
        <f>MAX($G325)</f>
        <v>0</v>
      </c>
      <c r="Z325" s="1">
        <f>MAX($H325)</f>
        <v>0</v>
      </c>
    </row>
    <row r="326" spans="1:26">
      <c r="A326" s="1" t="s">
        <v>323</v>
      </c>
      <c r="B326" s="1">
        <v>1</v>
      </c>
      <c r="C326" s="1">
        <v>0</v>
      </c>
      <c r="D326" s="1">
        <v>0</v>
      </c>
      <c r="E326" s="1">
        <v>3000</v>
      </c>
      <c r="F326" s="1" t="s">
        <v>374</v>
      </c>
      <c r="G326" s="1">
        <v>1500</v>
      </c>
      <c r="H326" s="1">
        <v>1</v>
      </c>
      <c r="I326" s="1">
        <f>MIN($B326)</f>
        <v>0</v>
      </c>
      <c r="J326" s="1">
        <f>MIN($C326)</f>
        <v>0</v>
      </c>
      <c r="K326" s="1">
        <f>MIN($D326)</f>
        <v>0</v>
      </c>
      <c r="L326" s="1">
        <f>MIN($E326)</f>
        <v>0</v>
      </c>
      <c r="M326" s="1">
        <f>MIN($G326)</f>
        <v>0</v>
      </c>
      <c r="N326" s="1">
        <f>MIN($H326)</f>
        <v>0</v>
      </c>
      <c r="O326" s="1">
        <f>MEDIAN($B326)</f>
        <v>0</v>
      </c>
      <c r="P326" s="1">
        <f>MEDIAN($C326)</f>
        <v>0</v>
      </c>
      <c r="Q326" s="1">
        <f>MEDIAN($D326)</f>
        <v>0</v>
      </c>
      <c r="R326" s="1">
        <f>MEDIAN($E326)</f>
        <v>0</v>
      </c>
      <c r="S326" s="1">
        <f>MEDIAN($G326)</f>
        <v>0</v>
      </c>
      <c r="T326" s="1">
        <f>MEDIAN($H326)</f>
        <v>0</v>
      </c>
      <c r="U326" s="1">
        <f>MAX($B326)</f>
        <v>0</v>
      </c>
      <c r="V326" s="1">
        <f>MAX($C326)</f>
        <v>0</v>
      </c>
      <c r="W326" s="1">
        <f>MAX($D326)</f>
        <v>0</v>
      </c>
      <c r="X326" s="1">
        <f>MAX($E326)</f>
        <v>0</v>
      </c>
      <c r="Y326" s="1">
        <f>MAX($G326)</f>
        <v>0</v>
      </c>
      <c r="Z326" s="1">
        <f>MAX($H326)</f>
        <v>0</v>
      </c>
    </row>
    <row r="327" spans="1:26">
      <c r="A327" s="1" t="s">
        <v>324</v>
      </c>
      <c r="B327" s="1">
        <v>1</v>
      </c>
      <c r="C327" s="1">
        <v>0</v>
      </c>
      <c r="D327" s="1">
        <v>0</v>
      </c>
      <c r="E327" s="1">
        <v>3000</v>
      </c>
      <c r="F327" s="1" t="s">
        <v>374</v>
      </c>
      <c r="G327" s="1">
        <v>1500</v>
      </c>
      <c r="H327" s="1">
        <v>1</v>
      </c>
      <c r="I327" s="1">
        <f>MIN($B327)</f>
        <v>0</v>
      </c>
      <c r="J327" s="1">
        <f>MIN($C327)</f>
        <v>0</v>
      </c>
      <c r="K327" s="1">
        <f>MIN($D327)</f>
        <v>0</v>
      </c>
      <c r="L327" s="1">
        <f>MIN($E327)</f>
        <v>0</v>
      </c>
      <c r="M327" s="1">
        <f>MIN($G327)</f>
        <v>0</v>
      </c>
      <c r="N327" s="1">
        <f>MIN($H327)</f>
        <v>0</v>
      </c>
      <c r="O327" s="1">
        <f>MEDIAN($B327)</f>
        <v>0</v>
      </c>
      <c r="P327" s="1">
        <f>MEDIAN($C327)</f>
        <v>0</v>
      </c>
      <c r="Q327" s="1">
        <f>MEDIAN($D327)</f>
        <v>0</v>
      </c>
      <c r="R327" s="1">
        <f>MEDIAN($E327)</f>
        <v>0</v>
      </c>
      <c r="S327" s="1">
        <f>MEDIAN($G327)</f>
        <v>0</v>
      </c>
      <c r="T327" s="1">
        <f>MEDIAN($H327)</f>
        <v>0</v>
      </c>
      <c r="U327" s="1">
        <f>MAX($B327)</f>
        <v>0</v>
      </c>
      <c r="V327" s="1">
        <f>MAX($C327)</f>
        <v>0</v>
      </c>
      <c r="W327" s="1">
        <f>MAX($D327)</f>
        <v>0</v>
      </c>
      <c r="X327" s="1">
        <f>MAX($E327)</f>
        <v>0</v>
      </c>
      <c r="Y327" s="1">
        <f>MAX($G327)</f>
        <v>0</v>
      </c>
      <c r="Z327" s="1">
        <f>MAX($H327)</f>
        <v>0</v>
      </c>
    </row>
    <row r="328" spans="1:26">
      <c r="A328" s="1" t="s">
        <v>325</v>
      </c>
      <c r="B328" s="1">
        <v>1</v>
      </c>
      <c r="C328" s="1">
        <v>0</v>
      </c>
      <c r="D328" s="1">
        <v>0</v>
      </c>
      <c r="E328" s="1">
        <v>3000</v>
      </c>
      <c r="F328" s="1" t="s">
        <v>374</v>
      </c>
      <c r="G328" s="1">
        <v>1500</v>
      </c>
      <c r="H328" s="1">
        <v>1</v>
      </c>
      <c r="I328" s="1">
        <f>MIN($B328)</f>
        <v>0</v>
      </c>
      <c r="J328" s="1">
        <f>MIN($C328)</f>
        <v>0</v>
      </c>
      <c r="K328" s="1">
        <f>MIN($D328)</f>
        <v>0</v>
      </c>
      <c r="L328" s="1">
        <f>MIN($E328)</f>
        <v>0</v>
      </c>
      <c r="M328" s="1">
        <f>MIN($G328)</f>
        <v>0</v>
      </c>
      <c r="N328" s="1">
        <f>MIN($H328)</f>
        <v>0</v>
      </c>
      <c r="O328" s="1">
        <f>MEDIAN($B328)</f>
        <v>0</v>
      </c>
      <c r="P328" s="1">
        <f>MEDIAN($C328)</f>
        <v>0</v>
      </c>
      <c r="Q328" s="1">
        <f>MEDIAN($D328)</f>
        <v>0</v>
      </c>
      <c r="R328" s="1">
        <f>MEDIAN($E328)</f>
        <v>0</v>
      </c>
      <c r="S328" s="1">
        <f>MEDIAN($G328)</f>
        <v>0</v>
      </c>
      <c r="T328" s="1">
        <f>MEDIAN($H328)</f>
        <v>0</v>
      </c>
      <c r="U328" s="1">
        <f>MAX($B328)</f>
        <v>0</v>
      </c>
      <c r="V328" s="1">
        <f>MAX($C328)</f>
        <v>0</v>
      </c>
      <c r="W328" s="1">
        <f>MAX($D328)</f>
        <v>0</v>
      </c>
      <c r="X328" s="1">
        <f>MAX($E328)</f>
        <v>0</v>
      </c>
      <c r="Y328" s="1">
        <f>MAX($G328)</f>
        <v>0</v>
      </c>
      <c r="Z328" s="1">
        <f>MAX($H328)</f>
        <v>0</v>
      </c>
    </row>
    <row r="329" spans="1:26">
      <c r="A329" s="1" t="s">
        <v>326</v>
      </c>
      <c r="B329" s="1">
        <v>1</v>
      </c>
      <c r="C329" s="1">
        <v>0</v>
      </c>
      <c r="D329" s="1">
        <v>0</v>
      </c>
      <c r="E329" s="1">
        <v>3000</v>
      </c>
      <c r="F329" s="1" t="s">
        <v>374</v>
      </c>
      <c r="G329" s="1">
        <v>1500</v>
      </c>
      <c r="H329" s="1">
        <v>1</v>
      </c>
      <c r="I329" s="1">
        <f>MIN($B329)</f>
        <v>0</v>
      </c>
      <c r="J329" s="1">
        <f>MIN($C329)</f>
        <v>0</v>
      </c>
      <c r="K329" s="1">
        <f>MIN($D329)</f>
        <v>0</v>
      </c>
      <c r="L329" s="1">
        <f>MIN($E329)</f>
        <v>0</v>
      </c>
      <c r="M329" s="1">
        <f>MIN($G329)</f>
        <v>0</v>
      </c>
      <c r="N329" s="1">
        <f>MIN($H329)</f>
        <v>0</v>
      </c>
      <c r="O329" s="1">
        <f>MEDIAN($B329)</f>
        <v>0</v>
      </c>
      <c r="P329" s="1">
        <f>MEDIAN($C329)</f>
        <v>0</v>
      </c>
      <c r="Q329" s="1">
        <f>MEDIAN($D329)</f>
        <v>0</v>
      </c>
      <c r="R329" s="1">
        <f>MEDIAN($E329)</f>
        <v>0</v>
      </c>
      <c r="S329" s="1">
        <f>MEDIAN($G329)</f>
        <v>0</v>
      </c>
      <c r="T329" s="1">
        <f>MEDIAN($H329)</f>
        <v>0</v>
      </c>
      <c r="U329" s="1">
        <f>MAX($B329)</f>
        <v>0</v>
      </c>
      <c r="V329" s="1">
        <f>MAX($C329)</f>
        <v>0</v>
      </c>
      <c r="W329" s="1">
        <f>MAX($D329)</f>
        <v>0</v>
      </c>
      <c r="X329" s="1">
        <f>MAX($E329)</f>
        <v>0</v>
      </c>
      <c r="Y329" s="1">
        <f>MAX($G329)</f>
        <v>0</v>
      </c>
      <c r="Z329" s="1">
        <f>MAX($H329)</f>
        <v>0</v>
      </c>
    </row>
    <row r="330" spans="1:26">
      <c r="A330" s="1" t="s">
        <v>327</v>
      </c>
      <c r="B330" s="1">
        <v>1</v>
      </c>
      <c r="C330" s="1">
        <v>0</v>
      </c>
      <c r="D330" s="1">
        <v>0</v>
      </c>
      <c r="E330" s="1">
        <v>3000</v>
      </c>
      <c r="F330" s="1" t="s">
        <v>374</v>
      </c>
      <c r="G330" s="1">
        <v>1500</v>
      </c>
      <c r="H330" s="1">
        <v>1</v>
      </c>
      <c r="I330" s="1">
        <f>MIN($B330)</f>
        <v>0</v>
      </c>
      <c r="J330" s="1">
        <f>MIN($C330)</f>
        <v>0</v>
      </c>
      <c r="K330" s="1">
        <f>MIN($D330)</f>
        <v>0</v>
      </c>
      <c r="L330" s="1">
        <f>MIN($E330)</f>
        <v>0</v>
      </c>
      <c r="M330" s="1">
        <f>MIN($G330)</f>
        <v>0</v>
      </c>
      <c r="N330" s="1">
        <f>MIN($H330)</f>
        <v>0</v>
      </c>
      <c r="O330" s="1">
        <f>MEDIAN($B330)</f>
        <v>0</v>
      </c>
      <c r="P330" s="1">
        <f>MEDIAN($C330)</f>
        <v>0</v>
      </c>
      <c r="Q330" s="1">
        <f>MEDIAN($D330)</f>
        <v>0</v>
      </c>
      <c r="R330" s="1">
        <f>MEDIAN($E330)</f>
        <v>0</v>
      </c>
      <c r="S330" s="1">
        <f>MEDIAN($G330)</f>
        <v>0</v>
      </c>
      <c r="T330" s="1">
        <f>MEDIAN($H330)</f>
        <v>0</v>
      </c>
      <c r="U330" s="1">
        <f>MAX($B330)</f>
        <v>0</v>
      </c>
      <c r="V330" s="1">
        <f>MAX($C330)</f>
        <v>0</v>
      </c>
      <c r="W330" s="1">
        <f>MAX($D330)</f>
        <v>0</v>
      </c>
      <c r="X330" s="1">
        <f>MAX($E330)</f>
        <v>0</v>
      </c>
      <c r="Y330" s="1">
        <f>MAX($G330)</f>
        <v>0</v>
      </c>
      <c r="Z330" s="1">
        <f>MAX($H330)</f>
        <v>0</v>
      </c>
    </row>
    <row r="331" spans="1:26">
      <c r="A331" s="1" t="s">
        <v>328</v>
      </c>
      <c r="B331" s="1">
        <v>1</v>
      </c>
      <c r="C331" s="1">
        <v>0</v>
      </c>
      <c r="D331" s="1">
        <v>0</v>
      </c>
      <c r="E331" s="1">
        <v>3000</v>
      </c>
      <c r="F331" s="1" t="s">
        <v>374</v>
      </c>
      <c r="G331" s="1">
        <v>1500</v>
      </c>
      <c r="H331" s="1">
        <v>1</v>
      </c>
      <c r="I331" s="1">
        <f>MIN($B331)</f>
        <v>0</v>
      </c>
      <c r="J331" s="1">
        <f>MIN($C331)</f>
        <v>0</v>
      </c>
      <c r="K331" s="1">
        <f>MIN($D331)</f>
        <v>0</v>
      </c>
      <c r="L331" s="1">
        <f>MIN($E331)</f>
        <v>0</v>
      </c>
      <c r="M331" s="1">
        <f>MIN($G331)</f>
        <v>0</v>
      </c>
      <c r="N331" s="1">
        <f>MIN($H331)</f>
        <v>0</v>
      </c>
      <c r="O331" s="1">
        <f>MEDIAN($B331)</f>
        <v>0</v>
      </c>
      <c r="P331" s="1">
        <f>MEDIAN($C331)</f>
        <v>0</v>
      </c>
      <c r="Q331" s="1">
        <f>MEDIAN($D331)</f>
        <v>0</v>
      </c>
      <c r="R331" s="1">
        <f>MEDIAN($E331)</f>
        <v>0</v>
      </c>
      <c r="S331" s="1">
        <f>MEDIAN($G331)</f>
        <v>0</v>
      </c>
      <c r="T331" s="1">
        <f>MEDIAN($H331)</f>
        <v>0</v>
      </c>
      <c r="U331" s="1">
        <f>MAX($B331)</f>
        <v>0</v>
      </c>
      <c r="V331" s="1">
        <f>MAX($C331)</f>
        <v>0</v>
      </c>
      <c r="W331" s="1">
        <f>MAX($D331)</f>
        <v>0</v>
      </c>
      <c r="X331" s="1">
        <f>MAX($E331)</f>
        <v>0</v>
      </c>
      <c r="Y331" s="1">
        <f>MAX($G331)</f>
        <v>0</v>
      </c>
      <c r="Z331" s="1">
        <f>MAX($H331)</f>
        <v>0</v>
      </c>
    </row>
    <row r="332" spans="1:26">
      <c r="A332" s="1" t="s">
        <v>329</v>
      </c>
      <c r="B332" s="1">
        <v>1</v>
      </c>
      <c r="C332" s="1">
        <v>0</v>
      </c>
      <c r="D332" s="1">
        <v>0</v>
      </c>
      <c r="E332" s="1">
        <v>3000</v>
      </c>
      <c r="F332" s="1" t="s">
        <v>374</v>
      </c>
      <c r="G332" s="1">
        <v>1500</v>
      </c>
      <c r="H332" s="1">
        <v>1</v>
      </c>
      <c r="I332" s="1">
        <f>MIN($B332)</f>
        <v>0</v>
      </c>
      <c r="J332" s="1">
        <f>MIN($C332)</f>
        <v>0</v>
      </c>
      <c r="K332" s="1">
        <f>MIN($D332)</f>
        <v>0</v>
      </c>
      <c r="L332" s="1">
        <f>MIN($E332)</f>
        <v>0</v>
      </c>
      <c r="M332" s="1">
        <f>MIN($G332)</f>
        <v>0</v>
      </c>
      <c r="N332" s="1">
        <f>MIN($H332)</f>
        <v>0</v>
      </c>
      <c r="O332" s="1">
        <f>MEDIAN($B332)</f>
        <v>0</v>
      </c>
      <c r="P332" s="1">
        <f>MEDIAN($C332)</f>
        <v>0</v>
      </c>
      <c r="Q332" s="1">
        <f>MEDIAN($D332)</f>
        <v>0</v>
      </c>
      <c r="R332" s="1">
        <f>MEDIAN($E332)</f>
        <v>0</v>
      </c>
      <c r="S332" s="1">
        <f>MEDIAN($G332)</f>
        <v>0</v>
      </c>
      <c r="T332" s="1">
        <f>MEDIAN($H332)</f>
        <v>0</v>
      </c>
      <c r="U332" s="1">
        <f>MAX($B332)</f>
        <v>0</v>
      </c>
      <c r="V332" s="1">
        <f>MAX($C332)</f>
        <v>0</v>
      </c>
      <c r="W332" s="1">
        <f>MAX($D332)</f>
        <v>0</v>
      </c>
      <c r="X332" s="1">
        <f>MAX($E332)</f>
        <v>0</v>
      </c>
      <c r="Y332" s="1">
        <f>MAX($G332)</f>
        <v>0</v>
      </c>
      <c r="Z332" s="1">
        <f>MAX($H332)</f>
        <v>0</v>
      </c>
    </row>
    <row r="333" spans="1:26">
      <c r="A333" s="1" t="s">
        <v>330</v>
      </c>
      <c r="B333" s="1">
        <v>1</v>
      </c>
      <c r="C333" s="1">
        <v>0</v>
      </c>
      <c r="D333" s="1">
        <v>0</v>
      </c>
      <c r="E333" s="1">
        <v>3000</v>
      </c>
      <c r="F333" s="1" t="s">
        <v>374</v>
      </c>
      <c r="G333" s="1">
        <v>1500</v>
      </c>
      <c r="H333" s="1">
        <v>1</v>
      </c>
      <c r="I333" s="1">
        <f>MIN($B333)</f>
        <v>0</v>
      </c>
      <c r="J333" s="1">
        <f>MIN($C333)</f>
        <v>0</v>
      </c>
      <c r="K333" s="1">
        <f>MIN($D333)</f>
        <v>0</v>
      </c>
      <c r="L333" s="1">
        <f>MIN($E333)</f>
        <v>0</v>
      </c>
      <c r="M333" s="1">
        <f>MIN($G333)</f>
        <v>0</v>
      </c>
      <c r="N333" s="1">
        <f>MIN($H333)</f>
        <v>0</v>
      </c>
      <c r="O333" s="1">
        <f>MEDIAN($B333)</f>
        <v>0</v>
      </c>
      <c r="P333" s="1">
        <f>MEDIAN($C333)</f>
        <v>0</v>
      </c>
      <c r="Q333" s="1">
        <f>MEDIAN($D333)</f>
        <v>0</v>
      </c>
      <c r="R333" s="1">
        <f>MEDIAN($E333)</f>
        <v>0</v>
      </c>
      <c r="S333" s="1">
        <f>MEDIAN($G333)</f>
        <v>0</v>
      </c>
      <c r="T333" s="1">
        <f>MEDIAN($H333)</f>
        <v>0</v>
      </c>
      <c r="U333" s="1">
        <f>MAX($B333)</f>
        <v>0</v>
      </c>
      <c r="V333" s="1">
        <f>MAX($C333)</f>
        <v>0</v>
      </c>
      <c r="W333" s="1">
        <f>MAX($D333)</f>
        <v>0</v>
      </c>
      <c r="X333" s="1">
        <f>MAX($E333)</f>
        <v>0</v>
      </c>
      <c r="Y333" s="1">
        <f>MAX($G333)</f>
        <v>0</v>
      </c>
      <c r="Z333" s="1">
        <f>MAX($H333)</f>
        <v>0</v>
      </c>
    </row>
    <row r="334" spans="1:26">
      <c r="A334" s="1" t="s">
        <v>331</v>
      </c>
      <c r="B334" s="1">
        <v>1</v>
      </c>
      <c r="C334" s="1">
        <v>0</v>
      </c>
      <c r="D334" s="1">
        <v>0</v>
      </c>
      <c r="E334" s="1">
        <v>3000</v>
      </c>
      <c r="F334" s="1" t="s">
        <v>374</v>
      </c>
      <c r="G334" s="1">
        <v>1500</v>
      </c>
      <c r="H334" s="1">
        <v>1</v>
      </c>
      <c r="I334" s="1">
        <f>MIN($B334)</f>
        <v>0</v>
      </c>
      <c r="J334" s="1">
        <f>MIN($C334)</f>
        <v>0</v>
      </c>
      <c r="K334" s="1">
        <f>MIN($D334)</f>
        <v>0</v>
      </c>
      <c r="L334" s="1">
        <f>MIN($E334)</f>
        <v>0</v>
      </c>
      <c r="M334" s="1">
        <f>MIN($G334)</f>
        <v>0</v>
      </c>
      <c r="N334" s="1">
        <f>MIN($H334)</f>
        <v>0</v>
      </c>
      <c r="O334" s="1">
        <f>MEDIAN($B334)</f>
        <v>0</v>
      </c>
      <c r="P334" s="1">
        <f>MEDIAN($C334)</f>
        <v>0</v>
      </c>
      <c r="Q334" s="1">
        <f>MEDIAN($D334)</f>
        <v>0</v>
      </c>
      <c r="R334" s="1">
        <f>MEDIAN($E334)</f>
        <v>0</v>
      </c>
      <c r="S334" s="1">
        <f>MEDIAN($G334)</f>
        <v>0</v>
      </c>
      <c r="T334" s="1">
        <f>MEDIAN($H334)</f>
        <v>0</v>
      </c>
      <c r="U334" s="1">
        <f>MAX($B334)</f>
        <v>0</v>
      </c>
      <c r="V334" s="1">
        <f>MAX($C334)</f>
        <v>0</v>
      </c>
      <c r="W334" s="1">
        <f>MAX($D334)</f>
        <v>0</v>
      </c>
      <c r="X334" s="1">
        <f>MAX($E334)</f>
        <v>0</v>
      </c>
      <c r="Y334" s="1">
        <f>MAX($G334)</f>
        <v>0</v>
      </c>
      <c r="Z334" s="1">
        <f>MAX($H334)</f>
        <v>0</v>
      </c>
    </row>
    <row r="335" spans="1:26">
      <c r="A335" s="1" t="s">
        <v>332</v>
      </c>
      <c r="B335" s="1">
        <v>1</v>
      </c>
      <c r="C335" s="1">
        <v>0</v>
      </c>
      <c r="D335" s="1">
        <v>0</v>
      </c>
      <c r="E335" s="1">
        <v>3000</v>
      </c>
      <c r="F335" s="1" t="s">
        <v>374</v>
      </c>
      <c r="G335" s="1">
        <v>1500</v>
      </c>
      <c r="H335" s="1">
        <v>1</v>
      </c>
      <c r="I335" s="1">
        <f>MIN($B335)</f>
        <v>0</v>
      </c>
      <c r="J335" s="1">
        <f>MIN($C335)</f>
        <v>0</v>
      </c>
      <c r="K335" s="1">
        <f>MIN($D335)</f>
        <v>0</v>
      </c>
      <c r="L335" s="1">
        <f>MIN($E335)</f>
        <v>0</v>
      </c>
      <c r="M335" s="1">
        <f>MIN($G335)</f>
        <v>0</v>
      </c>
      <c r="N335" s="1">
        <f>MIN($H335)</f>
        <v>0</v>
      </c>
      <c r="O335" s="1">
        <f>MEDIAN($B335)</f>
        <v>0</v>
      </c>
      <c r="P335" s="1">
        <f>MEDIAN($C335)</f>
        <v>0</v>
      </c>
      <c r="Q335" s="1">
        <f>MEDIAN($D335)</f>
        <v>0</v>
      </c>
      <c r="R335" s="1">
        <f>MEDIAN($E335)</f>
        <v>0</v>
      </c>
      <c r="S335" s="1">
        <f>MEDIAN($G335)</f>
        <v>0</v>
      </c>
      <c r="T335" s="1">
        <f>MEDIAN($H335)</f>
        <v>0</v>
      </c>
      <c r="U335" s="1">
        <f>MAX($B335)</f>
        <v>0</v>
      </c>
      <c r="V335" s="1">
        <f>MAX($C335)</f>
        <v>0</v>
      </c>
      <c r="W335" s="1">
        <f>MAX($D335)</f>
        <v>0</v>
      </c>
      <c r="X335" s="1">
        <f>MAX($E335)</f>
        <v>0</v>
      </c>
      <c r="Y335" s="1">
        <f>MAX($G335)</f>
        <v>0</v>
      </c>
      <c r="Z335" s="1">
        <f>MAX($H335)</f>
        <v>0</v>
      </c>
    </row>
    <row r="336" spans="1:26">
      <c r="A336" s="1" t="s">
        <v>333</v>
      </c>
      <c r="B336" s="1">
        <v>1</v>
      </c>
      <c r="C336" s="1">
        <v>0</v>
      </c>
      <c r="D336" s="1">
        <v>0</v>
      </c>
      <c r="E336" s="1">
        <v>3000</v>
      </c>
      <c r="F336" s="1" t="s">
        <v>374</v>
      </c>
      <c r="G336" s="1">
        <v>1500</v>
      </c>
      <c r="H336" s="1">
        <v>1</v>
      </c>
      <c r="I336" s="1">
        <f>MIN($B336)</f>
        <v>0</v>
      </c>
      <c r="J336" s="1">
        <f>MIN($C336)</f>
        <v>0</v>
      </c>
      <c r="K336" s="1">
        <f>MIN($D336)</f>
        <v>0</v>
      </c>
      <c r="L336" s="1">
        <f>MIN($E336)</f>
        <v>0</v>
      </c>
      <c r="M336" s="1">
        <f>MIN($G336)</f>
        <v>0</v>
      </c>
      <c r="N336" s="1">
        <f>MIN($H336)</f>
        <v>0</v>
      </c>
      <c r="O336" s="1">
        <f>MEDIAN($B336)</f>
        <v>0</v>
      </c>
      <c r="P336" s="1">
        <f>MEDIAN($C336)</f>
        <v>0</v>
      </c>
      <c r="Q336" s="1">
        <f>MEDIAN($D336)</f>
        <v>0</v>
      </c>
      <c r="R336" s="1">
        <f>MEDIAN($E336)</f>
        <v>0</v>
      </c>
      <c r="S336" s="1">
        <f>MEDIAN($G336)</f>
        <v>0</v>
      </c>
      <c r="T336" s="1">
        <f>MEDIAN($H336)</f>
        <v>0</v>
      </c>
      <c r="U336" s="1">
        <f>MAX($B336)</f>
        <v>0</v>
      </c>
      <c r="V336" s="1">
        <f>MAX($C336)</f>
        <v>0</v>
      </c>
      <c r="W336" s="1">
        <f>MAX($D336)</f>
        <v>0</v>
      </c>
      <c r="X336" s="1">
        <f>MAX($E336)</f>
        <v>0</v>
      </c>
      <c r="Y336" s="1">
        <f>MAX($G336)</f>
        <v>0</v>
      </c>
      <c r="Z336" s="1">
        <f>MAX($H336)</f>
        <v>0</v>
      </c>
    </row>
    <row r="337" spans="1:26">
      <c r="A337" s="1" t="s">
        <v>334</v>
      </c>
      <c r="B337" s="1">
        <v>1</v>
      </c>
      <c r="C337" s="1">
        <v>0</v>
      </c>
      <c r="D337" s="1">
        <v>0</v>
      </c>
      <c r="E337" s="1">
        <v>3000</v>
      </c>
      <c r="F337" s="1" t="s">
        <v>374</v>
      </c>
      <c r="G337" s="1">
        <v>1500</v>
      </c>
      <c r="H337" s="1">
        <v>1</v>
      </c>
      <c r="I337" s="1">
        <f>MIN($B337)</f>
        <v>0</v>
      </c>
      <c r="J337" s="1">
        <f>MIN($C337)</f>
        <v>0</v>
      </c>
      <c r="K337" s="1">
        <f>MIN($D337)</f>
        <v>0</v>
      </c>
      <c r="L337" s="1">
        <f>MIN($E337)</f>
        <v>0</v>
      </c>
      <c r="M337" s="1">
        <f>MIN($G337)</f>
        <v>0</v>
      </c>
      <c r="N337" s="1">
        <f>MIN($H337)</f>
        <v>0</v>
      </c>
      <c r="O337" s="1">
        <f>MEDIAN($B337)</f>
        <v>0</v>
      </c>
      <c r="P337" s="1">
        <f>MEDIAN($C337)</f>
        <v>0</v>
      </c>
      <c r="Q337" s="1">
        <f>MEDIAN($D337)</f>
        <v>0</v>
      </c>
      <c r="R337" s="1">
        <f>MEDIAN($E337)</f>
        <v>0</v>
      </c>
      <c r="S337" s="1">
        <f>MEDIAN($G337)</f>
        <v>0</v>
      </c>
      <c r="T337" s="1">
        <f>MEDIAN($H337)</f>
        <v>0</v>
      </c>
      <c r="U337" s="1">
        <f>MAX($B337)</f>
        <v>0</v>
      </c>
      <c r="V337" s="1">
        <f>MAX($C337)</f>
        <v>0</v>
      </c>
      <c r="W337" s="1">
        <f>MAX($D337)</f>
        <v>0</v>
      </c>
      <c r="X337" s="1">
        <f>MAX($E337)</f>
        <v>0</v>
      </c>
      <c r="Y337" s="1">
        <f>MAX($G337)</f>
        <v>0</v>
      </c>
      <c r="Z337" s="1">
        <f>MAX($H337)</f>
        <v>0</v>
      </c>
    </row>
    <row r="338" spans="1:26">
      <c r="A338" s="1" t="s">
        <v>335</v>
      </c>
      <c r="B338" s="1">
        <v>1</v>
      </c>
      <c r="C338" s="1">
        <v>0</v>
      </c>
      <c r="D338" s="1">
        <v>0</v>
      </c>
      <c r="E338" s="1">
        <v>3000</v>
      </c>
      <c r="F338" s="1" t="s">
        <v>374</v>
      </c>
      <c r="G338" s="1">
        <v>1500</v>
      </c>
      <c r="H338" s="1">
        <v>1</v>
      </c>
      <c r="I338" s="1">
        <f>MIN($B338)</f>
        <v>0</v>
      </c>
      <c r="J338" s="1">
        <f>MIN($C338)</f>
        <v>0</v>
      </c>
      <c r="K338" s="1">
        <f>MIN($D338)</f>
        <v>0</v>
      </c>
      <c r="L338" s="1">
        <f>MIN($E338)</f>
        <v>0</v>
      </c>
      <c r="M338" s="1">
        <f>MIN($G338)</f>
        <v>0</v>
      </c>
      <c r="N338" s="1">
        <f>MIN($H338)</f>
        <v>0</v>
      </c>
      <c r="O338" s="1">
        <f>MEDIAN($B338)</f>
        <v>0</v>
      </c>
      <c r="P338" s="1">
        <f>MEDIAN($C338)</f>
        <v>0</v>
      </c>
      <c r="Q338" s="1">
        <f>MEDIAN($D338)</f>
        <v>0</v>
      </c>
      <c r="R338" s="1">
        <f>MEDIAN($E338)</f>
        <v>0</v>
      </c>
      <c r="S338" s="1">
        <f>MEDIAN($G338)</f>
        <v>0</v>
      </c>
      <c r="T338" s="1">
        <f>MEDIAN($H338)</f>
        <v>0</v>
      </c>
      <c r="U338" s="1">
        <f>MAX($B338)</f>
        <v>0</v>
      </c>
      <c r="V338" s="1">
        <f>MAX($C338)</f>
        <v>0</v>
      </c>
      <c r="W338" s="1">
        <f>MAX($D338)</f>
        <v>0</v>
      </c>
      <c r="X338" s="1">
        <f>MAX($E338)</f>
        <v>0</v>
      </c>
      <c r="Y338" s="1">
        <f>MAX($G338)</f>
        <v>0</v>
      </c>
      <c r="Z338" s="1">
        <f>MAX($H338)</f>
        <v>0</v>
      </c>
    </row>
    <row r="339" spans="1:26">
      <c r="A339" s="1" t="s">
        <v>336</v>
      </c>
      <c r="B339" s="1">
        <v>1</v>
      </c>
      <c r="C339" s="1">
        <v>0</v>
      </c>
      <c r="D339" s="1">
        <v>0</v>
      </c>
      <c r="E339" s="1">
        <v>3000</v>
      </c>
      <c r="F339" s="1" t="s">
        <v>374</v>
      </c>
      <c r="G339" s="1">
        <v>1500</v>
      </c>
      <c r="H339" s="1">
        <v>1</v>
      </c>
      <c r="I339" s="1">
        <f>MIN($B339)</f>
        <v>0</v>
      </c>
      <c r="J339" s="1">
        <f>MIN($C339)</f>
        <v>0</v>
      </c>
      <c r="K339" s="1">
        <f>MIN($D339)</f>
        <v>0</v>
      </c>
      <c r="L339" s="1">
        <f>MIN($E339)</f>
        <v>0</v>
      </c>
      <c r="M339" s="1">
        <f>MIN($G339)</f>
        <v>0</v>
      </c>
      <c r="N339" s="1">
        <f>MIN($H339)</f>
        <v>0</v>
      </c>
      <c r="O339" s="1">
        <f>MEDIAN($B339)</f>
        <v>0</v>
      </c>
      <c r="P339" s="1">
        <f>MEDIAN($C339)</f>
        <v>0</v>
      </c>
      <c r="Q339" s="1">
        <f>MEDIAN($D339)</f>
        <v>0</v>
      </c>
      <c r="R339" s="1">
        <f>MEDIAN($E339)</f>
        <v>0</v>
      </c>
      <c r="S339" s="1">
        <f>MEDIAN($G339)</f>
        <v>0</v>
      </c>
      <c r="T339" s="1">
        <f>MEDIAN($H339)</f>
        <v>0</v>
      </c>
      <c r="U339" s="1">
        <f>MAX($B339)</f>
        <v>0</v>
      </c>
      <c r="V339" s="1">
        <f>MAX($C339)</f>
        <v>0</v>
      </c>
      <c r="W339" s="1">
        <f>MAX($D339)</f>
        <v>0</v>
      </c>
      <c r="X339" s="1">
        <f>MAX($E339)</f>
        <v>0</v>
      </c>
      <c r="Y339" s="1">
        <f>MAX($G339)</f>
        <v>0</v>
      </c>
      <c r="Z339" s="1">
        <f>MAX($H339)</f>
        <v>0</v>
      </c>
    </row>
    <row r="340" spans="1:26">
      <c r="A340" s="1" t="s">
        <v>337</v>
      </c>
      <c r="B340" s="1">
        <v>1</v>
      </c>
      <c r="C340" s="1">
        <v>0</v>
      </c>
      <c r="D340" s="1">
        <v>0</v>
      </c>
      <c r="E340" s="1">
        <v>3000</v>
      </c>
      <c r="F340" s="1" t="s">
        <v>374</v>
      </c>
      <c r="G340" s="1">
        <v>1500</v>
      </c>
      <c r="H340" s="1">
        <v>1</v>
      </c>
      <c r="I340" s="1">
        <f>MIN($B340)</f>
        <v>0</v>
      </c>
      <c r="J340" s="1">
        <f>MIN($C340)</f>
        <v>0</v>
      </c>
      <c r="K340" s="1">
        <f>MIN($D340)</f>
        <v>0</v>
      </c>
      <c r="L340" s="1">
        <f>MIN($E340)</f>
        <v>0</v>
      </c>
      <c r="M340" s="1">
        <f>MIN($G340)</f>
        <v>0</v>
      </c>
      <c r="N340" s="1">
        <f>MIN($H340)</f>
        <v>0</v>
      </c>
      <c r="O340" s="1">
        <f>MEDIAN($B340)</f>
        <v>0</v>
      </c>
      <c r="P340" s="1">
        <f>MEDIAN($C340)</f>
        <v>0</v>
      </c>
      <c r="Q340" s="1">
        <f>MEDIAN($D340)</f>
        <v>0</v>
      </c>
      <c r="R340" s="1">
        <f>MEDIAN($E340)</f>
        <v>0</v>
      </c>
      <c r="S340" s="1">
        <f>MEDIAN($G340)</f>
        <v>0</v>
      </c>
      <c r="T340" s="1">
        <f>MEDIAN($H340)</f>
        <v>0</v>
      </c>
      <c r="U340" s="1">
        <f>MAX($B340)</f>
        <v>0</v>
      </c>
      <c r="V340" s="1">
        <f>MAX($C340)</f>
        <v>0</v>
      </c>
      <c r="W340" s="1">
        <f>MAX($D340)</f>
        <v>0</v>
      </c>
      <c r="X340" s="1">
        <f>MAX($E340)</f>
        <v>0</v>
      </c>
      <c r="Y340" s="1">
        <f>MAX($G340)</f>
        <v>0</v>
      </c>
      <c r="Z340" s="1">
        <f>MAX($H340)</f>
        <v>0</v>
      </c>
    </row>
    <row r="341" spans="1:26">
      <c r="A341" s="1" t="s">
        <v>338</v>
      </c>
      <c r="B341" s="1">
        <v>1</v>
      </c>
      <c r="C341" s="1">
        <v>0</v>
      </c>
      <c r="D341" s="1">
        <v>0</v>
      </c>
      <c r="E341" s="1">
        <v>3000</v>
      </c>
      <c r="F341" s="1" t="s">
        <v>374</v>
      </c>
      <c r="G341" s="1">
        <v>1500</v>
      </c>
      <c r="H341" s="1">
        <v>1</v>
      </c>
      <c r="I341" s="1">
        <f>MIN($B341)</f>
        <v>0</v>
      </c>
      <c r="J341" s="1">
        <f>MIN($C341)</f>
        <v>0</v>
      </c>
      <c r="K341" s="1">
        <f>MIN($D341)</f>
        <v>0</v>
      </c>
      <c r="L341" s="1">
        <f>MIN($E341)</f>
        <v>0</v>
      </c>
      <c r="M341" s="1">
        <f>MIN($G341)</f>
        <v>0</v>
      </c>
      <c r="N341" s="1">
        <f>MIN($H341)</f>
        <v>0</v>
      </c>
      <c r="O341" s="1">
        <f>MEDIAN($B341)</f>
        <v>0</v>
      </c>
      <c r="P341" s="1">
        <f>MEDIAN($C341)</f>
        <v>0</v>
      </c>
      <c r="Q341" s="1">
        <f>MEDIAN($D341)</f>
        <v>0</v>
      </c>
      <c r="R341" s="1">
        <f>MEDIAN($E341)</f>
        <v>0</v>
      </c>
      <c r="S341" s="1">
        <f>MEDIAN($G341)</f>
        <v>0</v>
      </c>
      <c r="T341" s="1">
        <f>MEDIAN($H341)</f>
        <v>0</v>
      </c>
      <c r="U341" s="1">
        <f>MAX($B341)</f>
        <v>0</v>
      </c>
      <c r="V341" s="1">
        <f>MAX($C341)</f>
        <v>0</v>
      </c>
      <c r="W341" s="1">
        <f>MAX($D341)</f>
        <v>0</v>
      </c>
      <c r="X341" s="1">
        <f>MAX($E341)</f>
        <v>0</v>
      </c>
      <c r="Y341" s="1">
        <f>MAX($G341)</f>
        <v>0</v>
      </c>
      <c r="Z341" s="1">
        <f>MAX($H341)</f>
        <v>0</v>
      </c>
    </row>
    <row r="342" spans="1:26">
      <c r="A342" s="1" t="s">
        <v>339</v>
      </c>
      <c r="B342" s="1">
        <v>1</v>
      </c>
      <c r="C342" s="1">
        <v>0</v>
      </c>
      <c r="D342" s="1">
        <v>0</v>
      </c>
      <c r="E342" s="1">
        <v>3000</v>
      </c>
      <c r="F342" s="1" t="s">
        <v>374</v>
      </c>
      <c r="G342" s="1">
        <v>1500</v>
      </c>
      <c r="H342" s="1">
        <v>1</v>
      </c>
      <c r="I342" s="1">
        <f>MIN($B342)</f>
        <v>0</v>
      </c>
      <c r="J342" s="1">
        <f>MIN($C342)</f>
        <v>0</v>
      </c>
      <c r="K342" s="1">
        <f>MIN($D342)</f>
        <v>0</v>
      </c>
      <c r="L342" s="1">
        <f>MIN($E342)</f>
        <v>0</v>
      </c>
      <c r="M342" s="1">
        <f>MIN($G342)</f>
        <v>0</v>
      </c>
      <c r="N342" s="1">
        <f>MIN($H342)</f>
        <v>0</v>
      </c>
      <c r="O342" s="1">
        <f>MEDIAN($B342)</f>
        <v>0</v>
      </c>
      <c r="P342" s="1">
        <f>MEDIAN($C342)</f>
        <v>0</v>
      </c>
      <c r="Q342" s="1">
        <f>MEDIAN($D342)</f>
        <v>0</v>
      </c>
      <c r="R342" s="1">
        <f>MEDIAN($E342)</f>
        <v>0</v>
      </c>
      <c r="S342" s="1">
        <f>MEDIAN($G342)</f>
        <v>0</v>
      </c>
      <c r="T342" s="1">
        <f>MEDIAN($H342)</f>
        <v>0</v>
      </c>
      <c r="U342" s="1">
        <f>MAX($B342)</f>
        <v>0</v>
      </c>
      <c r="V342" s="1">
        <f>MAX($C342)</f>
        <v>0</v>
      </c>
      <c r="W342" s="1">
        <f>MAX($D342)</f>
        <v>0</v>
      </c>
      <c r="X342" s="1">
        <f>MAX($E342)</f>
        <v>0</v>
      </c>
      <c r="Y342" s="1">
        <f>MAX($G342)</f>
        <v>0</v>
      </c>
      <c r="Z342" s="1">
        <f>MAX($H342)</f>
        <v>0</v>
      </c>
    </row>
    <row r="343" spans="1:26">
      <c r="A343" s="1" t="s">
        <v>340</v>
      </c>
      <c r="B343" s="1">
        <v>1</v>
      </c>
      <c r="C343" s="1">
        <v>0</v>
      </c>
      <c r="D343" s="1">
        <v>0</v>
      </c>
      <c r="E343" s="1">
        <v>3000</v>
      </c>
      <c r="F343" s="1" t="s">
        <v>374</v>
      </c>
      <c r="G343" s="1">
        <v>1500</v>
      </c>
      <c r="H343" s="1">
        <v>1</v>
      </c>
      <c r="I343" s="1">
        <f>MIN($B343)</f>
        <v>0</v>
      </c>
      <c r="J343" s="1">
        <f>MIN($C343)</f>
        <v>0</v>
      </c>
      <c r="K343" s="1">
        <f>MIN($D343)</f>
        <v>0</v>
      </c>
      <c r="L343" s="1">
        <f>MIN($E343)</f>
        <v>0</v>
      </c>
      <c r="M343" s="1">
        <f>MIN($G343)</f>
        <v>0</v>
      </c>
      <c r="N343" s="1">
        <f>MIN($H343)</f>
        <v>0</v>
      </c>
      <c r="O343" s="1">
        <f>MEDIAN($B343)</f>
        <v>0</v>
      </c>
      <c r="P343" s="1">
        <f>MEDIAN($C343)</f>
        <v>0</v>
      </c>
      <c r="Q343" s="1">
        <f>MEDIAN($D343)</f>
        <v>0</v>
      </c>
      <c r="R343" s="1">
        <f>MEDIAN($E343)</f>
        <v>0</v>
      </c>
      <c r="S343" s="1">
        <f>MEDIAN($G343)</f>
        <v>0</v>
      </c>
      <c r="T343" s="1">
        <f>MEDIAN($H343)</f>
        <v>0</v>
      </c>
      <c r="U343" s="1">
        <f>MAX($B343)</f>
        <v>0</v>
      </c>
      <c r="V343" s="1">
        <f>MAX($C343)</f>
        <v>0</v>
      </c>
      <c r="W343" s="1">
        <f>MAX($D343)</f>
        <v>0</v>
      </c>
      <c r="X343" s="1">
        <f>MAX($E343)</f>
        <v>0</v>
      </c>
      <c r="Y343" s="1">
        <f>MAX($G343)</f>
        <v>0</v>
      </c>
      <c r="Z343" s="1">
        <f>MAX($H343)</f>
        <v>0</v>
      </c>
    </row>
    <row r="344" spans="1:26">
      <c r="A344" s="1" t="s">
        <v>341</v>
      </c>
      <c r="B344" s="1">
        <v>1</v>
      </c>
      <c r="C344" s="1">
        <v>0</v>
      </c>
      <c r="D344" s="1">
        <v>0</v>
      </c>
      <c r="E344" s="1">
        <v>3000</v>
      </c>
      <c r="F344" s="1" t="s">
        <v>374</v>
      </c>
      <c r="G344" s="1">
        <v>1500</v>
      </c>
      <c r="H344" s="1">
        <v>1</v>
      </c>
      <c r="I344" s="1">
        <f>MIN($B344)</f>
        <v>0</v>
      </c>
      <c r="J344" s="1">
        <f>MIN($C344)</f>
        <v>0</v>
      </c>
      <c r="K344" s="1">
        <f>MIN($D344)</f>
        <v>0</v>
      </c>
      <c r="L344" s="1">
        <f>MIN($E344)</f>
        <v>0</v>
      </c>
      <c r="M344" s="1">
        <f>MIN($G344)</f>
        <v>0</v>
      </c>
      <c r="N344" s="1">
        <f>MIN($H344)</f>
        <v>0</v>
      </c>
      <c r="O344" s="1">
        <f>MEDIAN($B344)</f>
        <v>0</v>
      </c>
      <c r="P344" s="1">
        <f>MEDIAN($C344)</f>
        <v>0</v>
      </c>
      <c r="Q344" s="1">
        <f>MEDIAN($D344)</f>
        <v>0</v>
      </c>
      <c r="R344" s="1">
        <f>MEDIAN($E344)</f>
        <v>0</v>
      </c>
      <c r="S344" s="1">
        <f>MEDIAN($G344)</f>
        <v>0</v>
      </c>
      <c r="T344" s="1">
        <f>MEDIAN($H344)</f>
        <v>0</v>
      </c>
      <c r="U344" s="1">
        <f>MAX($B344)</f>
        <v>0</v>
      </c>
      <c r="V344" s="1">
        <f>MAX($C344)</f>
        <v>0</v>
      </c>
      <c r="W344" s="1">
        <f>MAX($D344)</f>
        <v>0</v>
      </c>
      <c r="X344" s="1">
        <f>MAX($E344)</f>
        <v>0</v>
      </c>
      <c r="Y344" s="1">
        <f>MAX($G344)</f>
        <v>0</v>
      </c>
      <c r="Z344" s="1">
        <f>MAX($H344)</f>
        <v>0</v>
      </c>
    </row>
    <row r="345" spans="1:26">
      <c r="A345" s="1" t="s">
        <v>342</v>
      </c>
      <c r="B345" s="1">
        <v>1</v>
      </c>
      <c r="C345" s="1">
        <v>0</v>
      </c>
      <c r="D345" s="1">
        <v>0</v>
      </c>
      <c r="E345" s="1">
        <v>3000</v>
      </c>
      <c r="F345" s="1" t="s">
        <v>374</v>
      </c>
      <c r="G345" s="1">
        <v>1500</v>
      </c>
      <c r="H345" s="1">
        <v>1</v>
      </c>
      <c r="I345" s="1">
        <f>MIN($B345)</f>
        <v>0</v>
      </c>
      <c r="J345" s="1">
        <f>MIN($C345)</f>
        <v>0</v>
      </c>
      <c r="K345" s="1">
        <f>MIN($D345)</f>
        <v>0</v>
      </c>
      <c r="L345" s="1">
        <f>MIN($E345)</f>
        <v>0</v>
      </c>
      <c r="M345" s="1">
        <f>MIN($G345)</f>
        <v>0</v>
      </c>
      <c r="N345" s="1">
        <f>MIN($H345)</f>
        <v>0</v>
      </c>
      <c r="O345" s="1">
        <f>MEDIAN($B345)</f>
        <v>0</v>
      </c>
      <c r="P345" s="1">
        <f>MEDIAN($C345)</f>
        <v>0</v>
      </c>
      <c r="Q345" s="1">
        <f>MEDIAN($D345)</f>
        <v>0</v>
      </c>
      <c r="R345" s="1">
        <f>MEDIAN($E345)</f>
        <v>0</v>
      </c>
      <c r="S345" s="1">
        <f>MEDIAN($G345)</f>
        <v>0</v>
      </c>
      <c r="T345" s="1">
        <f>MEDIAN($H345)</f>
        <v>0</v>
      </c>
      <c r="U345" s="1">
        <f>MAX($B345)</f>
        <v>0</v>
      </c>
      <c r="V345" s="1">
        <f>MAX($C345)</f>
        <v>0</v>
      </c>
      <c r="W345" s="1">
        <f>MAX($D345)</f>
        <v>0</v>
      </c>
      <c r="X345" s="1">
        <f>MAX($E345)</f>
        <v>0</v>
      </c>
      <c r="Y345" s="1">
        <f>MAX($G345)</f>
        <v>0</v>
      </c>
      <c r="Z345" s="1">
        <f>MAX($H345)</f>
        <v>0</v>
      </c>
    </row>
    <row r="346" spans="1:26">
      <c r="A346" s="1" t="s">
        <v>343</v>
      </c>
      <c r="B346" s="1">
        <v>1</v>
      </c>
      <c r="C346" s="1">
        <v>0</v>
      </c>
      <c r="D346" s="1">
        <v>0</v>
      </c>
      <c r="E346" s="1">
        <v>3000</v>
      </c>
      <c r="F346" s="1" t="s">
        <v>374</v>
      </c>
      <c r="G346" s="1">
        <v>1500</v>
      </c>
      <c r="H346" s="1">
        <v>1</v>
      </c>
      <c r="I346" s="1">
        <f>MIN($B346)</f>
        <v>0</v>
      </c>
      <c r="J346" s="1">
        <f>MIN($C346)</f>
        <v>0</v>
      </c>
      <c r="K346" s="1">
        <f>MIN($D346)</f>
        <v>0</v>
      </c>
      <c r="L346" s="1">
        <f>MIN($E346)</f>
        <v>0</v>
      </c>
      <c r="M346" s="1">
        <f>MIN($G346)</f>
        <v>0</v>
      </c>
      <c r="N346" s="1">
        <f>MIN($H346)</f>
        <v>0</v>
      </c>
      <c r="O346" s="1">
        <f>MEDIAN($B346)</f>
        <v>0</v>
      </c>
      <c r="P346" s="1">
        <f>MEDIAN($C346)</f>
        <v>0</v>
      </c>
      <c r="Q346" s="1">
        <f>MEDIAN($D346)</f>
        <v>0</v>
      </c>
      <c r="R346" s="1">
        <f>MEDIAN($E346)</f>
        <v>0</v>
      </c>
      <c r="S346" s="1">
        <f>MEDIAN($G346)</f>
        <v>0</v>
      </c>
      <c r="T346" s="1">
        <f>MEDIAN($H346)</f>
        <v>0</v>
      </c>
      <c r="U346" s="1">
        <f>MAX($B346)</f>
        <v>0</v>
      </c>
      <c r="V346" s="1">
        <f>MAX($C346)</f>
        <v>0</v>
      </c>
      <c r="W346" s="1">
        <f>MAX($D346)</f>
        <v>0</v>
      </c>
      <c r="X346" s="1">
        <f>MAX($E346)</f>
        <v>0</v>
      </c>
      <c r="Y346" s="1">
        <f>MAX($G346)</f>
        <v>0</v>
      </c>
      <c r="Z346" s="1">
        <f>MAX($H346)</f>
        <v>0</v>
      </c>
    </row>
    <row r="347" spans="1:26">
      <c r="A347" s="1" t="s">
        <v>344</v>
      </c>
      <c r="B347" s="1">
        <v>1</v>
      </c>
      <c r="C347" s="1">
        <v>0</v>
      </c>
      <c r="D347" s="1">
        <v>0</v>
      </c>
      <c r="E347" s="1">
        <v>3000</v>
      </c>
      <c r="F347" s="1" t="s">
        <v>374</v>
      </c>
      <c r="G347" s="1">
        <v>1500</v>
      </c>
      <c r="H347" s="1">
        <v>1</v>
      </c>
      <c r="I347" s="1">
        <f>MIN($B347)</f>
        <v>0</v>
      </c>
      <c r="J347" s="1">
        <f>MIN($C347)</f>
        <v>0</v>
      </c>
      <c r="K347" s="1">
        <f>MIN($D347)</f>
        <v>0</v>
      </c>
      <c r="L347" s="1">
        <f>MIN($E347)</f>
        <v>0</v>
      </c>
      <c r="M347" s="1">
        <f>MIN($G347)</f>
        <v>0</v>
      </c>
      <c r="N347" s="1">
        <f>MIN($H347)</f>
        <v>0</v>
      </c>
      <c r="O347" s="1">
        <f>MEDIAN($B347)</f>
        <v>0</v>
      </c>
      <c r="P347" s="1">
        <f>MEDIAN($C347)</f>
        <v>0</v>
      </c>
      <c r="Q347" s="1">
        <f>MEDIAN($D347)</f>
        <v>0</v>
      </c>
      <c r="R347" s="1">
        <f>MEDIAN($E347)</f>
        <v>0</v>
      </c>
      <c r="S347" s="1">
        <f>MEDIAN($G347)</f>
        <v>0</v>
      </c>
      <c r="T347" s="1">
        <f>MEDIAN($H347)</f>
        <v>0</v>
      </c>
      <c r="U347" s="1">
        <f>MAX($B347)</f>
        <v>0</v>
      </c>
      <c r="V347" s="1">
        <f>MAX($C347)</f>
        <v>0</v>
      </c>
      <c r="W347" s="1">
        <f>MAX($D347)</f>
        <v>0</v>
      </c>
      <c r="X347" s="1">
        <f>MAX($E347)</f>
        <v>0</v>
      </c>
      <c r="Y347" s="1">
        <f>MAX($G347)</f>
        <v>0</v>
      </c>
      <c r="Z347" s="1">
        <f>MAX($H347)</f>
        <v>0</v>
      </c>
    </row>
    <row r="348" spans="1:26">
      <c r="A348" s="1" t="s">
        <v>345</v>
      </c>
      <c r="B348" s="1">
        <v>1</v>
      </c>
      <c r="C348" s="1">
        <v>0</v>
      </c>
      <c r="D348" s="1">
        <v>0</v>
      </c>
      <c r="E348" s="1">
        <v>3000</v>
      </c>
      <c r="F348" s="1" t="s">
        <v>374</v>
      </c>
      <c r="G348" s="1">
        <v>1500</v>
      </c>
      <c r="H348" s="1">
        <v>1</v>
      </c>
      <c r="I348" s="1">
        <f>MIN($B348)</f>
        <v>0</v>
      </c>
      <c r="J348" s="1">
        <f>MIN($C348)</f>
        <v>0</v>
      </c>
      <c r="K348" s="1">
        <f>MIN($D348)</f>
        <v>0</v>
      </c>
      <c r="L348" s="1">
        <f>MIN($E348)</f>
        <v>0</v>
      </c>
      <c r="M348" s="1">
        <f>MIN($G348)</f>
        <v>0</v>
      </c>
      <c r="N348" s="1">
        <f>MIN($H348)</f>
        <v>0</v>
      </c>
      <c r="O348" s="1">
        <f>MEDIAN($B348)</f>
        <v>0</v>
      </c>
      <c r="P348" s="1">
        <f>MEDIAN($C348)</f>
        <v>0</v>
      </c>
      <c r="Q348" s="1">
        <f>MEDIAN($D348)</f>
        <v>0</v>
      </c>
      <c r="R348" s="1">
        <f>MEDIAN($E348)</f>
        <v>0</v>
      </c>
      <c r="S348" s="1">
        <f>MEDIAN($G348)</f>
        <v>0</v>
      </c>
      <c r="T348" s="1">
        <f>MEDIAN($H348)</f>
        <v>0</v>
      </c>
      <c r="U348" s="1">
        <f>MAX($B348)</f>
        <v>0</v>
      </c>
      <c r="V348" s="1">
        <f>MAX($C348)</f>
        <v>0</v>
      </c>
      <c r="W348" s="1">
        <f>MAX($D348)</f>
        <v>0</v>
      </c>
      <c r="X348" s="1">
        <f>MAX($E348)</f>
        <v>0</v>
      </c>
      <c r="Y348" s="1">
        <f>MAX($G348)</f>
        <v>0</v>
      </c>
      <c r="Z348" s="1">
        <f>MAX($H348)</f>
        <v>0</v>
      </c>
    </row>
    <row r="349" spans="1:26">
      <c r="A349" s="1" t="s">
        <v>346</v>
      </c>
      <c r="B349" s="1">
        <v>1</v>
      </c>
      <c r="C349" s="1">
        <v>0</v>
      </c>
      <c r="D349" s="1">
        <v>0</v>
      </c>
      <c r="E349" s="1">
        <v>3000</v>
      </c>
      <c r="F349" s="1" t="s">
        <v>374</v>
      </c>
      <c r="G349" s="1">
        <v>1500</v>
      </c>
      <c r="H349" s="1">
        <v>1</v>
      </c>
      <c r="I349" s="1">
        <f>MIN($B349)</f>
        <v>0</v>
      </c>
      <c r="J349" s="1">
        <f>MIN($C349)</f>
        <v>0</v>
      </c>
      <c r="K349" s="1">
        <f>MIN($D349)</f>
        <v>0</v>
      </c>
      <c r="L349" s="1">
        <f>MIN($E349)</f>
        <v>0</v>
      </c>
      <c r="M349" s="1">
        <f>MIN($G349)</f>
        <v>0</v>
      </c>
      <c r="N349" s="1">
        <f>MIN($H349)</f>
        <v>0</v>
      </c>
      <c r="O349" s="1">
        <f>MEDIAN($B349)</f>
        <v>0</v>
      </c>
      <c r="P349" s="1">
        <f>MEDIAN($C349)</f>
        <v>0</v>
      </c>
      <c r="Q349" s="1">
        <f>MEDIAN($D349)</f>
        <v>0</v>
      </c>
      <c r="R349" s="1">
        <f>MEDIAN($E349)</f>
        <v>0</v>
      </c>
      <c r="S349" s="1">
        <f>MEDIAN($G349)</f>
        <v>0</v>
      </c>
      <c r="T349" s="1">
        <f>MEDIAN($H349)</f>
        <v>0</v>
      </c>
      <c r="U349" s="1">
        <f>MAX($B349)</f>
        <v>0</v>
      </c>
      <c r="V349" s="1">
        <f>MAX($C349)</f>
        <v>0</v>
      </c>
      <c r="W349" s="1">
        <f>MAX($D349)</f>
        <v>0</v>
      </c>
      <c r="X349" s="1">
        <f>MAX($E349)</f>
        <v>0</v>
      </c>
      <c r="Y349" s="1">
        <f>MAX($G349)</f>
        <v>0</v>
      </c>
      <c r="Z349" s="1">
        <f>MAX($H349)</f>
        <v>0</v>
      </c>
    </row>
    <row r="350" spans="1:26">
      <c r="A350" s="1" t="s">
        <v>347</v>
      </c>
      <c r="B350" s="1">
        <v>1</v>
      </c>
      <c r="C350" s="1">
        <v>0</v>
      </c>
      <c r="D350" s="1">
        <v>0</v>
      </c>
      <c r="E350" s="1">
        <v>3000</v>
      </c>
      <c r="F350" s="1" t="s">
        <v>374</v>
      </c>
      <c r="G350" s="1">
        <v>1500</v>
      </c>
      <c r="H350" s="1">
        <v>1</v>
      </c>
      <c r="I350" s="1">
        <f>MIN($B350)</f>
        <v>0</v>
      </c>
      <c r="J350" s="1">
        <f>MIN($C350)</f>
        <v>0</v>
      </c>
      <c r="K350" s="1">
        <f>MIN($D350)</f>
        <v>0</v>
      </c>
      <c r="L350" s="1">
        <f>MIN($E350)</f>
        <v>0</v>
      </c>
      <c r="M350" s="1">
        <f>MIN($G350)</f>
        <v>0</v>
      </c>
      <c r="N350" s="1">
        <f>MIN($H350)</f>
        <v>0</v>
      </c>
      <c r="O350" s="1">
        <f>MEDIAN($B350)</f>
        <v>0</v>
      </c>
      <c r="P350" s="1">
        <f>MEDIAN($C350)</f>
        <v>0</v>
      </c>
      <c r="Q350" s="1">
        <f>MEDIAN($D350)</f>
        <v>0</v>
      </c>
      <c r="R350" s="1">
        <f>MEDIAN($E350)</f>
        <v>0</v>
      </c>
      <c r="S350" s="1">
        <f>MEDIAN($G350)</f>
        <v>0</v>
      </c>
      <c r="T350" s="1">
        <f>MEDIAN($H350)</f>
        <v>0</v>
      </c>
      <c r="U350" s="1">
        <f>MAX($B350)</f>
        <v>0</v>
      </c>
      <c r="V350" s="1">
        <f>MAX($C350)</f>
        <v>0</v>
      </c>
      <c r="W350" s="1">
        <f>MAX($D350)</f>
        <v>0</v>
      </c>
      <c r="X350" s="1">
        <f>MAX($E350)</f>
        <v>0</v>
      </c>
      <c r="Y350" s="1">
        <f>MAX($G350)</f>
        <v>0</v>
      </c>
      <c r="Z350" s="1">
        <f>MAX($H350)</f>
        <v>0</v>
      </c>
    </row>
    <row r="351" spans="1:26">
      <c r="A351" s="1" t="s">
        <v>348</v>
      </c>
      <c r="B351" s="1">
        <v>1</v>
      </c>
      <c r="C351" s="1">
        <v>0</v>
      </c>
      <c r="D351" s="1">
        <v>0</v>
      </c>
      <c r="E351" s="1">
        <v>3000</v>
      </c>
      <c r="F351" s="1" t="s">
        <v>374</v>
      </c>
      <c r="G351" s="1">
        <v>1500</v>
      </c>
      <c r="H351" s="1">
        <v>1</v>
      </c>
      <c r="I351" s="1">
        <f>MIN($B351)</f>
        <v>0</v>
      </c>
      <c r="J351" s="1">
        <f>MIN($C351)</f>
        <v>0</v>
      </c>
      <c r="K351" s="1">
        <f>MIN($D351)</f>
        <v>0</v>
      </c>
      <c r="L351" s="1">
        <f>MIN($E351)</f>
        <v>0</v>
      </c>
      <c r="M351" s="1">
        <f>MIN($G351)</f>
        <v>0</v>
      </c>
      <c r="N351" s="1">
        <f>MIN($H351)</f>
        <v>0</v>
      </c>
      <c r="O351" s="1">
        <f>MEDIAN($B351)</f>
        <v>0</v>
      </c>
      <c r="P351" s="1">
        <f>MEDIAN($C351)</f>
        <v>0</v>
      </c>
      <c r="Q351" s="1">
        <f>MEDIAN($D351)</f>
        <v>0</v>
      </c>
      <c r="R351" s="1">
        <f>MEDIAN($E351)</f>
        <v>0</v>
      </c>
      <c r="S351" s="1">
        <f>MEDIAN($G351)</f>
        <v>0</v>
      </c>
      <c r="T351" s="1">
        <f>MEDIAN($H351)</f>
        <v>0</v>
      </c>
      <c r="U351" s="1">
        <f>MAX($B351)</f>
        <v>0</v>
      </c>
      <c r="V351" s="1">
        <f>MAX($C351)</f>
        <v>0</v>
      </c>
      <c r="W351" s="1">
        <f>MAX($D351)</f>
        <v>0</v>
      </c>
      <c r="X351" s="1">
        <f>MAX($E351)</f>
        <v>0</v>
      </c>
      <c r="Y351" s="1">
        <f>MAX($G351)</f>
        <v>0</v>
      </c>
      <c r="Z351" s="1">
        <f>MAX($H351)</f>
        <v>0</v>
      </c>
    </row>
    <row r="352" spans="1:26">
      <c r="A352" s="1" t="s">
        <v>349</v>
      </c>
      <c r="B352" s="1">
        <v>1</v>
      </c>
      <c r="C352" s="1">
        <v>0</v>
      </c>
      <c r="D352" s="1">
        <v>0</v>
      </c>
      <c r="E352" s="1">
        <v>3000</v>
      </c>
      <c r="F352" s="1" t="s">
        <v>374</v>
      </c>
      <c r="G352" s="1">
        <v>1500</v>
      </c>
      <c r="H352" s="1">
        <v>1</v>
      </c>
      <c r="I352" s="1">
        <f>MIN($B352)</f>
        <v>0</v>
      </c>
      <c r="J352" s="1">
        <f>MIN($C352)</f>
        <v>0</v>
      </c>
      <c r="K352" s="1">
        <f>MIN($D352)</f>
        <v>0</v>
      </c>
      <c r="L352" s="1">
        <f>MIN($E352)</f>
        <v>0</v>
      </c>
      <c r="M352" s="1">
        <f>MIN($G352)</f>
        <v>0</v>
      </c>
      <c r="N352" s="1">
        <f>MIN($H352)</f>
        <v>0</v>
      </c>
      <c r="O352" s="1">
        <f>MEDIAN($B352)</f>
        <v>0</v>
      </c>
      <c r="P352" s="1">
        <f>MEDIAN($C352)</f>
        <v>0</v>
      </c>
      <c r="Q352" s="1">
        <f>MEDIAN($D352)</f>
        <v>0</v>
      </c>
      <c r="R352" s="1">
        <f>MEDIAN($E352)</f>
        <v>0</v>
      </c>
      <c r="S352" s="1">
        <f>MEDIAN($G352)</f>
        <v>0</v>
      </c>
      <c r="T352" s="1">
        <f>MEDIAN($H352)</f>
        <v>0</v>
      </c>
      <c r="U352" s="1">
        <f>MAX($B352)</f>
        <v>0</v>
      </c>
      <c r="V352" s="1">
        <f>MAX($C352)</f>
        <v>0</v>
      </c>
      <c r="W352" s="1">
        <f>MAX($D352)</f>
        <v>0</v>
      </c>
      <c r="X352" s="1">
        <f>MAX($E352)</f>
        <v>0</v>
      </c>
      <c r="Y352" s="1">
        <f>MAX($G352)</f>
        <v>0</v>
      </c>
      <c r="Z352" s="1">
        <f>MAX($H352)</f>
        <v>0</v>
      </c>
    </row>
    <row r="353" spans="1:26">
      <c r="A353" s="1" t="s">
        <v>350</v>
      </c>
      <c r="B353" s="1">
        <v>1</v>
      </c>
      <c r="C353" s="1">
        <v>0</v>
      </c>
      <c r="D353" s="1">
        <v>0</v>
      </c>
      <c r="E353" s="1">
        <v>3000</v>
      </c>
      <c r="F353" s="1" t="s">
        <v>374</v>
      </c>
      <c r="G353" s="1">
        <v>1500</v>
      </c>
      <c r="H353" s="1">
        <v>1</v>
      </c>
      <c r="I353" s="1">
        <f>MIN($B353)</f>
        <v>0</v>
      </c>
      <c r="J353" s="1">
        <f>MIN($C353)</f>
        <v>0</v>
      </c>
      <c r="K353" s="1">
        <f>MIN($D353)</f>
        <v>0</v>
      </c>
      <c r="L353" s="1">
        <f>MIN($E353)</f>
        <v>0</v>
      </c>
      <c r="M353" s="1">
        <f>MIN($G353)</f>
        <v>0</v>
      </c>
      <c r="N353" s="1">
        <f>MIN($H353)</f>
        <v>0</v>
      </c>
      <c r="O353" s="1">
        <f>MEDIAN($B353)</f>
        <v>0</v>
      </c>
      <c r="P353" s="1">
        <f>MEDIAN($C353)</f>
        <v>0</v>
      </c>
      <c r="Q353" s="1">
        <f>MEDIAN($D353)</f>
        <v>0</v>
      </c>
      <c r="R353" s="1">
        <f>MEDIAN($E353)</f>
        <v>0</v>
      </c>
      <c r="S353" s="1">
        <f>MEDIAN($G353)</f>
        <v>0</v>
      </c>
      <c r="T353" s="1">
        <f>MEDIAN($H353)</f>
        <v>0</v>
      </c>
      <c r="U353" s="1">
        <f>MAX($B353)</f>
        <v>0</v>
      </c>
      <c r="V353" s="1">
        <f>MAX($C353)</f>
        <v>0</v>
      </c>
      <c r="W353" s="1">
        <f>MAX($D353)</f>
        <v>0</v>
      </c>
      <c r="X353" s="1">
        <f>MAX($E353)</f>
        <v>0</v>
      </c>
      <c r="Y353" s="1">
        <f>MAX($G353)</f>
        <v>0</v>
      </c>
      <c r="Z353" s="1">
        <f>MAX($H353)</f>
        <v>0</v>
      </c>
    </row>
    <row r="354" spans="1:26">
      <c r="A354" s="1" t="s">
        <v>351</v>
      </c>
      <c r="B354" s="1">
        <v>1</v>
      </c>
      <c r="C354" s="1">
        <v>0</v>
      </c>
      <c r="D354" s="1">
        <v>0</v>
      </c>
      <c r="E354" s="1">
        <v>3000</v>
      </c>
      <c r="F354" s="1" t="s">
        <v>374</v>
      </c>
      <c r="G354" s="1">
        <v>1500</v>
      </c>
      <c r="H354" s="1">
        <v>1</v>
      </c>
      <c r="I354" s="1">
        <f>MIN($B354)</f>
        <v>0</v>
      </c>
      <c r="J354" s="1">
        <f>MIN($C354)</f>
        <v>0</v>
      </c>
      <c r="K354" s="1">
        <f>MIN($D354)</f>
        <v>0</v>
      </c>
      <c r="L354" s="1">
        <f>MIN($E354)</f>
        <v>0</v>
      </c>
      <c r="M354" s="1">
        <f>MIN($G354)</f>
        <v>0</v>
      </c>
      <c r="N354" s="1">
        <f>MIN($H354)</f>
        <v>0</v>
      </c>
      <c r="O354" s="1">
        <f>MEDIAN($B354)</f>
        <v>0</v>
      </c>
      <c r="P354" s="1">
        <f>MEDIAN($C354)</f>
        <v>0</v>
      </c>
      <c r="Q354" s="1">
        <f>MEDIAN($D354)</f>
        <v>0</v>
      </c>
      <c r="R354" s="1">
        <f>MEDIAN($E354)</f>
        <v>0</v>
      </c>
      <c r="S354" s="1">
        <f>MEDIAN($G354)</f>
        <v>0</v>
      </c>
      <c r="T354" s="1">
        <f>MEDIAN($H354)</f>
        <v>0</v>
      </c>
      <c r="U354" s="1">
        <f>MAX($B354)</f>
        <v>0</v>
      </c>
      <c r="V354" s="1">
        <f>MAX($C354)</f>
        <v>0</v>
      </c>
      <c r="W354" s="1">
        <f>MAX($D354)</f>
        <v>0</v>
      </c>
      <c r="X354" s="1">
        <f>MAX($E354)</f>
        <v>0</v>
      </c>
      <c r="Y354" s="1">
        <f>MAX($G354)</f>
        <v>0</v>
      </c>
      <c r="Z354" s="1">
        <f>MAX($H354)</f>
        <v>0</v>
      </c>
    </row>
    <row r="355" spans="1:26">
      <c r="A355" s="1" t="s">
        <v>352</v>
      </c>
      <c r="B355" s="1">
        <v>1</v>
      </c>
      <c r="C355" s="1">
        <v>0</v>
      </c>
      <c r="D355" s="1">
        <v>0</v>
      </c>
      <c r="E355" s="1">
        <v>3000</v>
      </c>
      <c r="F355" s="1" t="s">
        <v>374</v>
      </c>
      <c r="G355" s="1">
        <v>1500</v>
      </c>
      <c r="H355" s="1">
        <v>1</v>
      </c>
      <c r="I355" s="1">
        <f>MIN($B355)</f>
        <v>0</v>
      </c>
      <c r="J355" s="1">
        <f>MIN($C355)</f>
        <v>0</v>
      </c>
      <c r="K355" s="1">
        <f>MIN($D355)</f>
        <v>0</v>
      </c>
      <c r="L355" s="1">
        <f>MIN($E355)</f>
        <v>0</v>
      </c>
      <c r="M355" s="1">
        <f>MIN($G355)</f>
        <v>0</v>
      </c>
      <c r="N355" s="1">
        <f>MIN($H355)</f>
        <v>0</v>
      </c>
      <c r="O355" s="1">
        <f>MEDIAN($B355)</f>
        <v>0</v>
      </c>
      <c r="P355" s="1">
        <f>MEDIAN($C355)</f>
        <v>0</v>
      </c>
      <c r="Q355" s="1">
        <f>MEDIAN($D355)</f>
        <v>0</v>
      </c>
      <c r="R355" s="1">
        <f>MEDIAN($E355)</f>
        <v>0</v>
      </c>
      <c r="S355" s="1">
        <f>MEDIAN($G355)</f>
        <v>0</v>
      </c>
      <c r="T355" s="1">
        <f>MEDIAN($H355)</f>
        <v>0</v>
      </c>
      <c r="U355" s="1">
        <f>MAX($B355)</f>
        <v>0</v>
      </c>
      <c r="V355" s="1">
        <f>MAX($C355)</f>
        <v>0</v>
      </c>
      <c r="W355" s="1">
        <f>MAX($D355)</f>
        <v>0</v>
      </c>
      <c r="X355" s="1">
        <f>MAX($E355)</f>
        <v>0</v>
      </c>
      <c r="Y355" s="1">
        <f>MAX($G355)</f>
        <v>0</v>
      </c>
      <c r="Z355" s="1">
        <f>MAX($H355)</f>
        <v>0</v>
      </c>
    </row>
    <row r="356" spans="1:26">
      <c r="A356" s="1" t="s">
        <v>353</v>
      </c>
      <c r="B356" s="1">
        <v>1</v>
      </c>
      <c r="C356" s="1">
        <v>0</v>
      </c>
      <c r="D356" s="1">
        <v>0</v>
      </c>
      <c r="E356" s="1">
        <v>3000</v>
      </c>
      <c r="F356" s="1" t="s">
        <v>374</v>
      </c>
      <c r="G356" s="1">
        <v>1500</v>
      </c>
      <c r="H356" s="1">
        <v>1</v>
      </c>
      <c r="I356" s="1">
        <f>MIN($B356)</f>
        <v>0</v>
      </c>
      <c r="J356" s="1">
        <f>MIN($C356)</f>
        <v>0</v>
      </c>
      <c r="K356" s="1">
        <f>MIN($D356)</f>
        <v>0</v>
      </c>
      <c r="L356" s="1">
        <f>MIN($E356)</f>
        <v>0</v>
      </c>
      <c r="M356" s="1">
        <f>MIN($G356)</f>
        <v>0</v>
      </c>
      <c r="N356" s="1">
        <f>MIN($H356)</f>
        <v>0</v>
      </c>
      <c r="O356" s="1">
        <f>MEDIAN($B356)</f>
        <v>0</v>
      </c>
      <c r="P356" s="1">
        <f>MEDIAN($C356)</f>
        <v>0</v>
      </c>
      <c r="Q356" s="1">
        <f>MEDIAN($D356)</f>
        <v>0</v>
      </c>
      <c r="R356" s="1">
        <f>MEDIAN($E356)</f>
        <v>0</v>
      </c>
      <c r="S356" s="1">
        <f>MEDIAN($G356)</f>
        <v>0</v>
      </c>
      <c r="T356" s="1">
        <f>MEDIAN($H356)</f>
        <v>0</v>
      </c>
      <c r="U356" s="1">
        <f>MAX($B356)</f>
        <v>0</v>
      </c>
      <c r="V356" s="1">
        <f>MAX($C356)</f>
        <v>0</v>
      </c>
      <c r="W356" s="1">
        <f>MAX($D356)</f>
        <v>0</v>
      </c>
      <c r="X356" s="1">
        <f>MAX($E356)</f>
        <v>0</v>
      </c>
      <c r="Y356" s="1">
        <f>MAX($G356)</f>
        <v>0</v>
      </c>
      <c r="Z356" s="1">
        <f>MAX($H356)</f>
        <v>0</v>
      </c>
    </row>
    <row r="357" spans="1:26">
      <c r="A357" s="1" t="s">
        <v>354</v>
      </c>
      <c r="B357" s="1">
        <v>1</v>
      </c>
      <c r="C357" s="1">
        <v>0</v>
      </c>
      <c r="D357" s="1">
        <v>0</v>
      </c>
      <c r="E357" s="1">
        <v>3000</v>
      </c>
      <c r="F357" s="1" t="s">
        <v>374</v>
      </c>
      <c r="G357" s="1">
        <v>1500</v>
      </c>
      <c r="H357" s="1">
        <v>1</v>
      </c>
      <c r="I357" s="1">
        <f>MIN($B357)</f>
        <v>0</v>
      </c>
      <c r="J357" s="1">
        <f>MIN($C357)</f>
        <v>0</v>
      </c>
      <c r="K357" s="1">
        <f>MIN($D357)</f>
        <v>0</v>
      </c>
      <c r="L357" s="1">
        <f>MIN($E357)</f>
        <v>0</v>
      </c>
      <c r="M357" s="1">
        <f>MIN($G357)</f>
        <v>0</v>
      </c>
      <c r="N357" s="1">
        <f>MIN($H357)</f>
        <v>0</v>
      </c>
      <c r="O357" s="1">
        <f>MEDIAN($B357)</f>
        <v>0</v>
      </c>
      <c r="P357" s="1">
        <f>MEDIAN($C357)</f>
        <v>0</v>
      </c>
      <c r="Q357" s="1">
        <f>MEDIAN($D357)</f>
        <v>0</v>
      </c>
      <c r="R357" s="1">
        <f>MEDIAN($E357)</f>
        <v>0</v>
      </c>
      <c r="S357" s="1">
        <f>MEDIAN($G357)</f>
        <v>0</v>
      </c>
      <c r="T357" s="1">
        <f>MEDIAN($H357)</f>
        <v>0</v>
      </c>
      <c r="U357" s="1">
        <f>MAX($B357)</f>
        <v>0</v>
      </c>
      <c r="V357" s="1">
        <f>MAX($C357)</f>
        <v>0</v>
      </c>
      <c r="W357" s="1">
        <f>MAX($D357)</f>
        <v>0</v>
      </c>
      <c r="X357" s="1">
        <f>MAX($E357)</f>
        <v>0</v>
      </c>
      <c r="Y357" s="1">
        <f>MAX($G357)</f>
        <v>0</v>
      </c>
      <c r="Z357" s="1">
        <f>MAX($H357)</f>
        <v>0</v>
      </c>
    </row>
    <row r="358" spans="1:26">
      <c r="A358" s="1" t="s">
        <v>355</v>
      </c>
      <c r="B358" s="1">
        <v>1</v>
      </c>
      <c r="C358" s="1">
        <v>0</v>
      </c>
      <c r="D358" s="1">
        <v>0</v>
      </c>
      <c r="E358" s="1">
        <v>3000</v>
      </c>
      <c r="F358" s="1" t="s">
        <v>374</v>
      </c>
      <c r="G358" s="1">
        <v>1500</v>
      </c>
      <c r="H358" s="1">
        <v>1</v>
      </c>
      <c r="I358" s="1">
        <f>MIN($B358)</f>
        <v>0</v>
      </c>
      <c r="J358" s="1">
        <f>MIN($C358)</f>
        <v>0</v>
      </c>
      <c r="K358" s="1">
        <f>MIN($D358)</f>
        <v>0</v>
      </c>
      <c r="L358" s="1">
        <f>MIN($E358)</f>
        <v>0</v>
      </c>
      <c r="M358" s="1">
        <f>MIN($G358)</f>
        <v>0</v>
      </c>
      <c r="N358" s="1">
        <f>MIN($H358)</f>
        <v>0</v>
      </c>
      <c r="O358" s="1">
        <f>MEDIAN($B358)</f>
        <v>0</v>
      </c>
      <c r="P358" s="1">
        <f>MEDIAN($C358)</f>
        <v>0</v>
      </c>
      <c r="Q358" s="1">
        <f>MEDIAN($D358)</f>
        <v>0</v>
      </c>
      <c r="R358" s="1">
        <f>MEDIAN($E358)</f>
        <v>0</v>
      </c>
      <c r="S358" s="1">
        <f>MEDIAN($G358)</f>
        <v>0</v>
      </c>
      <c r="T358" s="1">
        <f>MEDIAN($H358)</f>
        <v>0</v>
      </c>
      <c r="U358" s="1">
        <f>MAX($B358)</f>
        <v>0</v>
      </c>
      <c r="V358" s="1">
        <f>MAX($C358)</f>
        <v>0</v>
      </c>
      <c r="W358" s="1">
        <f>MAX($D358)</f>
        <v>0</v>
      </c>
      <c r="X358" s="1">
        <f>MAX($E358)</f>
        <v>0</v>
      </c>
      <c r="Y358" s="1">
        <f>MAX($G358)</f>
        <v>0</v>
      </c>
      <c r="Z358" s="1">
        <f>MAX($H358)</f>
        <v>0</v>
      </c>
    </row>
    <row r="359" spans="1:26">
      <c r="A359" s="1" t="s">
        <v>356</v>
      </c>
      <c r="B359" s="1">
        <v>1</v>
      </c>
      <c r="C359" s="1">
        <v>0</v>
      </c>
      <c r="D359" s="1">
        <v>0</v>
      </c>
      <c r="E359" s="1">
        <v>3000</v>
      </c>
      <c r="F359" s="1" t="s">
        <v>374</v>
      </c>
      <c r="G359" s="1">
        <v>1500</v>
      </c>
      <c r="H359" s="1">
        <v>1</v>
      </c>
      <c r="I359" s="1">
        <f>MIN($B359)</f>
        <v>0</v>
      </c>
      <c r="J359" s="1">
        <f>MIN($C359)</f>
        <v>0</v>
      </c>
      <c r="K359" s="1">
        <f>MIN($D359)</f>
        <v>0</v>
      </c>
      <c r="L359" s="1">
        <f>MIN($E359)</f>
        <v>0</v>
      </c>
      <c r="M359" s="1">
        <f>MIN($G359)</f>
        <v>0</v>
      </c>
      <c r="N359" s="1">
        <f>MIN($H359)</f>
        <v>0</v>
      </c>
      <c r="O359" s="1">
        <f>MEDIAN($B359)</f>
        <v>0</v>
      </c>
      <c r="P359" s="1">
        <f>MEDIAN($C359)</f>
        <v>0</v>
      </c>
      <c r="Q359" s="1">
        <f>MEDIAN($D359)</f>
        <v>0</v>
      </c>
      <c r="R359" s="1">
        <f>MEDIAN($E359)</f>
        <v>0</v>
      </c>
      <c r="S359" s="1">
        <f>MEDIAN($G359)</f>
        <v>0</v>
      </c>
      <c r="T359" s="1">
        <f>MEDIAN($H359)</f>
        <v>0</v>
      </c>
      <c r="U359" s="1">
        <f>MAX($B359)</f>
        <v>0</v>
      </c>
      <c r="V359" s="1">
        <f>MAX($C359)</f>
        <v>0</v>
      </c>
      <c r="W359" s="1">
        <f>MAX($D359)</f>
        <v>0</v>
      </c>
      <c r="X359" s="1">
        <f>MAX($E359)</f>
        <v>0</v>
      </c>
      <c r="Y359" s="1">
        <f>MAX($G359)</f>
        <v>0</v>
      </c>
      <c r="Z359" s="1">
        <f>MAX($H359)</f>
        <v>0</v>
      </c>
    </row>
    <row r="360" spans="1:26">
      <c r="A360" s="1" t="s">
        <v>357</v>
      </c>
      <c r="B360" s="1">
        <v>1</v>
      </c>
      <c r="C360" s="1">
        <v>0</v>
      </c>
      <c r="D360" s="1">
        <v>0</v>
      </c>
      <c r="E360" s="1">
        <v>3000</v>
      </c>
      <c r="F360" s="1" t="s">
        <v>374</v>
      </c>
      <c r="G360" s="1">
        <v>1500</v>
      </c>
      <c r="H360" s="1">
        <v>1</v>
      </c>
      <c r="I360" s="1">
        <f>MIN($B360)</f>
        <v>0</v>
      </c>
      <c r="J360" s="1">
        <f>MIN($C360)</f>
        <v>0</v>
      </c>
      <c r="K360" s="1">
        <f>MIN($D360)</f>
        <v>0</v>
      </c>
      <c r="L360" s="1">
        <f>MIN($E360)</f>
        <v>0</v>
      </c>
      <c r="M360" s="1">
        <f>MIN($G360)</f>
        <v>0</v>
      </c>
      <c r="N360" s="1">
        <f>MIN($H360)</f>
        <v>0</v>
      </c>
      <c r="O360" s="1">
        <f>MEDIAN($B360)</f>
        <v>0</v>
      </c>
      <c r="P360" s="1">
        <f>MEDIAN($C360)</f>
        <v>0</v>
      </c>
      <c r="Q360" s="1">
        <f>MEDIAN($D360)</f>
        <v>0</v>
      </c>
      <c r="R360" s="1">
        <f>MEDIAN($E360)</f>
        <v>0</v>
      </c>
      <c r="S360" s="1">
        <f>MEDIAN($G360)</f>
        <v>0</v>
      </c>
      <c r="T360" s="1">
        <f>MEDIAN($H360)</f>
        <v>0</v>
      </c>
      <c r="U360" s="1">
        <f>MAX($B360)</f>
        <v>0</v>
      </c>
      <c r="V360" s="1">
        <f>MAX($C360)</f>
        <v>0</v>
      </c>
      <c r="W360" s="1">
        <f>MAX($D360)</f>
        <v>0</v>
      </c>
      <c r="X360" s="1">
        <f>MAX($E360)</f>
        <v>0</v>
      </c>
      <c r="Y360" s="1">
        <f>MAX($G360)</f>
        <v>0</v>
      </c>
      <c r="Z360" s="1">
        <f>MAX($H360)</f>
        <v>0</v>
      </c>
    </row>
    <row r="361" spans="1:26">
      <c r="A361" s="1" t="s">
        <v>358</v>
      </c>
      <c r="B361" s="1">
        <v>1</v>
      </c>
      <c r="C361" s="1">
        <v>0</v>
      </c>
      <c r="D361" s="1">
        <v>0</v>
      </c>
      <c r="E361" s="1">
        <v>3000</v>
      </c>
      <c r="F361" s="1" t="s">
        <v>374</v>
      </c>
      <c r="G361" s="1">
        <v>1500</v>
      </c>
      <c r="H361" s="1">
        <v>1</v>
      </c>
      <c r="I361" s="1">
        <f>MIN($B361)</f>
        <v>0</v>
      </c>
      <c r="J361" s="1">
        <f>MIN($C361)</f>
        <v>0</v>
      </c>
      <c r="K361" s="1">
        <f>MIN($D361)</f>
        <v>0</v>
      </c>
      <c r="L361" s="1">
        <f>MIN($E361)</f>
        <v>0</v>
      </c>
      <c r="M361" s="1">
        <f>MIN($G361)</f>
        <v>0</v>
      </c>
      <c r="N361" s="1">
        <f>MIN($H361)</f>
        <v>0</v>
      </c>
      <c r="O361" s="1">
        <f>MEDIAN($B361)</f>
        <v>0</v>
      </c>
      <c r="P361" s="1">
        <f>MEDIAN($C361)</f>
        <v>0</v>
      </c>
      <c r="Q361" s="1">
        <f>MEDIAN($D361)</f>
        <v>0</v>
      </c>
      <c r="R361" s="1">
        <f>MEDIAN($E361)</f>
        <v>0</v>
      </c>
      <c r="S361" s="1">
        <f>MEDIAN($G361)</f>
        <v>0</v>
      </c>
      <c r="T361" s="1">
        <f>MEDIAN($H361)</f>
        <v>0</v>
      </c>
      <c r="U361" s="1">
        <f>MAX($B361)</f>
        <v>0</v>
      </c>
      <c r="V361" s="1">
        <f>MAX($C361)</f>
        <v>0</v>
      </c>
      <c r="W361" s="1">
        <f>MAX($D361)</f>
        <v>0</v>
      </c>
      <c r="X361" s="1">
        <f>MAX($E361)</f>
        <v>0</v>
      </c>
      <c r="Y361" s="1">
        <f>MAX($G361)</f>
        <v>0</v>
      </c>
      <c r="Z361" s="1">
        <f>MAX($H361)</f>
        <v>0</v>
      </c>
    </row>
    <row r="362" spans="1:26">
      <c r="A362" s="1" t="s">
        <v>359</v>
      </c>
      <c r="B362" s="1">
        <v>1</v>
      </c>
      <c r="C362" s="1">
        <v>0</v>
      </c>
      <c r="D362" s="1">
        <v>0</v>
      </c>
      <c r="E362" s="1">
        <v>3000</v>
      </c>
      <c r="F362" s="1" t="s">
        <v>374</v>
      </c>
      <c r="G362" s="1">
        <v>1500</v>
      </c>
      <c r="H362" s="1">
        <v>1</v>
      </c>
      <c r="I362" s="1">
        <f>MIN($B362)</f>
        <v>0</v>
      </c>
      <c r="J362" s="1">
        <f>MIN($C362)</f>
        <v>0</v>
      </c>
      <c r="K362" s="1">
        <f>MIN($D362)</f>
        <v>0</v>
      </c>
      <c r="L362" s="1">
        <f>MIN($E362)</f>
        <v>0</v>
      </c>
      <c r="M362" s="1">
        <f>MIN($G362)</f>
        <v>0</v>
      </c>
      <c r="N362" s="1">
        <f>MIN($H362)</f>
        <v>0</v>
      </c>
      <c r="O362" s="1">
        <f>MEDIAN($B362)</f>
        <v>0</v>
      </c>
      <c r="P362" s="1">
        <f>MEDIAN($C362)</f>
        <v>0</v>
      </c>
      <c r="Q362" s="1">
        <f>MEDIAN($D362)</f>
        <v>0</v>
      </c>
      <c r="R362" s="1">
        <f>MEDIAN($E362)</f>
        <v>0</v>
      </c>
      <c r="S362" s="1">
        <f>MEDIAN($G362)</f>
        <v>0</v>
      </c>
      <c r="T362" s="1">
        <f>MEDIAN($H362)</f>
        <v>0</v>
      </c>
      <c r="U362" s="1">
        <f>MAX($B362)</f>
        <v>0</v>
      </c>
      <c r="V362" s="1">
        <f>MAX($C362)</f>
        <v>0</v>
      </c>
      <c r="W362" s="1">
        <f>MAX($D362)</f>
        <v>0</v>
      </c>
      <c r="X362" s="1">
        <f>MAX($E362)</f>
        <v>0</v>
      </c>
      <c r="Y362" s="1">
        <f>MAX($G362)</f>
        <v>0</v>
      </c>
      <c r="Z362" s="1">
        <f>MAX($H362)</f>
        <v>0</v>
      </c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/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>
        <f>SUM(L$3:L$362)</f>
        <v>0</v>
      </c>
      <c r="M364" s="1">
        <f>SUM(M$3:M$362)</f>
        <v>0</v>
      </c>
      <c r="N364" s="1">
        <f>SUM(N$3:N$362)</f>
        <v>0</v>
      </c>
      <c r="O364" s="1">
        <f>SUM(O$3:O$362)</f>
        <v>0</v>
      </c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</row>
    <row r="365" spans="1:26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/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>
        <f>AVERAGE(L$3:L$362)</f>
        <v>0</v>
      </c>
      <c r="M365" s="1">
        <f>AVERAGE(M$3:M$362)</f>
        <v>0</v>
      </c>
      <c r="N365" s="1">
        <f>AVERAGE(N$3:N$362)</f>
        <v>0</v>
      </c>
      <c r="O365" s="1">
        <f>AVERAGE(O$3:O$362)</f>
        <v>0</v>
      </c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</row>
    <row r="366" spans="1:26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/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>
        <f>STDEV(L$3:L$362)</f>
        <v>0</v>
      </c>
      <c r="M366" s="1">
        <f>STDEV(M$3:M$362)</f>
        <v>0</v>
      </c>
      <c r="N366" s="1">
        <f>STDEV(N$3:N$362)</f>
        <v>0</v>
      </c>
      <c r="O366" s="1">
        <f>STDEV(O$3:O$362)</f>
        <v>0</v>
      </c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</row>
    <row r="367" spans="1:26">
      <c r="A367" s="1" t="s">
        <v>363</v>
      </c>
      <c r="B367" s="1">
        <f>SUMPRODUCT(--(B$3:B$362-$I$3:$I$362)^2)^0.5</f>
        <v>0</v>
      </c>
      <c r="C367" s="1">
        <f>SUMPRODUCT(--(C$3:C$362-$J$3:$J$362)^2)^0.5</f>
        <v>0</v>
      </c>
      <c r="D367" s="1">
        <f>SUMPRODUCT(--(D$3:D$362-$K$3:$K$362)^2)^0.5</f>
        <v>0</v>
      </c>
      <c r="E367" s="1">
        <f>SUMPRODUCT(--(E$3:E$362-$L$3:$L$362)^2)^0.5</f>
        <v>0</v>
      </c>
      <c r="F367" s="1"/>
      <c r="G367" s="1">
        <f>SUMPRODUCT(--(G$3:G$362-$M$3:$M$362)^2)^0.5</f>
        <v>0</v>
      </c>
      <c r="H367" s="1">
        <f>SUMPRODUCT(--(H$3:H$362-$N$3:$N$362)^2)^0.5</f>
        <v>0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 t="s">
        <v>364</v>
      </c>
      <c r="B368" s="1">
        <f>SUMPRODUCT(NOT(ISBLANK(B$3:B$362))*(B$3:B$362=$I$3:$I$362))</f>
        <v>0</v>
      </c>
      <c r="C368" s="1">
        <f>SUMPRODUCT(NOT(ISBLANK(C$3:C$362))*(C$3:C$362=$J$3:$J$362))</f>
        <v>0</v>
      </c>
      <c r="D368" s="1">
        <f>SUMPRODUCT(NOT(ISBLANK(D$3:D$362))*(D$3:D$362=$K$3:$K$362))</f>
        <v>0</v>
      </c>
      <c r="E368" s="1">
        <f>SUMPRODUCT(NOT(ISBLANK(E$3:E$362))*(E$3:E$362=$L$3:$L$362))</f>
        <v>0</v>
      </c>
      <c r="F368" s="1"/>
      <c r="G368" s="1">
        <f>SUMPRODUCT(NOT(ISBLANK(G$3:G$362))*(G$3:G$362=$M$3:$M$362))</f>
        <v>0</v>
      </c>
      <c r="H368" s="1">
        <f>SUMPRODUCT(NOT(ISBLANK(H$3:H$362))*(H$3:H$362=$N$3:$N$362))</f>
        <v>0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 t="s">
        <v>365</v>
      </c>
      <c r="B369" s="1">
        <f>SUMPRODUCT(NOT(ISBLANK(B$3:B$362))*(B$3:B$362&lt;$O$3:$O$362))</f>
        <v>0</v>
      </c>
      <c r="C369" s="1">
        <f>SUMPRODUCT(NOT(ISBLANK(C$3:C$362))*(C$3:C$362&lt;$P$3:$P$362))</f>
        <v>0</v>
      </c>
      <c r="D369" s="1">
        <f>SUMPRODUCT(NOT(ISBLANK(D$3:D$362))*(D$3:D$362&lt;$Q$3:$Q$362))</f>
        <v>0</v>
      </c>
      <c r="E369" s="1">
        <f>SUMPRODUCT(NOT(ISBLANK(E$3:E$362))*(E$3:E$362&lt;$R$3:$R$362))</f>
        <v>0</v>
      </c>
      <c r="F369" s="1"/>
      <c r="G369" s="1">
        <f>SUMPRODUCT(NOT(ISBLANK(G$3:G$362))*(G$3:G$362&lt;$S$3:$S$362))</f>
        <v>0</v>
      </c>
      <c r="H369" s="1">
        <f>SUMPRODUCT(NOT(ISBLANK(H$3:H$362))*(H$3:H$362&lt;$T$3:$T$362))</f>
        <v>0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 t="s">
        <v>366</v>
      </c>
      <c r="B370" s="1">
        <f>SUMPRODUCT((NOT(ISBLANK(B$3:B$362))*(B$3:B$362&gt;$O$3:$O$362))+ISBLANK(B$3:B$362))</f>
        <v>0</v>
      </c>
      <c r="C370" s="1">
        <f>SUMPRODUCT((NOT(ISBLANK(C$3:C$362))*(C$3:C$362&gt;$P$3:$P$362))+ISBLANK(C$3:C$362))</f>
        <v>0</v>
      </c>
      <c r="D370" s="1">
        <f>SUMPRODUCT((NOT(ISBLANK(D$3:D$362))*(D$3:D$362&gt;$Q$3:$Q$362))+ISBLANK(D$3:D$362))</f>
        <v>0</v>
      </c>
      <c r="E370" s="1">
        <f>SUMPRODUCT((NOT(ISBLANK(E$3:E$362))*(E$3:E$362&gt;$R$3:$R$362))+ISBLANK(E$3:E$362))</f>
        <v>0</v>
      </c>
      <c r="F370" s="1"/>
      <c r="G370" s="1">
        <f>SUMPRODUCT((NOT(ISBLANK(G$3:G$362))*(G$3:G$362&gt;$S$3:$S$362))+ISBLANK(G$3:G$362))</f>
        <v>0</v>
      </c>
      <c r="H370" s="1">
        <f>SUMPRODUCT((NOT(ISBLANK(H$3:H$362))*(H$3:H$362&gt;$T$3:$T$362))+ISBLANK(H$3:H$362))</f>
        <v>0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 t="s">
        <v>367</v>
      </c>
      <c r="B371" s="1">
        <f>SUMPRODUCT((NOT(ISBLANK(B$3:B$362))*(B$3:B$362=$U$3:$U$362))+ISBLANK(B$3:B$362))</f>
        <v>0</v>
      </c>
      <c r="C371" s="1">
        <f>SUMPRODUCT((NOT(ISBLANK(C$3:C$362))*(C$3:C$362=$V$3:$V$362))+ISBLANK(C$3:C$362))</f>
        <v>0</v>
      </c>
      <c r="D371" s="1">
        <f>SUMPRODUCT((NOT(ISBLANK(D$3:D$362))*(D$3:D$362=$W$3:$W$362))+ISBLANK(D$3:D$362))</f>
        <v>0</v>
      </c>
      <c r="E371" s="1">
        <f>SUMPRODUCT((NOT(ISBLANK(E$3:E$362))*(E$3:E$362=$X$3:$X$362))+ISBLANK(E$3:E$362))</f>
        <v>0</v>
      </c>
      <c r="F371" s="1"/>
      <c r="G371" s="1">
        <f>SUMPRODUCT((NOT(ISBLANK(G$3:G$362))*(G$3:G$362=$Y$3:$Y$362))+ISBLANK(G$3:G$362))</f>
        <v>0</v>
      </c>
      <c r="H371" s="1">
        <f>SUMPRODUCT((NOT(ISBLANK(H$3:H$362))*(H$3:H$362=$Z$3:$Z$362))+ISBLANK(H$3:H$362))</f>
        <v>0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26" width="11.42578125" customWidth="1"/>
  </cols>
  <sheetData>
    <row r="1" spans="1:26">
      <c r="A1" s="1" t="s">
        <v>380</v>
      </c>
      <c r="B1" s="1" t="s">
        <v>368</v>
      </c>
      <c r="C1" s="1"/>
      <c r="D1" s="1"/>
      <c r="E1" s="1"/>
      <c r="F1" s="1"/>
      <c r="G1" s="1"/>
      <c r="H1" s="1"/>
      <c r="I1" s="1" t="s">
        <v>377</v>
      </c>
      <c r="J1" s="1"/>
      <c r="K1" s="1"/>
      <c r="L1" s="1"/>
      <c r="M1" s="1"/>
      <c r="N1" s="1"/>
      <c r="O1" s="1" t="s">
        <v>378</v>
      </c>
      <c r="P1" s="1"/>
      <c r="Q1" s="1"/>
      <c r="R1" s="1"/>
      <c r="S1" s="1"/>
      <c r="T1" s="1"/>
      <c r="U1" s="1" t="s">
        <v>379</v>
      </c>
      <c r="V1" s="1"/>
      <c r="W1" s="1"/>
      <c r="X1" s="1"/>
      <c r="Y1" s="1"/>
      <c r="Z1" s="1"/>
    </row>
    <row r="2" spans="1:26">
      <c r="A2" s="2" t="s">
        <v>378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375</v>
      </c>
      <c r="H2" s="1" t="s">
        <v>376</v>
      </c>
      <c r="I2" s="1" t="s">
        <v>369</v>
      </c>
      <c r="J2" s="1" t="s">
        <v>370</v>
      </c>
      <c r="K2" s="1" t="s">
        <v>371</v>
      </c>
      <c r="L2" s="1" t="s">
        <v>372</v>
      </c>
      <c r="M2" s="1" t="s">
        <v>375</v>
      </c>
      <c r="N2" s="1" t="s">
        <v>376</v>
      </c>
      <c r="O2" s="1" t="s">
        <v>369</v>
      </c>
      <c r="P2" s="1" t="s">
        <v>370</v>
      </c>
      <c r="Q2" s="1" t="s">
        <v>371</v>
      </c>
      <c r="R2" s="1" t="s">
        <v>372</v>
      </c>
      <c r="S2" s="1" t="s">
        <v>375</v>
      </c>
      <c r="T2" s="1" t="s">
        <v>376</v>
      </c>
      <c r="U2" s="1" t="s">
        <v>369</v>
      </c>
      <c r="V2" s="1" t="s">
        <v>370</v>
      </c>
      <c r="W2" s="1" t="s">
        <v>371</v>
      </c>
      <c r="X2" s="1" t="s">
        <v>372</v>
      </c>
      <c r="Y2" s="1" t="s">
        <v>375</v>
      </c>
      <c r="Z2" s="1" t="s">
        <v>376</v>
      </c>
    </row>
    <row r="3" spans="1:26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/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/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/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>
        <f>MIN($B5)</f>
        <v>0</v>
      </c>
      <c r="J5" s="1">
        <f>MIN($C5)</f>
        <v>0</v>
      </c>
      <c r="K5" s="1">
        <f>MIN($D5)</f>
        <v>0</v>
      </c>
      <c r="L5" s="1">
        <f>MIN($E5)</f>
        <v>0</v>
      </c>
      <c r="M5" s="1">
        <f>MIN($G5)</f>
        <v>0</v>
      </c>
      <c r="N5" s="1">
        <f>MIN($H5)</f>
        <v>0</v>
      </c>
      <c r="O5" s="1">
        <f>MEDIAN($B5)</f>
        <v>0</v>
      </c>
      <c r="P5" s="1">
        <f>MEDIAN($C5)</f>
        <v>0</v>
      </c>
      <c r="Q5" s="1">
        <f>MEDIAN($D5)</f>
        <v>0</v>
      </c>
      <c r="R5" s="1">
        <f>MEDIAN($E5)</f>
        <v>0</v>
      </c>
      <c r="S5" s="1">
        <f>MEDIAN($G5)</f>
        <v>0</v>
      </c>
      <c r="T5" s="1">
        <f>MEDIAN($H5)</f>
        <v>0</v>
      </c>
      <c r="U5" s="1">
        <f>MAX($B5)</f>
        <v>0</v>
      </c>
      <c r="V5" s="1">
        <f>MAX($C5)</f>
        <v>0</v>
      </c>
      <c r="W5" s="1">
        <f>MAX($D5)</f>
        <v>0</v>
      </c>
      <c r="X5" s="1">
        <f>MAX($E5)</f>
        <v>0</v>
      </c>
      <c r="Y5" s="1">
        <f>MAX($G5)</f>
        <v>0</v>
      </c>
      <c r="Z5" s="1">
        <f>MAX($H5)</f>
        <v>0</v>
      </c>
    </row>
    <row r="6" spans="1:26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/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>
        <f>MIN($B6)</f>
        <v>0</v>
      </c>
      <c r="J6" s="1">
        <f>MIN($C6)</f>
        <v>0</v>
      </c>
      <c r="K6" s="1">
        <f>MIN($D6)</f>
        <v>0</v>
      </c>
      <c r="L6" s="1">
        <f>MIN($E6)</f>
        <v>0</v>
      </c>
      <c r="M6" s="1">
        <f>MIN($G6)</f>
        <v>0</v>
      </c>
      <c r="N6" s="1">
        <f>MIN($H6)</f>
        <v>0</v>
      </c>
      <c r="O6" s="1">
        <f>MEDIAN($B6)</f>
        <v>0</v>
      </c>
      <c r="P6" s="1">
        <f>MEDIAN($C6)</f>
        <v>0</v>
      </c>
      <c r="Q6" s="1">
        <f>MEDIAN($D6)</f>
        <v>0</v>
      </c>
      <c r="R6" s="1">
        <f>MEDIAN($E6)</f>
        <v>0</v>
      </c>
      <c r="S6" s="1">
        <f>MEDIAN($G6)</f>
        <v>0</v>
      </c>
      <c r="T6" s="1">
        <f>MEDIAN($H6)</f>
        <v>0</v>
      </c>
      <c r="U6" s="1">
        <f>MAX($B6)</f>
        <v>0</v>
      </c>
      <c r="V6" s="1">
        <f>MAX($C6)</f>
        <v>0</v>
      </c>
      <c r="W6" s="1">
        <f>MAX($D6)</f>
        <v>0</v>
      </c>
      <c r="X6" s="1">
        <f>MAX($E6)</f>
        <v>0</v>
      </c>
      <c r="Y6" s="1">
        <f>MAX($G6)</f>
        <v>0</v>
      </c>
      <c r="Z6" s="1">
        <f>MAX($H6)</f>
        <v>0</v>
      </c>
    </row>
    <row r="7" spans="1:26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/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>
        <f>MIN($B7)</f>
        <v>0</v>
      </c>
      <c r="J7" s="1">
        <f>MIN($C7)</f>
        <v>0</v>
      </c>
      <c r="K7" s="1">
        <f>MIN($D7)</f>
        <v>0</v>
      </c>
      <c r="L7" s="1">
        <f>MIN($E7)</f>
        <v>0</v>
      </c>
      <c r="M7" s="1">
        <f>MIN($G7)</f>
        <v>0</v>
      </c>
      <c r="N7" s="1">
        <f>MIN($H7)</f>
        <v>0</v>
      </c>
      <c r="O7" s="1">
        <f>MEDIAN($B7)</f>
        <v>0</v>
      </c>
      <c r="P7" s="1">
        <f>MEDIAN($C7)</f>
        <v>0</v>
      </c>
      <c r="Q7" s="1">
        <f>MEDIAN($D7)</f>
        <v>0</v>
      </c>
      <c r="R7" s="1">
        <f>MEDIAN($E7)</f>
        <v>0</v>
      </c>
      <c r="S7" s="1">
        <f>MEDIAN($G7)</f>
        <v>0</v>
      </c>
      <c r="T7" s="1">
        <f>MEDIAN($H7)</f>
        <v>0</v>
      </c>
      <c r="U7" s="1">
        <f>MAX($B7)</f>
        <v>0</v>
      </c>
      <c r="V7" s="1">
        <f>MAX($C7)</f>
        <v>0</v>
      </c>
      <c r="W7" s="1">
        <f>MAX($D7)</f>
        <v>0</v>
      </c>
      <c r="X7" s="1">
        <f>MAX($E7)</f>
        <v>0</v>
      </c>
      <c r="Y7" s="1">
        <f>MAX($G7)</f>
        <v>0</v>
      </c>
      <c r="Z7" s="1">
        <f>MAX($H7)</f>
        <v>0</v>
      </c>
    </row>
    <row r="8" spans="1:26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/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>
        <f>MIN($B8)</f>
        <v>0</v>
      </c>
      <c r="J8" s="1">
        <f>MIN($C8)</f>
        <v>0</v>
      </c>
      <c r="K8" s="1">
        <f>MIN($D8)</f>
        <v>0</v>
      </c>
      <c r="L8" s="1">
        <f>MIN($E8)</f>
        <v>0</v>
      </c>
      <c r="M8" s="1">
        <f>MIN($G8)</f>
        <v>0</v>
      </c>
      <c r="N8" s="1">
        <f>MIN($H8)</f>
        <v>0</v>
      </c>
      <c r="O8" s="1">
        <f>MEDIAN($B8)</f>
        <v>0</v>
      </c>
      <c r="P8" s="1">
        <f>MEDIAN($C8)</f>
        <v>0</v>
      </c>
      <c r="Q8" s="1">
        <f>MEDIAN($D8)</f>
        <v>0</v>
      </c>
      <c r="R8" s="1">
        <f>MEDIAN($E8)</f>
        <v>0</v>
      </c>
      <c r="S8" s="1">
        <f>MEDIAN($G8)</f>
        <v>0</v>
      </c>
      <c r="T8" s="1">
        <f>MEDIAN($H8)</f>
        <v>0</v>
      </c>
      <c r="U8" s="1">
        <f>MAX($B8)</f>
        <v>0</v>
      </c>
      <c r="V8" s="1">
        <f>MAX($C8)</f>
        <v>0</v>
      </c>
      <c r="W8" s="1">
        <f>MAX($D8)</f>
        <v>0</v>
      </c>
      <c r="X8" s="1">
        <f>MAX($E8)</f>
        <v>0</v>
      </c>
      <c r="Y8" s="1">
        <f>MAX($G8)</f>
        <v>0</v>
      </c>
      <c r="Z8" s="1">
        <f>MAX($H8)</f>
        <v>0</v>
      </c>
    </row>
    <row r="9" spans="1:26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/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>
        <f>MIN($B9)</f>
        <v>0</v>
      </c>
      <c r="J9" s="1">
        <f>MIN($C9)</f>
        <v>0</v>
      </c>
      <c r="K9" s="1">
        <f>MIN($D9)</f>
        <v>0</v>
      </c>
      <c r="L9" s="1">
        <f>MIN($E9)</f>
        <v>0</v>
      </c>
      <c r="M9" s="1">
        <f>MIN($G9)</f>
        <v>0</v>
      </c>
      <c r="N9" s="1">
        <f>MIN($H9)</f>
        <v>0</v>
      </c>
      <c r="O9" s="1">
        <f>MEDIAN($B9)</f>
        <v>0</v>
      </c>
      <c r="P9" s="1">
        <f>MEDIAN($C9)</f>
        <v>0</v>
      </c>
      <c r="Q9" s="1">
        <f>MEDIAN($D9)</f>
        <v>0</v>
      </c>
      <c r="R9" s="1">
        <f>MEDIAN($E9)</f>
        <v>0</v>
      </c>
      <c r="S9" s="1">
        <f>MEDIAN($G9)</f>
        <v>0</v>
      </c>
      <c r="T9" s="1">
        <f>MEDIAN($H9)</f>
        <v>0</v>
      </c>
      <c r="U9" s="1">
        <f>MAX($B9)</f>
        <v>0</v>
      </c>
      <c r="V9" s="1">
        <f>MAX($C9)</f>
        <v>0</v>
      </c>
      <c r="W9" s="1">
        <f>MAX($D9)</f>
        <v>0</v>
      </c>
      <c r="X9" s="1">
        <f>MAX($E9)</f>
        <v>0</v>
      </c>
      <c r="Y9" s="1">
        <f>MAX($G9)</f>
        <v>0</v>
      </c>
      <c r="Z9" s="1">
        <f>MAX($H9)</f>
        <v>0</v>
      </c>
    </row>
    <row r="10" spans="1:26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/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>
        <f>MIN($B10)</f>
        <v>0</v>
      </c>
      <c r="J10" s="1">
        <f>MIN($C10)</f>
        <v>0</v>
      </c>
      <c r="K10" s="1">
        <f>MIN($D10)</f>
        <v>0</v>
      </c>
      <c r="L10" s="1">
        <f>MIN($E10)</f>
        <v>0</v>
      </c>
      <c r="M10" s="1">
        <f>MIN($G10)</f>
        <v>0</v>
      </c>
      <c r="N10" s="1">
        <f>MIN($H10)</f>
        <v>0</v>
      </c>
      <c r="O10" s="1">
        <f>MEDIAN($B10)</f>
        <v>0</v>
      </c>
      <c r="P10" s="1">
        <f>MEDIAN($C10)</f>
        <v>0</v>
      </c>
      <c r="Q10" s="1">
        <f>MEDIAN($D10)</f>
        <v>0</v>
      </c>
      <c r="R10" s="1">
        <f>MEDIAN($E10)</f>
        <v>0</v>
      </c>
      <c r="S10" s="1">
        <f>MEDIAN($G10)</f>
        <v>0</v>
      </c>
      <c r="T10" s="1">
        <f>MEDIAN($H10)</f>
        <v>0</v>
      </c>
      <c r="U10" s="1">
        <f>MAX($B10)</f>
        <v>0</v>
      </c>
      <c r="V10" s="1">
        <f>MAX($C10)</f>
        <v>0</v>
      </c>
      <c r="W10" s="1">
        <f>MAX($D10)</f>
        <v>0</v>
      </c>
      <c r="X10" s="1">
        <f>MAX($E10)</f>
        <v>0</v>
      </c>
      <c r="Y10" s="1">
        <f>MAX($G10)</f>
        <v>0</v>
      </c>
      <c r="Z10" s="1">
        <f>MAX($H10)</f>
        <v>0</v>
      </c>
    </row>
    <row r="11" spans="1:26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/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>
        <f>MIN($B11)</f>
        <v>0</v>
      </c>
      <c r="J11" s="1">
        <f>MIN($C11)</f>
        <v>0</v>
      </c>
      <c r="K11" s="1">
        <f>MIN($D11)</f>
        <v>0</v>
      </c>
      <c r="L11" s="1">
        <f>MIN($E11)</f>
        <v>0</v>
      </c>
      <c r="M11" s="1">
        <f>MIN($G11)</f>
        <v>0</v>
      </c>
      <c r="N11" s="1">
        <f>MIN($H11)</f>
        <v>0</v>
      </c>
      <c r="O11" s="1">
        <f>MEDIAN($B11)</f>
        <v>0</v>
      </c>
      <c r="P11" s="1">
        <f>MEDIAN($C11)</f>
        <v>0</v>
      </c>
      <c r="Q11" s="1">
        <f>MEDIAN($D11)</f>
        <v>0</v>
      </c>
      <c r="R11" s="1">
        <f>MEDIAN($E11)</f>
        <v>0</v>
      </c>
      <c r="S11" s="1">
        <f>MEDIAN($G11)</f>
        <v>0</v>
      </c>
      <c r="T11" s="1">
        <f>MEDIAN($H11)</f>
        <v>0</v>
      </c>
      <c r="U11" s="1">
        <f>MAX($B11)</f>
        <v>0</v>
      </c>
      <c r="V11" s="1">
        <f>MAX($C11)</f>
        <v>0</v>
      </c>
      <c r="W11" s="1">
        <f>MAX($D11)</f>
        <v>0</v>
      </c>
      <c r="X11" s="1">
        <f>MAX($E11)</f>
        <v>0</v>
      </c>
      <c r="Y11" s="1">
        <f>MAX($G11)</f>
        <v>0</v>
      </c>
      <c r="Z11" s="1">
        <f>MAX($H11)</f>
        <v>0</v>
      </c>
    </row>
    <row r="12" spans="1:26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/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>
        <f>MIN($B12)</f>
        <v>0</v>
      </c>
      <c r="J12" s="1">
        <f>MIN($C12)</f>
        <v>0</v>
      </c>
      <c r="K12" s="1">
        <f>MIN($D12)</f>
        <v>0</v>
      </c>
      <c r="L12" s="1">
        <f>MIN($E12)</f>
        <v>0</v>
      </c>
      <c r="M12" s="1">
        <f>MIN($G12)</f>
        <v>0</v>
      </c>
      <c r="N12" s="1">
        <f>MIN($H12)</f>
        <v>0</v>
      </c>
      <c r="O12" s="1">
        <f>MEDIAN($B12)</f>
        <v>0</v>
      </c>
      <c r="P12" s="1">
        <f>MEDIAN($C12)</f>
        <v>0</v>
      </c>
      <c r="Q12" s="1">
        <f>MEDIAN($D12)</f>
        <v>0</v>
      </c>
      <c r="R12" s="1">
        <f>MEDIAN($E12)</f>
        <v>0</v>
      </c>
      <c r="S12" s="1">
        <f>MEDIAN($G12)</f>
        <v>0</v>
      </c>
      <c r="T12" s="1">
        <f>MEDIAN($H12)</f>
        <v>0</v>
      </c>
      <c r="U12" s="1">
        <f>MAX($B12)</f>
        <v>0</v>
      </c>
      <c r="V12" s="1">
        <f>MAX($C12)</f>
        <v>0</v>
      </c>
      <c r="W12" s="1">
        <f>MAX($D12)</f>
        <v>0</v>
      </c>
      <c r="X12" s="1">
        <f>MAX($E12)</f>
        <v>0</v>
      </c>
      <c r="Y12" s="1">
        <f>MAX($G12)</f>
        <v>0</v>
      </c>
      <c r="Z12" s="1">
        <f>MAX($H12)</f>
        <v>0</v>
      </c>
    </row>
    <row r="13" spans="1:26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/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>
        <f>MIN($B13)</f>
        <v>0</v>
      </c>
      <c r="J13" s="1">
        <f>MIN($C13)</f>
        <v>0</v>
      </c>
      <c r="K13" s="1">
        <f>MIN($D13)</f>
        <v>0</v>
      </c>
      <c r="L13" s="1">
        <f>MIN($E13)</f>
        <v>0</v>
      </c>
      <c r="M13" s="1">
        <f>MIN($G13)</f>
        <v>0</v>
      </c>
      <c r="N13" s="1">
        <f>MIN($H13)</f>
        <v>0</v>
      </c>
      <c r="O13" s="1">
        <f>MEDIAN($B13)</f>
        <v>0</v>
      </c>
      <c r="P13" s="1">
        <f>MEDIAN($C13)</f>
        <v>0</v>
      </c>
      <c r="Q13" s="1">
        <f>MEDIAN($D13)</f>
        <v>0</v>
      </c>
      <c r="R13" s="1">
        <f>MEDIAN($E13)</f>
        <v>0</v>
      </c>
      <c r="S13" s="1">
        <f>MEDIAN($G13)</f>
        <v>0</v>
      </c>
      <c r="T13" s="1">
        <f>MEDIAN($H13)</f>
        <v>0</v>
      </c>
      <c r="U13" s="1">
        <f>MAX($B13)</f>
        <v>0</v>
      </c>
      <c r="V13" s="1">
        <f>MAX($C13)</f>
        <v>0</v>
      </c>
      <c r="W13" s="1">
        <f>MAX($D13)</f>
        <v>0</v>
      </c>
      <c r="X13" s="1">
        <f>MAX($E13)</f>
        <v>0</v>
      </c>
      <c r="Y13" s="1">
        <f>MAX($G13)</f>
        <v>0</v>
      </c>
      <c r="Z13" s="1">
        <f>MAX($H13)</f>
        <v>0</v>
      </c>
    </row>
    <row r="14" spans="1:26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/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>
        <f>MIN($B14)</f>
        <v>0</v>
      </c>
      <c r="J14" s="1">
        <f>MIN($C14)</f>
        <v>0</v>
      </c>
      <c r="K14" s="1">
        <f>MIN($D14)</f>
        <v>0</v>
      </c>
      <c r="L14" s="1">
        <f>MIN($E14)</f>
        <v>0</v>
      </c>
      <c r="M14" s="1">
        <f>MIN($G14)</f>
        <v>0</v>
      </c>
      <c r="N14" s="1">
        <f>MIN($H14)</f>
        <v>0</v>
      </c>
      <c r="O14" s="1">
        <f>MEDIAN($B14)</f>
        <v>0</v>
      </c>
      <c r="P14" s="1">
        <f>MEDIAN($C14)</f>
        <v>0</v>
      </c>
      <c r="Q14" s="1">
        <f>MEDIAN($D14)</f>
        <v>0</v>
      </c>
      <c r="R14" s="1">
        <f>MEDIAN($E14)</f>
        <v>0</v>
      </c>
      <c r="S14" s="1">
        <f>MEDIAN($G14)</f>
        <v>0</v>
      </c>
      <c r="T14" s="1">
        <f>MEDIAN($H14)</f>
        <v>0</v>
      </c>
      <c r="U14" s="1">
        <f>MAX($B14)</f>
        <v>0</v>
      </c>
      <c r="V14" s="1">
        <f>MAX($C14)</f>
        <v>0</v>
      </c>
      <c r="W14" s="1">
        <f>MAX($D14)</f>
        <v>0</v>
      </c>
      <c r="X14" s="1">
        <f>MAX($E14)</f>
        <v>0</v>
      </c>
      <c r="Y14" s="1">
        <f>MAX($G14)</f>
        <v>0</v>
      </c>
      <c r="Z14" s="1">
        <f>MAX($H14)</f>
        <v>0</v>
      </c>
    </row>
    <row r="15" spans="1:26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/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>
        <f>MIN($B15)</f>
        <v>0</v>
      </c>
      <c r="J15" s="1">
        <f>MIN($C15)</f>
        <v>0</v>
      </c>
      <c r="K15" s="1">
        <f>MIN($D15)</f>
        <v>0</v>
      </c>
      <c r="L15" s="1">
        <f>MIN($E15)</f>
        <v>0</v>
      </c>
      <c r="M15" s="1">
        <f>MIN($G15)</f>
        <v>0</v>
      </c>
      <c r="N15" s="1">
        <f>MIN($H15)</f>
        <v>0</v>
      </c>
      <c r="O15" s="1">
        <f>MEDIAN($B15)</f>
        <v>0</v>
      </c>
      <c r="P15" s="1">
        <f>MEDIAN($C15)</f>
        <v>0</v>
      </c>
      <c r="Q15" s="1">
        <f>MEDIAN($D15)</f>
        <v>0</v>
      </c>
      <c r="R15" s="1">
        <f>MEDIAN($E15)</f>
        <v>0</v>
      </c>
      <c r="S15" s="1">
        <f>MEDIAN($G15)</f>
        <v>0</v>
      </c>
      <c r="T15" s="1">
        <f>MEDIAN($H15)</f>
        <v>0</v>
      </c>
      <c r="U15" s="1">
        <f>MAX($B15)</f>
        <v>0</v>
      </c>
      <c r="V15" s="1">
        <f>MAX($C15)</f>
        <v>0</v>
      </c>
      <c r="W15" s="1">
        <f>MAX($D15)</f>
        <v>0</v>
      </c>
      <c r="X15" s="1">
        <f>MAX($E15)</f>
        <v>0</v>
      </c>
      <c r="Y15" s="1">
        <f>MAX($G15)</f>
        <v>0</v>
      </c>
      <c r="Z15" s="1">
        <f>MAX($H15)</f>
        <v>0</v>
      </c>
    </row>
    <row r="16" spans="1:26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/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>
        <f>MIN($B16)</f>
        <v>0</v>
      </c>
      <c r="J16" s="1">
        <f>MIN($C16)</f>
        <v>0</v>
      </c>
      <c r="K16" s="1">
        <f>MIN($D16)</f>
        <v>0</v>
      </c>
      <c r="L16" s="1">
        <f>MIN($E16)</f>
        <v>0</v>
      </c>
      <c r="M16" s="1">
        <f>MIN($G16)</f>
        <v>0</v>
      </c>
      <c r="N16" s="1">
        <f>MIN($H16)</f>
        <v>0</v>
      </c>
      <c r="O16" s="1">
        <f>MEDIAN($B16)</f>
        <v>0</v>
      </c>
      <c r="P16" s="1">
        <f>MEDIAN($C16)</f>
        <v>0</v>
      </c>
      <c r="Q16" s="1">
        <f>MEDIAN($D16)</f>
        <v>0</v>
      </c>
      <c r="R16" s="1">
        <f>MEDIAN($E16)</f>
        <v>0</v>
      </c>
      <c r="S16" s="1">
        <f>MEDIAN($G16)</f>
        <v>0</v>
      </c>
      <c r="T16" s="1">
        <f>MEDIAN($H16)</f>
        <v>0</v>
      </c>
      <c r="U16" s="1">
        <f>MAX($B16)</f>
        <v>0</v>
      </c>
      <c r="V16" s="1">
        <f>MAX($C16)</f>
        <v>0</v>
      </c>
      <c r="W16" s="1">
        <f>MAX($D16)</f>
        <v>0</v>
      </c>
      <c r="X16" s="1">
        <f>MAX($E16)</f>
        <v>0</v>
      </c>
      <c r="Y16" s="1">
        <f>MAX($G16)</f>
        <v>0</v>
      </c>
      <c r="Z16" s="1">
        <f>MAX($H16)</f>
        <v>0</v>
      </c>
    </row>
    <row r="17" spans="1:26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/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>
        <f>MIN($B17)</f>
        <v>0</v>
      </c>
      <c r="J17" s="1">
        <f>MIN($C17)</f>
        <v>0</v>
      </c>
      <c r="K17" s="1">
        <f>MIN($D17)</f>
        <v>0</v>
      </c>
      <c r="L17" s="1">
        <f>MIN($E17)</f>
        <v>0</v>
      </c>
      <c r="M17" s="1">
        <f>MIN($G17)</f>
        <v>0</v>
      </c>
      <c r="N17" s="1">
        <f>MIN($H17)</f>
        <v>0</v>
      </c>
      <c r="O17" s="1">
        <f>MEDIAN($B17)</f>
        <v>0</v>
      </c>
      <c r="P17" s="1">
        <f>MEDIAN($C17)</f>
        <v>0</v>
      </c>
      <c r="Q17" s="1">
        <f>MEDIAN($D17)</f>
        <v>0</v>
      </c>
      <c r="R17" s="1">
        <f>MEDIAN($E17)</f>
        <v>0</v>
      </c>
      <c r="S17" s="1">
        <f>MEDIAN($G17)</f>
        <v>0</v>
      </c>
      <c r="T17" s="1">
        <f>MEDIAN($H17)</f>
        <v>0</v>
      </c>
      <c r="U17" s="1">
        <f>MAX($B17)</f>
        <v>0</v>
      </c>
      <c r="V17" s="1">
        <f>MAX($C17)</f>
        <v>0</v>
      </c>
      <c r="W17" s="1">
        <f>MAX($D17)</f>
        <v>0</v>
      </c>
      <c r="X17" s="1">
        <f>MAX($E17)</f>
        <v>0</v>
      </c>
      <c r="Y17" s="1">
        <f>MAX($G17)</f>
        <v>0</v>
      </c>
      <c r="Z17" s="1">
        <f>MAX($H17)</f>
        <v>0</v>
      </c>
    </row>
    <row r="18" spans="1:26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/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>
        <f>MIN($B18)</f>
        <v>0</v>
      </c>
      <c r="J18" s="1">
        <f>MIN($C18)</f>
        <v>0</v>
      </c>
      <c r="K18" s="1">
        <f>MIN($D18)</f>
        <v>0</v>
      </c>
      <c r="L18" s="1">
        <f>MIN($E18)</f>
        <v>0</v>
      </c>
      <c r="M18" s="1">
        <f>MIN($G18)</f>
        <v>0</v>
      </c>
      <c r="N18" s="1">
        <f>MIN($H18)</f>
        <v>0</v>
      </c>
      <c r="O18" s="1">
        <f>MEDIAN($B18)</f>
        <v>0</v>
      </c>
      <c r="P18" s="1">
        <f>MEDIAN($C18)</f>
        <v>0</v>
      </c>
      <c r="Q18" s="1">
        <f>MEDIAN($D18)</f>
        <v>0</v>
      </c>
      <c r="R18" s="1">
        <f>MEDIAN($E18)</f>
        <v>0</v>
      </c>
      <c r="S18" s="1">
        <f>MEDIAN($G18)</f>
        <v>0</v>
      </c>
      <c r="T18" s="1">
        <f>MEDIAN($H18)</f>
        <v>0</v>
      </c>
      <c r="U18" s="1">
        <f>MAX($B18)</f>
        <v>0</v>
      </c>
      <c r="V18" s="1">
        <f>MAX($C18)</f>
        <v>0</v>
      </c>
      <c r="W18" s="1">
        <f>MAX($D18)</f>
        <v>0</v>
      </c>
      <c r="X18" s="1">
        <f>MAX($E18)</f>
        <v>0</v>
      </c>
      <c r="Y18" s="1">
        <f>MAX($G18)</f>
        <v>0</v>
      </c>
      <c r="Z18" s="1">
        <f>MAX($H18)</f>
        <v>0</v>
      </c>
    </row>
    <row r="19" spans="1:26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/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>
        <f>MIN($B19)</f>
        <v>0</v>
      </c>
      <c r="J19" s="1">
        <f>MIN($C19)</f>
        <v>0</v>
      </c>
      <c r="K19" s="1">
        <f>MIN($D19)</f>
        <v>0</v>
      </c>
      <c r="L19" s="1">
        <f>MIN($E19)</f>
        <v>0</v>
      </c>
      <c r="M19" s="1">
        <f>MIN($G19)</f>
        <v>0</v>
      </c>
      <c r="N19" s="1">
        <f>MIN($H19)</f>
        <v>0</v>
      </c>
      <c r="O19" s="1">
        <f>MEDIAN($B19)</f>
        <v>0</v>
      </c>
      <c r="P19" s="1">
        <f>MEDIAN($C19)</f>
        <v>0</v>
      </c>
      <c r="Q19" s="1">
        <f>MEDIAN($D19)</f>
        <v>0</v>
      </c>
      <c r="R19" s="1">
        <f>MEDIAN($E19)</f>
        <v>0</v>
      </c>
      <c r="S19" s="1">
        <f>MEDIAN($G19)</f>
        <v>0</v>
      </c>
      <c r="T19" s="1">
        <f>MEDIAN($H19)</f>
        <v>0</v>
      </c>
      <c r="U19" s="1">
        <f>MAX($B19)</f>
        <v>0</v>
      </c>
      <c r="V19" s="1">
        <f>MAX($C19)</f>
        <v>0</v>
      </c>
      <c r="W19" s="1">
        <f>MAX($D19)</f>
        <v>0</v>
      </c>
      <c r="X19" s="1">
        <f>MAX($E19)</f>
        <v>0</v>
      </c>
      <c r="Y19" s="1">
        <f>MAX($G19)</f>
        <v>0</v>
      </c>
      <c r="Z19" s="1">
        <f>MAX($H19)</f>
        <v>0</v>
      </c>
    </row>
    <row r="20" spans="1:26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/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>
        <f>MIN($B20)</f>
        <v>0</v>
      </c>
      <c r="J20" s="1">
        <f>MIN($C20)</f>
        <v>0</v>
      </c>
      <c r="K20" s="1">
        <f>MIN($D20)</f>
        <v>0</v>
      </c>
      <c r="L20" s="1">
        <f>MIN($E20)</f>
        <v>0</v>
      </c>
      <c r="M20" s="1">
        <f>MIN($G20)</f>
        <v>0</v>
      </c>
      <c r="N20" s="1">
        <f>MIN($H20)</f>
        <v>0</v>
      </c>
      <c r="O20" s="1">
        <f>MEDIAN($B20)</f>
        <v>0</v>
      </c>
      <c r="P20" s="1">
        <f>MEDIAN($C20)</f>
        <v>0</v>
      </c>
      <c r="Q20" s="1">
        <f>MEDIAN($D20)</f>
        <v>0</v>
      </c>
      <c r="R20" s="1">
        <f>MEDIAN($E20)</f>
        <v>0</v>
      </c>
      <c r="S20" s="1">
        <f>MEDIAN($G20)</f>
        <v>0</v>
      </c>
      <c r="T20" s="1">
        <f>MEDIAN($H20)</f>
        <v>0</v>
      </c>
      <c r="U20" s="1">
        <f>MAX($B20)</f>
        <v>0</v>
      </c>
      <c r="V20" s="1">
        <f>MAX($C20)</f>
        <v>0</v>
      </c>
      <c r="W20" s="1">
        <f>MAX($D20)</f>
        <v>0</v>
      </c>
      <c r="X20" s="1">
        <f>MAX($E20)</f>
        <v>0</v>
      </c>
      <c r="Y20" s="1">
        <f>MAX($G20)</f>
        <v>0</v>
      </c>
      <c r="Z20" s="1">
        <f>MAX($H20)</f>
        <v>0</v>
      </c>
    </row>
    <row r="21" spans="1:26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/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>
        <f>MIN($B21)</f>
        <v>0</v>
      </c>
      <c r="J21" s="1">
        <f>MIN($C21)</f>
        <v>0</v>
      </c>
      <c r="K21" s="1">
        <f>MIN($D21)</f>
        <v>0</v>
      </c>
      <c r="L21" s="1">
        <f>MIN($E21)</f>
        <v>0</v>
      </c>
      <c r="M21" s="1">
        <f>MIN($G21)</f>
        <v>0</v>
      </c>
      <c r="N21" s="1">
        <f>MIN($H21)</f>
        <v>0</v>
      </c>
      <c r="O21" s="1">
        <f>MEDIAN($B21)</f>
        <v>0</v>
      </c>
      <c r="P21" s="1">
        <f>MEDIAN($C21)</f>
        <v>0</v>
      </c>
      <c r="Q21" s="1">
        <f>MEDIAN($D21)</f>
        <v>0</v>
      </c>
      <c r="R21" s="1">
        <f>MEDIAN($E21)</f>
        <v>0</v>
      </c>
      <c r="S21" s="1">
        <f>MEDIAN($G21)</f>
        <v>0</v>
      </c>
      <c r="T21" s="1">
        <f>MEDIAN($H21)</f>
        <v>0</v>
      </c>
      <c r="U21" s="1">
        <f>MAX($B21)</f>
        <v>0</v>
      </c>
      <c r="V21" s="1">
        <f>MAX($C21)</f>
        <v>0</v>
      </c>
      <c r="W21" s="1">
        <f>MAX($D21)</f>
        <v>0</v>
      </c>
      <c r="X21" s="1">
        <f>MAX($E21)</f>
        <v>0</v>
      </c>
      <c r="Y21" s="1">
        <f>MAX($G21)</f>
        <v>0</v>
      </c>
      <c r="Z21" s="1">
        <f>MAX($H21)</f>
        <v>0</v>
      </c>
    </row>
    <row r="22" spans="1:26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/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>
        <f>MIN($B22)</f>
        <v>0</v>
      </c>
      <c r="J22" s="1">
        <f>MIN($C22)</f>
        <v>0</v>
      </c>
      <c r="K22" s="1">
        <f>MIN($D22)</f>
        <v>0</v>
      </c>
      <c r="L22" s="1">
        <f>MIN($E22)</f>
        <v>0</v>
      </c>
      <c r="M22" s="1">
        <f>MIN($G22)</f>
        <v>0</v>
      </c>
      <c r="N22" s="1">
        <f>MIN($H22)</f>
        <v>0</v>
      </c>
      <c r="O22" s="1">
        <f>MEDIAN($B22)</f>
        <v>0</v>
      </c>
      <c r="P22" s="1">
        <f>MEDIAN($C22)</f>
        <v>0</v>
      </c>
      <c r="Q22" s="1">
        <f>MEDIAN($D22)</f>
        <v>0</v>
      </c>
      <c r="R22" s="1">
        <f>MEDIAN($E22)</f>
        <v>0</v>
      </c>
      <c r="S22" s="1">
        <f>MEDIAN($G22)</f>
        <v>0</v>
      </c>
      <c r="T22" s="1">
        <f>MEDIAN($H22)</f>
        <v>0</v>
      </c>
      <c r="U22" s="1">
        <f>MAX($B22)</f>
        <v>0</v>
      </c>
      <c r="V22" s="1">
        <f>MAX($C22)</f>
        <v>0</v>
      </c>
      <c r="W22" s="1">
        <f>MAX($D22)</f>
        <v>0</v>
      </c>
      <c r="X22" s="1">
        <f>MAX($E22)</f>
        <v>0</v>
      </c>
      <c r="Y22" s="1">
        <f>MAX($G22)</f>
        <v>0</v>
      </c>
      <c r="Z22" s="1">
        <f>MAX($H22)</f>
        <v>0</v>
      </c>
    </row>
    <row r="23" spans="1:26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/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>
        <f>MIN($B23)</f>
        <v>0</v>
      </c>
      <c r="J23" s="1">
        <f>MIN($C23)</f>
        <v>0</v>
      </c>
      <c r="K23" s="1">
        <f>MIN($D23)</f>
        <v>0</v>
      </c>
      <c r="L23" s="1">
        <f>MIN($E23)</f>
        <v>0</v>
      </c>
      <c r="M23" s="1">
        <f>MIN($G23)</f>
        <v>0</v>
      </c>
      <c r="N23" s="1">
        <f>MIN($H23)</f>
        <v>0</v>
      </c>
      <c r="O23" s="1">
        <f>MEDIAN($B23)</f>
        <v>0</v>
      </c>
      <c r="P23" s="1">
        <f>MEDIAN($C23)</f>
        <v>0</v>
      </c>
      <c r="Q23" s="1">
        <f>MEDIAN($D23)</f>
        <v>0</v>
      </c>
      <c r="R23" s="1">
        <f>MEDIAN($E23)</f>
        <v>0</v>
      </c>
      <c r="S23" s="1">
        <f>MEDIAN($G23)</f>
        <v>0</v>
      </c>
      <c r="T23" s="1">
        <f>MEDIAN($H23)</f>
        <v>0</v>
      </c>
      <c r="U23" s="1">
        <f>MAX($B23)</f>
        <v>0</v>
      </c>
      <c r="V23" s="1">
        <f>MAX($C23)</f>
        <v>0</v>
      </c>
      <c r="W23" s="1">
        <f>MAX($D23)</f>
        <v>0</v>
      </c>
      <c r="X23" s="1">
        <f>MAX($E23)</f>
        <v>0</v>
      </c>
      <c r="Y23" s="1">
        <f>MAX($G23)</f>
        <v>0</v>
      </c>
      <c r="Z23" s="1">
        <f>MAX($H23)</f>
        <v>0</v>
      </c>
    </row>
    <row r="24" spans="1:26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/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>
        <f>MIN($B24)</f>
        <v>0</v>
      </c>
      <c r="J24" s="1">
        <f>MIN($C24)</f>
        <v>0</v>
      </c>
      <c r="K24" s="1">
        <f>MIN($D24)</f>
        <v>0</v>
      </c>
      <c r="L24" s="1">
        <f>MIN($E24)</f>
        <v>0</v>
      </c>
      <c r="M24" s="1">
        <f>MIN($G24)</f>
        <v>0</v>
      </c>
      <c r="N24" s="1">
        <f>MIN($H24)</f>
        <v>0</v>
      </c>
      <c r="O24" s="1">
        <f>MEDIAN($B24)</f>
        <v>0</v>
      </c>
      <c r="P24" s="1">
        <f>MEDIAN($C24)</f>
        <v>0</v>
      </c>
      <c r="Q24" s="1">
        <f>MEDIAN($D24)</f>
        <v>0</v>
      </c>
      <c r="R24" s="1">
        <f>MEDIAN($E24)</f>
        <v>0</v>
      </c>
      <c r="S24" s="1">
        <f>MEDIAN($G24)</f>
        <v>0</v>
      </c>
      <c r="T24" s="1">
        <f>MEDIAN($H24)</f>
        <v>0</v>
      </c>
      <c r="U24" s="1">
        <f>MAX($B24)</f>
        <v>0</v>
      </c>
      <c r="V24" s="1">
        <f>MAX($C24)</f>
        <v>0</v>
      </c>
      <c r="W24" s="1">
        <f>MAX($D24)</f>
        <v>0</v>
      </c>
      <c r="X24" s="1">
        <f>MAX($E24)</f>
        <v>0</v>
      </c>
      <c r="Y24" s="1">
        <f>MAX($G24)</f>
        <v>0</v>
      </c>
      <c r="Z24" s="1">
        <f>MAX($H24)</f>
        <v>0</v>
      </c>
    </row>
    <row r="25" spans="1:26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/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>
        <f>MIN($B25)</f>
        <v>0</v>
      </c>
      <c r="J25" s="1">
        <f>MIN($C25)</f>
        <v>0</v>
      </c>
      <c r="K25" s="1">
        <f>MIN($D25)</f>
        <v>0</v>
      </c>
      <c r="L25" s="1">
        <f>MIN($E25)</f>
        <v>0</v>
      </c>
      <c r="M25" s="1">
        <f>MIN($G25)</f>
        <v>0</v>
      </c>
      <c r="N25" s="1">
        <f>MIN($H25)</f>
        <v>0</v>
      </c>
      <c r="O25" s="1">
        <f>MEDIAN($B25)</f>
        <v>0</v>
      </c>
      <c r="P25" s="1">
        <f>MEDIAN($C25)</f>
        <v>0</v>
      </c>
      <c r="Q25" s="1">
        <f>MEDIAN($D25)</f>
        <v>0</v>
      </c>
      <c r="R25" s="1">
        <f>MEDIAN($E25)</f>
        <v>0</v>
      </c>
      <c r="S25" s="1">
        <f>MEDIAN($G25)</f>
        <v>0</v>
      </c>
      <c r="T25" s="1">
        <f>MEDIAN($H25)</f>
        <v>0</v>
      </c>
      <c r="U25" s="1">
        <f>MAX($B25)</f>
        <v>0</v>
      </c>
      <c r="V25" s="1">
        <f>MAX($C25)</f>
        <v>0</v>
      </c>
      <c r="W25" s="1">
        <f>MAX($D25)</f>
        <v>0</v>
      </c>
      <c r="X25" s="1">
        <f>MAX($E25)</f>
        <v>0</v>
      </c>
      <c r="Y25" s="1">
        <f>MAX($G25)</f>
        <v>0</v>
      </c>
      <c r="Z25" s="1">
        <f>MAX($H25)</f>
        <v>0</v>
      </c>
    </row>
    <row r="26" spans="1:26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/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>
        <f>MIN($B26)</f>
        <v>0</v>
      </c>
      <c r="J26" s="1">
        <f>MIN($C26)</f>
        <v>0</v>
      </c>
      <c r="K26" s="1">
        <f>MIN($D26)</f>
        <v>0</v>
      </c>
      <c r="L26" s="1">
        <f>MIN($E26)</f>
        <v>0</v>
      </c>
      <c r="M26" s="1">
        <f>MIN($G26)</f>
        <v>0</v>
      </c>
      <c r="N26" s="1">
        <f>MIN($H26)</f>
        <v>0</v>
      </c>
      <c r="O26" s="1">
        <f>MEDIAN($B26)</f>
        <v>0</v>
      </c>
      <c r="P26" s="1">
        <f>MEDIAN($C26)</f>
        <v>0</v>
      </c>
      <c r="Q26" s="1">
        <f>MEDIAN($D26)</f>
        <v>0</v>
      </c>
      <c r="R26" s="1">
        <f>MEDIAN($E26)</f>
        <v>0</v>
      </c>
      <c r="S26" s="1">
        <f>MEDIAN($G26)</f>
        <v>0</v>
      </c>
      <c r="T26" s="1">
        <f>MEDIAN($H26)</f>
        <v>0</v>
      </c>
      <c r="U26" s="1">
        <f>MAX($B26)</f>
        <v>0</v>
      </c>
      <c r="V26" s="1">
        <f>MAX($C26)</f>
        <v>0</v>
      </c>
      <c r="W26" s="1">
        <f>MAX($D26)</f>
        <v>0</v>
      </c>
      <c r="X26" s="1">
        <f>MAX($E26)</f>
        <v>0</v>
      </c>
      <c r="Y26" s="1">
        <f>MAX($G26)</f>
        <v>0</v>
      </c>
      <c r="Z26" s="1">
        <f>MAX($H26)</f>
        <v>0</v>
      </c>
    </row>
    <row r="27" spans="1:26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/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>
        <f>MIN($B27)</f>
        <v>0</v>
      </c>
      <c r="J27" s="1">
        <f>MIN($C27)</f>
        <v>0</v>
      </c>
      <c r="K27" s="1">
        <f>MIN($D27)</f>
        <v>0</v>
      </c>
      <c r="L27" s="1">
        <f>MIN($E27)</f>
        <v>0</v>
      </c>
      <c r="M27" s="1">
        <f>MIN($G27)</f>
        <v>0</v>
      </c>
      <c r="N27" s="1">
        <f>MIN($H27)</f>
        <v>0</v>
      </c>
      <c r="O27" s="1">
        <f>MEDIAN($B27)</f>
        <v>0</v>
      </c>
      <c r="P27" s="1">
        <f>MEDIAN($C27)</f>
        <v>0</v>
      </c>
      <c r="Q27" s="1">
        <f>MEDIAN($D27)</f>
        <v>0</v>
      </c>
      <c r="R27" s="1">
        <f>MEDIAN($E27)</f>
        <v>0</v>
      </c>
      <c r="S27" s="1">
        <f>MEDIAN($G27)</f>
        <v>0</v>
      </c>
      <c r="T27" s="1">
        <f>MEDIAN($H27)</f>
        <v>0</v>
      </c>
      <c r="U27" s="1">
        <f>MAX($B27)</f>
        <v>0</v>
      </c>
      <c r="V27" s="1">
        <f>MAX($C27)</f>
        <v>0</v>
      </c>
      <c r="W27" s="1">
        <f>MAX($D27)</f>
        <v>0</v>
      </c>
      <c r="X27" s="1">
        <f>MAX($E27)</f>
        <v>0</v>
      </c>
      <c r="Y27" s="1">
        <f>MAX($G27)</f>
        <v>0</v>
      </c>
      <c r="Z27" s="1">
        <f>MAX($H27)</f>
        <v>0</v>
      </c>
    </row>
    <row r="28" spans="1:26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/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>
        <f>MIN($B28)</f>
        <v>0</v>
      </c>
      <c r="J28" s="1">
        <f>MIN($C28)</f>
        <v>0</v>
      </c>
      <c r="K28" s="1">
        <f>MIN($D28)</f>
        <v>0</v>
      </c>
      <c r="L28" s="1">
        <f>MIN($E28)</f>
        <v>0</v>
      </c>
      <c r="M28" s="1">
        <f>MIN($G28)</f>
        <v>0</v>
      </c>
      <c r="N28" s="1">
        <f>MIN($H28)</f>
        <v>0</v>
      </c>
      <c r="O28" s="1">
        <f>MEDIAN($B28)</f>
        <v>0</v>
      </c>
      <c r="P28" s="1">
        <f>MEDIAN($C28)</f>
        <v>0</v>
      </c>
      <c r="Q28" s="1">
        <f>MEDIAN($D28)</f>
        <v>0</v>
      </c>
      <c r="R28" s="1">
        <f>MEDIAN($E28)</f>
        <v>0</v>
      </c>
      <c r="S28" s="1">
        <f>MEDIAN($G28)</f>
        <v>0</v>
      </c>
      <c r="T28" s="1">
        <f>MEDIAN($H28)</f>
        <v>0</v>
      </c>
      <c r="U28" s="1">
        <f>MAX($B28)</f>
        <v>0</v>
      </c>
      <c r="V28" s="1">
        <f>MAX($C28)</f>
        <v>0</v>
      </c>
      <c r="W28" s="1">
        <f>MAX($D28)</f>
        <v>0</v>
      </c>
      <c r="X28" s="1">
        <f>MAX($E28)</f>
        <v>0</v>
      </c>
      <c r="Y28" s="1">
        <f>MAX($G28)</f>
        <v>0</v>
      </c>
      <c r="Z28" s="1">
        <f>MAX($H28)</f>
        <v>0</v>
      </c>
    </row>
    <row r="29" spans="1:26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/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>
        <f>MIN($B29)</f>
        <v>0</v>
      </c>
      <c r="J29" s="1">
        <f>MIN($C29)</f>
        <v>0</v>
      </c>
      <c r="K29" s="1">
        <f>MIN($D29)</f>
        <v>0</v>
      </c>
      <c r="L29" s="1">
        <f>MIN($E29)</f>
        <v>0</v>
      </c>
      <c r="M29" s="1">
        <f>MIN($G29)</f>
        <v>0</v>
      </c>
      <c r="N29" s="1">
        <f>MIN($H29)</f>
        <v>0</v>
      </c>
      <c r="O29" s="1">
        <f>MEDIAN($B29)</f>
        <v>0</v>
      </c>
      <c r="P29" s="1">
        <f>MEDIAN($C29)</f>
        <v>0</v>
      </c>
      <c r="Q29" s="1">
        <f>MEDIAN($D29)</f>
        <v>0</v>
      </c>
      <c r="R29" s="1">
        <f>MEDIAN($E29)</f>
        <v>0</v>
      </c>
      <c r="S29" s="1">
        <f>MEDIAN($G29)</f>
        <v>0</v>
      </c>
      <c r="T29" s="1">
        <f>MEDIAN($H29)</f>
        <v>0</v>
      </c>
      <c r="U29" s="1">
        <f>MAX($B29)</f>
        <v>0</v>
      </c>
      <c r="V29" s="1">
        <f>MAX($C29)</f>
        <v>0</v>
      </c>
      <c r="W29" s="1">
        <f>MAX($D29)</f>
        <v>0</v>
      </c>
      <c r="X29" s="1">
        <f>MAX($E29)</f>
        <v>0</v>
      </c>
      <c r="Y29" s="1">
        <f>MAX($G29)</f>
        <v>0</v>
      </c>
      <c r="Z29" s="1">
        <f>MAX($H29)</f>
        <v>0</v>
      </c>
    </row>
    <row r="30" spans="1:26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/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>
        <f>MIN($B30)</f>
        <v>0</v>
      </c>
      <c r="J30" s="1">
        <f>MIN($C30)</f>
        <v>0</v>
      </c>
      <c r="K30" s="1">
        <f>MIN($D30)</f>
        <v>0</v>
      </c>
      <c r="L30" s="1">
        <f>MIN($E30)</f>
        <v>0</v>
      </c>
      <c r="M30" s="1">
        <f>MIN($G30)</f>
        <v>0</v>
      </c>
      <c r="N30" s="1">
        <f>MIN($H30)</f>
        <v>0</v>
      </c>
      <c r="O30" s="1">
        <f>MEDIAN($B30)</f>
        <v>0</v>
      </c>
      <c r="P30" s="1">
        <f>MEDIAN($C30)</f>
        <v>0</v>
      </c>
      <c r="Q30" s="1">
        <f>MEDIAN($D30)</f>
        <v>0</v>
      </c>
      <c r="R30" s="1">
        <f>MEDIAN($E30)</f>
        <v>0</v>
      </c>
      <c r="S30" s="1">
        <f>MEDIAN($G30)</f>
        <v>0</v>
      </c>
      <c r="T30" s="1">
        <f>MEDIAN($H30)</f>
        <v>0</v>
      </c>
      <c r="U30" s="1">
        <f>MAX($B30)</f>
        <v>0</v>
      </c>
      <c r="V30" s="1">
        <f>MAX($C30)</f>
        <v>0</v>
      </c>
      <c r="W30" s="1">
        <f>MAX($D30)</f>
        <v>0</v>
      </c>
      <c r="X30" s="1">
        <f>MAX($E30)</f>
        <v>0</v>
      </c>
      <c r="Y30" s="1">
        <f>MAX($G30)</f>
        <v>0</v>
      </c>
      <c r="Z30" s="1">
        <f>MAX($H30)</f>
        <v>0</v>
      </c>
    </row>
    <row r="31" spans="1:26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/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>
        <f>MIN($B31)</f>
        <v>0</v>
      </c>
      <c r="J31" s="1">
        <f>MIN($C31)</f>
        <v>0</v>
      </c>
      <c r="K31" s="1">
        <f>MIN($D31)</f>
        <v>0</v>
      </c>
      <c r="L31" s="1">
        <f>MIN($E31)</f>
        <v>0</v>
      </c>
      <c r="M31" s="1">
        <f>MIN($G31)</f>
        <v>0</v>
      </c>
      <c r="N31" s="1">
        <f>MIN($H31)</f>
        <v>0</v>
      </c>
      <c r="O31" s="1">
        <f>MEDIAN($B31)</f>
        <v>0</v>
      </c>
      <c r="P31" s="1">
        <f>MEDIAN($C31)</f>
        <v>0</v>
      </c>
      <c r="Q31" s="1">
        <f>MEDIAN($D31)</f>
        <v>0</v>
      </c>
      <c r="R31" s="1">
        <f>MEDIAN($E31)</f>
        <v>0</v>
      </c>
      <c r="S31" s="1">
        <f>MEDIAN($G31)</f>
        <v>0</v>
      </c>
      <c r="T31" s="1">
        <f>MEDIAN($H31)</f>
        <v>0</v>
      </c>
      <c r="U31" s="1">
        <f>MAX($B31)</f>
        <v>0</v>
      </c>
      <c r="V31" s="1">
        <f>MAX($C31)</f>
        <v>0</v>
      </c>
      <c r="W31" s="1">
        <f>MAX($D31)</f>
        <v>0</v>
      </c>
      <c r="X31" s="1">
        <f>MAX($E31)</f>
        <v>0</v>
      </c>
      <c r="Y31" s="1">
        <f>MAX($G31)</f>
        <v>0</v>
      </c>
      <c r="Z31" s="1">
        <f>MAX($H31)</f>
        <v>0</v>
      </c>
    </row>
    <row r="32" spans="1:26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/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>
        <f>MIN($B32)</f>
        <v>0</v>
      </c>
      <c r="J32" s="1">
        <f>MIN($C32)</f>
        <v>0</v>
      </c>
      <c r="K32" s="1">
        <f>MIN($D32)</f>
        <v>0</v>
      </c>
      <c r="L32" s="1">
        <f>MIN($E32)</f>
        <v>0</v>
      </c>
      <c r="M32" s="1">
        <f>MIN($G32)</f>
        <v>0</v>
      </c>
      <c r="N32" s="1">
        <f>MIN($H32)</f>
        <v>0</v>
      </c>
      <c r="O32" s="1">
        <f>MEDIAN($B32)</f>
        <v>0</v>
      </c>
      <c r="P32" s="1">
        <f>MEDIAN($C32)</f>
        <v>0</v>
      </c>
      <c r="Q32" s="1">
        <f>MEDIAN($D32)</f>
        <v>0</v>
      </c>
      <c r="R32" s="1">
        <f>MEDIAN($E32)</f>
        <v>0</v>
      </c>
      <c r="S32" s="1">
        <f>MEDIAN($G32)</f>
        <v>0</v>
      </c>
      <c r="T32" s="1">
        <f>MEDIAN($H32)</f>
        <v>0</v>
      </c>
      <c r="U32" s="1">
        <f>MAX($B32)</f>
        <v>0</v>
      </c>
      <c r="V32" s="1">
        <f>MAX($C32)</f>
        <v>0</v>
      </c>
      <c r="W32" s="1">
        <f>MAX($D32)</f>
        <v>0</v>
      </c>
      <c r="X32" s="1">
        <f>MAX($E32)</f>
        <v>0</v>
      </c>
      <c r="Y32" s="1">
        <f>MAX($G32)</f>
        <v>0</v>
      </c>
      <c r="Z32" s="1">
        <f>MAX($H32)</f>
        <v>0</v>
      </c>
    </row>
    <row r="33" spans="1:26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/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>
        <f>MIN($B33)</f>
        <v>0</v>
      </c>
      <c r="J33" s="1">
        <f>MIN($C33)</f>
        <v>0</v>
      </c>
      <c r="K33" s="1">
        <f>MIN($D33)</f>
        <v>0</v>
      </c>
      <c r="L33" s="1">
        <f>MIN($E33)</f>
        <v>0</v>
      </c>
      <c r="M33" s="1">
        <f>MIN($G33)</f>
        <v>0</v>
      </c>
      <c r="N33" s="1">
        <f>MIN($H33)</f>
        <v>0</v>
      </c>
      <c r="O33" s="1">
        <f>MEDIAN($B33)</f>
        <v>0</v>
      </c>
      <c r="P33" s="1">
        <f>MEDIAN($C33)</f>
        <v>0</v>
      </c>
      <c r="Q33" s="1">
        <f>MEDIAN($D33)</f>
        <v>0</v>
      </c>
      <c r="R33" s="1">
        <f>MEDIAN($E33)</f>
        <v>0</v>
      </c>
      <c r="S33" s="1">
        <f>MEDIAN($G33)</f>
        <v>0</v>
      </c>
      <c r="T33" s="1">
        <f>MEDIAN($H33)</f>
        <v>0</v>
      </c>
      <c r="U33" s="1">
        <f>MAX($B33)</f>
        <v>0</v>
      </c>
      <c r="V33" s="1">
        <f>MAX($C33)</f>
        <v>0</v>
      </c>
      <c r="W33" s="1">
        <f>MAX($D33)</f>
        <v>0</v>
      </c>
      <c r="X33" s="1">
        <f>MAX($E33)</f>
        <v>0</v>
      </c>
      <c r="Y33" s="1">
        <f>MAX($G33)</f>
        <v>0</v>
      </c>
      <c r="Z33" s="1">
        <f>MAX($H33)</f>
        <v>0</v>
      </c>
    </row>
    <row r="34" spans="1:26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/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>
        <f>MIN($B34)</f>
        <v>0</v>
      </c>
      <c r="J34" s="1">
        <f>MIN($C34)</f>
        <v>0</v>
      </c>
      <c r="K34" s="1">
        <f>MIN($D34)</f>
        <v>0</v>
      </c>
      <c r="L34" s="1">
        <f>MIN($E34)</f>
        <v>0</v>
      </c>
      <c r="M34" s="1">
        <f>MIN($G34)</f>
        <v>0</v>
      </c>
      <c r="N34" s="1">
        <f>MIN($H34)</f>
        <v>0</v>
      </c>
      <c r="O34" s="1">
        <f>MEDIAN($B34)</f>
        <v>0</v>
      </c>
      <c r="P34" s="1">
        <f>MEDIAN($C34)</f>
        <v>0</v>
      </c>
      <c r="Q34" s="1">
        <f>MEDIAN($D34)</f>
        <v>0</v>
      </c>
      <c r="R34" s="1">
        <f>MEDIAN($E34)</f>
        <v>0</v>
      </c>
      <c r="S34" s="1">
        <f>MEDIAN($G34)</f>
        <v>0</v>
      </c>
      <c r="T34" s="1">
        <f>MEDIAN($H34)</f>
        <v>0</v>
      </c>
      <c r="U34" s="1">
        <f>MAX($B34)</f>
        <v>0</v>
      </c>
      <c r="V34" s="1">
        <f>MAX($C34)</f>
        <v>0</v>
      </c>
      <c r="W34" s="1">
        <f>MAX($D34)</f>
        <v>0</v>
      </c>
      <c r="X34" s="1">
        <f>MAX($E34)</f>
        <v>0</v>
      </c>
      <c r="Y34" s="1">
        <f>MAX($G34)</f>
        <v>0</v>
      </c>
      <c r="Z34" s="1">
        <f>MAX($H34)</f>
        <v>0</v>
      </c>
    </row>
    <row r="35" spans="1:26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/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>
        <f>MIN($B35)</f>
        <v>0</v>
      </c>
      <c r="J35" s="1">
        <f>MIN($C35)</f>
        <v>0</v>
      </c>
      <c r="K35" s="1">
        <f>MIN($D35)</f>
        <v>0</v>
      </c>
      <c r="L35" s="1">
        <f>MIN($E35)</f>
        <v>0</v>
      </c>
      <c r="M35" s="1">
        <f>MIN($G35)</f>
        <v>0</v>
      </c>
      <c r="N35" s="1">
        <f>MIN($H35)</f>
        <v>0</v>
      </c>
      <c r="O35" s="1">
        <f>MEDIAN($B35)</f>
        <v>0</v>
      </c>
      <c r="P35" s="1">
        <f>MEDIAN($C35)</f>
        <v>0</v>
      </c>
      <c r="Q35" s="1">
        <f>MEDIAN($D35)</f>
        <v>0</v>
      </c>
      <c r="R35" s="1">
        <f>MEDIAN($E35)</f>
        <v>0</v>
      </c>
      <c r="S35" s="1">
        <f>MEDIAN($G35)</f>
        <v>0</v>
      </c>
      <c r="T35" s="1">
        <f>MEDIAN($H35)</f>
        <v>0</v>
      </c>
      <c r="U35" s="1">
        <f>MAX($B35)</f>
        <v>0</v>
      </c>
      <c r="V35" s="1">
        <f>MAX($C35)</f>
        <v>0</v>
      </c>
      <c r="W35" s="1">
        <f>MAX($D35)</f>
        <v>0</v>
      </c>
      <c r="X35" s="1">
        <f>MAX($E35)</f>
        <v>0</v>
      </c>
      <c r="Y35" s="1">
        <f>MAX($G35)</f>
        <v>0</v>
      </c>
      <c r="Z35" s="1">
        <f>MAX($H35)</f>
        <v>0</v>
      </c>
    </row>
    <row r="36" spans="1:26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/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>
        <f>MIN($B36)</f>
        <v>0</v>
      </c>
      <c r="J36" s="1">
        <f>MIN($C36)</f>
        <v>0</v>
      </c>
      <c r="K36" s="1">
        <f>MIN($D36)</f>
        <v>0</v>
      </c>
      <c r="L36" s="1">
        <f>MIN($E36)</f>
        <v>0</v>
      </c>
      <c r="M36" s="1">
        <f>MIN($G36)</f>
        <v>0</v>
      </c>
      <c r="N36" s="1">
        <f>MIN($H36)</f>
        <v>0</v>
      </c>
      <c r="O36" s="1">
        <f>MEDIAN($B36)</f>
        <v>0</v>
      </c>
      <c r="P36" s="1">
        <f>MEDIAN($C36)</f>
        <v>0</v>
      </c>
      <c r="Q36" s="1">
        <f>MEDIAN($D36)</f>
        <v>0</v>
      </c>
      <c r="R36" s="1">
        <f>MEDIAN($E36)</f>
        <v>0</v>
      </c>
      <c r="S36" s="1">
        <f>MEDIAN($G36)</f>
        <v>0</v>
      </c>
      <c r="T36" s="1">
        <f>MEDIAN($H36)</f>
        <v>0</v>
      </c>
      <c r="U36" s="1">
        <f>MAX($B36)</f>
        <v>0</v>
      </c>
      <c r="V36" s="1">
        <f>MAX($C36)</f>
        <v>0</v>
      </c>
      <c r="W36" s="1">
        <f>MAX($D36)</f>
        <v>0</v>
      </c>
      <c r="X36" s="1">
        <f>MAX($E36)</f>
        <v>0</v>
      </c>
      <c r="Y36" s="1">
        <f>MAX($G36)</f>
        <v>0</v>
      </c>
      <c r="Z36" s="1">
        <f>MAX($H36)</f>
        <v>0</v>
      </c>
    </row>
    <row r="37" spans="1:26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/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>
        <f>MIN($B37)</f>
        <v>0</v>
      </c>
      <c r="J37" s="1">
        <f>MIN($C37)</f>
        <v>0</v>
      </c>
      <c r="K37" s="1">
        <f>MIN($D37)</f>
        <v>0</v>
      </c>
      <c r="L37" s="1">
        <f>MIN($E37)</f>
        <v>0</v>
      </c>
      <c r="M37" s="1">
        <f>MIN($G37)</f>
        <v>0</v>
      </c>
      <c r="N37" s="1">
        <f>MIN($H37)</f>
        <v>0</v>
      </c>
      <c r="O37" s="1">
        <f>MEDIAN($B37)</f>
        <v>0</v>
      </c>
      <c r="P37" s="1">
        <f>MEDIAN($C37)</f>
        <v>0</v>
      </c>
      <c r="Q37" s="1">
        <f>MEDIAN($D37)</f>
        <v>0</v>
      </c>
      <c r="R37" s="1">
        <f>MEDIAN($E37)</f>
        <v>0</v>
      </c>
      <c r="S37" s="1">
        <f>MEDIAN($G37)</f>
        <v>0</v>
      </c>
      <c r="T37" s="1">
        <f>MEDIAN($H37)</f>
        <v>0</v>
      </c>
      <c r="U37" s="1">
        <f>MAX($B37)</f>
        <v>0</v>
      </c>
      <c r="V37" s="1">
        <f>MAX($C37)</f>
        <v>0</v>
      </c>
      <c r="W37" s="1">
        <f>MAX($D37)</f>
        <v>0</v>
      </c>
      <c r="X37" s="1">
        <f>MAX($E37)</f>
        <v>0</v>
      </c>
      <c r="Y37" s="1">
        <f>MAX($G37)</f>
        <v>0</v>
      </c>
      <c r="Z37" s="1">
        <f>MAX($H37)</f>
        <v>0</v>
      </c>
    </row>
    <row r="38" spans="1:26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/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>
        <f>MIN($B38)</f>
        <v>0</v>
      </c>
      <c r="J38" s="1">
        <f>MIN($C38)</f>
        <v>0</v>
      </c>
      <c r="K38" s="1">
        <f>MIN($D38)</f>
        <v>0</v>
      </c>
      <c r="L38" s="1">
        <f>MIN($E38)</f>
        <v>0</v>
      </c>
      <c r="M38" s="1">
        <f>MIN($G38)</f>
        <v>0</v>
      </c>
      <c r="N38" s="1">
        <f>MIN($H38)</f>
        <v>0</v>
      </c>
      <c r="O38" s="1">
        <f>MEDIAN($B38)</f>
        <v>0</v>
      </c>
      <c r="P38" s="1">
        <f>MEDIAN($C38)</f>
        <v>0</v>
      </c>
      <c r="Q38" s="1">
        <f>MEDIAN($D38)</f>
        <v>0</v>
      </c>
      <c r="R38" s="1">
        <f>MEDIAN($E38)</f>
        <v>0</v>
      </c>
      <c r="S38" s="1">
        <f>MEDIAN($G38)</f>
        <v>0</v>
      </c>
      <c r="T38" s="1">
        <f>MEDIAN($H38)</f>
        <v>0</v>
      </c>
      <c r="U38" s="1">
        <f>MAX($B38)</f>
        <v>0</v>
      </c>
      <c r="V38" s="1">
        <f>MAX($C38)</f>
        <v>0</v>
      </c>
      <c r="W38" s="1">
        <f>MAX($D38)</f>
        <v>0</v>
      </c>
      <c r="X38" s="1">
        <f>MAX($E38)</f>
        <v>0</v>
      </c>
      <c r="Y38" s="1">
        <f>MAX($G38)</f>
        <v>0</v>
      </c>
      <c r="Z38" s="1">
        <f>MAX($H38)</f>
        <v>0</v>
      </c>
    </row>
    <row r="39" spans="1:26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/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>
        <f>MIN($B39)</f>
        <v>0</v>
      </c>
      <c r="J39" s="1">
        <f>MIN($C39)</f>
        <v>0</v>
      </c>
      <c r="K39" s="1">
        <f>MIN($D39)</f>
        <v>0</v>
      </c>
      <c r="L39" s="1">
        <f>MIN($E39)</f>
        <v>0</v>
      </c>
      <c r="M39" s="1">
        <f>MIN($G39)</f>
        <v>0</v>
      </c>
      <c r="N39" s="1">
        <f>MIN($H39)</f>
        <v>0</v>
      </c>
      <c r="O39" s="1">
        <f>MEDIAN($B39)</f>
        <v>0</v>
      </c>
      <c r="P39" s="1">
        <f>MEDIAN($C39)</f>
        <v>0</v>
      </c>
      <c r="Q39" s="1">
        <f>MEDIAN($D39)</f>
        <v>0</v>
      </c>
      <c r="R39" s="1">
        <f>MEDIAN($E39)</f>
        <v>0</v>
      </c>
      <c r="S39" s="1">
        <f>MEDIAN($G39)</f>
        <v>0</v>
      </c>
      <c r="T39" s="1">
        <f>MEDIAN($H39)</f>
        <v>0</v>
      </c>
      <c r="U39" s="1">
        <f>MAX($B39)</f>
        <v>0</v>
      </c>
      <c r="V39" s="1">
        <f>MAX($C39)</f>
        <v>0</v>
      </c>
      <c r="W39" s="1">
        <f>MAX($D39)</f>
        <v>0</v>
      </c>
      <c r="X39" s="1">
        <f>MAX($E39)</f>
        <v>0</v>
      </c>
      <c r="Y39" s="1">
        <f>MAX($G39)</f>
        <v>0</v>
      </c>
      <c r="Z39" s="1">
        <f>MAX($H39)</f>
        <v>0</v>
      </c>
    </row>
    <row r="40" spans="1:26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/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>
        <f>MIN($B40)</f>
        <v>0</v>
      </c>
      <c r="J40" s="1">
        <f>MIN($C40)</f>
        <v>0</v>
      </c>
      <c r="K40" s="1">
        <f>MIN($D40)</f>
        <v>0</v>
      </c>
      <c r="L40" s="1">
        <f>MIN($E40)</f>
        <v>0</v>
      </c>
      <c r="M40" s="1">
        <f>MIN($G40)</f>
        <v>0</v>
      </c>
      <c r="N40" s="1">
        <f>MIN($H40)</f>
        <v>0</v>
      </c>
      <c r="O40" s="1">
        <f>MEDIAN($B40)</f>
        <v>0</v>
      </c>
      <c r="P40" s="1">
        <f>MEDIAN($C40)</f>
        <v>0</v>
      </c>
      <c r="Q40" s="1">
        <f>MEDIAN($D40)</f>
        <v>0</v>
      </c>
      <c r="R40" s="1">
        <f>MEDIAN($E40)</f>
        <v>0</v>
      </c>
      <c r="S40" s="1">
        <f>MEDIAN($G40)</f>
        <v>0</v>
      </c>
      <c r="T40" s="1">
        <f>MEDIAN($H40)</f>
        <v>0</v>
      </c>
      <c r="U40" s="1">
        <f>MAX($B40)</f>
        <v>0</v>
      </c>
      <c r="V40" s="1">
        <f>MAX($C40)</f>
        <v>0</v>
      </c>
      <c r="W40" s="1">
        <f>MAX($D40)</f>
        <v>0</v>
      </c>
      <c r="X40" s="1">
        <f>MAX($E40)</f>
        <v>0</v>
      </c>
      <c r="Y40" s="1">
        <f>MAX($G40)</f>
        <v>0</v>
      </c>
      <c r="Z40" s="1">
        <f>MAX($H40)</f>
        <v>0</v>
      </c>
    </row>
    <row r="41" spans="1:26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/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>
        <f>MIN($B41)</f>
        <v>0</v>
      </c>
      <c r="J41" s="1">
        <f>MIN($C41)</f>
        <v>0</v>
      </c>
      <c r="K41" s="1">
        <f>MIN($D41)</f>
        <v>0</v>
      </c>
      <c r="L41" s="1">
        <f>MIN($E41)</f>
        <v>0</v>
      </c>
      <c r="M41" s="1">
        <f>MIN($G41)</f>
        <v>0</v>
      </c>
      <c r="N41" s="1">
        <f>MIN($H41)</f>
        <v>0</v>
      </c>
      <c r="O41" s="1">
        <f>MEDIAN($B41)</f>
        <v>0</v>
      </c>
      <c r="P41" s="1">
        <f>MEDIAN($C41)</f>
        <v>0</v>
      </c>
      <c r="Q41" s="1">
        <f>MEDIAN($D41)</f>
        <v>0</v>
      </c>
      <c r="R41" s="1">
        <f>MEDIAN($E41)</f>
        <v>0</v>
      </c>
      <c r="S41" s="1">
        <f>MEDIAN($G41)</f>
        <v>0</v>
      </c>
      <c r="T41" s="1">
        <f>MEDIAN($H41)</f>
        <v>0</v>
      </c>
      <c r="U41" s="1">
        <f>MAX($B41)</f>
        <v>0</v>
      </c>
      <c r="V41" s="1">
        <f>MAX($C41)</f>
        <v>0</v>
      </c>
      <c r="W41" s="1">
        <f>MAX($D41)</f>
        <v>0</v>
      </c>
      <c r="X41" s="1">
        <f>MAX($E41)</f>
        <v>0</v>
      </c>
      <c r="Y41" s="1">
        <f>MAX($G41)</f>
        <v>0</v>
      </c>
      <c r="Z41" s="1">
        <f>MAX($H41)</f>
        <v>0</v>
      </c>
    </row>
    <row r="42" spans="1:26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/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>
        <f>MIN($B42)</f>
        <v>0</v>
      </c>
      <c r="J42" s="1">
        <f>MIN($C42)</f>
        <v>0</v>
      </c>
      <c r="K42" s="1">
        <f>MIN($D42)</f>
        <v>0</v>
      </c>
      <c r="L42" s="1">
        <f>MIN($E42)</f>
        <v>0</v>
      </c>
      <c r="M42" s="1">
        <f>MIN($G42)</f>
        <v>0</v>
      </c>
      <c r="N42" s="1">
        <f>MIN($H42)</f>
        <v>0</v>
      </c>
      <c r="O42" s="1">
        <f>MEDIAN($B42)</f>
        <v>0</v>
      </c>
      <c r="P42" s="1">
        <f>MEDIAN($C42)</f>
        <v>0</v>
      </c>
      <c r="Q42" s="1">
        <f>MEDIAN($D42)</f>
        <v>0</v>
      </c>
      <c r="R42" s="1">
        <f>MEDIAN($E42)</f>
        <v>0</v>
      </c>
      <c r="S42" s="1">
        <f>MEDIAN($G42)</f>
        <v>0</v>
      </c>
      <c r="T42" s="1">
        <f>MEDIAN($H42)</f>
        <v>0</v>
      </c>
      <c r="U42" s="1">
        <f>MAX($B42)</f>
        <v>0</v>
      </c>
      <c r="V42" s="1">
        <f>MAX($C42)</f>
        <v>0</v>
      </c>
      <c r="W42" s="1">
        <f>MAX($D42)</f>
        <v>0</v>
      </c>
      <c r="X42" s="1">
        <f>MAX($E42)</f>
        <v>0</v>
      </c>
      <c r="Y42" s="1">
        <f>MAX($G42)</f>
        <v>0</v>
      </c>
      <c r="Z42" s="1">
        <f>MAX($H42)</f>
        <v>0</v>
      </c>
    </row>
    <row r="43" spans="1:26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/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>
        <f>MIN($B43)</f>
        <v>0</v>
      </c>
      <c r="J43" s="1">
        <f>MIN($C43)</f>
        <v>0</v>
      </c>
      <c r="K43" s="1">
        <f>MIN($D43)</f>
        <v>0</v>
      </c>
      <c r="L43" s="1">
        <f>MIN($E43)</f>
        <v>0</v>
      </c>
      <c r="M43" s="1">
        <f>MIN($G43)</f>
        <v>0</v>
      </c>
      <c r="N43" s="1">
        <f>MIN($H43)</f>
        <v>0</v>
      </c>
      <c r="O43" s="1">
        <f>MEDIAN($B43)</f>
        <v>0</v>
      </c>
      <c r="P43" s="1">
        <f>MEDIAN($C43)</f>
        <v>0</v>
      </c>
      <c r="Q43" s="1">
        <f>MEDIAN($D43)</f>
        <v>0</v>
      </c>
      <c r="R43" s="1">
        <f>MEDIAN($E43)</f>
        <v>0</v>
      </c>
      <c r="S43" s="1">
        <f>MEDIAN($G43)</f>
        <v>0</v>
      </c>
      <c r="T43" s="1">
        <f>MEDIAN($H43)</f>
        <v>0</v>
      </c>
      <c r="U43" s="1">
        <f>MAX($B43)</f>
        <v>0</v>
      </c>
      <c r="V43" s="1">
        <f>MAX($C43)</f>
        <v>0</v>
      </c>
      <c r="W43" s="1">
        <f>MAX($D43)</f>
        <v>0</v>
      </c>
      <c r="X43" s="1">
        <f>MAX($E43)</f>
        <v>0</v>
      </c>
      <c r="Y43" s="1">
        <f>MAX($G43)</f>
        <v>0</v>
      </c>
      <c r="Z43" s="1">
        <f>MAX($H43)</f>
        <v>0</v>
      </c>
    </row>
    <row r="44" spans="1:26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/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>
        <f>MIN($B44)</f>
        <v>0</v>
      </c>
      <c r="J44" s="1">
        <f>MIN($C44)</f>
        <v>0</v>
      </c>
      <c r="K44" s="1">
        <f>MIN($D44)</f>
        <v>0</v>
      </c>
      <c r="L44" s="1">
        <f>MIN($E44)</f>
        <v>0</v>
      </c>
      <c r="M44" s="1">
        <f>MIN($G44)</f>
        <v>0</v>
      </c>
      <c r="N44" s="1">
        <f>MIN($H44)</f>
        <v>0</v>
      </c>
      <c r="O44" s="1">
        <f>MEDIAN($B44)</f>
        <v>0</v>
      </c>
      <c r="P44" s="1">
        <f>MEDIAN($C44)</f>
        <v>0</v>
      </c>
      <c r="Q44" s="1">
        <f>MEDIAN($D44)</f>
        <v>0</v>
      </c>
      <c r="R44" s="1">
        <f>MEDIAN($E44)</f>
        <v>0</v>
      </c>
      <c r="S44" s="1">
        <f>MEDIAN($G44)</f>
        <v>0</v>
      </c>
      <c r="T44" s="1">
        <f>MEDIAN($H44)</f>
        <v>0</v>
      </c>
      <c r="U44" s="1">
        <f>MAX($B44)</f>
        <v>0</v>
      </c>
      <c r="V44" s="1">
        <f>MAX($C44)</f>
        <v>0</v>
      </c>
      <c r="W44" s="1">
        <f>MAX($D44)</f>
        <v>0</v>
      </c>
      <c r="X44" s="1">
        <f>MAX($E44)</f>
        <v>0</v>
      </c>
      <c r="Y44" s="1">
        <f>MAX($G44)</f>
        <v>0</v>
      </c>
      <c r="Z44" s="1">
        <f>MAX($H44)</f>
        <v>0</v>
      </c>
    </row>
    <row r="45" spans="1:26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/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>
        <f>MIN($B45)</f>
        <v>0</v>
      </c>
      <c r="J45" s="1">
        <f>MIN($C45)</f>
        <v>0</v>
      </c>
      <c r="K45" s="1">
        <f>MIN($D45)</f>
        <v>0</v>
      </c>
      <c r="L45" s="1">
        <f>MIN($E45)</f>
        <v>0</v>
      </c>
      <c r="M45" s="1">
        <f>MIN($G45)</f>
        <v>0</v>
      </c>
      <c r="N45" s="1">
        <f>MIN($H45)</f>
        <v>0</v>
      </c>
      <c r="O45" s="1">
        <f>MEDIAN($B45)</f>
        <v>0</v>
      </c>
      <c r="P45" s="1">
        <f>MEDIAN($C45)</f>
        <v>0</v>
      </c>
      <c r="Q45" s="1">
        <f>MEDIAN($D45)</f>
        <v>0</v>
      </c>
      <c r="R45" s="1">
        <f>MEDIAN($E45)</f>
        <v>0</v>
      </c>
      <c r="S45" s="1">
        <f>MEDIAN($G45)</f>
        <v>0</v>
      </c>
      <c r="T45" s="1">
        <f>MEDIAN($H45)</f>
        <v>0</v>
      </c>
      <c r="U45" s="1">
        <f>MAX($B45)</f>
        <v>0</v>
      </c>
      <c r="V45" s="1">
        <f>MAX($C45)</f>
        <v>0</v>
      </c>
      <c r="W45" s="1">
        <f>MAX($D45)</f>
        <v>0</v>
      </c>
      <c r="X45" s="1">
        <f>MAX($E45)</f>
        <v>0</v>
      </c>
      <c r="Y45" s="1">
        <f>MAX($G45)</f>
        <v>0</v>
      </c>
      <c r="Z45" s="1">
        <f>MAX($H45)</f>
        <v>0</v>
      </c>
    </row>
    <row r="46" spans="1:26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/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>
        <f>MIN($B46)</f>
        <v>0</v>
      </c>
      <c r="J46" s="1">
        <f>MIN($C46)</f>
        <v>0</v>
      </c>
      <c r="K46" s="1">
        <f>MIN($D46)</f>
        <v>0</v>
      </c>
      <c r="L46" s="1">
        <f>MIN($E46)</f>
        <v>0</v>
      </c>
      <c r="M46" s="1">
        <f>MIN($G46)</f>
        <v>0</v>
      </c>
      <c r="N46" s="1">
        <f>MIN($H46)</f>
        <v>0</v>
      </c>
      <c r="O46" s="1">
        <f>MEDIAN($B46)</f>
        <v>0</v>
      </c>
      <c r="P46" s="1">
        <f>MEDIAN($C46)</f>
        <v>0</v>
      </c>
      <c r="Q46" s="1">
        <f>MEDIAN($D46)</f>
        <v>0</v>
      </c>
      <c r="R46" s="1">
        <f>MEDIAN($E46)</f>
        <v>0</v>
      </c>
      <c r="S46" s="1">
        <f>MEDIAN($G46)</f>
        <v>0</v>
      </c>
      <c r="T46" s="1">
        <f>MEDIAN($H46)</f>
        <v>0</v>
      </c>
      <c r="U46" s="1">
        <f>MAX($B46)</f>
        <v>0</v>
      </c>
      <c r="V46" s="1">
        <f>MAX($C46)</f>
        <v>0</v>
      </c>
      <c r="W46" s="1">
        <f>MAX($D46)</f>
        <v>0</v>
      </c>
      <c r="X46" s="1">
        <f>MAX($E46)</f>
        <v>0</v>
      </c>
      <c r="Y46" s="1">
        <f>MAX($G46)</f>
        <v>0</v>
      </c>
      <c r="Z46" s="1">
        <f>MAX($H46)</f>
        <v>0</v>
      </c>
    </row>
    <row r="47" spans="1:26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/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>
        <f>MIN($B47)</f>
        <v>0</v>
      </c>
      <c r="J47" s="1">
        <f>MIN($C47)</f>
        <v>0</v>
      </c>
      <c r="K47" s="1">
        <f>MIN($D47)</f>
        <v>0</v>
      </c>
      <c r="L47" s="1">
        <f>MIN($E47)</f>
        <v>0</v>
      </c>
      <c r="M47" s="1">
        <f>MIN($G47)</f>
        <v>0</v>
      </c>
      <c r="N47" s="1">
        <f>MIN($H47)</f>
        <v>0</v>
      </c>
      <c r="O47" s="1">
        <f>MEDIAN($B47)</f>
        <v>0</v>
      </c>
      <c r="P47" s="1">
        <f>MEDIAN($C47)</f>
        <v>0</v>
      </c>
      <c r="Q47" s="1">
        <f>MEDIAN($D47)</f>
        <v>0</v>
      </c>
      <c r="R47" s="1">
        <f>MEDIAN($E47)</f>
        <v>0</v>
      </c>
      <c r="S47" s="1">
        <f>MEDIAN($G47)</f>
        <v>0</v>
      </c>
      <c r="T47" s="1">
        <f>MEDIAN($H47)</f>
        <v>0</v>
      </c>
      <c r="U47" s="1">
        <f>MAX($B47)</f>
        <v>0</v>
      </c>
      <c r="V47" s="1">
        <f>MAX($C47)</f>
        <v>0</v>
      </c>
      <c r="W47" s="1">
        <f>MAX($D47)</f>
        <v>0</v>
      </c>
      <c r="X47" s="1">
        <f>MAX($E47)</f>
        <v>0</v>
      </c>
      <c r="Y47" s="1">
        <f>MAX($G47)</f>
        <v>0</v>
      </c>
      <c r="Z47" s="1">
        <f>MAX($H47)</f>
        <v>0</v>
      </c>
    </row>
    <row r="48" spans="1:26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/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>
        <f>MIN($B48)</f>
        <v>0</v>
      </c>
      <c r="J48" s="1">
        <f>MIN($C48)</f>
        <v>0</v>
      </c>
      <c r="K48" s="1">
        <f>MIN($D48)</f>
        <v>0</v>
      </c>
      <c r="L48" s="1">
        <f>MIN($E48)</f>
        <v>0</v>
      </c>
      <c r="M48" s="1">
        <f>MIN($G48)</f>
        <v>0</v>
      </c>
      <c r="N48" s="1">
        <f>MIN($H48)</f>
        <v>0</v>
      </c>
      <c r="O48" s="1">
        <f>MEDIAN($B48)</f>
        <v>0</v>
      </c>
      <c r="P48" s="1">
        <f>MEDIAN($C48)</f>
        <v>0</v>
      </c>
      <c r="Q48" s="1">
        <f>MEDIAN($D48)</f>
        <v>0</v>
      </c>
      <c r="R48" s="1">
        <f>MEDIAN($E48)</f>
        <v>0</v>
      </c>
      <c r="S48" s="1">
        <f>MEDIAN($G48)</f>
        <v>0</v>
      </c>
      <c r="T48" s="1">
        <f>MEDIAN($H48)</f>
        <v>0</v>
      </c>
      <c r="U48" s="1">
        <f>MAX($B48)</f>
        <v>0</v>
      </c>
      <c r="V48" s="1">
        <f>MAX($C48)</f>
        <v>0</v>
      </c>
      <c r="W48" s="1">
        <f>MAX($D48)</f>
        <v>0</v>
      </c>
      <c r="X48" s="1">
        <f>MAX($E48)</f>
        <v>0</v>
      </c>
      <c r="Y48" s="1">
        <f>MAX($G48)</f>
        <v>0</v>
      </c>
      <c r="Z48" s="1">
        <f>MAX($H48)</f>
        <v>0</v>
      </c>
    </row>
    <row r="49" spans="1:26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/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>
        <f>MIN($B49)</f>
        <v>0</v>
      </c>
      <c r="J49" s="1">
        <f>MIN($C49)</f>
        <v>0</v>
      </c>
      <c r="K49" s="1">
        <f>MIN($D49)</f>
        <v>0</v>
      </c>
      <c r="L49" s="1">
        <f>MIN($E49)</f>
        <v>0</v>
      </c>
      <c r="M49" s="1">
        <f>MIN($G49)</f>
        <v>0</v>
      </c>
      <c r="N49" s="1">
        <f>MIN($H49)</f>
        <v>0</v>
      </c>
      <c r="O49" s="1">
        <f>MEDIAN($B49)</f>
        <v>0</v>
      </c>
      <c r="P49" s="1">
        <f>MEDIAN($C49)</f>
        <v>0</v>
      </c>
      <c r="Q49" s="1">
        <f>MEDIAN($D49)</f>
        <v>0</v>
      </c>
      <c r="R49" s="1">
        <f>MEDIAN($E49)</f>
        <v>0</v>
      </c>
      <c r="S49" s="1">
        <f>MEDIAN($G49)</f>
        <v>0</v>
      </c>
      <c r="T49" s="1">
        <f>MEDIAN($H49)</f>
        <v>0</v>
      </c>
      <c r="U49" s="1">
        <f>MAX($B49)</f>
        <v>0</v>
      </c>
      <c r="V49" s="1">
        <f>MAX($C49)</f>
        <v>0</v>
      </c>
      <c r="W49" s="1">
        <f>MAX($D49)</f>
        <v>0</v>
      </c>
      <c r="X49" s="1">
        <f>MAX($E49)</f>
        <v>0</v>
      </c>
      <c r="Y49" s="1">
        <f>MAX($G49)</f>
        <v>0</v>
      </c>
      <c r="Z49" s="1">
        <f>MAX($H49)</f>
        <v>0</v>
      </c>
    </row>
    <row r="50" spans="1:26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/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>
        <f>MIN($B50)</f>
        <v>0</v>
      </c>
      <c r="J50" s="1">
        <f>MIN($C50)</f>
        <v>0</v>
      </c>
      <c r="K50" s="1">
        <f>MIN($D50)</f>
        <v>0</v>
      </c>
      <c r="L50" s="1">
        <f>MIN($E50)</f>
        <v>0</v>
      </c>
      <c r="M50" s="1">
        <f>MIN($G50)</f>
        <v>0</v>
      </c>
      <c r="N50" s="1">
        <f>MIN($H50)</f>
        <v>0</v>
      </c>
      <c r="O50" s="1">
        <f>MEDIAN($B50)</f>
        <v>0</v>
      </c>
      <c r="P50" s="1">
        <f>MEDIAN($C50)</f>
        <v>0</v>
      </c>
      <c r="Q50" s="1">
        <f>MEDIAN($D50)</f>
        <v>0</v>
      </c>
      <c r="R50" s="1">
        <f>MEDIAN($E50)</f>
        <v>0</v>
      </c>
      <c r="S50" s="1">
        <f>MEDIAN($G50)</f>
        <v>0</v>
      </c>
      <c r="T50" s="1">
        <f>MEDIAN($H50)</f>
        <v>0</v>
      </c>
      <c r="U50" s="1">
        <f>MAX($B50)</f>
        <v>0</v>
      </c>
      <c r="V50" s="1">
        <f>MAX($C50)</f>
        <v>0</v>
      </c>
      <c r="W50" s="1">
        <f>MAX($D50)</f>
        <v>0</v>
      </c>
      <c r="X50" s="1">
        <f>MAX($E50)</f>
        <v>0</v>
      </c>
      <c r="Y50" s="1">
        <f>MAX($G50)</f>
        <v>0</v>
      </c>
      <c r="Z50" s="1">
        <f>MAX($H50)</f>
        <v>0</v>
      </c>
    </row>
    <row r="51" spans="1:26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/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>
        <f>MIN($B51)</f>
        <v>0</v>
      </c>
      <c r="J51" s="1">
        <f>MIN($C51)</f>
        <v>0</v>
      </c>
      <c r="K51" s="1">
        <f>MIN($D51)</f>
        <v>0</v>
      </c>
      <c r="L51" s="1">
        <f>MIN($E51)</f>
        <v>0</v>
      </c>
      <c r="M51" s="1">
        <f>MIN($G51)</f>
        <v>0</v>
      </c>
      <c r="N51" s="1">
        <f>MIN($H51)</f>
        <v>0</v>
      </c>
      <c r="O51" s="1">
        <f>MEDIAN($B51)</f>
        <v>0</v>
      </c>
      <c r="P51" s="1">
        <f>MEDIAN($C51)</f>
        <v>0</v>
      </c>
      <c r="Q51" s="1">
        <f>MEDIAN($D51)</f>
        <v>0</v>
      </c>
      <c r="R51" s="1">
        <f>MEDIAN($E51)</f>
        <v>0</v>
      </c>
      <c r="S51" s="1">
        <f>MEDIAN($G51)</f>
        <v>0</v>
      </c>
      <c r="T51" s="1">
        <f>MEDIAN($H51)</f>
        <v>0</v>
      </c>
      <c r="U51" s="1">
        <f>MAX($B51)</f>
        <v>0</v>
      </c>
      <c r="V51" s="1">
        <f>MAX($C51)</f>
        <v>0</v>
      </c>
      <c r="W51" s="1">
        <f>MAX($D51)</f>
        <v>0</v>
      </c>
      <c r="X51" s="1">
        <f>MAX($E51)</f>
        <v>0</v>
      </c>
      <c r="Y51" s="1">
        <f>MAX($G51)</f>
        <v>0</v>
      </c>
      <c r="Z51" s="1">
        <f>MAX($H51)</f>
        <v>0</v>
      </c>
    </row>
    <row r="52" spans="1:26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/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>
        <f>MIN($B52)</f>
        <v>0</v>
      </c>
      <c r="J52" s="1">
        <f>MIN($C52)</f>
        <v>0</v>
      </c>
      <c r="K52" s="1">
        <f>MIN($D52)</f>
        <v>0</v>
      </c>
      <c r="L52" s="1">
        <f>MIN($E52)</f>
        <v>0</v>
      </c>
      <c r="M52" s="1">
        <f>MIN($G52)</f>
        <v>0</v>
      </c>
      <c r="N52" s="1">
        <f>MIN($H52)</f>
        <v>0</v>
      </c>
      <c r="O52" s="1">
        <f>MEDIAN($B52)</f>
        <v>0</v>
      </c>
      <c r="P52" s="1">
        <f>MEDIAN($C52)</f>
        <v>0</v>
      </c>
      <c r="Q52" s="1">
        <f>MEDIAN($D52)</f>
        <v>0</v>
      </c>
      <c r="R52" s="1">
        <f>MEDIAN($E52)</f>
        <v>0</v>
      </c>
      <c r="S52" s="1">
        <f>MEDIAN($G52)</f>
        <v>0</v>
      </c>
      <c r="T52" s="1">
        <f>MEDIAN($H52)</f>
        <v>0</v>
      </c>
      <c r="U52" s="1">
        <f>MAX($B52)</f>
        <v>0</v>
      </c>
      <c r="V52" s="1">
        <f>MAX($C52)</f>
        <v>0</v>
      </c>
      <c r="W52" s="1">
        <f>MAX($D52)</f>
        <v>0</v>
      </c>
      <c r="X52" s="1">
        <f>MAX($E52)</f>
        <v>0</v>
      </c>
      <c r="Y52" s="1">
        <f>MAX($G52)</f>
        <v>0</v>
      </c>
      <c r="Z52" s="1">
        <f>MAX($H52)</f>
        <v>0</v>
      </c>
    </row>
    <row r="53" spans="1:26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/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>
        <f>MIN($B53)</f>
        <v>0</v>
      </c>
      <c r="J53" s="1">
        <f>MIN($C53)</f>
        <v>0</v>
      </c>
      <c r="K53" s="1">
        <f>MIN($D53)</f>
        <v>0</v>
      </c>
      <c r="L53" s="1">
        <f>MIN($E53)</f>
        <v>0</v>
      </c>
      <c r="M53" s="1">
        <f>MIN($G53)</f>
        <v>0</v>
      </c>
      <c r="N53" s="1">
        <f>MIN($H53)</f>
        <v>0</v>
      </c>
      <c r="O53" s="1">
        <f>MEDIAN($B53)</f>
        <v>0</v>
      </c>
      <c r="P53" s="1">
        <f>MEDIAN($C53)</f>
        <v>0</v>
      </c>
      <c r="Q53" s="1">
        <f>MEDIAN($D53)</f>
        <v>0</v>
      </c>
      <c r="R53" s="1">
        <f>MEDIAN($E53)</f>
        <v>0</v>
      </c>
      <c r="S53" s="1">
        <f>MEDIAN($G53)</f>
        <v>0</v>
      </c>
      <c r="T53" s="1">
        <f>MEDIAN($H53)</f>
        <v>0</v>
      </c>
      <c r="U53" s="1">
        <f>MAX($B53)</f>
        <v>0</v>
      </c>
      <c r="V53" s="1">
        <f>MAX($C53)</f>
        <v>0</v>
      </c>
      <c r="W53" s="1">
        <f>MAX($D53)</f>
        <v>0</v>
      </c>
      <c r="X53" s="1">
        <f>MAX($E53)</f>
        <v>0</v>
      </c>
      <c r="Y53" s="1">
        <f>MAX($G53)</f>
        <v>0</v>
      </c>
      <c r="Z53" s="1">
        <f>MAX($H53)</f>
        <v>0</v>
      </c>
    </row>
    <row r="54" spans="1:26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/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>
        <f>MIN($B54)</f>
        <v>0</v>
      </c>
      <c r="J54" s="1">
        <f>MIN($C54)</f>
        <v>0</v>
      </c>
      <c r="K54" s="1">
        <f>MIN($D54)</f>
        <v>0</v>
      </c>
      <c r="L54" s="1">
        <f>MIN($E54)</f>
        <v>0</v>
      </c>
      <c r="M54" s="1">
        <f>MIN($G54)</f>
        <v>0</v>
      </c>
      <c r="N54" s="1">
        <f>MIN($H54)</f>
        <v>0</v>
      </c>
      <c r="O54" s="1">
        <f>MEDIAN($B54)</f>
        <v>0</v>
      </c>
      <c r="P54" s="1">
        <f>MEDIAN($C54)</f>
        <v>0</v>
      </c>
      <c r="Q54" s="1">
        <f>MEDIAN($D54)</f>
        <v>0</v>
      </c>
      <c r="R54" s="1">
        <f>MEDIAN($E54)</f>
        <v>0</v>
      </c>
      <c r="S54" s="1">
        <f>MEDIAN($G54)</f>
        <v>0</v>
      </c>
      <c r="T54" s="1">
        <f>MEDIAN($H54)</f>
        <v>0</v>
      </c>
      <c r="U54" s="1">
        <f>MAX($B54)</f>
        <v>0</v>
      </c>
      <c r="V54" s="1">
        <f>MAX($C54)</f>
        <v>0</v>
      </c>
      <c r="W54" s="1">
        <f>MAX($D54)</f>
        <v>0</v>
      </c>
      <c r="X54" s="1">
        <f>MAX($E54)</f>
        <v>0</v>
      </c>
      <c r="Y54" s="1">
        <f>MAX($G54)</f>
        <v>0</v>
      </c>
      <c r="Z54" s="1">
        <f>MAX($H54)</f>
        <v>0</v>
      </c>
    </row>
    <row r="55" spans="1:26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/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>
        <f>MIN($B55)</f>
        <v>0</v>
      </c>
      <c r="J55" s="1">
        <f>MIN($C55)</f>
        <v>0</v>
      </c>
      <c r="K55" s="1">
        <f>MIN($D55)</f>
        <v>0</v>
      </c>
      <c r="L55" s="1">
        <f>MIN($E55)</f>
        <v>0</v>
      </c>
      <c r="M55" s="1">
        <f>MIN($G55)</f>
        <v>0</v>
      </c>
      <c r="N55" s="1">
        <f>MIN($H55)</f>
        <v>0</v>
      </c>
      <c r="O55" s="1">
        <f>MEDIAN($B55)</f>
        <v>0</v>
      </c>
      <c r="P55" s="1">
        <f>MEDIAN($C55)</f>
        <v>0</v>
      </c>
      <c r="Q55" s="1">
        <f>MEDIAN($D55)</f>
        <v>0</v>
      </c>
      <c r="R55" s="1">
        <f>MEDIAN($E55)</f>
        <v>0</v>
      </c>
      <c r="S55" s="1">
        <f>MEDIAN($G55)</f>
        <v>0</v>
      </c>
      <c r="T55" s="1">
        <f>MEDIAN($H55)</f>
        <v>0</v>
      </c>
      <c r="U55" s="1">
        <f>MAX($B55)</f>
        <v>0</v>
      </c>
      <c r="V55" s="1">
        <f>MAX($C55)</f>
        <v>0</v>
      </c>
      <c r="W55" s="1">
        <f>MAX($D55)</f>
        <v>0</v>
      </c>
      <c r="X55" s="1">
        <f>MAX($E55)</f>
        <v>0</v>
      </c>
      <c r="Y55" s="1">
        <f>MAX($G55)</f>
        <v>0</v>
      </c>
      <c r="Z55" s="1">
        <f>MAX($H55)</f>
        <v>0</v>
      </c>
    </row>
    <row r="56" spans="1:26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/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>
        <f>MIN($B56)</f>
        <v>0</v>
      </c>
      <c r="J56" s="1">
        <f>MIN($C56)</f>
        <v>0</v>
      </c>
      <c r="K56" s="1">
        <f>MIN($D56)</f>
        <v>0</v>
      </c>
      <c r="L56" s="1">
        <f>MIN($E56)</f>
        <v>0</v>
      </c>
      <c r="M56" s="1">
        <f>MIN($G56)</f>
        <v>0</v>
      </c>
      <c r="N56" s="1">
        <f>MIN($H56)</f>
        <v>0</v>
      </c>
      <c r="O56" s="1">
        <f>MEDIAN($B56)</f>
        <v>0</v>
      </c>
      <c r="P56" s="1">
        <f>MEDIAN($C56)</f>
        <v>0</v>
      </c>
      <c r="Q56" s="1">
        <f>MEDIAN($D56)</f>
        <v>0</v>
      </c>
      <c r="R56" s="1">
        <f>MEDIAN($E56)</f>
        <v>0</v>
      </c>
      <c r="S56" s="1">
        <f>MEDIAN($G56)</f>
        <v>0</v>
      </c>
      <c r="T56" s="1">
        <f>MEDIAN($H56)</f>
        <v>0</v>
      </c>
      <c r="U56" s="1">
        <f>MAX($B56)</f>
        <v>0</v>
      </c>
      <c r="V56" s="1">
        <f>MAX($C56)</f>
        <v>0</v>
      </c>
      <c r="W56" s="1">
        <f>MAX($D56)</f>
        <v>0</v>
      </c>
      <c r="X56" s="1">
        <f>MAX($E56)</f>
        <v>0</v>
      </c>
      <c r="Y56" s="1">
        <f>MAX($G56)</f>
        <v>0</v>
      </c>
      <c r="Z56" s="1">
        <f>MAX($H56)</f>
        <v>0</v>
      </c>
    </row>
    <row r="57" spans="1:26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/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>
        <f>MIN($B57)</f>
        <v>0</v>
      </c>
      <c r="J57" s="1">
        <f>MIN($C57)</f>
        <v>0</v>
      </c>
      <c r="K57" s="1">
        <f>MIN($D57)</f>
        <v>0</v>
      </c>
      <c r="L57" s="1">
        <f>MIN($E57)</f>
        <v>0</v>
      </c>
      <c r="M57" s="1">
        <f>MIN($G57)</f>
        <v>0</v>
      </c>
      <c r="N57" s="1">
        <f>MIN($H57)</f>
        <v>0</v>
      </c>
      <c r="O57" s="1">
        <f>MEDIAN($B57)</f>
        <v>0</v>
      </c>
      <c r="P57" s="1">
        <f>MEDIAN($C57)</f>
        <v>0</v>
      </c>
      <c r="Q57" s="1">
        <f>MEDIAN($D57)</f>
        <v>0</v>
      </c>
      <c r="R57" s="1">
        <f>MEDIAN($E57)</f>
        <v>0</v>
      </c>
      <c r="S57" s="1">
        <f>MEDIAN($G57)</f>
        <v>0</v>
      </c>
      <c r="T57" s="1">
        <f>MEDIAN($H57)</f>
        <v>0</v>
      </c>
      <c r="U57" s="1">
        <f>MAX($B57)</f>
        <v>0</v>
      </c>
      <c r="V57" s="1">
        <f>MAX($C57)</f>
        <v>0</v>
      </c>
      <c r="W57" s="1">
        <f>MAX($D57)</f>
        <v>0</v>
      </c>
      <c r="X57" s="1">
        <f>MAX($E57)</f>
        <v>0</v>
      </c>
      <c r="Y57" s="1">
        <f>MAX($G57)</f>
        <v>0</v>
      </c>
      <c r="Z57" s="1">
        <f>MAX($H57)</f>
        <v>0</v>
      </c>
    </row>
    <row r="58" spans="1:26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/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>
        <f>MIN($B58)</f>
        <v>0</v>
      </c>
      <c r="J58" s="1">
        <f>MIN($C58)</f>
        <v>0</v>
      </c>
      <c r="K58" s="1">
        <f>MIN($D58)</f>
        <v>0</v>
      </c>
      <c r="L58" s="1">
        <f>MIN($E58)</f>
        <v>0</v>
      </c>
      <c r="M58" s="1">
        <f>MIN($G58)</f>
        <v>0</v>
      </c>
      <c r="N58" s="1">
        <f>MIN($H58)</f>
        <v>0</v>
      </c>
      <c r="O58" s="1">
        <f>MEDIAN($B58)</f>
        <v>0</v>
      </c>
      <c r="P58" s="1">
        <f>MEDIAN($C58)</f>
        <v>0</v>
      </c>
      <c r="Q58" s="1">
        <f>MEDIAN($D58)</f>
        <v>0</v>
      </c>
      <c r="R58" s="1">
        <f>MEDIAN($E58)</f>
        <v>0</v>
      </c>
      <c r="S58" s="1">
        <f>MEDIAN($G58)</f>
        <v>0</v>
      </c>
      <c r="T58" s="1">
        <f>MEDIAN($H58)</f>
        <v>0</v>
      </c>
      <c r="U58" s="1">
        <f>MAX($B58)</f>
        <v>0</v>
      </c>
      <c r="V58" s="1">
        <f>MAX($C58)</f>
        <v>0</v>
      </c>
      <c r="W58" s="1">
        <f>MAX($D58)</f>
        <v>0</v>
      </c>
      <c r="X58" s="1">
        <f>MAX($E58)</f>
        <v>0</v>
      </c>
      <c r="Y58" s="1">
        <f>MAX($G58)</f>
        <v>0</v>
      </c>
      <c r="Z58" s="1">
        <f>MAX($H58)</f>
        <v>0</v>
      </c>
    </row>
    <row r="59" spans="1:26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/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>
        <f>MIN($B59)</f>
        <v>0</v>
      </c>
      <c r="J59" s="1">
        <f>MIN($C59)</f>
        <v>0</v>
      </c>
      <c r="K59" s="1">
        <f>MIN($D59)</f>
        <v>0</v>
      </c>
      <c r="L59" s="1">
        <f>MIN($E59)</f>
        <v>0</v>
      </c>
      <c r="M59" s="1">
        <f>MIN($G59)</f>
        <v>0</v>
      </c>
      <c r="N59" s="1">
        <f>MIN($H59)</f>
        <v>0</v>
      </c>
      <c r="O59" s="1">
        <f>MEDIAN($B59)</f>
        <v>0</v>
      </c>
      <c r="P59" s="1">
        <f>MEDIAN($C59)</f>
        <v>0</v>
      </c>
      <c r="Q59" s="1">
        <f>MEDIAN($D59)</f>
        <v>0</v>
      </c>
      <c r="R59" s="1">
        <f>MEDIAN($E59)</f>
        <v>0</v>
      </c>
      <c r="S59" s="1">
        <f>MEDIAN($G59)</f>
        <v>0</v>
      </c>
      <c r="T59" s="1">
        <f>MEDIAN($H59)</f>
        <v>0</v>
      </c>
      <c r="U59" s="1">
        <f>MAX($B59)</f>
        <v>0</v>
      </c>
      <c r="V59" s="1">
        <f>MAX($C59)</f>
        <v>0</v>
      </c>
      <c r="W59" s="1">
        <f>MAX($D59)</f>
        <v>0</v>
      </c>
      <c r="X59" s="1">
        <f>MAX($E59)</f>
        <v>0</v>
      </c>
      <c r="Y59" s="1">
        <f>MAX($G59)</f>
        <v>0</v>
      </c>
      <c r="Z59" s="1">
        <f>MAX($H59)</f>
        <v>0</v>
      </c>
    </row>
    <row r="60" spans="1:26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/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>
        <f>MIN($B60)</f>
        <v>0</v>
      </c>
      <c r="J60" s="1">
        <f>MIN($C60)</f>
        <v>0</v>
      </c>
      <c r="K60" s="1">
        <f>MIN($D60)</f>
        <v>0</v>
      </c>
      <c r="L60" s="1">
        <f>MIN($E60)</f>
        <v>0</v>
      </c>
      <c r="M60" s="1">
        <f>MIN($G60)</f>
        <v>0</v>
      </c>
      <c r="N60" s="1">
        <f>MIN($H60)</f>
        <v>0</v>
      </c>
      <c r="O60" s="1">
        <f>MEDIAN($B60)</f>
        <v>0</v>
      </c>
      <c r="P60" s="1">
        <f>MEDIAN($C60)</f>
        <v>0</v>
      </c>
      <c r="Q60" s="1">
        <f>MEDIAN($D60)</f>
        <v>0</v>
      </c>
      <c r="R60" s="1">
        <f>MEDIAN($E60)</f>
        <v>0</v>
      </c>
      <c r="S60" s="1">
        <f>MEDIAN($G60)</f>
        <v>0</v>
      </c>
      <c r="T60" s="1">
        <f>MEDIAN($H60)</f>
        <v>0</v>
      </c>
      <c r="U60" s="1">
        <f>MAX($B60)</f>
        <v>0</v>
      </c>
      <c r="V60" s="1">
        <f>MAX($C60)</f>
        <v>0</v>
      </c>
      <c r="W60" s="1">
        <f>MAX($D60)</f>
        <v>0</v>
      </c>
      <c r="X60" s="1">
        <f>MAX($E60)</f>
        <v>0</v>
      </c>
      <c r="Y60" s="1">
        <f>MAX($G60)</f>
        <v>0</v>
      </c>
      <c r="Z60" s="1">
        <f>MAX($H60)</f>
        <v>0</v>
      </c>
    </row>
    <row r="61" spans="1:26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/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>
        <f>MIN($B61)</f>
        <v>0</v>
      </c>
      <c r="J61" s="1">
        <f>MIN($C61)</f>
        <v>0</v>
      </c>
      <c r="K61" s="1">
        <f>MIN($D61)</f>
        <v>0</v>
      </c>
      <c r="L61" s="1">
        <f>MIN($E61)</f>
        <v>0</v>
      </c>
      <c r="M61" s="1">
        <f>MIN($G61)</f>
        <v>0</v>
      </c>
      <c r="N61" s="1">
        <f>MIN($H61)</f>
        <v>0</v>
      </c>
      <c r="O61" s="1">
        <f>MEDIAN($B61)</f>
        <v>0</v>
      </c>
      <c r="P61" s="1">
        <f>MEDIAN($C61)</f>
        <v>0</v>
      </c>
      <c r="Q61" s="1">
        <f>MEDIAN($D61)</f>
        <v>0</v>
      </c>
      <c r="R61" s="1">
        <f>MEDIAN($E61)</f>
        <v>0</v>
      </c>
      <c r="S61" s="1">
        <f>MEDIAN($G61)</f>
        <v>0</v>
      </c>
      <c r="T61" s="1">
        <f>MEDIAN($H61)</f>
        <v>0</v>
      </c>
      <c r="U61" s="1">
        <f>MAX($B61)</f>
        <v>0</v>
      </c>
      <c r="V61" s="1">
        <f>MAX($C61)</f>
        <v>0</v>
      </c>
      <c r="W61" s="1">
        <f>MAX($D61)</f>
        <v>0</v>
      </c>
      <c r="X61" s="1">
        <f>MAX($E61)</f>
        <v>0</v>
      </c>
      <c r="Y61" s="1">
        <f>MAX($G61)</f>
        <v>0</v>
      </c>
      <c r="Z61" s="1">
        <f>MAX($H61)</f>
        <v>0</v>
      </c>
    </row>
    <row r="62" spans="1:26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/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>
        <f>MIN($B62)</f>
        <v>0</v>
      </c>
      <c r="J62" s="1">
        <f>MIN($C62)</f>
        <v>0</v>
      </c>
      <c r="K62" s="1">
        <f>MIN($D62)</f>
        <v>0</v>
      </c>
      <c r="L62" s="1">
        <f>MIN($E62)</f>
        <v>0</v>
      </c>
      <c r="M62" s="1">
        <f>MIN($G62)</f>
        <v>0</v>
      </c>
      <c r="N62" s="1">
        <f>MIN($H62)</f>
        <v>0</v>
      </c>
      <c r="O62" s="1">
        <f>MEDIAN($B62)</f>
        <v>0</v>
      </c>
      <c r="P62" s="1">
        <f>MEDIAN($C62)</f>
        <v>0</v>
      </c>
      <c r="Q62" s="1">
        <f>MEDIAN($D62)</f>
        <v>0</v>
      </c>
      <c r="R62" s="1">
        <f>MEDIAN($E62)</f>
        <v>0</v>
      </c>
      <c r="S62" s="1">
        <f>MEDIAN($G62)</f>
        <v>0</v>
      </c>
      <c r="T62" s="1">
        <f>MEDIAN($H62)</f>
        <v>0</v>
      </c>
      <c r="U62" s="1">
        <f>MAX($B62)</f>
        <v>0</v>
      </c>
      <c r="V62" s="1">
        <f>MAX($C62)</f>
        <v>0</v>
      </c>
      <c r="W62" s="1">
        <f>MAX($D62)</f>
        <v>0</v>
      </c>
      <c r="X62" s="1">
        <f>MAX($E62)</f>
        <v>0</v>
      </c>
      <c r="Y62" s="1">
        <f>MAX($G62)</f>
        <v>0</v>
      </c>
      <c r="Z62" s="1">
        <f>MAX($H62)</f>
        <v>0</v>
      </c>
    </row>
    <row r="63" spans="1:26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/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>
        <f>MIN($B63)</f>
        <v>0</v>
      </c>
      <c r="J63" s="1">
        <f>MIN($C63)</f>
        <v>0</v>
      </c>
      <c r="K63" s="1">
        <f>MIN($D63)</f>
        <v>0</v>
      </c>
      <c r="L63" s="1">
        <f>MIN($E63)</f>
        <v>0</v>
      </c>
      <c r="M63" s="1">
        <f>MIN($G63)</f>
        <v>0</v>
      </c>
      <c r="N63" s="1">
        <f>MIN($H63)</f>
        <v>0</v>
      </c>
      <c r="O63" s="1">
        <f>MEDIAN($B63)</f>
        <v>0</v>
      </c>
      <c r="P63" s="1">
        <f>MEDIAN($C63)</f>
        <v>0</v>
      </c>
      <c r="Q63" s="1">
        <f>MEDIAN($D63)</f>
        <v>0</v>
      </c>
      <c r="R63" s="1">
        <f>MEDIAN($E63)</f>
        <v>0</v>
      </c>
      <c r="S63" s="1">
        <f>MEDIAN($G63)</f>
        <v>0</v>
      </c>
      <c r="T63" s="1">
        <f>MEDIAN($H63)</f>
        <v>0</v>
      </c>
      <c r="U63" s="1">
        <f>MAX($B63)</f>
        <v>0</v>
      </c>
      <c r="V63" s="1">
        <f>MAX($C63)</f>
        <v>0</v>
      </c>
      <c r="W63" s="1">
        <f>MAX($D63)</f>
        <v>0</v>
      </c>
      <c r="X63" s="1">
        <f>MAX($E63)</f>
        <v>0</v>
      </c>
      <c r="Y63" s="1">
        <f>MAX($G63)</f>
        <v>0</v>
      </c>
      <c r="Z63" s="1">
        <f>MAX($H63)</f>
        <v>0</v>
      </c>
    </row>
    <row r="64" spans="1:26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/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>
        <f>MIN($B64)</f>
        <v>0</v>
      </c>
      <c r="J64" s="1">
        <f>MIN($C64)</f>
        <v>0</v>
      </c>
      <c r="K64" s="1">
        <f>MIN($D64)</f>
        <v>0</v>
      </c>
      <c r="L64" s="1">
        <f>MIN($E64)</f>
        <v>0</v>
      </c>
      <c r="M64" s="1">
        <f>MIN($G64)</f>
        <v>0</v>
      </c>
      <c r="N64" s="1">
        <f>MIN($H64)</f>
        <v>0</v>
      </c>
      <c r="O64" s="1">
        <f>MEDIAN($B64)</f>
        <v>0</v>
      </c>
      <c r="P64" s="1">
        <f>MEDIAN($C64)</f>
        <v>0</v>
      </c>
      <c r="Q64" s="1">
        <f>MEDIAN($D64)</f>
        <v>0</v>
      </c>
      <c r="R64" s="1">
        <f>MEDIAN($E64)</f>
        <v>0</v>
      </c>
      <c r="S64" s="1">
        <f>MEDIAN($G64)</f>
        <v>0</v>
      </c>
      <c r="T64" s="1">
        <f>MEDIAN($H64)</f>
        <v>0</v>
      </c>
      <c r="U64" s="1">
        <f>MAX($B64)</f>
        <v>0</v>
      </c>
      <c r="V64" s="1">
        <f>MAX($C64)</f>
        <v>0</v>
      </c>
      <c r="W64" s="1">
        <f>MAX($D64)</f>
        <v>0</v>
      </c>
      <c r="X64" s="1">
        <f>MAX($E64)</f>
        <v>0</v>
      </c>
      <c r="Y64" s="1">
        <f>MAX($G64)</f>
        <v>0</v>
      </c>
      <c r="Z64" s="1">
        <f>MAX($H64)</f>
        <v>0</v>
      </c>
    </row>
    <row r="65" spans="1:26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/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>
        <f>MIN($B65)</f>
        <v>0</v>
      </c>
      <c r="J65" s="1">
        <f>MIN($C65)</f>
        <v>0</v>
      </c>
      <c r="K65" s="1">
        <f>MIN($D65)</f>
        <v>0</v>
      </c>
      <c r="L65" s="1">
        <f>MIN($E65)</f>
        <v>0</v>
      </c>
      <c r="M65" s="1">
        <f>MIN($G65)</f>
        <v>0</v>
      </c>
      <c r="N65" s="1">
        <f>MIN($H65)</f>
        <v>0</v>
      </c>
      <c r="O65" s="1">
        <f>MEDIAN($B65)</f>
        <v>0</v>
      </c>
      <c r="P65" s="1">
        <f>MEDIAN($C65)</f>
        <v>0</v>
      </c>
      <c r="Q65" s="1">
        <f>MEDIAN($D65)</f>
        <v>0</v>
      </c>
      <c r="R65" s="1">
        <f>MEDIAN($E65)</f>
        <v>0</v>
      </c>
      <c r="S65" s="1">
        <f>MEDIAN($G65)</f>
        <v>0</v>
      </c>
      <c r="T65" s="1">
        <f>MEDIAN($H65)</f>
        <v>0</v>
      </c>
      <c r="U65" s="1">
        <f>MAX($B65)</f>
        <v>0</v>
      </c>
      <c r="V65" s="1">
        <f>MAX($C65)</f>
        <v>0</v>
      </c>
      <c r="W65" s="1">
        <f>MAX($D65)</f>
        <v>0</v>
      </c>
      <c r="X65" s="1">
        <f>MAX($E65)</f>
        <v>0</v>
      </c>
      <c r="Y65" s="1">
        <f>MAX($G65)</f>
        <v>0</v>
      </c>
      <c r="Z65" s="1">
        <f>MAX($H65)</f>
        <v>0</v>
      </c>
    </row>
    <row r="66" spans="1:26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/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>
        <f>MIN($B66)</f>
        <v>0</v>
      </c>
      <c r="J66" s="1">
        <f>MIN($C66)</f>
        <v>0</v>
      </c>
      <c r="K66" s="1">
        <f>MIN($D66)</f>
        <v>0</v>
      </c>
      <c r="L66" s="1">
        <f>MIN($E66)</f>
        <v>0</v>
      </c>
      <c r="M66" s="1">
        <f>MIN($G66)</f>
        <v>0</v>
      </c>
      <c r="N66" s="1">
        <f>MIN($H66)</f>
        <v>0</v>
      </c>
      <c r="O66" s="1">
        <f>MEDIAN($B66)</f>
        <v>0</v>
      </c>
      <c r="P66" s="1">
        <f>MEDIAN($C66)</f>
        <v>0</v>
      </c>
      <c r="Q66" s="1">
        <f>MEDIAN($D66)</f>
        <v>0</v>
      </c>
      <c r="R66" s="1">
        <f>MEDIAN($E66)</f>
        <v>0</v>
      </c>
      <c r="S66" s="1">
        <f>MEDIAN($G66)</f>
        <v>0</v>
      </c>
      <c r="T66" s="1">
        <f>MEDIAN($H66)</f>
        <v>0</v>
      </c>
      <c r="U66" s="1">
        <f>MAX($B66)</f>
        <v>0</v>
      </c>
      <c r="V66" s="1">
        <f>MAX($C66)</f>
        <v>0</v>
      </c>
      <c r="W66" s="1">
        <f>MAX($D66)</f>
        <v>0</v>
      </c>
      <c r="X66" s="1">
        <f>MAX($E66)</f>
        <v>0</v>
      </c>
      <c r="Y66" s="1">
        <f>MAX($G66)</f>
        <v>0</v>
      </c>
      <c r="Z66" s="1">
        <f>MAX($H66)</f>
        <v>0</v>
      </c>
    </row>
    <row r="67" spans="1:26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/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>
        <f>MIN($B67)</f>
        <v>0</v>
      </c>
      <c r="J67" s="1">
        <f>MIN($C67)</f>
        <v>0</v>
      </c>
      <c r="K67" s="1">
        <f>MIN($D67)</f>
        <v>0</v>
      </c>
      <c r="L67" s="1">
        <f>MIN($E67)</f>
        <v>0</v>
      </c>
      <c r="M67" s="1">
        <f>MIN($G67)</f>
        <v>0</v>
      </c>
      <c r="N67" s="1">
        <f>MIN($H67)</f>
        <v>0</v>
      </c>
      <c r="O67" s="1">
        <f>MEDIAN($B67)</f>
        <v>0</v>
      </c>
      <c r="P67" s="1">
        <f>MEDIAN($C67)</f>
        <v>0</v>
      </c>
      <c r="Q67" s="1">
        <f>MEDIAN($D67)</f>
        <v>0</v>
      </c>
      <c r="R67" s="1">
        <f>MEDIAN($E67)</f>
        <v>0</v>
      </c>
      <c r="S67" s="1">
        <f>MEDIAN($G67)</f>
        <v>0</v>
      </c>
      <c r="T67" s="1">
        <f>MEDIAN($H67)</f>
        <v>0</v>
      </c>
      <c r="U67" s="1">
        <f>MAX($B67)</f>
        <v>0</v>
      </c>
      <c r="V67" s="1">
        <f>MAX($C67)</f>
        <v>0</v>
      </c>
      <c r="W67" s="1">
        <f>MAX($D67)</f>
        <v>0</v>
      </c>
      <c r="X67" s="1">
        <f>MAX($E67)</f>
        <v>0</v>
      </c>
      <c r="Y67" s="1">
        <f>MAX($G67)</f>
        <v>0</v>
      </c>
      <c r="Z67" s="1">
        <f>MAX($H67)</f>
        <v>0</v>
      </c>
    </row>
    <row r="68" spans="1:26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/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>
        <f>MIN($B68)</f>
        <v>0</v>
      </c>
      <c r="J68" s="1">
        <f>MIN($C68)</f>
        <v>0</v>
      </c>
      <c r="K68" s="1">
        <f>MIN($D68)</f>
        <v>0</v>
      </c>
      <c r="L68" s="1">
        <f>MIN($E68)</f>
        <v>0</v>
      </c>
      <c r="M68" s="1">
        <f>MIN($G68)</f>
        <v>0</v>
      </c>
      <c r="N68" s="1">
        <f>MIN($H68)</f>
        <v>0</v>
      </c>
      <c r="O68" s="1">
        <f>MEDIAN($B68)</f>
        <v>0</v>
      </c>
      <c r="P68" s="1">
        <f>MEDIAN($C68)</f>
        <v>0</v>
      </c>
      <c r="Q68" s="1">
        <f>MEDIAN($D68)</f>
        <v>0</v>
      </c>
      <c r="R68" s="1">
        <f>MEDIAN($E68)</f>
        <v>0</v>
      </c>
      <c r="S68" s="1">
        <f>MEDIAN($G68)</f>
        <v>0</v>
      </c>
      <c r="T68" s="1">
        <f>MEDIAN($H68)</f>
        <v>0</v>
      </c>
      <c r="U68" s="1">
        <f>MAX($B68)</f>
        <v>0</v>
      </c>
      <c r="V68" s="1">
        <f>MAX($C68)</f>
        <v>0</v>
      </c>
      <c r="W68" s="1">
        <f>MAX($D68)</f>
        <v>0</v>
      </c>
      <c r="X68" s="1">
        <f>MAX($E68)</f>
        <v>0</v>
      </c>
      <c r="Y68" s="1">
        <f>MAX($G68)</f>
        <v>0</v>
      </c>
      <c r="Z68" s="1">
        <f>MAX($H68)</f>
        <v>0</v>
      </c>
    </row>
    <row r="69" spans="1:26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/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>
        <f>MIN($B69)</f>
        <v>0</v>
      </c>
      <c r="J69" s="1">
        <f>MIN($C69)</f>
        <v>0</v>
      </c>
      <c r="K69" s="1">
        <f>MIN($D69)</f>
        <v>0</v>
      </c>
      <c r="L69" s="1">
        <f>MIN($E69)</f>
        <v>0</v>
      </c>
      <c r="M69" s="1">
        <f>MIN($G69)</f>
        <v>0</v>
      </c>
      <c r="N69" s="1">
        <f>MIN($H69)</f>
        <v>0</v>
      </c>
      <c r="O69" s="1">
        <f>MEDIAN($B69)</f>
        <v>0</v>
      </c>
      <c r="P69" s="1">
        <f>MEDIAN($C69)</f>
        <v>0</v>
      </c>
      <c r="Q69" s="1">
        <f>MEDIAN($D69)</f>
        <v>0</v>
      </c>
      <c r="R69" s="1">
        <f>MEDIAN($E69)</f>
        <v>0</v>
      </c>
      <c r="S69" s="1">
        <f>MEDIAN($G69)</f>
        <v>0</v>
      </c>
      <c r="T69" s="1">
        <f>MEDIAN($H69)</f>
        <v>0</v>
      </c>
      <c r="U69" s="1">
        <f>MAX($B69)</f>
        <v>0</v>
      </c>
      <c r="V69" s="1">
        <f>MAX($C69)</f>
        <v>0</v>
      </c>
      <c r="W69" s="1">
        <f>MAX($D69)</f>
        <v>0</v>
      </c>
      <c r="X69" s="1">
        <f>MAX($E69)</f>
        <v>0</v>
      </c>
      <c r="Y69" s="1">
        <f>MAX($G69)</f>
        <v>0</v>
      </c>
      <c r="Z69" s="1">
        <f>MAX($H69)</f>
        <v>0</v>
      </c>
    </row>
    <row r="70" spans="1:26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/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>
        <f>MIN($B70)</f>
        <v>0</v>
      </c>
      <c r="J70" s="1">
        <f>MIN($C70)</f>
        <v>0</v>
      </c>
      <c r="K70" s="1">
        <f>MIN($D70)</f>
        <v>0</v>
      </c>
      <c r="L70" s="1">
        <f>MIN($E70)</f>
        <v>0</v>
      </c>
      <c r="M70" s="1">
        <f>MIN($G70)</f>
        <v>0</v>
      </c>
      <c r="N70" s="1">
        <f>MIN($H70)</f>
        <v>0</v>
      </c>
      <c r="O70" s="1">
        <f>MEDIAN($B70)</f>
        <v>0</v>
      </c>
      <c r="P70" s="1">
        <f>MEDIAN($C70)</f>
        <v>0</v>
      </c>
      <c r="Q70" s="1">
        <f>MEDIAN($D70)</f>
        <v>0</v>
      </c>
      <c r="R70" s="1">
        <f>MEDIAN($E70)</f>
        <v>0</v>
      </c>
      <c r="S70" s="1">
        <f>MEDIAN($G70)</f>
        <v>0</v>
      </c>
      <c r="T70" s="1">
        <f>MEDIAN($H70)</f>
        <v>0</v>
      </c>
      <c r="U70" s="1">
        <f>MAX($B70)</f>
        <v>0</v>
      </c>
      <c r="V70" s="1">
        <f>MAX($C70)</f>
        <v>0</v>
      </c>
      <c r="W70" s="1">
        <f>MAX($D70)</f>
        <v>0</v>
      </c>
      <c r="X70" s="1">
        <f>MAX($E70)</f>
        <v>0</v>
      </c>
      <c r="Y70" s="1">
        <f>MAX($G70)</f>
        <v>0</v>
      </c>
      <c r="Z70" s="1">
        <f>MAX($H70)</f>
        <v>0</v>
      </c>
    </row>
    <row r="71" spans="1:26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/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>
        <f>MIN($B71)</f>
        <v>0</v>
      </c>
      <c r="J71" s="1">
        <f>MIN($C71)</f>
        <v>0</v>
      </c>
      <c r="K71" s="1">
        <f>MIN($D71)</f>
        <v>0</v>
      </c>
      <c r="L71" s="1">
        <f>MIN($E71)</f>
        <v>0</v>
      </c>
      <c r="M71" s="1">
        <f>MIN($G71)</f>
        <v>0</v>
      </c>
      <c r="N71" s="1">
        <f>MIN($H71)</f>
        <v>0</v>
      </c>
      <c r="O71" s="1">
        <f>MEDIAN($B71)</f>
        <v>0</v>
      </c>
      <c r="P71" s="1">
        <f>MEDIAN($C71)</f>
        <v>0</v>
      </c>
      <c r="Q71" s="1">
        <f>MEDIAN($D71)</f>
        <v>0</v>
      </c>
      <c r="R71" s="1">
        <f>MEDIAN($E71)</f>
        <v>0</v>
      </c>
      <c r="S71" s="1">
        <f>MEDIAN($G71)</f>
        <v>0</v>
      </c>
      <c r="T71" s="1">
        <f>MEDIAN($H71)</f>
        <v>0</v>
      </c>
      <c r="U71" s="1">
        <f>MAX($B71)</f>
        <v>0</v>
      </c>
      <c r="V71" s="1">
        <f>MAX($C71)</f>
        <v>0</v>
      </c>
      <c r="W71" s="1">
        <f>MAX($D71)</f>
        <v>0</v>
      </c>
      <c r="X71" s="1">
        <f>MAX($E71)</f>
        <v>0</v>
      </c>
      <c r="Y71" s="1">
        <f>MAX($G71)</f>
        <v>0</v>
      </c>
      <c r="Z71" s="1">
        <f>MAX($H71)</f>
        <v>0</v>
      </c>
    </row>
    <row r="72" spans="1:26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/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>
        <f>MIN($B72)</f>
        <v>0</v>
      </c>
      <c r="J72" s="1">
        <f>MIN($C72)</f>
        <v>0</v>
      </c>
      <c r="K72" s="1">
        <f>MIN($D72)</f>
        <v>0</v>
      </c>
      <c r="L72" s="1">
        <f>MIN($E72)</f>
        <v>0</v>
      </c>
      <c r="M72" s="1">
        <f>MIN($G72)</f>
        <v>0</v>
      </c>
      <c r="N72" s="1">
        <f>MIN($H72)</f>
        <v>0</v>
      </c>
      <c r="O72" s="1">
        <f>MEDIAN($B72)</f>
        <v>0</v>
      </c>
      <c r="P72" s="1">
        <f>MEDIAN($C72)</f>
        <v>0</v>
      </c>
      <c r="Q72" s="1">
        <f>MEDIAN($D72)</f>
        <v>0</v>
      </c>
      <c r="R72" s="1">
        <f>MEDIAN($E72)</f>
        <v>0</v>
      </c>
      <c r="S72" s="1">
        <f>MEDIAN($G72)</f>
        <v>0</v>
      </c>
      <c r="T72" s="1">
        <f>MEDIAN($H72)</f>
        <v>0</v>
      </c>
      <c r="U72" s="1">
        <f>MAX($B72)</f>
        <v>0</v>
      </c>
      <c r="V72" s="1">
        <f>MAX($C72)</f>
        <v>0</v>
      </c>
      <c r="W72" s="1">
        <f>MAX($D72)</f>
        <v>0</v>
      </c>
      <c r="X72" s="1">
        <f>MAX($E72)</f>
        <v>0</v>
      </c>
      <c r="Y72" s="1">
        <f>MAX($G72)</f>
        <v>0</v>
      </c>
      <c r="Z72" s="1">
        <f>MAX($H72)</f>
        <v>0</v>
      </c>
    </row>
    <row r="73" spans="1:26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/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>
        <f>MIN($B73)</f>
        <v>0</v>
      </c>
      <c r="J73" s="1">
        <f>MIN($C73)</f>
        <v>0</v>
      </c>
      <c r="K73" s="1">
        <f>MIN($D73)</f>
        <v>0</v>
      </c>
      <c r="L73" s="1">
        <f>MIN($E73)</f>
        <v>0</v>
      </c>
      <c r="M73" s="1">
        <f>MIN($G73)</f>
        <v>0</v>
      </c>
      <c r="N73" s="1">
        <f>MIN($H73)</f>
        <v>0</v>
      </c>
      <c r="O73" s="1">
        <f>MEDIAN($B73)</f>
        <v>0</v>
      </c>
      <c r="P73" s="1">
        <f>MEDIAN($C73)</f>
        <v>0</v>
      </c>
      <c r="Q73" s="1">
        <f>MEDIAN($D73)</f>
        <v>0</v>
      </c>
      <c r="R73" s="1">
        <f>MEDIAN($E73)</f>
        <v>0</v>
      </c>
      <c r="S73" s="1">
        <f>MEDIAN($G73)</f>
        <v>0</v>
      </c>
      <c r="T73" s="1">
        <f>MEDIAN($H73)</f>
        <v>0</v>
      </c>
      <c r="U73" s="1">
        <f>MAX($B73)</f>
        <v>0</v>
      </c>
      <c r="V73" s="1">
        <f>MAX($C73)</f>
        <v>0</v>
      </c>
      <c r="W73" s="1">
        <f>MAX($D73)</f>
        <v>0</v>
      </c>
      <c r="X73" s="1">
        <f>MAX($E73)</f>
        <v>0</v>
      </c>
      <c r="Y73" s="1">
        <f>MAX($G73)</f>
        <v>0</v>
      </c>
      <c r="Z73" s="1">
        <f>MAX($H73)</f>
        <v>0</v>
      </c>
    </row>
    <row r="74" spans="1:26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/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>
        <f>MIN($B74)</f>
        <v>0</v>
      </c>
      <c r="J74" s="1">
        <f>MIN($C74)</f>
        <v>0</v>
      </c>
      <c r="K74" s="1">
        <f>MIN($D74)</f>
        <v>0</v>
      </c>
      <c r="L74" s="1">
        <f>MIN($E74)</f>
        <v>0</v>
      </c>
      <c r="M74" s="1">
        <f>MIN($G74)</f>
        <v>0</v>
      </c>
      <c r="N74" s="1">
        <f>MIN($H74)</f>
        <v>0</v>
      </c>
      <c r="O74" s="1">
        <f>MEDIAN($B74)</f>
        <v>0</v>
      </c>
      <c r="P74" s="1">
        <f>MEDIAN($C74)</f>
        <v>0</v>
      </c>
      <c r="Q74" s="1">
        <f>MEDIAN($D74)</f>
        <v>0</v>
      </c>
      <c r="R74" s="1">
        <f>MEDIAN($E74)</f>
        <v>0</v>
      </c>
      <c r="S74" s="1">
        <f>MEDIAN($G74)</f>
        <v>0</v>
      </c>
      <c r="T74" s="1">
        <f>MEDIAN($H74)</f>
        <v>0</v>
      </c>
      <c r="U74" s="1">
        <f>MAX($B74)</f>
        <v>0</v>
      </c>
      <c r="V74" s="1">
        <f>MAX($C74)</f>
        <v>0</v>
      </c>
      <c r="W74" s="1">
        <f>MAX($D74)</f>
        <v>0</v>
      </c>
      <c r="X74" s="1">
        <f>MAX($E74)</f>
        <v>0</v>
      </c>
      <c r="Y74" s="1">
        <f>MAX($G74)</f>
        <v>0</v>
      </c>
      <c r="Z74" s="1">
        <f>MAX($H74)</f>
        <v>0</v>
      </c>
    </row>
    <row r="75" spans="1:26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/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>
        <f>MIN($B75)</f>
        <v>0</v>
      </c>
      <c r="J75" s="1">
        <f>MIN($C75)</f>
        <v>0</v>
      </c>
      <c r="K75" s="1">
        <f>MIN($D75)</f>
        <v>0</v>
      </c>
      <c r="L75" s="1">
        <f>MIN($E75)</f>
        <v>0</v>
      </c>
      <c r="M75" s="1">
        <f>MIN($G75)</f>
        <v>0</v>
      </c>
      <c r="N75" s="1">
        <f>MIN($H75)</f>
        <v>0</v>
      </c>
      <c r="O75" s="1">
        <f>MEDIAN($B75)</f>
        <v>0</v>
      </c>
      <c r="P75" s="1">
        <f>MEDIAN($C75)</f>
        <v>0</v>
      </c>
      <c r="Q75" s="1">
        <f>MEDIAN($D75)</f>
        <v>0</v>
      </c>
      <c r="R75" s="1">
        <f>MEDIAN($E75)</f>
        <v>0</v>
      </c>
      <c r="S75" s="1">
        <f>MEDIAN($G75)</f>
        <v>0</v>
      </c>
      <c r="T75" s="1">
        <f>MEDIAN($H75)</f>
        <v>0</v>
      </c>
      <c r="U75" s="1">
        <f>MAX($B75)</f>
        <v>0</v>
      </c>
      <c r="V75" s="1">
        <f>MAX($C75)</f>
        <v>0</v>
      </c>
      <c r="W75" s="1">
        <f>MAX($D75)</f>
        <v>0</v>
      </c>
      <c r="X75" s="1">
        <f>MAX($E75)</f>
        <v>0</v>
      </c>
      <c r="Y75" s="1">
        <f>MAX($G75)</f>
        <v>0</v>
      </c>
      <c r="Z75" s="1">
        <f>MAX($H75)</f>
        <v>0</v>
      </c>
    </row>
    <row r="76" spans="1:26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/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>
        <f>MIN($B76)</f>
        <v>0</v>
      </c>
      <c r="J76" s="1">
        <f>MIN($C76)</f>
        <v>0</v>
      </c>
      <c r="K76" s="1">
        <f>MIN($D76)</f>
        <v>0</v>
      </c>
      <c r="L76" s="1">
        <f>MIN($E76)</f>
        <v>0</v>
      </c>
      <c r="M76" s="1">
        <f>MIN($G76)</f>
        <v>0</v>
      </c>
      <c r="N76" s="1">
        <f>MIN($H76)</f>
        <v>0</v>
      </c>
      <c r="O76" s="1">
        <f>MEDIAN($B76)</f>
        <v>0</v>
      </c>
      <c r="P76" s="1">
        <f>MEDIAN($C76)</f>
        <v>0</v>
      </c>
      <c r="Q76" s="1">
        <f>MEDIAN($D76)</f>
        <v>0</v>
      </c>
      <c r="R76" s="1">
        <f>MEDIAN($E76)</f>
        <v>0</v>
      </c>
      <c r="S76" s="1">
        <f>MEDIAN($G76)</f>
        <v>0</v>
      </c>
      <c r="T76" s="1">
        <f>MEDIAN($H76)</f>
        <v>0</v>
      </c>
      <c r="U76" s="1">
        <f>MAX($B76)</f>
        <v>0</v>
      </c>
      <c r="V76" s="1">
        <f>MAX($C76)</f>
        <v>0</v>
      </c>
      <c r="W76" s="1">
        <f>MAX($D76)</f>
        <v>0</v>
      </c>
      <c r="X76" s="1">
        <f>MAX($E76)</f>
        <v>0</v>
      </c>
      <c r="Y76" s="1">
        <f>MAX($G76)</f>
        <v>0</v>
      </c>
      <c r="Z76" s="1">
        <f>MAX($H76)</f>
        <v>0</v>
      </c>
    </row>
    <row r="77" spans="1:26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/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>
        <f>MIN($B77)</f>
        <v>0</v>
      </c>
      <c r="J77" s="1">
        <f>MIN($C77)</f>
        <v>0</v>
      </c>
      <c r="K77" s="1">
        <f>MIN($D77)</f>
        <v>0</v>
      </c>
      <c r="L77" s="1">
        <f>MIN($E77)</f>
        <v>0</v>
      </c>
      <c r="M77" s="1">
        <f>MIN($G77)</f>
        <v>0</v>
      </c>
      <c r="N77" s="1">
        <f>MIN($H77)</f>
        <v>0</v>
      </c>
      <c r="O77" s="1">
        <f>MEDIAN($B77)</f>
        <v>0</v>
      </c>
      <c r="P77" s="1">
        <f>MEDIAN($C77)</f>
        <v>0</v>
      </c>
      <c r="Q77" s="1">
        <f>MEDIAN($D77)</f>
        <v>0</v>
      </c>
      <c r="R77" s="1">
        <f>MEDIAN($E77)</f>
        <v>0</v>
      </c>
      <c r="S77" s="1">
        <f>MEDIAN($G77)</f>
        <v>0</v>
      </c>
      <c r="T77" s="1">
        <f>MEDIAN($H77)</f>
        <v>0</v>
      </c>
      <c r="U77" s="1">
        <f>MAX($B77)</f>
        <v>0</v>
      </c>
      <c r="V77" s="1">
        <f>MAX($C77)</f>
        <v>0</v>
      </c>
      <c r="W77" s="1">
        <f>MAX($D77)</f>
        <v>0</v>
      </c>
      <c r="X77" s="1">
        <f>MAX($E77)</f>
        <v>0</v>
      </c>
      <c r="Y77" s="1">
        <f>MAX($G77)</f>
        <v>0</v>
      </c>
      <c r="Z77" s="1">
        <f>MAX($H77)</f>
        <v>0</v>
      </c>
    </row>
    <row r="78" spans="1:26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/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>
        <f>MIN($B78)</f>
        <v>0</v>
      </c>
      <c r="J78" s="1">
        <f>MIN($C78)</f>
        <v>0</v>
      </c>
      <c r="K78" s="1">
        <f>MIN($D78)</f>
        <v>0</v>
      </c>
      <c r="L78" s="1">
        <f>MIN($E78)</f>
        <v>0</v>
      </c>
      <c r="M78" s="1">
        <f>MIN($G78)</f>
        <v>0</v>
      </c>
      <c r="N78" s="1">
        <f>MIN($H78)</f>
        <v>0</v>
      </c>
      <c r="O78" s="1">
        <f>MEDIAN($B78)</f>
        <v>0</v>
      </c>
      <c r="P78" s="1">
        <f>MEDIAN($C78)</f>
        <v>0</v>
      </c>
      <c r="Q78" s="1">
        <f>MEDIAN($D78)</f>
        <v>0</v>
      </c>
      <c r="R78" s="1">
        <f>MEDIAN($E78)</f>
        <v>0</v>
      </c>
      <c r="S78" s="1">
        <f>MEDIAN($G78)</f>
        <v>0</v>
      </c>
      <c r="T78" s="1">
        <f>MEDIAN($H78)</f>
        <v>0</v>
      </c>
      <c r="U78" s="1">
        <f>MAX($B78)</f>
        <v>0</v>
      </c>
      <c r="V78" s="1">
        <f>MAX($C78)</f>
        <v>0</v>
      </c>
      <c r="W78" s="1">
        <f>MAX($D78)</f>
        <v>0</v>
      </c>
      <c r="X78" s="1">
        <f>MAX($E78)</f>
        <v>0</v>
      </c>
      <c r="Y78" s="1">
        <f>MAX($G78)</f>
        <v>0</v>
      </c>
      <c r="Z78" s="1">
        <f>MAX($H78)</f>
        <v>0</v>
      </c>
    </row>
    <row r="79" spans="1:26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/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>
        <f>MIN($B79)</f>
        <v>0</v>
      </c>
      <c r="J79" s="1">
        <f>MIN($C79)</f>
        <v>0</v>
      </c>
      <c r="K79" s="1">
        <f>MIN($D79)</f>
        <v>0</v>
      </c>
      <c r="L79" s="1">
        <f>MIN($E79)</f>
        <v>0</v>
      </c>
      <c r="M79" s="1">
        <f>MIN($G79)</f>
        <v>0</v>
      </c>
      <c r="N79" s="1">
        <f>MIN($H79)</f>
        <v>0</v>
      </c>
      <c r="O79" s="1">
        <f>MEDIAN($B79)</f>
        <v>0</v>
      </c>
      <c r="P79" s="1">
        <f>MEDIAN($C79)</f>
        <v>0</v>
      </c>
      <c r="Q79" s="1">
        <f>MEDIAN($D79)</f>
        <v>0</v>
      </c>
      <c r="R79" s="1">
        <f>MEDIAN($E79)</f>
        <v>0</v>
      </c>
      <c r="S79" s="1">
        <f>MEDIAN($G79)</f>
        <v>0</v>
      </c>
      <c r="T79" s="1">
        <f>MEDIAN($H79)</f>
        <v>0</v>
      </c>
      <c r="U79" s="1">
        <f>MAX($B79)</f>
        <v>0</v>
      </c>
      <c r="V79" s="1">
        <f>MAX($C79)</f>
        <v>0</v>
      </c>
      <c r="W79" s="1">
        <f>MAX($D79)</f>
        <v>0</v>
      </c>
      <c r="X79" s="1">
        <f>MAX($E79)</f>
        <v>0</v>
      </c>
      <c r="Y79" s="1">
        <f>MAX($G79)</f>
        <v>0</v>
      </c>
      <c r="Z79" s="1">
        <f>MAX($H79)</f>
        <v>0</v>
      </c>
    </row>
    <row r="80" spans="1:26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/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>
        <f>MIN($B80)</f>
        <v>0</v>
      </c>
      <c r="J80" s="1">
        <f>MIN($C80)</f>
        <v>0</v>
      </c>
      <c r="K80" s="1">
        <f>MIN($D80)</f>
        <v>0</v>
      </c>
      <c r="L80" s="1">
        <f>MIN($E80)</f>
        <v>0</v>
      </c>
      <c r="M80" s="1">
        <f>MIN($G80)</f>
        <v>0</v>
      </c>
      <c r="N80" s="1">
        <f>MIN($H80)</f>
        <v>0</v>
      </c>
      <c r="O80" s="1">
        <f>MEDIAN($B80)</f>
        <v>0</v>
      </c>
      <c r="P80" s="1">
        <f>MEDIAN($C80)</f>
        <v>0</v>
      </c>
      <c r="Q80" s="1">
        <f>MEDIAN($D80)</f>
        <v>0</v>
      </c>
      <c r="R80" s="1">
        <f>MEDIAN($E80)</f>
        <v>0</v>
      </c>
      <c r="S80" s="1">
        <f>MEDIAN($G80)</f>
        <v>0</v>
      </c>
      <c r="T80" s="1">
        <f>MEDIAN($H80)</f>
        <v>0</v>
      </c>
      <c r="U80" s="1">
        <f>MAX($B80)</f>
        <v>0</v>
      </c>
      <c r="V80" s="1">
        <f>MAX($C80)</f>
        <v>0</v>
      </c>
      <c r="W80" s="1">
        <f>MAX($D80)</f>
        <v>0</v>
      </c>
      <c r="X80" s="1">
        <f>MAX($E80)</f>
        <v>0</v>
      </c>
      <c r="Y80" s="1">
        <f>MAX($G80)</f>
        <v>0</v>
      </c>
      <c r="Z80" s="1">
        <f>MAX($H80)</f>
        <v>0</v>
      </c>
    </row>
    <row r="81" spans="1:26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/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>
        <f>MIN($B81)</f>
        <v>0</v>
      </c>
      <c r="J81" s="1">
        <f>MIN($C81)</f>
        <v>0</v>
      </c>
      <c r="K81" s="1">
        <f>MIN($D81)</f>
        <v>0</v>
      </c>
      <c r="L81" s="1">
        <f>MIN($E81)</f>
        <v>0</v>
      </c>
      <c r="M81" s="1">
        <f>MIN($G81)</f>
        <v>0</v>
      </c>
      <c r="N81" s="1">
        <f>MIN($H81)</f>
        <v>0</v>
      </c>
      <c r="O81" s="1">
        <f>MEDIAN($B81)</f>
        <v>0</v>
      </c>
      <c r="P81" s="1">
        <f>MEDIAN($C81)</f>
        <v>0</v>
      </c>
      <c r="Q81" s="1">
        <f>MEDIAN($D81)</f>
        <v>0</v>
      </c>
      <c r="R81" s="1">
        <f>MEDIAN($E81)</f>
        <v>0</v>
      </c>
      <c r="S81" s="1">
        <f>MEDIAN($G81)</f>
        <v>0</v>
      </c>
      <c r="T81" s="1">
        <f>MEDIAN($H81)</f>
        <v>0</v>
      </c>
      <c r="U81" s="1">
        <f>MAX($B81)</f>
        <v>0</v>
      </c>
      <c r="V81" s="1">
        <f>MAX($C81)</f>
        <v>0</v>
      </c>
      <c r="W81" s="1">
        <f>MAX($D81)</f>
        <v>0</v>
      </c>
      <c r="X81" s="1">
        <f>MAX($E81)</f>
        <v>0</v>
      </c>
      <c r="Y81" s="1">
        <f>MAX($G81)</f>
        <v>0</v>
      </c>
      <c r="Z81" s="1">
        <f>MAX($H81)</f>
        <v>0</v>
      </c>
    </row>
    <row r="82" spans="1:26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/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>
        <f>MIN($B82)</f>
        <v>0</v>
      </c>
      <c r="J82" s="1">
        <f>MIN($C82)</f>
        <v>0</v>
      </c>
      <c r="K82" s="1">
        <f>MIN($D82)</f>
        <v>0</v>
      </c>
      <c r="L82" s="1">
        <f>MIN($E82)</f>
        <v>0</v>
      </c>
      <c r="M82" s="1">
        <f>MIN($G82)</f>
        <v>0</v>
      </c>
      <c r="N82" s="1">
        <f>MIN($H82)</f>
        <v>0</v>
      </c>
      <c r="O82" s="1">
        <f>MEDIAN($B82)</f>
        <v>0</v>
      </c>
      <c r="P82" s="1">
        <f>MEDIAN($C82)</f>
        <v>0</v>
      </c>
      <c r="Q82" s="1">
        <f>MEDIAN($D82)</f>
        <v>0</v>
      </c>
      <c r="R82" s="1">
        <f>MEDIAN($E82)</f>
        <v>0</v>
      </c>
      <c r="S82" s="1">
        <f>MEDIAN($G82)</f>
        <v>0</v>
      </c>
      <c r="T82" s="1">
        <f>MEDIAN($H82)</f>
        <v>0</v>
      </c>
      <c r="U82" s="1">
        <f>MAX($B82)</f>
        <v>0</v>
      </c>
      <c r="V82" s="1">
        <f>MAX($C82)</f>
        <v>0</v>
      </c>
      <c r="W82" s="1">
        <f>MAX($D82)</f>
        <v>0</v>
      </c>
      <c r="X82" s="1">
        <f>MAX($E82)</f>
        <v>0</v>
      </c>
      <c r="Y82" s="1">
        <f>MAX($G82)</f>
        <v>0</v>
      </c>
      <c r="Z82" s="1">
        <f>MAX($H82)</f>
        <v>0</v>
      </c>
    </row>
    <row r="83" spans="1:26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/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>
        <f>MIN($B83)</f>
        <v>0</v>
      </c>
      <c r="J83" s="1">
        <f>MIN($C83)</f>
        <v>0</v>
      </c>
      <c r="K83" s="1">
        <f>MIN($D83)</f>
        <v>0</v>
      </c>
      <c r="L83" s="1">
        <f>MIN($E83)</f>
        <v>0</v>
      </c>
      <c r="M83" s="1">
        <f>MIN($G83)</f>
        <v>0</v>
      </c>
      <c r="N83" s="1">
        <f>MIN($H83)</f>
        <v>0</v>
      </c>
      <c r="O83" s="1">
        <f>MEDIAN($B83)</f>
        <v>0</v>
      </c>
      <c r="P83" s="1">
        <f>MEDIAN($C83)</f>
        <v>0</v>
      </c>
      <c r="Q83" s="1">
        <f>MEDIAN($D83)</f>
        <v>0</v>
      </c>
      <c r="R83" s="1">
        <f>MEDIAN($E83)</f>
        <v>0</v>
      </c>
      <c r="S83" s="1">
        <f>MEDIAN($G83)</f>
        <v>0</v>
      </c>
      <c r="T83" s="1">
        <f>MEDIAN($H83)</f>
        <v>0</v>
      </c>
      <c r="U83" s="1">
        <f>MAX($B83)</f>
        <v>0</v>
      </c>
      <c r="V83" s="1">
        <f>MAX($C83)</f>
        <v>0</v>
      </c>
      <c r="W83" s="1">
        <f>MAX($D83)</f>
        <v>0</v>
      </c>
      <c r="X83" s="1">
        <f>MAX($E83)</f>
        <v>0</v>
      </c>
      <c r="Y83" s="1">
        <f>MAX($G83)</f>
        <v>0</v>
      </c>
      <c r="Z83" s="1">
        <f>MAX($H83)</f>
        <v>0</v>
      </c>
    </row>
    <row r="84" spans="1:26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/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>
        <f>MIN($B84)</f>
        <v>0</v>
      </c>
      <c r="J84" s="1">
        <f>MIN($C84)</f>
        <v>0</v>
      </c>
      <c r="K84" s="1">
        <f>MIN($D84)</f>
        <v>0</v>
      </c>
      <c r="L84" s="1">
        <f>MIN($E84)</f>
        <v>0</v>
      </c>
      <c r="M84" s="1">
        <f>MIN($G84)</f>
        <v>0</v>
      </c>
      <c r="N84" s="1">
        <f>MIN($H84)</f>
        <v>0</v>
      </c>
      <c r="O84" s="1">
        <f>MEDIAN($B84)</f>
        <v>0</v>
      </c>
      <c r="P84" s="1">
        <f>MEDIAN($C84)</f>
        <v>0</v>
      </c>
      <c r="Q84" s="1">
        <f>MEDIAN($D84)</f>
        <v>0</v>
      </c>
      <c r="R84" s="1">
        <f>MEDIAN($E84)</f>
        <v>0</v>
      </c>
      <c r="S84" s="1">
        <f>MEDIAN($G84)</f>
        <v>0</v>
      </c>
      <c r="T84" s="1">
        <f>MEDIAN($H84)</f>
        <v>0</v>
      </c>
      <c r="U84" s="1">
        <f>MAX($B84)</f>
        <v>0</v>
      </c>
      <c r="V84" s="1">
        <f>MAX($C84)</f>
        <v>0</v>
      </c>
      <c r="W84" s="1">
        <f>MAX($D84)</f>
        <v>0</v>
      </c>
      <c r="X84" s="1">
        <f>MAX($E84)</f>
        <v>0</v>
      </c>
      <c r="Y84" s="1">
        <f>MAX($G84)</f>
        <v>0</v>
      </c>
      <c r="Z84" s="1">
        <f>MAX($H84)</f>
        <v>0</v>
      </c>
    </row>
    <row r="85" spans="1:26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/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>
        <f>MIN($B85)</f>
        <v>0</v>
      </c>
      <c r="J85" s="1">
        <f>MIN($C85)</f>
        <v>0</v>
      </c>
      <c r="K85" s="1">
        <f>MIN($D85)</f>
        <v>0</v>
      </c>
      <c r="L85" s="1">
        <f>MIN($E85)</f>
        <v>0</v>
      </c>
      <c r="M85" s="1">
        <f>MIN($G85)</f>
        <v>0</v>
      </c>
      <c r="N85" s="1">
        <f>MIN($H85)</f>
        <v>0</v>
      </c>
      <c r="O85" s="1">
        <f>MEDIAN($B85)</f>
        <v>0</v>
      </c>
      <c r="P85" s="1">
        <f>MEDIAN($C85)</f>
        <v>0</v>
      </c>
      <c r="Q85" s="1">
        <f>MEDIAN($D85)</f>
        <v>0</v>
      </c>
      <c r="R85" s="1">
        <f>MEDIAN($E85)</f>
        <v>0</v>
      </c>
      <c r="S85" s="1">
        <f>MEDIAN($G85)</f>
        <v>0</v>
      </c>
      <c r="T85" s="1">
        <f>MEDIAN($H85)</f>
        <v>0</v>
      </c>
      <c r="U85" s="1">
        <f>MAX($B85)</f>
        <v>0</v>
      </c>
      <c r="V85" s="1">
        <f>MAX($C85)</f>
        <v>0</v>
      </c>
      <c r="W85" s="1">
        <f>MAX($D85)</f>
        <v>0</v>
      </c>
      <c r="X85" s="1">
        <f>MAX($E85)</f>
        <v>0</v>
      </c>
      <c r="Y85" s="1">
        <f>MAX($G85)</f>
        <v>0</v>
      </c>
      <c r="Z85" s="1">
        <f>MAX($H85)</f>
        <v>0</v>
      </c>
    </row>
    <row r="86" spans="1:26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/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>
        <f>MIN($B86)</f>
        <v>0</v>
      </c>
      <c r="J86" s="1">
        <f>MIN($C86)</f>
        <v>0</v>
      </c>
      <c r="K86" s="1">
        <f>MIN($D86)</f>
        <v>0</v>
      </c>
      <c r="L86" s="1">
        <f>MIN($E86)</f>
        <v>0</v>
      </c>
      <c r="M86" s="1">
        <f>MIN($G86)</f>
        <v>0</v>
      </c>
      <c r="N86" s="1">
        <f>MIN($H86)</f>
        <v>0</v>
      </c>
      <c r="O86" s="1">
        <f>MEDIAN($B86)</f>
        <v>0</v>
      </c>
      <c r="P86" s="1">
        <f>MEDIAN($C86)</f>
        <v>0</v>
      </c>
      <c r="Q86" s="1">
        <f>MEDIAN($D86)</f>
        <v>0</v>
      </c>
      <c r="R86" s="1">
        <f>MEDIAN($E86)</f>
        <v>0</v>
      </c>
      <c r="S86" s="1">
        <f>MEDIAN($G86)</f>
        <v>0</v>
      </c>
      <c r="T86" s="1">
        <f>MEDIAN($H86)</f>
        <v>0</v>
      </c>
      <c r="U86" s="1">
        <f>MAX($B86)</f>
        <v>0</v>
      </c>
      <c r="V86" s="1">
        <f>MAX($C86)</f>
        <v>0</v>
      </c>
      <c r="W86" s="1">
        <f>MAX($D86)</f>
        <v>0</v>
      </c>
      <c r="X86" s="1">
        <f>MAX($E86)</f>
        <v>0</v>
      </c>
      <c r="Y86" s="1">
        <f>MAX($G86)</f>
        <v>0</v>
      </c>
      <c r="Z86" s="1">
        <f>MAX($H86)</f>
        <v>0</v>
      </c>
    </row>
    <row r="87" spans="1:26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/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>
        <f>MIN($B87)</f>
        <v>0</v>
      </c>
      <c r="J87" s="1">
        <f>MIN($C87)</f>
        <v>0</v>
      </c>
      <c r="K87" s="1">
        <f>MIN($D87)</f>
        <v>0</v>
      </c>
      <c r="L87" s="1">
        <f>MIN($E87)</f>
        <v>0</v>
      </c>
      <c r="M87" s="1">
        <f>MIN($G87)</f>
        <v>0</v>
      </c>
      <c r="N87" s="1">
        <f>MIN($H87)</f>
        <v>0</v>
      </c>
      <c r="O87" s="1">
        <f>MEDIAN($B87)</f>
        <v>0</v>
      </c>
      <c r="P87" s="1">
        <f>MEDIAN($C87)</f>
        <v>0</v>
      </c>
      <c r="Q87" s="1">
        <f>MEDIAN($D87)</f>
        <v>0</v>
      </c>
      <c r="R87" s="1">
        <f>MEDIAN($E87)</f>
        <v>0</v>
      </c>
      <c r="S87" s="1">
        <f>MEDIAN($G87)</f>
        <v>0</v>
      </c>
      <c r="T87" s="1">
        <f>MEDIAN($H87)</f>
        <v>0</v>
      </c>
      <c r="U87" s="1">
        <f>MAX($B87)</f>
        <v>0</v>
      </c>
      <c r="V87" s="1">
        <f>MAX($C87)</f>
        <v>0</v>
      </c>
      <c r="W87" s="1">
        <f>MAX($D87)</f>
        <v>0</v>
      </c>
      <c r="X87" s="1">
        <f>MAX($E87)</f>
        <v>0</v>
      </c>
      <c r="Y87" s="1">
        <f>MAX($G87)</f>
        <v>0</v>
      </c>
      <c r="Z87" s="1">
        <f>MAX($H87)</f>
        <v>0</v>
      </c>
    </row>
    <row r="88" spans="1:26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/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>
        <f>MIN($B88)</f>
        <v>0</v>
      </c>
      <c r="J88" s="1">
        <f>MIN($C88)</f>
        <v>0</v>
      </c>
      <c r="K88" s="1">
        <f>MIN($D88)</f>
        <v>0</v>
      </c>
      <c r="L88" s="1">
        <f>MIN($E88)</f>
        <v>0</v>
      </c>
      <c r="M88" s="1">
        <f>MIN($G88)</f>
        <v>0</v>
      </c>
      <c r="N88" s="1">
        <f>MIN($H88)</f>
        <v>0</v>
      </c>
      <c r="O88" s="1">
        <f>MEDIAN($B88)</f>
        <v>0</v>
      </c>
      <c r="P88" s="1">
        <f>MEDIAN($C88)</f>
        <v>0</v>
      </c>
      <c r="Q88" s="1">
        <f>MEDIAN($D88)</f>
        <v>0</v>
      </c>
      <c r="R88" s="1">
        <f>MEDIAN($E88)</f>
        <v>0</v>
      </c>
      <c r="S88" s="1">
        <f>MEDIAN($G88)</f>
        <v>0</v>
      </c>
      <c r="T88" s="1">
        <f>MEDIAN($H88)</f>
        <v>0</v>
      </c>
      <c r="U88" s="1">
        <f>MAX($B88)</f>
        <v>0</v>
      </c>
      <c r="V88" s="1">
        <f>MAX($C88)</f>
        <v>0</v>
      </c>
      <c r="W88" s="1">
        <f>MAX($D88)</f>
        <v>0</v>
      </c>
      <c r="X88" s="1">
        <f>MAX($E88)</f>
        <v>0</v>
      </c>
      <c r="Y88" s="1">
        <f>MAX($G88)</f>
        <v>0</v>
      </c>
      <c r="Z88" s="1">
        <f>MAX($H88)</f>
        <v>0</v>
      </c>
    </row>
    <row r="89" spans="1:26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/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>
        <f>MIN($B89)</f>
        <v>0</v>
      </c>
      <c r="J89" s="1">
        <f>MIN($C89)</f>
        <v>0</v>
      </c>
      <c r="K89" s="1">
        <f>MIN($D89)</f>
        <v>0</v>
      </c>
      <c r="L89" s="1">
        <f>MIN($E89)</f>
        <v>0</v>
      </c>
      <c r="M89" s="1">
        <f>MIN($G89)</f>
        <v>0</v>
      </c>
      <c r="N89" s="1">
        <f>MIN($H89)</f>
        <v>0</v>
      </c>
      <c r="O89" s="1">
        <f>MEDIAN($B89)</f>
        <v>0</v>
      </c>
      <c r="P89" s="1">
        <f>MEDIAN($C89)</f>
        <v>0</v>
      </c>
      <c r="Q89" s="1">
        <f>MEDIAN($D89)</f>
        <v>0</v>
      </c>
      <c r="R89" s="1">
        <f>MEDIAN($E89)</f>
        <v>0</v>
      </c>
      <c r="S89" s="1">
        <f>MEDIAN($G89)</f>
        <v>0</v>
      </c>
      <c r="T89" s="1">
        <f>MEDIAN($H89)</f>
        <v>0</v>
      </c>
      <c r="U89" s="1">
        <f>MAX($B89)</f>
        <v>0</v>
      </c>
      <c r="V89" s="1">
        <f>MAX($C89)</f>
        <v>0</v>
      </c>
      <c r="W89" s="1">
        <f>MAX($D89)</f>
        <v>0</v>
      </c>
      <c r="X89" s="1">
        <f>MAX($E89)</f>
        <v>0</v>
      </c>
      <c r="Y89" s="1">
        <f>MAX($G89)</f>
        <v>0</v>
      </c>
      <c r="Z89" s="1">
        <f>MAX($H89)</f>
        <v>0</v>
      </c>
    </row>
    <row r="90" spans="1:26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/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>
        <f>MIN($B90)</f>
        <v>0</v>
      </c>
      <c r="J90" s="1">
        <f>MIN($C90)</f>
        <v>0</v>
      </c>
      <c r="K90" s="1">
        <f>MIN($D90)</f>
        <v>0</v>
      </c>
      <c r="L90" s="1">
        <f>MIN($E90)</f>
        <v>0</v>
      </c>
      <c r="M90" s="1">
        <f>MIN($G90)</f>
        <v>0</v>
      </c>
      <c r="N90" s="1">
        <f>MIN($H90)</f>
        <v>0</v>
      </c>
      <c r="O90" s="1">
        <f>MEDIAN($B90)</f>
        <v>0</v>
      </c>
      <c r="P90" s="1">
        <f>MEDIAN($C90)</f>
        <v>0</v>
      </c>
      <c r="Q90" s="1">
        <f>MEDIAN($D90)</f>
        <v>0</v>
      </c>
      <c r="R90" s="1">
        <f>MEDIAN($E90)</f>
        <v>0</v>
      </c>
      <c r="S90" s="1">
        <f>MEDIAN($G90)</f>
        <v>0</v>
      </c>
      <c r="T90" s="1">
        <f>MEDIAN($H90)</f>
        <v>0</v>
      </c>
      <c r="U90" s="1">
        <f>MAX($B90)</f>
        <v>0</v>
      </c>
      <c r="V90" s="1">
        <f>MAX($C90)</f>
        <v>0</v>
      </c>
      <c r="W90" s="1">
        <f>MAX($D90)</f>
        <v>0</v>
      </c>
      <c r="X90" s="1">
        <f>MAX($E90)</f>
        <v>0</v>
      </c>
      <c r="Y90" s="1">
        <f>MAX($G90)</f>
        <v>0</v>
      </c>
      <c r="Z90" s="1">
        <f>MAX($H90)</f>
        <v>0</v>
      </c>
    </row>
    <row r="91" spans="1:26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/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>
        <f>MIN($B91)</f>
        <v>0</v>
      </c>
      <c r="J91" s="1">
        <f>MIN($C91)</f>
        <v>0</v>
      </c>
      <c r="K91" s="1">
        <f>MIN($D91)</f>
        <v>0</v>
      </c>
      <c r="L91" s="1">
        <f>MIN($E91)</f>
        <v>0</v>
      </c>
      <c r="M91" s="1">
        <f>MIN($G91)</f>
        <v>0</v>
      </c>
      <c r="N91" s="1">
        <f>MIN($H91)</f>
        <v>0</v>
      </c>
      <c r="O91" s="1">
        <f>MEDIAN($B91)</f>
        <v>0</v>
      </c>
      <c r="P91" s="1">
        <f>MEDIAN($C91)</f>
        <v>0</v>
      </c>
      <c r="Q91" s="1">
        <f>MEDIAN($D91)</f>
        <v>0</v>
      </c>
      <c r="R91" s="1">
        <f>MEDIAN($E91)</f>
        <v>0</v>
      </c>
      <c r="S91" s="1">
        <f>MEDIAN($G91)</f>
        <v>0</v>
      </c>
      <c r="T91" s="1">
        <f>MEDIAN($H91)</f>
        <v>0</v>
      </c>
      <c r="U91" s="1">
        <f>MAX($B91)</f>
        <v>0</v>
      </c>
      <c r="V91" s="1">
        <f>MAX($C91)</f>
        <v>0</v>
      </c>
      <c r="W91" s="1">
        <f>MAX($D91)</f>
        <v>0</v>
      </c>
      <c r="X91" s="1">
        <f>MAX($E91)</f>
        <v>0</v>
      </c>
      <c r="Y91" s="1">
        <f>MAX($G91)</f>
        <v>0</v>
      </c>
      <c r="Z91" s="1">
        <f>MAX($H91)</f>
        <v>0</v>
      </c>
    </row>
    <row r="92" spans="1:26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/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>
        <f>MIN($B92)</f>
        <v>0</v>
      </c>
      <c r="J92" s="1">
        <f>MIN($C92)</f>
        <v>0</v>
      </c>
      <c r="K92" s="1">
        <f>MIN($D92)</f>
        <v>0</v>
      </c>
      <c r="L92" s="1">
        <f>MIN($E92)</f>
        <v>0</v>
      </c>
      <c r="M92" s="1">
        <f>MIN($G92)</f>
        <v>0</v>
      </c>
      <c r="N92" s="1">
        <f>MIN($H92)</f>
        <v>0</v>
      </c>
      <c r="O92" s="1">
        <f>MEDIAN($B92)</f>
        <v>0</v>
      </c>
      <c r="P92" s="1">
        <f>MEDIAN($C92)</f>
        <v>0</v>
      </c>
      <c r="Q92" s="1">
        <f>MEDIAN($D92)</f>
        <v>0</v>
      </c>
      <c r="R92" s="1">
        <f>MEDIAN($E92)</f>
        <v>0</v>
      </c>
      <c r="S92" s="1">
        <f>MEDIAN($G92)</f>
        <v>0</v>
      </c>
      <c r="T92" s="1">
        <f>MEDIAN($H92)</f>
        <v>0</v>
      </c>
      <c r="U92" s="1">
        <f>MAX($B92)</f>
        <v>0</v>
      </c>
      <c r="V92" s="1">
        <f>MAX($C92)</f>
        <v>0</v>
      </c>
      <c r="W92" s="1">
        <f>MAX($D92)</f>
        <v>0</v>
      </c>
      <c r="X92" s="1">
        <f>MAX($E92)</f>
        <v>0</v>
      </c>
      <c r="Y92" s="1">
        <f>MAX($G92)</f>
        <v>0</v>
      </c>
      <c r="Z92" s="1">
        <f>MAX($H92)</f>
        <v>0</v>
      </c>
    </row>
    <row r="93" spans="1:26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/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>
        <f>MIN($B93)</f>
        <v>0</v>
      </c>
      <c r="J93" s="1">
        <f>MIN($C93)</f>
        <v>0</v>
      </c>
      <c r="K93" s="1">
        <f>MIN($D93)</f>
        <v>0</v>
      </c>
      <c r="L93" s="1">
        <f>MIN($E93)</f>
        <v>0</v>
      </c>
      <c r="M93" s="1">
        <f>MIN($G93)</f>
        <v>0</v>
      </c>
      <c r="N93" s="1">
        <f>MIN($H93)</f>
        <v>0</v>
      </c>
      <c r="O93" s="1">
        <f>MEDIAN($B93)</f>
        <v>0</v>
      </c>
      <c r="P93" s="1">
        <f>MEDIAN($C93)</f>
        <v>0</v>
      </c>
      <c r="Q93" s="1">
        <f>MEDIAN($D93)</f>
        <v>0</v>
      </c>
      <c r="R93" s="1">
        <f>MEDIAN($E93)</f>
        <v>0</v>
      </c>
      <c r="S93" s="1">
        <f>MEDIAN($G93)</f>
        <v>0</v>
      </c>
      <c r="T93" s="1">
        <f>MEDIAN($H93)</f>
        <v>0</v>
      </c>
      <c r="U93" s="1">
        <f>MAX($B93)</f>
        <v>0</v>
      </c>
      <c r="V93" s="1">
        <f>MAX($C93)</f>
        <v>0</v>
      </c>
      <c r="W93" s="1">
        <f>MAX($D93)</f>
        <v>0</v>
      </c>
      <c r="X93" s="1">
        <f>MAX($E93)</f>
        <v>0</v>
      </c>
      <c r="Y93" s="1">
        <f>MAX($G93)</f>
        <v>0</v>
      </c>
      <c r="Z93" s="1">
        <f>MAX($H93)</f>
        <v>0</v>
      </c>
    </row>
    <row r="94" spans="1:26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/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>
        <f>MIN($B94)</f>
        <v>0</v>
      </c>
      <c r="J94" s="1">
        <f>MIN($C94)</f>
        <v>0</v>
      </c>
      <c r="K94" s="1">
        <f>MIN($D94)</f>
        <v>0</v>
      </c>
      <c r="L94" s="1">
        <f>MIN($E94)</f>
        <v>0</v>
      </c>
      <c r="M94" s="1">
        <f>MIN($G94)</f>
        <v>0</v>
      </c>
      <c r="N94" s="1">
        <f>MIN($H94)</f>
        <v>0</v>
      </c>
      <c r="O94" s="1">
        <f>MEDIAN($B94)</f>
        <v>0</v>
      </c>
      <c r="P94" s="1">
        <f>MEDIAN($C94)</f>
        <v>0</v>
      </c>
      <c r="Q94" s="1">
        <f>MEDIAN($D94)</f>
        <v>0</v>
      </c>
      <c r="R94" s="1">
        <f>MEDIAN($E94)</f>
        <v>0</v>
      </c>
      <c r="S94" s="1">
        <f>MEDIAN($G94)</f>
        <v>0</v>
      </c>
      <c r="T94" s="1">
        <f>MEDIAN($H94)</f>
        <v>0</v>
      </c>
      <c r="U94" s="1">
        <f>MAX($B94)</f>
        <v>0</v>
      </c>
      <c r="V94" s="1">
        <f>MAX($C94)</f>
        <v>0</v>
      </c>
      <c r="W94" s="1">
        <f>MAX($D94)</f>
        <v>0</v>
      </c>
      <c r="X94" s="1">
        <f>MAX($E94)</f>
        <v>0</v>
      </c>
      <c r="Y94" s="1">
        <f>MAX($G94)</f>
        <v>0</v>
      </c>
      <c r="Z94" s="1">
        <f>MAX($H94)</f>
        <v>0</v>
      </c>
    </row>
    <row r="95" spans="1:26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/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>
        <f>MIN($B95)</f>
        <v>0</v>
      </c>
      <c r="J95" s="1">
        <f>MIN($C95)</f>
        <v>0</v>
      </c>
      <c r="K95" s="1">
        <f>MIN($D95)</f>
        <v>0</v>
      </c>
      <c r="L95" s="1">
        <f>MIN($E95)</f>
        <v>0</v>
      </c>
      <c r="M95" s="1">
        <f>MIN($G95)</f>
        <v>0</v>
      </c>
      <c r="N95" s="1">
        <f>MIN($H95)</f>
        <v>0</v>
      </c>
      <c r="O95" s="1">
        <f>MEDIAN($B95)</f>
        <v>0</v>
      </c>
      <c r="P95" s="1">
        <f>MEDIAN($C95)</f>
        <v>0</v>
      </c>
      <c r="Q95" s="1">
        <f>MEDIAN($D95)</f>
        <v>0</v>
      </c>
      <c r="R95" s="1">
        <f>MEDIAN($E95)</f>
        <v>0</v>
      </c>
      <c r="S95" s="1">
        <f>MEDIAN($G95)</f>
        <v>0</v>
      </c>
      <c r="T95" s="1">
        <f>MEDIAN($H95)</f>
        <v>0</v>
      </c>
      <c r="U95" s="1">
        <f>MAX($B95)</f>
        <v>0</v>
      </c>
      <c r="V95" s="1">
        <f>MAX($C95)</f>
        <v>0</v>
      </c>
      <c r="W95" s="1">
        <f>MAX($D95)</f>
        <v>0</v>
      </c>
      <c r="X95" s="1">
        <f>MAX($E95)</f>
        <v>0</v>
      </c>
      <c r="Y95" s="1">
        <f>MAX($G95)</f>
        <v>0</v>
      </c>
      <c r="Z95" s="1">
        <f>MAX($H95)</f>
        <v>0</v>
      </c>
    </row>
    <row r="96" spans="1:26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/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>
        <f>MIN($B96)</f>
        <v>0</v>
      </c>
      <c r="J96" s="1">
        <f>MIN($C96)</f>
        <v>0</v>
      </c>
      <c r="K96" s="1">
        <f>MIN($D96)</f>
        <v>0</v>
      </c>
      <c r="L96" s="1">
        <f>MIN($E96)</f>
        <v>0</v>
      </c>
      <c r="M96" s="1">
        <f>MIN($G96)</f>
        <v>0</v>
      </c>
      <c r="N96" s="1">
        <f>MIN($H96)</f>
        <v>0</v>
      </c>
      <c r="O96" s="1">
        <f>MEDIAN($B96)</f>
        <v>0</v>
      </c>
      <c r="P96" s="1">
        <f>MEDIAN($C96)</f>
        <v>0</v>
      </c>
      <c r="Q96" s="1">
        <f>MEDIAN($D96)</f>
        <v>0</v>
      </c>
      <c r="R96" s="1">
        <f>MEDIAN($E96)</f>
        <v>0</v>
      </c>
      <c r="S96" s="1">
        <f>MEDIAN($G96)</f>
        <v>0</v>
      </c>
      <c r="T96" s="1">
        <f>MEDIAN($H96)</f>
        <v>0</v>
      </c>
      <c r="U96" s="1">
        <f>MAX($B96)</f>
        <v>0</v>
      </c>
      <c r="V96" s="1">
        <f>MAX($C96)</f>
        <v>0</v>
      </c>
      <c r="W96" s="1">
        <f>MAX($D96)</f>
        <v>0</v>
      </c>
      <c r="X96" s="1">
        <f>MAX($E96)</f>
        <v>0</v>
      </c>
      <c r="Y96" s="1">
        <f>MAX($G96)</f>
        <v>0</v>
      </c>
      <c r="Z96" s="1">
        <f>MAX($H96)</f>
        <v>0</v>
      </c>
    </row>
    <row r="97" spans="1:26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/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>
        <f>MIN($B97)</f>
        <v>0</v>
      </c>
      <c r="J97" s="1">
        <f>MIN($C97)</f>
        <v>0</v>
      </c>
      <c r="K97" s="1">
        <f>MIN($D97)</f>
        <v>0</v>
      </c>
      <c r="L97" s="1">
        <f>MIN($E97)</f>
        <v>0</v>
      </c>
      <c r="M97" s="1">
        <f>MIN($G97)</f>
        <v>0</v>
      </c>
      <c r="N97" s="1">
        <f>MIN($H97)</f>
        <v>0</v>
      </c>
      <c r="O97" s="1">
        <f>MEDIAN($B97)</f>
        <v>0</v>
      </c>
      <c r="P97" s="1">
        <f>MEDIAN($C97)</f>
        <v>0</v>
      </c>
      <c r="Q97" s="1">
        <f>MEDIAN($D97)</f>
        <v>0</v>
      </c>
      <c r="R97" s="1">
        <f>MEDIAN($E97)</f>
        <v>0</v>
      </c>
      <c r="S97" s="1">
        <f>MEDIAN($G97)</f>
        <v>0</v>
      </c>
      <c r="T97" s="1">
        <f>MEDIAN($H97)</f>
        <v>0</v>
      </c>
      <c r="U97" s="1">
        <f>MAX($B97)</f>
        <v>0</v>
      </c>
      <c r="V97" s="1">
        <f>MAX($C97)</f>
        <v>0</v>
      </c>
      <c r="W97" s="1">
        <f>MAX($D97)</f>
        <v>0</v>
      </c>
      <c r="X97" s="1">
        <f>MAX($E97)</f>
        <v>0</v>
      </c>
      <c r="Y97" s="1">
        <f>MAX($G97)</f>
        <v>0</v>
      </c>
      <c r="Z97" s="1">
        <f>MAX($H97)</f>
        <v>0</v>
      </c>
    </row>
    <row r="98" spans="1:26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/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>
        <f>MIN($B98)</f>
        <v>0</v>
      </c>
      <c r="J98" s="1">
        <f>MIN($C98)</f>
        <v>0</v>
      </c>
      <c r="K98" s="1">
        <f>MIN($D98)</f>
        <v>0</v>
      </c>
      <c r="L98" s="1">
        <f>MIN($E98)</f>
        <v>0</v>
      </c>
      <c r="M98" s="1">
        <f>MIN($G98)</f>
        <v>0</v>
      </c>
      <c r="N98" s="1">
        <f>MIN($H98)</f>
        <v>0</v>
      </c>
      <c r="O98" s="1">
        <f>MEDIAN($B98)</f>
        <v>0</v>
      </c>
      <c r="P98" s="1">
        <f>MEDIAN($C98)</f>
        <v>0</v>
      </c>
      <c r="Q98" s="1">
        <f>MEDIAN($D98)</f>
        <v>0</v>
      </c>
      <c r="R98" s="1">
        <f>MEDIAN($E98)</f>
        <v>0</v>
      </c>
      <c r="S98" s="1">
        <f>MEDIAN($G98)</f>
        <v>0</v>
      </c>
      <c r="T98" s="1">
        <f>MEDIAN($H98)</f>
        <v>0</v>
      </c>
      <c r="U98" s="1">
        <f>MAX($B98)</f>
        <v>0</v>
      </c>
      <c r="V98" s="1">
        <f>MAX($C98)</f>
        <v>0</v>
      </c>
      <c r="W98" s="1">
        <f>MAX($D98)</f>
        <v>0</v>
      </c>
      <c r="X98" s="1">
        <f>MAX($E98)</f>
        <v>0</v>
      </c>
      <c r="Y98" s="1">
        <f>MAX($G98)</f>
        <v>0</v>
      </c>
      <c r="Z98" s="1">
        <f>MAX($H98)</f>
        <v>0</v>
      </c>
    </row>
    <row r="99" spans="1:26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/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>
        <f>MIN($B99)</f>
        <v>0</v>
      </c>
      <c r="J99" s="1">
        <f>MIN($C99)</f>
        <v>0</v>
      </c>
      <c r="K99" s="1">
        <f>MIN($D99)</f>
        <v>0</v>
      </c>
      <c r="L99" s="1">
        <f>MIN($E99)</f>
        <v>0</v>
      </c>
      <c r="M99" s="1">
        <f>MIN($G99)</f>
        <v>0</v>
      </c>
      <c r="N99" s="1">
        <f>MIN($H99)</f>
        <v>0</v>
      </c>
      <c r="O99" s="1">
        <f>MEDIAN($B99)</f>
        <v>0</v>
      </c>
      <c r="P99" s="1">
        <f>MEDIAN($C99)</f>
        <v>0</v>
      </c>
      <c r="Q99" s="1">
        <f>MEDIAN($D99)</f>
        <v>0</v>
      </c>
      <c r="R99" s="1">
        <f>MEDIAN($E99)</f>
        <v>0</v>
      </c>
      <c r="S99" s="1">
        <f>MEDIAN($G99)</f>
        <v>0</v>
      </c>
      <c r="T99" s="1">
        <f>MEDIAN($H99)</f>
        <v>0</v>
      </c>
      <c r="U99" s="1">
        <f>MAX($B99)</f>
        <v>0</v>
      </c>
      <c r="V99" s="1">
        <f>MAX($C99)</f>
        <v>0</v>
      </c>
      <c r="W99" s="1">
        <f>MAX($D99)</f>
        <v>0</v>
      </c>
      <c r="X99" s="1">
        <f>MAX($E99)</f>
        <v>0</v>
      </c>
      <c r="Y99" s="1">
        <f>MAX($G99)</f>
        <v>0</v>
      </c>
      <c r="Z99" s="1">
        <f>MAX($H99)</f>
        <v>0</v>
      </c>
    </row>
    <row r="100" spans="1:26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/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>
        <f>MIN($B100)</f>
        <v>0</v>
      </c>
      <c r="J100" s="1">
        <f>MIN($C100)</f>
        <v>0</v>
      </c>
      <c r="K100" s="1">
        <f>MIN($D100)</f>
        <v>0</v>
      </c>
      <c r="L100" s="1">
        <f>MIN($E100)</f>
        <v>0</v>
      </c>
      <c r="M100" s="1">
        <f>MIN($G100)</f>
        <v>0</v>
      </c>
      <c r="N100" s="1">
        <f>MIN($H100)</f>
        <v>0</v>
      </c>
      <c r="O100" s="1">
        <f>MEDIAN($B100)</f>
        <v>0</v>
      </c>
      <c r="P100" s="1">
        <f>MEDIAN($C100)</f>
        <v>0</v>
      </c>
      <c r="Q100" s="1">
        <f>MEDIAN($D100)</f>
        <v>0</v>
      </c>
      <c r="R100" s="1">
        <f>MEDIAN($E100)</f>
        <v>0</v>
      </c>
      <c r="S100" s="1">
        <f>MEDIAN($G100)</f>
        <v>0</v>
      </c>
      <c r="T100" s="1">
        <f>MEDIAN($H100)</f>
        <v>0</v>
      </c>
      <c r="U100" s="1">
        <f>MAX($B100)</f>
        <v>0</v>
      </c>
      <c r="V100" s="1">
        <f>MAX($C100)</f>
        <v>0</v>
      </c>
      <c r="W100" s="1">
        <f>MAX($D100)</f>
        <v>0</v>
      </c>
      <c r="X100" s="1">
        <f>MAX($E100)</f>
        <v>0</v>
      </c>
      <c r="Y100" s="1">
        <f>MAX($G100)</f>
        <v>0</v>
      </c>
      <c r="Z100" s="1">
        <f>MAX($H100)</f>
        <v>0</v>
      </c>
    </row>
    <row r="101" spans="1:26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/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>
        <f>MIN($B101)</f>
        <v>0</v>
      </c>
      <c r="J101" s="1">
        <f>MIN($C101)</f>
        <v>0</v>
      </c>
      <c r="K101" s="1">
        <f>MIN($D101)</f>
        <v>0</v>
      </c>
      <c r="L101" s="1">
        <f>MIN($E101)</f>
        <v>0</v>
      </c>
      <c r="M101" s="1">
        <f>MIN($G101)</f>
        <v>0</v>
      </c>
      <c r="N101" s="1">
        <f>MIN($H101)</f>
        <v>0</v>
      </c>
      <c r="O101" s="1">
        <f>MEDIAN($B101)</f>
        <v>0</v>
      </c>
      <c r="P101" s="1">
        <f>MEDIAN($C101)</f>
        <v>0</v>
      </c>
      <c r="Q101" s="1">
        <f>MEDIAN($D101)</f>
        <v>0</v>
      </c>
      <c r="R101" s="1">
        <f>MEDIAN($E101)</f>
        <v>0</v>
      </c>
      <c r="S101" s="1">
        <f>MEDIAN($G101)</f>
        <v>0</v>
      </c>
      <c r="T101" s="1">
        <f>MEDIAN($H101)</f>
        <v>0</v>
      </c>
      <c r="U101" s="1">
        <f>MAX($B101)</f>
        <v>0</v>
      </c>
      <c r="V101" s="1">
        <f>MAX($C101)</f>
        <v>0</v>
      </c>
      <c r="W101" s="1">
        <f>MAX($D101)</f>
        <v>0</v>
      </c>
      <c r="X101" s="1">
        <f>MAX($E101)</f>
        <v>0</v>
      </c>
      <c r="Y101" s="1">
        <f>MAX($G101)</f>
        <v>0</v>
      </c>
      <c r="Z101" s="1">
        <f>MAX($H101)</f>
        <v>0</v>
      </c>
    </row>
    <row r="102" spans="1:26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/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>
        <f>MIN($B102)</f>
        <v>0</v>
      </c>
      <c r="J102" s="1">
        <f>MIN($C102)</f>
        <v>0</v>
      </c>
      <c r="K102" s="1">
        <f>MIN($D102)</f>
        <v>0</v>
      </c>
      <c r="L102" s="1">
        <f>MIN($E102)</f>
        <v>0</v>
      </c>
      <c r="M102" s="1">
        <f>MIN($G102)</f>
        <v>0</v>
      </c>
      <c r="N102" s="1">
        <f>MIN($H102)</f>
        <v>0</v>
      </c>
      <c r="O102" s="1">
        <f>MEDIAN($B102)</f>
        <v>0</v>
      </c>
      <c r="P102" s="1">
        <f>MEDIAN($C102)</f>
        <v>0</v>
      </c>
      <c r="Q102" s="1">
        <f>MEDIAN($D102)</f>
        <v>0</v>
      </c>
      <c r="R102" s="1">
        <f>MEDIAN($E102)</f>
        <v>0</v>
      </c>
      <c r="S102" s="1">
        <f>MEDIAN($G102)</f>
        <v>0</v>
      </c>
      <c r="T102" s="1">
        <f>MEDIAN($H102)</f>
        <v>0</v>
      </c>
      <c r="U102" s="1">
        <f>MAX($B102)</f>
        <v>0</v>
      </c>
      <c r="V102" s="1">
        <f>MAX($C102)</f>
        <v>0</v>
      </c>
      <c r="W102" s="1">
        <f>MAX($D102)</f>
        <v>0</v>
      </c>
      <c r="X102" s="1">
        <f>MAX($E102)</f>
        <v>0</v>
      </c>
      <c r="Y102" s="1">
        <f>MAX($G102)</f>
        <v>0</v>
      </c>
      <c r="Z102" s="1">
        <f>MAX($H102)</f>
        <v>0</v>
      </c>
    </row>
    <row r="103" spans="1:26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/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>
        <f>MIN($B103)</f>
        <v>0</v>
      </c>
      <c r="J103" s="1">
        <f>MIN($C103)</f>
        <v>0</v>
      </c>
      <c r="K103" s="1">
        <f>MIN($D103)</f>
        <v>0</v>
      </c>
      <c r="L103" s="1">
        <f>MIN($E103)</f>
        <v>0</v>
      </c>
      <c r="M103" s="1">
        <f>MIN($G103)</f>
        <v>0</v>
      </c>
      <c r="N103" s="1">
        <f>MIN($H103)</f>
        <v>0</v>
      </c>
      <c r="O103" s="1">
        <f>MEDIAN($B103)</f>
        <v>0</v>
      </c>
      <c r="P103" s="1">
        <f>MEDIAN($C103)</f>
        <v>0</v>
      </c>
      <c r="Q103" s="1">
        <f>MEDIAN($D103)</f>
        <v>0</v>
      </c>
      <c r="R103" s="1">
        <f>MEDIAN($E103)</f>
        <v>0</v>
      </c>
      <c r="S103" s="1">
        <f>MEDIAN($G103)</f>
        <v>0</v>
      </c>
      <c r="T103" s="1">
        <f>MEDIAN($H103)</f>
        <v>0</v>
      </c>
      <c r="U103" s="1">
        <f>MAX($B103)</f>
        <v>0</v>
      </c>
      <c r="V103" s="1">
        <f>MAX($C103)</f>
        <v>0</v>
      </c>
      <c r="W103" s="1">
        <f>MAX($D103)</f>
        <v>0</v>
      </c>
      <c r="X103" s="1">
        <f>MAX($E103)</f>
        <v>0</v>
      </c>
      <c r="Y103" s="1">
        <f>MAX($G103)</f>
        <v>0</v>
      </c>
      <c r="Z103" s="1">
        <f>MAX($H103)</f>
        <v>0</v>
      </c>
    </row>
    <row r="104" spans="1:26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/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>
        <f>MIN($B104)</f>
        <v>0</v>
      </c>
      <c r="J104" s="1">
        <f>MIN($C104)</f>
        <v>0</v>
      </c>
      <c r="K104" s="1">
        <f>MIN($D104)</f>
        <v>0</v>
      </c>
      <c r="L104" s="1">
        <f>MIN($E104)</f>
        <v>0</v>
      </c>
      <c r="M104" s="1">
        <f>MIN($G104)</f>
        <v>0</v>
      </c>
      <c r="N104" s="1">
        <f>MIN($H104)</f>
        <v>0</v>
      </c>
      <c r="O104" s="1">
        <f>MEDIAN($B104)</f>
        <v>0</v>
      </c>
      <c r="P104" s="1">
        <f>MEDIAN($C104)</f>
        <v>0</v>
      </c>
      <c r="Q104" s="1">
        <f>MEDIAN($D104)</f>
        <v>0</v>
      </c>
      <c r="R104" s="1">
        <f>MEDIAN($E104)</f>
        <v>0</v>
      </c>
      <c r="S104" s="1">
        <f>MEDIAN($G104)</f>
        <v>0</v>
      </c>
      <c r="T104" s="1">
        <f>MEDIAN($H104)</f>
        <v>0</v>
      </c>
      <c r="U104" s="1">
        <f>MAX($B104)</f>
        <v>0</v>
      </c>
      <c r="V104" s="1">
        <f>MAX($C104)</f>
        <v>0</v>
      </c>
      <c r="W104" s="1">
        <f>MAX($D104)</f>
        <v>0</v>
      </c>
      <c r="X104" s="1">
        <f>MAX($E104)</f>
        <v>0</v>
      </c>
      <c r="Y104" s="1">
        <f>MAX($G104)</f>
        <v>0</v>
      </c>
      <c r="Z104" s="1">
        <f>MAX($H104)</f>
        <v>0</v>
      </c>
    </row>
    <row r="105" spans="1:26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/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>
        <f>MIN($B105)</f>
        <v>0</v>
      </c>
      <c r="J105" s="1">
        <f>MIN($C105)</f>
        <v>0</v>
      </c>
      <c r="K105" s="1">
        <f>MIN($D105)</f>
        <v>0</v>
      </c>
      <c r="L105" s="1">
        <f>MIN($E105)</f>
        <v>0</v>
      </c>
      <c r="M105" s="1">
        <f>MIN($G105)</f>
        <v>0</v>
      </c>
      <c r="N105" s="1">
        <f>MIN($H105)</f>
        <v>0</v>
      </c>
      <c r="O105" s="1">
        <f>MEDIAN($B105)</f>
        <v>0</v>
      </c>
      <c r="P105" s="1">
        <f>MEDIAN($C105)</f>
        <v>0</v>
      </c>
      <c r="Q105" s="1">
        <f>MEDIAN($D105)</f>
        <v>0</v>
      </c>
      <c r="R105" s="1">
        <f>MEDIAN($E105)</f>
        <v>0</v>
      </c>
      <c r="S105" s="1">
        <f>MEDIAN($G105)</f>
        <v>0</v>
      </c>
      <c r="T105" s="1">
        <f>MEDIAN($H105)</f>
        <v>0</v>
      </c>
      <c r="U105" s="1">
        <f>MAX($B105)</f>
        <v>0</v>
      </c>
      <c r="V105" s="1">
        <f>MAX($C105)</f>
        <v>0</v>
      </c>
      <c r="W105" s="1">
        <f>MAX($D105)</f>
        <v>0</v>
      </c>
      <c r="X105" s="1">
        <f>MAX($E105)</f>
        <v>0</v>
      </c>
      <c r="Y105" s="1">
        <f>MAX($G105)</f>
        <v>0</v>
      </c>
      <c r="Z105" s="1">
        <f>MAX($H105)</f>
        <v>0</v>
      </c>
    </row>
    <row r="106" spans="1:26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/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>
        <f>MIN($B106)</f>
        <v>0</v>
      </c>
      <c r="J106" s="1">
        <f>MIN($C106)</f>
        <v>0</v>
      </c>
      <c r="K106" s="1">
        <f>MIN($D106)</f>
        <v>0</v>
      </c>
      <c r="L106" s="1">
        <f>MIN($E106)</f>
        <v>0</v>
      </c>
      <c r="M106" s="1">
        <f>MIN($G106)</f>
        <v>0</v>
      </c>
      <c r="N106" s="1">
        <f>MIN($H106)</f>
        <v>0</v>
      </c>
      <c r="O106" s="1">
        <f>MEDIAN($B106)</f>
        <v>0</v>
      </c>
      <c r="P106" s="1">
        <f>MEDIAN($C106)</f>
        <v>0</v>
      </c>
      <c r="Q106" s="1">
        <f>MEDIAN($D106)</f>
        <v>0</v>
      </c>
      <c r="R106" s="1">
        <f>MEDIAN($E106)</f>
        <v>0</v>
      </c>
      <c r="S106" s="1">
        <f>MEDIAN($G106)</f>
        <v>0</v>
      </c>
      <c r="T106" s="1">
        <f>MEDIAN($H106)</f>
        <v>0</v>
      </c>
      <c r="U106" s="1">
        <f>MAX($B106)</f>
        <v>0</v>
      </c>
      <c r="V106" s="1">
        <f>MAX($C106)</f>
        <v>0</v>
      </c>
      <c r="W106" s="1">
        <f>MAX($D106)</f>
        <v>0</v>
      </c>
      <c r="X106" s="1">
        <f>MAX($E106)</f>
        <v>0</v>
      </c>
      <c r="Y106" s="1">
        <f>MAX($G106)</f>
        <v>0</v>
      </c>
      <c r="Z106" s="1">
        <f>MAX($H106)</f>
        <v>0</v>
      </c>
    </row>
    <row r="107" spans="1:26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/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>
        <f>MIN($B107)</f>
        <v>0</v>
      </c>
      <c r="J107" s="1">
        <f>MIN($C107)</f>
        <v>0</v>
      </c>
      <c r="K107" s="1">
        <f>MIN($D107)</f>
        <v>0</v>
      </c>
      <c r="L107" s="1">
        <f>MIN($E107)</f>
        <v>0</v>
      </c>
      <c r="M107" s="1">
        <f>MIN($G107)</f>
        <v>0</v>
      </c>
      <c r="N107" s="1">
        <f>MIN($H107)</f>
        <v>0</v>
      </c>
      <c r="O107" s="1">
        <f>MEDIAN($B107)</f>
        <v>0</v>
      </c>
      <c r="P107" s="1">
        <f>MEDIAN($C107)</f>
        <v>0</v>
      </c>
      <c r="Q107" s="1">
        <f>MEDIAN($D107)</f>
        <v>0</v>
      </c>
      <c r="R107" s="1">
        <f>MEDIAN($E107)</f>
        <v>0</v>
      </c>
      <c r="S107" s="1">
        <f>MEDIAN($G107)</f>
        <v>0</v>
      </c>
      <c r="T107" s="1">
        <f>MEDIAN($H107)</f>
        <v>0</v>
      </c>
      <c r="U107" s="1">
        <f>MAX($B107)</f>
        <v>0</v>
      </c>
      <c r="V107" s="1">
        <f>MAX($C107)</f>
        <v>0</v>
      </c>
      <c r="W107" s="1">
        <f>MAX($D107)</f>
        <v>0</v>
      </c>
      <c r="X107" s="1">
        <f>MAX($E107)</f>
        <v>0</v>
      </c>
      <c r="Y107" s="1">
        <f>MAX($G107)</f>
        <v>0</v>
      </c>
      <c r="Z107" s="1">
        <f>MAX($H107)</f>
        <v>0</v>
      </c>
    </row>
    <row r="108" spans="1:26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/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>
        <f>MIN($B108)</f>
        <v>0</v>
      </c>
      <c r="J108" s="1">
        <f>MIN($C108)</f>
        <v>0</v>
      </c>
      <c r="K108" s="1">
        <f>MIN($D108)</f>
        <v>0</v>
      </c>
      <c r="L108" s="1">
        <f>MIN($E108)</f>
        <v>0</v>
      </c>
      <c r="M108" s="1">
        <f>MIN($G108)</f>
        <v>0</v>
      </c>
      <c r="N108" s="1">
        <f>MIN($H108)</f>
        <v>0</v>
      </c>
      <c r="O108" s="1">
        <f>MEDIAN($B108)</f>
        <v>0</v>
      </c>
      <c r="P108" s="1">
        <f>MEDIAN($C108)</f>
        <v>0</v>
      </c>
      <c r="Q108" s="1">
        <f>MEDIAN($D108)</f>
        <v>0</v>
      </c>
      <c r="R108" s="1">
        <f>MEDIAN($E108)</f>
        <v>0</v>
      </c>
      <c r="S108" s="1">
        <f>MEDIAN($G108)</f>
        <v>0</v>
      </c>
      <c r="T108" s="1">
        <f>MEDIAN($H108)</f>
        <v>0</v>
      </c>
      <c r="U108" s="1">
        <f>MAX($B108)</f>
        <v>0</v>
      </c>
      <c r="V108" s="1">
        <f>MAX($C108)</f>
        <v>0</v>
      </c>
      <c r="W108" s="1">
        <f>MAX($D108)</f>
        <v>0</v>
      </c>
      <c r="X108" s="1">
        <f>MAX($E108)</f>
        <v>0</v>
      </c>
      <c r="Y108" s="1">
        <f>MAX($G108)</f>
        <v>0</v>
      </c>
      <c r="Z108" s="1">
        <f>MAX($H108)</f>
        <v>0</v>
      </c>
    </row>
    <row r="109" spans="1:26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/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>
        <f>MIN($B109)</f>
        <v>0</v>
      </c>
      <c r="J109" s="1">
        <f>MIN($C109)</f>
        <v>0</v>
      </c>
      <c r="K109" s="1">
        <f>MIN($D109)</f>
        <v>0</v>
      </c>
      <c r="L109" s="1">
        <f>MIN($E109)</f>
        <v>0</v>
      </c>
      <c r="M109" s="1">
        <f>MIN($G109)</f>
        <v>0</v>
      </c>
      <c r="N109" s="1">
        <f>MIN($H109)</f>
        <v>0</v>
      </c>
      <c r="O109" s="1">
        <f>MEDIAN($B109)</f>
        <v>0</v>
      </c>
      <c r="P109" s="1">
        <f>MEDIAN($C109)</f>
        <v>0</v>
      </c>
      <c r="Q109" s="1">
        <f>MEDIAN($D109)</f>
        <v>0</v>
      </c>
      <c r="R109" s="1">
        <f>MEDIAN($E109)</f>
        <v>0</v>
      </c>
      <c r="S109" s="1">
        <f>MEDIAN($G109)</f>
        <v>0</v>
      </c>
      <c r="T109" s="1">
        <f>MEDIAN($H109)</f>
        <v>0</v>
      </c>
      <c r="U109" s="1">
        <f>MAX($B109)</f>
        <v>0</v>
      </c>
      <c r="V109" s="1">
        <f>MAX($C109)</f>
        <v>0</v>
      </c>
      <c r="W109" s="1">
        <f>MAX($D109)</f>
        <v>0</v>
      </c>
      <c r="X109" s="1">
        <f>MAX($E109)</f>
        <v>0</v>
      </c>
      <c r="Y109" s="1">
        <f>MAX($G109)</f>
        <v>0</v>
      </c>
      <c r="Z109" s="1">
        <f>MAX($H109)</f>
        <v>0</v>
      </c>
    </row>
    <row r="110" spans="1:26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/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>
        <f>MIN($B110)</f>
        <v>0</v>
      </c>
      <c r="J110" s="1">
        <f>MIN($C110)</f>
        <v>0</v>
      </c>
      <c r="K110" s="1">
        <f>MIN($D110)</f>
        <v>0</v>
      </c>
      <c r="L110" s="1">
        <f>MIN($E110)</f>
        <v>0</v>
      </c>
      <c r="M110" s="1">
        <f>MIN($G110)</f>
        <v>0</v>
      </c>
      <c r="N110" s="1">
        <f>MIN($H110)</f>
        <v>0</v>
      </c>
      <c r="O110" s="1">
        <f>MEDIAN($B110)</f>
        <v>0</v>
      </c>
      <c r="P110" s="1">
        <f>MEDIAN($C110)</f>
        <v>0</v>
      </c>
      <c r="Q110" s="1">
        <f>MEDIAN($D110)</f>
        <v>0</v>
      </c>
      <c r="R110" s="1">
        <f>MEDIAN($E110)</f>
        <v>0</v>
      </c>
      <c r="S110" s="1">
        <f>MEDIAN($G110)</f>
        <v>0</v>
      </c>
      <c r="T110" s="1">
        <f>MEDIAN($H110)</f>
        <v>0</v>
      </c>
      <c r="U110" s="1">
        <f>MAX($B110)</f>
        <v>0</v>
      </c>
      <c r="V110" s="1">
        <f>MAX($C110)</f>
        <v>0</v>
      </c>
      <c r="W110" s="1">
        <f>MAX($D110)</f>
        <v>0</v>
      </c>
      <c r="X110" s="1">
        <f>MAX($E110)</f>
        <v>0</v>
      </c>
      <c r="Y110" s="1">
        <f>MAX($G110)</f>
        <v>0</v>
      </c>
      <c r="Z110" s="1">
        <f>MAX($H110)</f>
        <v>0</v>
      </c>
    </row>
    <row r="111" spans="1:26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/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>
        <f>MIN($B111)</f>
        <v>0</v>
      </c>
      <c r="J111" s="1">
        <f>MIN($C111)</f>
        <v>0</v>
      </c>
      <c r="K111" s="1">
        <f>MIN($D111)</f>
        <v>0</v>
      </c>
      <c r="L111" s="1">
        <f>MIN($E111)</f>
        <v>0</v>
      </c>
      <c r="M111" s="1">
        <f>MIN($G111)</f>
        <v>0</v>
      </c>
      <c r="N111" s="1">
        <f>MIN($H111)</f>
        <v>0</v>
      </c>
      <c r="O111" s="1">
        <f>MEDIAN($B111)</f>
        <v>0</v>
      </c>
      <c r="P111" s="1">
        <f>MEDIAN($C111)</f>
        <v>0</v>
      </c>
      <c r="Q111" s="1">
        <f>MEDIAN($D111)</f>
        <v>0</v>
      </c>
      <c r="R111" s="1">
        <f>MEDIAN($E111)</f>
        <v>0</v>
      </c>
      <c r="S111" s="1">
        <f>MEDIAN($G111)</f>
        <v>0</v>
      </c>
      <c r="T111" s="1">
        <f>MEDIAN($H111)</f>
        <v>0</v>
      </c>
      <c r="U111" s="1">
        <f>MAX($B111)</f>
        <v>0</v>
      </c>
      <c r="V111" s="1">
        <f>MAX($C111)</f>
        <v>0</v>
      </c>
      <c r="W111" s="1">
        <f>MAX($D111)</f>
        <v>0</v>
      </c>
      <c r="X111" s="1">
        <f>MAX($E111)</f>
        <v>0</v>
      </c>
      <c r="Y111" s="1">
        <f>MAX($G111)</f>
        <v>0</v>
      </c>
      <c r="Z111" s="1">
        <f>MAX($H111)</f>
        <v>0</v>
      </c>
    </row>
    <row r="112" spans="1:26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/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>
        <f>MIN($B112)</f>
        <v>0</v>
      </c>
      <c r="J112" s="1">
        <f>MIN($C112)</f>
        <v>0</v>
      </c>
      <c r="K112" s="1">
        <f>MIN($D112)</f>
        <v>0</v>
      </c>
      <c r="L112" s="1">
        <f>MIN($E112)</f>
        <v>0</v>
      </c>
      <c r="M112" s="1">
        <f>MIN($G112)</f>
        <v>0</v>
      </c>
      <c r="N112" s="1">
        <f>MIN($H112)</f>
        <v>0</v>
      </c>
      <c r="O112" s="1">
        <f>MEDIAN($B112)</f>
        <v>0</v>
      </c>
      <c r="P112" s="1">
        <f>MEDIAN($C112)</f>
        <v>0</v>
      </c>
      <c r="Q112" s="1">
        <f>MEDIAN($D112)</f>
        <v>0</v>
      </c>
      <c r="R112" s="1">
        <f>MEDIAN($E112)</f>
        <v>0</v>
      </c>
      <c r="S112" s="1">
        <f>MEDIAN($G112)</f>
        <v>0</v>
      </c>
      <c r="T112" s="1">
        <f>MEDIAN($H112)</f>
        <v>0</v>
      </c>
      <c r="U112" s="1">
        <f>MAX($B112)</f>
        <v>0</v>
      </c>
      <c r="V112" s="1">
        <f>MAX($C112)</f>
        <v>0</v>
      </c>
      <c r="W112" s="1">
        <f>MAX($D112)</f>
        <v>0</v>
      </c>
      <c r="X112" s="1">
        <f>MAX($E112)</f>
        <v>0</v>
      </c>
      <c r="Y112" s="1">
        <f>MAX($G112)</f>
        <v>0</v>
      </c>
      <c r="Z112" s="1">
        <f>MAX($H112)</f>
        <v>0</v>
      </c>
    </row>
    <row r="113" spans="1:26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/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>
        <f>MIN($B113)</f>
        <v>0</v>
      </c>
      <c r="J113" s="1">
        <f>MIN($C113)</f>
        <v>0</v>
      </c>
      <c r="K113" s="1">
        <f>MIN($D113)</f>
        <v>0</v>
      </c>
      <c r="L113" s="1">
        <f>MIN($E113)</f>
        <v>0</v>
      </c>
      <c r="M113" s="1">
        <f>MIN($G113)</f>
        <v>0</v>
      </c>
      <c r="N113" s="1">
        <f>MIN($H113)</f>
        <v>0</v>
      </c>
      <c r="O113" s="1">
        <f>MEDIAN($B113)</f>
        <v>0</v>
      </c>
      <c r="P113" s="1">
        <f>MEDIAN($C113)</f>
        <v>0</v>
      </c>
      <c r="Q113" s="1">
        <f>MEDIAN($D113)</f>
        <v>0</v>
      </c>
      <c r="R113" s="1">
        <f>MEDIAN($E113)</f>
        <v>0</v>
      </c>
      <c r="S113" s="1">
        <f>MEDIAN($G113)</f>
        <v>0</v>
      </c>
      <c r="T113" s="1">
        <f>MEDIAN($H113)</f>
        <v>0</v>
      </c>
      <c r="U113" s="1">
        <f>MAX($B113)</f>
        <v>0</v>
      </c>
      <c r="V113" s="1">
        <f>MAX($C113)</f>
        <v>0</v>
      </c>
      <c r="W113" s="1">
        <f>MAX($D113)</f>
        <v>0</v>
      </c>
      <c r="X113" s="1">
        <f>MAX($E113)</f>
        <v>0</v>
      </c>
      <c r="Y113" s="1">
        <f>MAX($G113)</f>
        <v>0</v>
      </c>
      <c r="Z113" s="1">
        <f>MAX($H113)</f>
        <v>0</v>
      </c>
    </row>
    <row r="114" spans="1:26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/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>
        <f>MIN($B114)</f>
        <v>0</v>
      </c>
      <c r="J114" s="1">
        <f>MIN($C114)</f>
        <v>0</v>
      </c>
      <c r="K114" s="1">
        <f>MIN($D114)</f>
        <v>0</v>
      </c>
      <c r="L114" s="1">
        <f>MIN($E114)</f>
        <v>0</v>
      </c>
      <c r="M114" s="1">
        <f>MIN($G114)</f>
        <v>0</v>
      </c>
      <c r="N114" s="1">
        <f>MIN($H114)</f>
        <v>0</v>
      </c>
      <c r="O114" s="1">
        <f>MEDIAN($B114)</f>
        <v>0</v>
      </c>
      <c r="P114" s="1">
        <f>MEDIAN($C114)</f>
        <v>0</v>
      </c>
      <c r="Q114" s="1">
        <f>MEDIAN($D114)</f>
        <v>0</v>
      </c>
      <c r="R114" s="1">
        <f>MEDIAN($E114)</f>
        <v>0</v>
      </c>
      <c r="S114" s="1">
        <f>MEDIAN($G114)</f>
        <v>0</v>
      </c>
      <c r="T114" s="1">
        <f>MEDIAN($H114)</f>
        <v>0</v>
      </c>
      <c r="U114" s="1">
        <f>MAX($B114)</f>
        <v>0</v>
      </c>
      <c r="V114" s="1">
        <f>MAX($C114)</f>
        <v>0</v>
      </c>
      <c r="W114" s="1">
        <f>MAX($D114)</f>
        <v>0</v>
      </c>
      <c r="X114" s="1">
        <f>MAX($E114)</f>
        <v>0</v>
      </c>
      <c r="Y114" s="1">
        <f>MAX($G114)</f>
        <v>0</v>
      </c>
      <c r="Z114" s="1">
        <f>MAX($H114)</f>
        <v>0</v>
      </c>
    </row>
    <row r="115" spans="1:26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/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>
        <f>MIN($B115)</f>
        <v>0</v>
      </c>
      <c r="J115" s="1">
        <f>MIN($C115)</f>
        <v>0</v>
      </c>
      <c r="K115" s="1">
        <f>MIN($D115)</f>
        <v>0</v>
      </c>
      <c r="L115" s="1">
        <f>MIN($E115)</f>
        <v>0</v>
      </c>
      <c r="M115" s="1">
        <f>MIN($G115)</f>
        <v>0</v>
      </c>
      <c r="N115" s="1">
        <f>MIN($H115)</f>
        <v>0</v>
      </c>
      <c r="O115" s="1">
        <f>MEDIAN($B115)</f>
        <v>0</v>
      </c>
      <c r="P115" s="1">
        <f>MEDIAN($C115)</f>
        <v>0</v>
      </c>
      <c r="Q115" s="1">
        <f>MEDIAN($D115)</f>
        <v>0</v>
      </c>
      <c r="R115" s="1">
        <f>MEDIAN($E115)</f>
        <v>0</v>
      </c>
      <c r="S115" s="1">
        <f>MEDIAN($G115)</f>
        <v>0</v>
      </c>
      <c r="T115" s="1">
        <f>MEDIAN($H115)</f>
        <v>0</v>
      </c>
      <c r="U115" s="1">
        <f>MAX($B115)</f>
        <v>0</v>
      </c>
      <c r="V115" s="1">
        <f>MAX($C115)</f>
        <v>0</v>
      </c>
      <c r="W115" s="1">
        <f>MAX($D115)</f>
        <v>0</v>
      </c>
      <c r="X115" s="1">
        <f>MAX($E115)</f>
        <v>0</v>
      </c>
      <c r="Y115" s="1">
        <f>MAX($G115)</f>
        <v>0</v>
      </c>
      <c r="Z115" s="1">
        <f>MAX($H115)</f>
        <v>0</v>
      </c>
    </row>
    <row r="116" spans="1:26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/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>
        <f>MIN($B116)</f>
        <v>0</v>
      </c>
      <c r="J116" s="1">
        <f>MIN($C116)</f>
        <v>0</v>
      </c>
      <c r="K116" s="1">
        <f>MIN($D116)</f>
        <v>0</v>
      </c>
      <c r="L116" s="1">
        <f>MIN($E116)</f>
        <v>0</v>
      </c>
      <c r="M116" s="1">
        <f>MIN($G116)</f>
        <v>0</v>
      </c>
      <c r="N116" s="1">
        <f>MIN($H116)</f>
        <v>0</v>
      </c>
      <c r="O116" s="1">
        <f>MEDIAN($B116)</f>
        <v>0</v>
      </c>
      <c r="P116" s="1">
        <f>MEDIAN($C116)</f>
        <v>0</v>
      </c>
      <c r="Q116" s="1">
        <f>MEDIAN($D116)</f>
        <v>0</v>
      </c>
      <c r="R116" s="1">
        <f>MEDIAN($E116)</f>
        <v>0</v>
      </c>
      <c r="S116" s="1">
        <f>MEDIAN($G116)</f>
        <v>0</v>
      </c>
      <c r="T116" s="1">
        <f>MEDIAN($H116)</f>
        <v>0</v>
      </c>
      <c r="U116" s="1">
        <f>MAX($B116)</f>
        <v>0</v>
      </c>
      <c r="V116" s="1">
        <f>MAX($C116)</f>
        <v>0</v>
      </c>
      <c r="W116" s="1">
        <f>MAX($D116)</f>
        <v>0</v>
      </c>
      <c r="X116" s="1">
        <f>MAX($E116)</f>
        <v>0</v>
      </c>
      <c r="Y116" s="1">
        <f>MAX($G116)</f>
        <v>0</v>
      </c>
      <c r="Z116" s="1">
        <f>MAX($H116)</f>
        <v>0</v>
      </c>
    </row>
    <row r="117" spans="1:26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/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>
        <f>MIN($B117)</f>
        <v>0</v>
      </c>
      <c r="J117" s="1">
        <f>MIN($C117)</f>
        <v>0</v>
      </c>
      <c r="K117" s="1">
        <f>MIN($D117)</f>
        <v>0</v>
      </c>
      <c r="L117" s="1">
        <f>MIN($E117)</f>
        <v>0</v>
      </c>
      <c r="M117" s="1">
        <f>MIN($G117)</f>
        <v>0</v>
      </c>
      <c r="N117" s="1">
        <f>MIN($H117)</f>
        <v>0</v>
      </c>
      <c r="O117" s="1">
        <f>MEDIAN($B117)</f>
        <v>0</v>
      </c>
      <c r="P117" s="1">
        <f>MEDIAN($C117)</f>
        <v>0</v>
      </c>
      <c r="Q117" s="1">
        <f>MEDIAN($D117)</f>
        <v>0</v>
      </c>
      <c r="R117" s="1">
        <f>MEDIAN($E117)</f>
        <v>0</v>
      </c>
      <c r="S117" s="1">
        <f>MEDIAN($G117)</f>
        <v>0</v>
      </c>
      <c r="T117" s="1">
        <f>MEDIAN($H117)</f>
        <v>0</v>
      </c>
      <c r="U117" s="1">
        <f>MAX($B117)</f>
        <v>0</v>
      </c>
      <c r="V117" s="1">
        <f>MAX($C117)</f>
        <v>0</v>
      </c>
      <c r="W117" s="1">
        <f>MAX($D117)</f>
        <v>0</v>
      </c>
      <c r="X117" s="1">
        <f>MAX($E117)</f>
        <v>0</v>
      </c>
      <c r="Y117" s="1">
        <f>MAX($G117)</f>
        <v>0</v>
      </c>
      <c r="Z117" s="1">
        <f>MAX($H117)</f>
        <v>0</v>
      </c>
    </row>
    <row r="118" spans="1:26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/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>
        <f>MIN($B118)</f>
        <v>0</v>
      </c>
      <c r="J118" s="1">
        <f>MIN($C118)</f>
        <v>0</v>
      </c>
      <c r="K118" s="1">
        <f>MIN($D118)</f>
        <v>0</v>
      </c>
      <c r="L118" s="1">
        <f>MIN($E118)</f>
        <v>0</v>
      </c>
      <c r="M118" s="1">
        <f>MIN($G118)</f>
        <v>0</v>
      </c>
      <c r="N118" s="1">
        <f>MIN($H118)</f>
        <v>0</v>
      </c>
      <c r="O118" s="1">
        <f>MEDIAN($B118)</f>
        <v>0</v>
      </c>
      <c r="P118" s="1">
        <f>MEDIAN($C118)</f>
        <v>0</v>
      </c>
      <c r="Q118" s="1">
        <f>MEDIAN($D118)</f>
        <v>0</v>
      </c>
      <c r="R118" s="1">
        <f>MEDIAN($E118)</f>
        <v>0</v>
      </c>
      <c r="S118" s="1">
        <f>MEDIAN($G118)</f>
        <v>0</v>
      </c>
      <c r="T118" s="1">
        <f>MEDIAN($H118)</f>
        <v>0</v>
      </c>
      <c r="U118" s="1">
        <f>MAX($B118)</f>
        <v>0</v>
      </c>
      <c r="V118" s="1">
        <f>MAX($C118)</f>
        <v>0</v>
      </c>
      <c r="W118" s="1">
        <f>MAX($D118)</f>
        <v>0</v>
      </c>
      <c r="X118" s="1">
        <f>MAX($E118)</f>
        <v>0</v>
      </c>
      <c r="Y118" s="1">
        <f>MAX($G118)</f>
        <v>0</v>
      </c>
      <c r="Z118" s="1">
        <f>MAX($H118)</f>
        <v>0</v>
      </c>
    </row>
    <row r="119" spans="1:26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/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>
        <f>MIN($B119)</f>
        <v>0</v>
      </c>
      <c r="J119" s="1">
        <f>MIN($C119)</f>
        <v>0</v>
      </c>
      <c r="K119" s="1">
        <f>MIN($D119)</f>
        <v>0</v>
      </c>
      <c r="L119" s="1">
        <f>MIN($E119)</f>
        <v>0</v>
      </c>
      <c r="M119" s="1">
        <f>MIN($G119)</f>
        <v>0</v>
      </c>
      <c r="N119" s="1">
        <f>MIN($H119)</f>
        <v>0</v>
      </c>
      <c r="O119" s="1">
        <f>MEDIAN($B119)</f>
        <v>0</v>
      </c>
      <c r="P119" s="1">
        <f>MEDIAN($C119)</f>
        <v>0</v>
      </c>
      <c r="Q119" s="1">
        <f>MEDIAN($D119)</f>
        <v>0</v>
      </c>
      <c r="R119" s="1">
        <f>MEDIAN($E119)</f>
        <v>0</v>
      </c>
      <c r="S119" s="1">
        <f>MEDIAN($G119)</f>
        <v>0</v>
      </c>
      <c r="T119" s="1">
        <f>MEDIAN($H119)</f>
        <v>0</v>
      </c>
      <c r="U119" s="1">
        <f>MAX($B119)</f>
        <v>0</v>
      </c>
      <c r="V119" s="1">
        <f>MAX($C119)</f>
        <v>0</v>
      </c>
      <c r="W119" s="1">
        <f>MAX($D119)</f>
        <v>0</v>
      </c>
      <c r="X119" s="1">
        <f>MAX($E119)</f>
        <v>0</v>
      </c>
      <c r="Y119" s="1">
        <f>MAX($G119)</f>
        <v>0</v>
      </c>
      <c r="Z119" s="1">
        <f>MAX($H119)</f>
        <v>0</v>
      </c>
    </row>
    <row r="120" spans="1:26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/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>
        <f>MIN($B120)</f>
        <v>0</v>
      </c>
      <c r="J120" s="1">
        <f>MIN($C120)</f>
        <v>0</v>
      </c>
      <c r="K120" s="1">
        <f>MIN($D120)</f>
        <v>0</v>
      </c>
      <c r="L120" s="1">
        <f>MIN($E120)</f>
        <v>0</v>
      </c>
      <c r="M120" s="1">
        <f>MIN($G120)</f>
        <v>0</v>
      </c>
      <c r="N120" s="1">
        <f>MIN($H120)</f>
        <v>0</v>
      </c>
      <c r="O120" s="1">
        <f>MEDIAN($B120)</f>
        <v>0</v>
      </c>
      <c r="P120" s="1">
        <f>MEDIAN($C120)</f>
        <v>0</v>
      </c>
      <c r="Q120" s="1">
        <f>MEDIAN($D120)</f>
        <v>0</v>
      </c>
      <c r="R120" s="1">
        <f>MEDIAN($E120)</f>
        <v>0</v>
      </c>
      <c r="S120" s="1">
        <f>MEDIAN($G120)</f>
        <v>0</v>
      </c>
      <c r="T120" s="1">
        <f>MEDIAN($H120)</f>
        <v>0</v>
      </c>
      <c r="U120" s="1">
        <f>MAX($B120)</f>
        <v>0</v>
      </c>
      <c r="V120" s="1">
        <f>MAX($C120)</f>
        <v>0</v>
      </c>
      <c r="W120" s="1">
        <f>MAX($D120)</f>
        <v>0</v>
      </c>
      <c r="X120" s="1">
        <f>MAX($E120)</f>
        <v>0</v>
      </c>
      <c r="Y120" s="1">
        <f>MAX($G120)</f>
        <v>0</v>
      </c>
      <c r="Z120" s="1">
        <f>MAX($H120)</f>
        <v>0</v>
      </c>
    </row>
    <row r="121" spans="1:26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/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>
        <f>MIN($B121)</f>
        <v>0</v>
      </c>
      <c r="J121" s="1">
        <f>MIN($C121)</f>
        <v>0</v>
      </c>
      <c r="K121" s="1">
        <f>MIN($D121)</f>
        <v>0</v>
      </c>
      <c r="L121" s="1">
        <f>MIN($E121)</f>
        <v>0</v>
      </c>
      <c r="M121" s="1">
        <f>MIN($G121)</f>
        <v>0</v>
      </c>
      <c r="N121" s="1">
        <f>MIN($H121)</f>
        <v>0</v>
      </c>
      <c r="O121" s="1">
        <f>MEDIAN($B121)</f>
        <v>0</v>
      </c>
      <c r="P121" s="1">
        <f>MEDIAN($C121)</f>
        <v>0</v>
      </c>
      <c r="Q121" s="1">
        <f>MEDIAN($D121)</f>
        <v>0</v>
      </c>
      <c r="R121" s="1">
        <f>MEDIAN($E121)</f>
        <v>0</v>
      </c>
      <c r="S121" s="1">
        <f>MEDIAN($G121)</f>
        <v>0</v>
      </c>
      <c r="T121" s="1">
        <f>MEDIAN($H121)</f>
        <v>0</v>
      </c>
      <c r="U121" s="1">
        <f>MAX($B121)</f>
        <v>0</v>
      </c>
      <c r="V121" s="1">
        <f>MAX($C121)</f>
        <v>0</v>
      </c>
      <c r="W121" s="1">
        <f>MAX($D121)</f>
        <v>0</v>
      </c>
      <c r="X121" s="1">
        <f>MAX($E121)</f>
        <v>0</v>
      </c>
      <c r="Y121" s="1">
        <f>MAX($G121)</f>
        <v>0</v>
      </c>
      <c r="Z121" s="1">
        <f>MAX($H121)</f>
        <v>0</v>
      </c>
    </row>
    <row r="122" spans="1:26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/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>
        <f>MIN($B122)</f>
        <v>0</v>
      </c>
      <c r="J122" s="1">
        <f>MIN($C122)</f>
        <v>0</v>
      </c>
      <c r="K122" s="1">
        <f>MIN($D122)</f>
        <v>0</v>
      </c>
      <c r="L122" s="1">
        <f>MIN($E122)</f>
        <v>0</v>
      </c>
      <c r="M122" s="1">
        <f>MIN($G122)</f>
        <v>0</v>
      </c>
      <c r="N122" s="1">
        <f>MIN($H122)</f>
        <v>0</v>
      </c>
      <c r="O122" s="1">
        <f>MEDIAN($B122)</f>
        <v>0</v>
      </c>
      <c r="P122" s="1">
        <f>MEDIAN($C122)</f>
        <v>0</v>
      </c>
      <c r="Q122" s="1">
        <f>MEDIAN($D122)</f>
        <v>0</v>
      </c>
      <c r="R122" s="1">
        <f>MEDIAN($E122)</f>
        <v>0</v>
      </c>
      <c r="S122" s="1">
        <f>MEDIAN($G122)</f>
        <v>0</v>
      </c>
      <c r="T122" s="1">
        <f>MEDIAN($H122)</f>
        <v>0</v>
      </c>
      <c r="U122" s="1">
        <f>MAX($B122)</f>
        <v>0</v>
      </c>
      <c r="V122" s="1">
        <f>MAX($C122)</f>
        <v>0</v>
      </c>
      <c r="W122" s="1">
        <f>MAX($D122)</f>
        <v>0</v>
      </c>
      <c r="X122" s="1">
        <f>MAX($E122)</f>
        <v>0</v>
      </c>
      <c r="Y122" s="1">
        <f>MAX($G122)</f>
        <v>0</v>
      </c>
      <c r="Z122" s="1">
        <f>MAX($H122)</f>
        <v>0</v>
      </c>
    </row>
    <row r="123" spans="1:26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/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>
        <f>MIN($B123)</f>
        <v>0</v>
      </c>
      <c r="J123" s="1">
        <f>MIN($C123)</f>
        <v>0</v>
      </c>
      <c r="K123" s="1">
        <f>MIN($D123)</f>
        <v>0</v>
      </c>
      <c r="L123" s="1">
        <f>MIN($E123)</f>
        <v>0</v>
      </c>
      <c r="M123" s="1">
        <f>MIN($G123)</f>
        <v>0</v>
      </c>
      <c r="N123" s="1">
        <f>MIN($H123)</f>
        <v>0</v>
      </c>
      <c r="O123" s="1">
        <f>MEDIAN($B123)</f>
        <v>0</v>
      </c>
      <c r="P123" s="1">
        <f>MEDIAN($C123)</f>
        <v>0</v>
      </c>
      <c r="Q123" s="1">
        <f>MEDIAN($D123)</f>
        <v>0</v>
      </c>
      <c r="R123" s="1">
        <f>MEDIAN($E123)</f>
        <v>0</v>
      </c>
      <c r="S123" s="1">
        <f>MEDIAN($G123)</f>
        <v>0</v>
      </c>
      <c r="T123" s="1">
        <f>MEDIAN($H123)</f>
        <v>0</v>
      </c>
      <c r="U123" s="1">
        <f>MAX($B123)</f>
        <v>0</v>
      </c>
      <c r="V123" s="1">
        <f>MAX($C123)</f>
        <v>0</v>
      </c>
      <c r="W123" s="1">
        <f>MAX($D123)</f>
        <v>0</v>
      </c>
      <c r="X123" s="1">
        <f>MAX($E123)</f>
        <v>0</v>
      </c>
      <c r="Y123" s="1">
        <f>MAX($G123)</f>
        <v>0</v>
      </c>
      <c r="Z123" s="1">
        <f>MAX($H123)</f>
        <v>0</v>
      </c>
    </row>
    <row r="124" spans="1:26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/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>
        <f>MIN($B124)</f>
        <v>0</v>
      </c>
      <c r="J124" s="1">
        <f>MIN($C124)</f>
        <v>0</v>
      </c>
      <c r="K124" s="1">
        <f>MIN($D124)</f>
        <v>0</v>
      </c>
      <c r="L124" s="1">
        <f>MIN($E124)</f>
        <v>0</v>
      </c>
      <c r="M124" s="1">
        <f>MIN($G124)</f>
        <v>0</v>
      </c>
      <c r="N124" s="1">
        <f>MIN($H124)</f>
        <v>0</v>
      </c>
      <c r="O124" s="1">
        <f>MEDIAN($B124)</f>
        <v>0</v>
      </c>
      <c r="P124" s="1">
        <f>MEDIAN($C124)</f>
        <v>0</v>
      </c>
      <c r="Q124" s="1">
        <f>MEDIAN($D124)</f>
        <v>0</v>
      </c>
      <c r="R124" s="1">
        <f>MEDIAN($E124)</f>
        <v>0</v>
      </c>
      <c r="S124" s="1">
        <f>MEDIAN($G124)</f>
        <v>0</v>
      </c>
      <c r="T124" s="1">
        <f>MEDIAN($H124)</f>
        <v>0</v>
      </c>
      <c r="U124" s="1">
        <f>MAX($B124)</f>
        <v>0</v>
      </c>
      <c r="V124" s="1">
        <f>MAX($C124)</f>
        <v>0</v>
      </c>
      <c r="W124" s="1">
        <f>MAX($D124)</f>
        <v>0</v>
      </c>
      <c r="X124" s="1">
        <f>MAX($E124)</f>
        <v>0</v>
      </c>
      <c r="Y124" s="1">
        <f>MAX($G124)</f>
        <v>0</v>
      </c>
      <c r="Z124" s="1">
        <f>MAX($H124)</f>
        <v>0</v>
      </c>
    </row>
    <row r="125" spans="1:26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/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>
        <f>MIN($B125)</f>
        <v>0</v>
      </c>
      <c r="J125" s="1">
        <f>MIN($C125)</f>
        <v>0</v>
      </c>
      <c r="K125" s="1">
        <f>MIN($D125)</f>
        <v>0</v>
      </c>
      <c r="L125" s="1">
        <f>MIN($E125)</f>
        <v>0</v>
      </c>
      <c r="M125" s="1">
        <f>MIN($G125)</f>
        <v>0</v>
      </c>
      <c r="N125" s="1">
        <f>MIN($H125)</f>
        <v>0</v>
      </c>
      <c r="O125" s="1">
        <f>MEDIAN($B125)</f>
        <v>0</v>
      </c>
      <c r="P125" s="1">
        <f>MEDIAN($C125)</f>
        <v>0</v>
      </c>
      <c r="Q125" s="1">
        <f>MEDIAN($D125)</f>
        <v>0</v>
      </c>
      <c r="R125" s="1">
        <f>MEDIAN($E125)</f>
        <v>0</v>
      </c>
      <c r="S125" s="1">
        <f>MEDIAN($G125)</f>
        <v>0</v>
      </c>
      <c r="T125" s="1">
        <f>MEDIAN($H125)</f>
        <v>0</v>
      </c>
      <c r="U125" s="1">
        <f>MAX($B125)</f>
        <v>0</v>
      </c>
      <c r="V125" s="1">
        <f>MAX($C125)</f>
        <v>0</v>
      </c>
      <c r="W125" s="1">
        <f>MAX($D125)</f>
        <v>0</v>
      </c>
      <c r="X125" s="1">
        <f>MAX($E125)</f>
        <v>0</v>
      </c>
      <c r="Y125" s="1">
        <f>MAX($G125)</f>
        <v>0</v>
      </c>
      <c r="Z125" s="1">
        <f>MAX($H125)</f>
        <v>0</v>
      </c>
    </row>
    <row r="126" spans="1:26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/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>
        <f>MIN($B126)</f>
        <v>0</v>
      </c>
      <c r="J126" s="1">
        <f>MIN($C126)</f>
        <v>0</v>
      </c>
      <c r="K126" s="1">
        <f>MIN($D126)</f>
        <v>0</v>
      </c>
      <c r="L126" s="1">
        <f>MIN($E126)</f>
        <v>0</v>
      </c>
      <c r="M126" s="1">
        <f>MIN($G126)</f>
        <v>0</v>
      </c>
      <c r="N126" s="1">
        <f>MIN($H126)</f>
        <v>0</v>
      </c>
      <c r="O126" s="1">
        <f>MEDIAN($B126)</f>
        <v>0</v>
      </c>
      <c r="P126" s="1">
        <f>MEDIAN($C126)</f>
        <v>0</v>
      </c>
      <c r="Q126" s="1">
        <f>MEDIAN($D126)</f>
        <v>0</v>
      </c>
      <c r="R126" s="1">
        <f>MEDIAN($E126)</f>
        <v>0</v>
      </c>
      <c r="S126" s="1">
        <f>MEDIAN($G126)</f>
        <v>0</v>
      </c>
      <c r="T126" s="1">
        <f>MEDIAN($H126)</f>
        <v>0</v>
      </c>
      <c r="U126" s="1">
        <f>MAX($B126)</f>
        <v>0</v>
      </c>
      <c r="V126" s="1">
        <f>MAX($C126)</f>
        <v>0</v>
      </c>
      <c r="W126" s="1">
        <f>MAX($D126)</f>
        <v>0</v>
      </c>
      <c r="X126" s="1">
        <f>MAX($E126)</f>
        <v>0</v>
      </c>
      <c r="Y126" s="1">
        <f>MAX($G126)</f>
        <v>0</v>
      </c>
      <c r="Z126" s="1">
        <f>MAX($H126)</f>
        <v>0</v>
      </c>
    </row>
    <row r="127" spans="1:26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/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>
        <f>MIN($B127)</f>
        <v>0</v>
      </c>
      <c r="J127" s="1">
        <f>MIN($C127)</f>
        <v>0</v>
      </c>
      <c r="K127" s="1">
        <f>MIN($D127)</f>
        <v>0</v>
      </c>
      <c r="L127" s="1">
        <f>MIN($E127)</f>
        <v>0</v>
      </c>
      <c r="M127" s="1">
        <f>MIN($G127)</f>
        <v>0</v>
      </c>
      <c r="N127" s="1">
        <f>MIN($H127)</f>
        <v>0</v>
      </c>
      <c r="O127" s="1">
        <f>MEDIAN($B127)</f>
        <v>0</v>
      </c>
      <c r="P127" s="1">
        <f>MEDIAN($C127)</f>
        <v>0</v>
      </c>
      <c r="Q127" s="1">
        <f>MEDIAN($D127)</f>
        <v>0</v>
      </c>
      <c r="R127" s="1">
        <f>MEDIAN($E127)</f>
        <v>0</v>
      </c>
      <c r="S127" s="1">
        <f>MEDIAN($G127)</f>
        <v>0</v>
      </c>
      <c r="T127" s="1">
        <f>MEDIAN($H127)</f>
        <v>0</v>
      </c>
      <c r="U127" s="1">
        <f>MAX($B127)</f>
        <v>0</v>
      </c>
      <c r="V127" s="1">
        <f>MAX($C127)</f>
        <v>0</v>
      </c>
      <c r="W127" s="1">
        <f>MAX($D127)</f>
        <v>0</v>
      </c>
      <c r="X127" s="1">
        <f>MAX($E127)</f>
        <v>0</v>
      </c>
      <c r="Y127" s="1">
        <f>MAX($G127)</f>
        <v>0</v>
      </c>
      <c r="Z127" s="1">
        <f>MAX($H127)</f>
        <v>0</v>
      </c>
    </row>
    <row r="128" spans="1:26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/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>
        <f>MIN($B128)</f>
        <v>0</v>
      </c>
      <c r="J128" s="1">
        <f>MIN($C128)</f>
        <v>0</v>
      </c>
      <c r="K128" s="1">
        <f>MIN($D128)</f>
        <v>0</v>
      </c>
      <c r="L128" s="1">
        <f>MIN($E128)</f>
        <v>0</v>
      </c>
      <c r="M128" s="1">
        <f>MIN($G128)</f>
        <v>0</v>
      </c>
      <c r="N128" s="1">
        <f>MIN($H128)</f>
        <v>0</v>
      </c>
      <c r="O128" s="1">
        <f>MEDIAN($B128)</f>
        <v>0</v>
      </c>
      <c r="P128" s="1">
        <f>MEDIAN($C128)</f>
        <v>0</v>
      </c>
      <c r="Q128" s="1">
        <f>MEDIAN($D128)</f>
        <v>0</v>
      </c>
      <c r="R128" s="1">
        <f>MEDIAN($E128)</f>
        <v>0</v>
      </c>
      <c r="S128" s="1">
        <f>MEDIAN($G128)</f>
        <v>0</v>
      </c>
      <c r="T128" s="1">
        <f>MEDIAN($H128)</f>
        <v>0</v>
      </c>
      <c r="U128" s="1">
        <f>MAX($B128)</f>
        <v>0</v>
      </c>
      <c r="V128" s="1">
        <f>MAX($C128)</f>
        <v>0</v>
      </c>
      <c r="W128" s="1">
        <f>MAX($D128)</f>
        <v>0</v>
      </c>
      <c r="X128" s="1">
        <f>MAX($E128)</f>
        <v>0</v>
      </c>
      <c r="Y128" s="1">
        <f>MAX($G128)</f>
        <v>0</v>
      </c>
      <c r="Z128" s="1">
        <f>MAX($H128)</f>
        <v>0</v>
      </c>
    </row>
    <row r="129" spans="1:26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/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>
        <f>MIN($B129)</f>
        <v>0</v>
      </c>
      <c r="J129" s="1">
        <f>MIN($C129)</f>
        <v>0</v>
      </c>
      <c r="K129" s="1">
        <f>MIN($D129)</f>
        <v>0</v>
      </c>
      <c r="L129" s="1">
        <f>MIN($E129)</f>
        <v>0</v>
      </c>
      <c r="M129" s="1">
        <f>MIN($G129)</f>
        <v>0</v>
      </c>
      <c r="N129" s="1">
        <f>MIN($H129)</f>
        <v>0</v>
      </c>
      <c r="O129" s="1">
        <f>MEDIAN($B129)</f>
        <v>0</v>
      </c>
      <c r="P129" s="1">
        <f>MEDIAN($C129)</f>
        <v>0</v>
      </c>
      <c r="Q129" s="1">
        <f>MEDIAN($D129)</f>
        <v>0</v>
      </c>
      <c r="R129" s="1">
        <f>MEDIAN($E129)</f>
        <v>0</v>
      </c>
      <c r="S129" s="1">
        <f>MEDIAN($G129)</f>
        <v>0</v>
      </c>
      <c r="T129" s="1">
        <f>MEDIAN($H129)</f>
        <v>0</v>
      </c>
      <c r="U129" s="1">
        <f>MAX($B129)</f>
        <v>0</v>
      </c>
      <c r="V129" s="1">
        <f>MAX($C129)</f>
        <v>0</v>
      </c>
      <c r="W129" s="1">
        <f>MAX($D129)</f>
        <v>0</v>
      </c>
      <c r="X129" s="1">
        <f>MAX($E129)</f>
        <v>0</v>
      </c>
      <c r="Y129" s="1">
        <f>MAX($G129)</f>
        <v>0</v>
      </c>
      <c r="Z129" s="1">
        <f>MAX($H129)</f>
        <v>0</v>
      </c>
    </row>
    <row r="130" spans="1:26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/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>
        <f>MIN($B130)</f>
        <v>0</v>
      </c>
      <c r="J130" s="1">
        <f>MIN($C130)</f>
        <v>0</v>
      </c>
      <c r="K130" s="1">
        <f>MIN($D130)</f>
        <v>0</v>
      </c>
      <c r="L130" s="1">
        <f>MIN($E130)</f>
        <v>0</v>
      </c>
      <c r="M130" s="1">
        <f>MIN($G130)</f>
        <v>0</v>
      </c>
      <c r="N130" s="1">
        <f>MIN($H130)</f>
        <v>0</v>
      </c>
      <c r="O130" s="1">
        <f>MEDIAN($B130)</f>
        <v>0</v>
      </c>
      <c r="P130" s="1">
        <f>MEDIAN($C130)</f>
        <v>0</v>
      </c>
      <c r="Q130" s="1">
        <f>MEDIAN($D130)</f>
        <v>0</v>
      </c>
      <c r="R130" s="1">
        <f>MEDIAN($E130)</f>
        <v>0</v>
      </c>
      <c r="S130" s="1">
        <f>MEDIAN($G130)</f>
        <v>0</v>
      </c>
      <c r="T130" s="1">
        <f>MEDIAN($H130)</f>
        <v>0</v>
      </c>
      <c r="U130" s="1">
        <f>MAX($B130)</f>
        <v>0</v>
      </c>
      <c r="V130" s="1">
        <f>MAX($C130)</f>
        <v>0</v>
      </c>
      <c r="W130" s="1">
        <f>MAX($D130)</f>
        <v>0</v>
      </c>
      <c r="X130" s="1">
        <f>MAX($E130)</f>
        <v>0</v>
      </c>
      <c r="Y130" s="1">
        <f>MAX($G130)</f>
        <v>0</v>
      </c>
      <c r="Z130" s="1">
        <f>MAX($H130)</f>
        <v>0</v>
      </c>
    </row>
    <row r="131" spans="1:26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/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>
        <f>MIN($B131)</f>
        <v>0</v>
      </c>
      <c r="J131" s="1">
        <f>MIN($C131)</f>
        <v>0</v>
      </c>
      <c r="K131" s="1">
        <f>MIN($D131)</f>
        <v>0</v>
      </c>
      <c r="L131" s="1">
        <f>MIN($E131)</f>
        <v>0</v>
      </c>
      <c r="M131" s="1">
        <f>MIN($G131)</f>
        <v>0</v>
      </c>
      <c r="N131" s="1">
        <f>MIN($H131)</f>
        <v>0</v>
      </c>
      <c r="O131" s="1">
        <f>MEDIAN($B131)</f>
        <v>0</v>
      </c>
      <c r="P131" s="1">
        <f>MEDIAN($C131)</f>
        <v>0</v>
      </c>
      <c r="Q131" s="1">
        <f>MEDIAN($D131)</f>
        <v>0</v>
      </c>
      <c r="R131" s="1">
        <f>MEDIAN($E131)</f>
        <v>0</v>
      </c>
      <c r="S131" s="1">
        <f>MEDIAN($G131)</f>
        <v>0</v>
      </c>
      <c r="T131" s="1">
        <f>MEDIAN($H131)</f>
        <v>0</v>
      </c>
      <c r="U131" s="1">
        <f>MAX($B131)</f>
        <v>0</v>
      </c>
      <c r="V131" s="1">
        <f>MAX($C131)</f>
        <v>0</v>
      </c>
      <c r="W131" s="1">
        <f>MAX($D131)</f>
        <v>0</v>
      </c>
      <c r="X131" s="1">
        <f>MAX($E131)</f>
        <v>0</v>
      </c>
      <c r="Y131" s="1">
        <f>MAX($G131)</f>
        <v>0</v>
      </c>
      <c r="Z131" s="1">
        <f>MAX($H131)</f>
        <v>0</v>
      </c>
    </row>
    <row r="132" spans="1:26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/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>
        <f>MIN($B132)</f>
        <v>0</v>
      </c>
      <c r="J132" s="1">
        <f>MIN($C132)</f>
        <v>0</v>
      </c>
      <c r="K132" s="1">
        <f>MIN($D132)</f>
        <v>0</v>
      </c>
      <c r="L132" s="1">
        <f>MIN($E132)</f>
        <v>0</v>
      </c>
      <c r="M132" s="1">
        <f>MIN($G132)</f>
        <v>0</v>
      </c>
      <c r="N132" s="1">
        <f>MIN($H132)</f>
        <v>0</v>
      </c>
      <c r="O132" s="1">
        <f>MEDIAN($B132)</f>
        <v>0</v>
      </c>
      <c r="P132" s="1">
        <f>MEDIAN($C132)</f>
        <v>0</v>
      </c>
      <c r="Q132" s="1">
        <f>MEDIAN($D132)</f>
        <v>0</v>
      </c>
      <c r="R132" s="1">
        <f>MEDIAN($E132)</f>
        <v>0</v>
      </c>
      <c r="S132" s="1">
        <f>MEDIAN($G132)</f>
        <v>0</v>
      </c>
      <c r="T132" s="1">
        <f>MEDIAN($H132)</f>
        <v>0</v>
      </c>
      <c r="U132" s="1">
        <f>MAX($B132)</f>
        <v>0</v>
      </c>
      <c r="V132" s="1">
        <f>MAX($C132)</f>
        <v>0</v>
      </c>
      <c r="W132" s="1">
        <f>MAX($D132)</f>
        <v>0</v>
      </c>
      <c r="X132" s="1">
        <f>MAX($E132)</f>
        <v>0</v>
      </c>
      <c r="Y132" s="1">
        <f>MAX($G132)</f>
        <v>0</v>
      </c>
      <c r="Z132" s="1">
        <f>MAX($H132)</f>
        <v>0</v>
      </c>
    </row>
    <row r="133" spans="1:26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/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>
        <f>MIN($B133)</f>
        <v>0</v>
      </c>
      <c r="J133" s="1">
        <f>MIN($C133)</f>
        <v>0</v>
      </c>
      <c r="K133" s="1">
        <f>MIN($D133)</f>
        <v>0</v>
      </c>
      <c r="L133" s="1">
        <f>MIN($E133)</f>
        <v>0</v>
      </c>
      <c r="M133" s="1">
        <f>MIN($G133)</f>
        <v>0</v>
      </c>
      <c r="N133" s="1">
        <f>MIN($H133)</f>
        <v>0</v>
      </c>
      <c r="O133" s="1">
        <f>MEDIAN($B133)</f>
        <v>0</v>
      </c>
      <c r="P133" s="1">
        <f>MEDIAN($C133)</f>
        <v>0</v>
      </c>
      <c r="Q133" s="1">
        <f>MEDIAN($D133)</f>
        <v>0</v>
      </c>
      <c r="R133" s="1">
        <f>MEDIAN($E133)</f>
        <v>0</v>
      </c>
      <c r="S133" s="1">
        <f>MEDIAN($G133)</f>
        <v>0</v>
      </c>
      <c r="T133" s="1">
        <f>MEDIAN($H133)</f>
        <v>0</v>
      </c>
      <c r="U133" s="1">
        <f>MAX($B133)</f>
        <v>0</v>
      </c>
      <c r="V133" s="1">
        <f>MAX($C133)</f>
        <v>0</v>
      </c>
      <c r="W133" s="1">
        <f>MAX($D133)</f>
        <v>0</v>
      </c>
      <c r="X133" s="1">
        <f>MAX($E133)</f>
        <v>0</v>
      </c>
      <c r="Y133" s="1">
        <f>MAX($G133)</f>
        <v>0</v>
      </c>
      <c r="Z133" s="1">
        <f>MAX($H133)</f>
        <v>0</v>
      </c>
    </row>
    <row r="134" spans="1:26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/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>
        <f>MIN($B134)</f>
        <v>0</v>
      </c>
      <c r="J134" s="1">
        <f>MIN($C134)</f>
        <v>0</v>
      </c>
      <c r="K134" s="1">
        <f>MIN($D134)</f>
        <v>0</v>
      </c>
      <c r="L134" s="1">
        <f>MIN($E134)</f>
        <v>0</v>
      </c>
      <c r="M134" s="1">
        <f>MIN($G134)</f>
        <v>0</v>
      </c>
      <c r="N134" s="1">
        <f>MIN($H134)</f>
        <v>0</v>
      </c>
      <c r="O134" s="1">
        <f>MEDIAN($B134)</f>
        <v>0</v>
      </c>
      <c r="P134" s="1">
        <f>MEDIAN($C134)</f>
        <v>0</v>
      </c>
      <c r="Q134" s="1">
        <f>MEDIAN($D134)</f>
        <v>0</v>
      </c>
      <c r="R134" s="1">
        <f>MEDIAN($E134)</f>
        <v>0</v>
      </c>
      <c r="S134" s="1">
        <f>MEDIAN($G134)</f>
        <v>0</v>
      </c>
      <c r="T134" s="1">
        <f>MEDIAN($H134)</f>
        <v>0</v>
      </c>
      <c r="U134" s="1">
        <f>MAX($B134)</f>
        <v>0</v>
      </c>
      <c r="V134" s="1">
        <f>MAX($C134)</f>
        <v>0</v>
      </c>
      <c r="W134" s="1">
        <f>MAX($D134)</f>
        <v>0</v>
      </c>
      <c r="X134" s="1">
        <f>MAX($E134)</f>
        <v>0</v>
      </c>
      <c r="Y134" s="1">
        <f>MAX($G134)</f>
        <v>0</v>
      </c>
      <c r="Z134" s="1">
        <f>MAX($H134)</f>
        <v>0</v>
      </c>
    </row>
    <row r="135" spans="1:26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/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>
        <f>MIN($B135)</f>
        <v>0</v>
      </c>
      <c r="J135" s="1">
        <f>MIN($C135)</f>
        <v>0</v>
      </c>
      <c r="K135" s="1">
        <f>MIN($D135)</f>
        <v>0</v>
      </c>
      <c r="L135" s="1">
        <f>MIN($E135)</f>
        <v>0</v>
      </c>
      <c r="M135" s="1">
        <f>MIN($G135)</f>
        <v>0</v>
      </c>
      <c r="N135" s="1">
        <f>MIN($H135)</f>
        <v>0</v>
      </c>
      <c r="O135" s="1">
        <f>MEDIAN($B135)</f>
        <v>0</v>
      </c>
      <c r="P135" s="1">
        <f>MEDIAN($C135)</f>
        <v>0</v>
      </c>
      <c r="Q135" s="1">
        <f>MEDIAN($D135)</f>
        <v>0</v>
      </c>
      <c r="R135" s="1">
        <f>MEDIAN($E135)</f>
        <v>0</v>
      </c>
      <c r="S135" s="1">
        <f>MEDIAN($G135)</f>
        <v>0</v>
      </c>
      <c r="T135" s="1">
        <f>MEDIAN($H135)</f>
        <v>0</v>
      </c>
      <c r="U135" s="1">
        <f>MAX($B135)</f>
        <v>0</v>
      </c>
      <c r="V135" s="1">
        <f>MAX($C135)</f>
        <v>0</v>
      </c>
      <c r="W135" s="1">
        <f>MAX($D135)</f>
        <v>0</v>
      </c>
      <c r="X135" s="1">
        <f>MAX($E135)</f>
        <v>0</v>
      </c>
      <c r="Y135" s="1">
        <f>MAX($G135)</f>
        <v>0</v>
      </c>
      <c r="Z135" s="1">
        <f>MAX($H135)</f>
        <v>0</v>
      </c>
    </row>
    <row r="136" spans="1:26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/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>
        <f>MIN($B136)</f>
        <v>0</v>
      </c>
      <c r="J136" s="1">
        <f>MIN($C136)</f>
        <v>0</v>
      </c>
      <c r="K136" s="1">
        <f>MIN($D136)</f>
        <v>0</v>
      </c>
      <c r="L136" s="1">
        <f>MIN($E136)</f>
        <v>0</v>
      </c>
      <c r="M136" s="1">
        <f>MIN($G136)</f>
        <v>0</v>
      </c>
      <c r="N136" s="1">
        <f>MIN($H136)</f>
        <v>0</v>
      </c>
      <c r="O136" s="1">
        <f>MEDIAN($B136)</f>
        <v>0</v>
      </c>
      <c r="P136" s="1">
        <f>MEDIAN($C136)</f>
        <v>0</v>
      </c>
      <c r="Q136" s="1">
        <f>MEDIAN($D136)</f>
        <v>0</v>
      </c>
      <c r="R136" s="1">
        <f>MEDIAN($E136)</f>
        <v>0</v>
      </c>
      <c r="S136" s="1">
        <f>MEDIAN($G136)</f>
        <v>0</v>
      </c>
      <c r="T136" s="1">
        <f>MEDIAN($H136)</f>
        <v>0</v>
      </c>
      <c r="U136" s="1">
        <f>MAX($B136)</f>
        <v>0</v>
      </c>
      <c r="V136" s="1">
        <f>MAX($C136)</f>
        <v>0</v>
      </c>
      <c r="W136" s="1">
        <f>MAX($D136)</f>
        <v>0</v>
      </c>
      <c r="X136" s="1">
        <f>MAX($E136)</f>
        <v>0</v>
      </c>
      <c r="Y136" s="1">
        <f>MAX($G136)</f>
        <v>0</v>
      </c>
      <c r="Z136" s="1">
        <f>MAX($H136)</f>
        <v>0</v>
      </c>
    </row>
    <row r="137" spans="1:26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/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>
        <f>MIN($B137)</f>
        <v>0</v>
      </c>
      <c r="J137" s="1">
        <f>MIN($C137)</f>
        <v>0</v>
      </c>
      <c r="K137" s="1">
        <f>MIN($D137)</f>
        <v>0</v>
      </c>
      <c r="L137" s="1">
        <f>MIN($E137)</f>
        <v>0</v>
      </c>
      <c r="M137" s="1">
        <f>MIN($G137)</f>
        <v>0</v>
      </c>
      <c r="N137" s="1">
        <f>MIN($H137)</f>
        <v>0</v>
      </c>
      <c r="O137" s="1">
        <f>MEDIAN($B137)</f>
        <v>0</v>
      </c>
      <c r="P137" s="1">
        <f>MEDIAN($C137)</f>
        <v>0</v>
      </c>
      <c r="Q137" s="1">
        <f>MEDIAN($D137)</f>
        <v>0</v>
      </c>
      <c r="R137" s="1">
        <f>MEDIAN($E137)</f>
        <v>0</v>
      </c>
      <c r="S137" s="1">
        <f>MEDIAN($G137)</f>
        <v>0</v>
      </c>
      <c r="T137" s="1">
        <f>MEDIAN($H137)</f>
        <v>0</v>
      </c>
      <c r="U137" s="1">
        <f>MAX($B137)</f>
        <v>0</v>
      </c>
      <c r="V137" s="1">
        <f>MAX($C137)</f>
        <v>0</v>
      </c>
      <c r="W137" s="1">
        <f>MAX($D137)</f>
        <v>0</v>
      </c>
      <c r="X137" s="1">
        <f>MAX($E137)</f>
        <v>0</v>
      </c>
      <c r="Y137" s="1">
        <f>MAX($G137)</f>
        <v>0</v>
      </c>
      <c r="Z137" s="1">
        <f>MAX($H137)</f>
        <v>0</v>
      </c>
    </row>
    <row r="138" spans="1:26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/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>
        <f>MIN($B138)</f>
        <v>0</v>
      </c>
      <c r="J138" s="1">
        <f>MIN($C138)</f>
        <v>0</v>
      </c>
      <c r="K138" s="1">
        <f>MIN($D138)</f>
        <v>0</v>
      </c>
      <c r="L138" s="1">
        <f>MIN($E138)</f>
        <v>0</v>
      </c>
      <c r="M138" s="1">
        <f>MIN($G138)</f>
        <v>0</v>
      </c>
      <c r="N138" s="1">
        <f>MIN($H138)</f>
        <v>0</v>
      </c>
      <c r="O138" s="1">
        <f>MEDIAN($B138)</f>
        <v>0</v>
      </c>
      <c r="P138" s="1">
        <f>MEDIAN($C138)</f>
        <v>0</v>
      </c>
      <c r="Q138" s="1">
        <f>MEDIAN($D138)</f>
        <v>0</v>
      </c>
      <c r="R138" s="1">
        <f>MEDIAN($E138)</f>
        <v>0</v>
      </c>
      <c r="S138" s="1">
        <f>MEDIAN($G138)</f>
        <v>0</v>
      </c>
      <c r="T138" s="1">
        <f>MEDIAN($H138)</f>
        <v>0</v>
      </c>
      <c r="U138" s="1">
        <f>MAX($B138)</f>
        <v>0</v>
      </c>
      <c r="V138" s="1">
        <f>MAX($C138)</f>
        <v>0</v>
      </c>
      <c r="W138" s="1">
        <f>MAX($D138)</f>
        <v>0</v>
      </c>
      <c r="X138" s="1">
        <f>MAX($E138)</f>
        <v>0</v>
      </c>
      <c r="Y138" s="1">
        <f>MAX($G138)</f>
        <v>0</v>
      </c>
      <c r="Z138" s="1">
        <f>MAX($H138)</f>
        <v>0</v>
      </c>
    </row>
    <row r="139" spans="1:26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/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>
        <f>MIN($B139)</f>
        <v>0</v>
      </c>
      <c r="J139" s="1">
        <f>MIN($C139)</f>
        <v>0</v>
      </c>
      <c r="K139" s="1">
        <f>MIN($D139)</f>
        <v>0</v>
      </c>
      <c r="L139" s="1">
        <f>MIN($E139)</f>
        <v>0</v>
      </c>
      <c r="M139" s="1">
        <f>MIN($G139)</f>
        <v>0</v>
      </c>
      <c r="N139" s="1">
        <f>MIN($H139)</f>
        <v>0</v>
      </c>
      <c r="O139" s="1">
        <f>MEDIAN($B139)</f>
        <v>0</v>
      </c>
      <c r="P139" s="1">
        <f>MEDIAN($C139)</f>
        <v>0</v>
      </c>
      <c r="Q139" s="1">
        <f>MEDIAN($D139)</f>
        <v>0</v>
      </c>
      <c r="R139" s="1">
        <f>MEDIAN($E139)</f>
        <v>0</v>
      </c>
      <c r="S139" s="1">
        <f>MEDIAN($G139)</f>
        <v>0</v>
      </c>
      <c r="T139" s="1">
        <f>MEDIAN($H139)</f>
        <v>0</v>
      </c>
      <c r="U139" s="1">
        <f>MAX($B139)</f>
        <v>0</v>
      </c>
      <c r="V139" s="1">
        <f>MAX($C139)</f>
        <v>0</v>
      </c>
      <c r="W139" s="1">
        <f>MAX($D139)</f>
        <v>0</v>
      </c>
      <c r="X139" s="1">
        <f>MAX($E139)</f>
        <v>0</v>
      </c>
      <c r="Y139" s="1">
        <f>MAX($G139)</f>
        <v>0</v>
      </c>
      <c r="Z139" s="1">
        <f>MAX($H139)</f>
        <v>0</v>
      </c>
    </row>
    <row r="140" spans="1:26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/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>
        <f>MIN($B140)</f>
        <v>0</v>
      </c>
      <c r="J140" s="1">
        <f>MIN($C140)</f>
        <v>0</v>
      </c>
      <c r="K140" s="1">
        <f>MIN($D140)</f>
        <v>0</v>
      </c>
      <c r="L140" s="1">
        <f>MIN($E140)</f>
        <v>0</v>
      </c>
      <c r="M140" s="1">
        <f>MIN($G140)</f>
        <v>0</v>
      </c>
      <c r="N140" s="1">
        <f>MIN($H140)</f>
        <v>0</v>
      </c>
      <c r="O140" s="1">
        <f>MEDIAN($B140)</f>
        <v>0</v>
      </c>
      <c r="P140" s="1">
        <f>MEDIAN($C140)</f>
        <v>0</v>
      </c>
      <c r="Q140" s="1">
        <f>MEDIAN($D140)</f>
        <v>0</v>
      </c>
      <c r="R140" s="1">
        <f>MEDIAN($E140)</f>
        <v>0</v>
      </c>
      <c r="S140" s="1">
        <f>MEDIAN($G140)</f>
        <v>0</v>
      </c>
      <c r="T140" s="1">
        <f>MEDIAN($H140)</f>
        <v>0</v>
      </c>
      <c r="U140" s="1">
        <f>MAX($B140)</f>
        <v>0</v>
      </c>
      <c r="V140" s="1">
        <f>MAX($C140)</f>
        <v>0</v>
      </c>
      <c r="W140" s="1">
        <f>MAX($D140)</f>
        <v>0</v>
      </c>
      <c r="X140" s="1">
        <f>MAX($E140)</f>
        <v>0</v>
      </c>
      <c r="Y140" s="1">
        <f>MAX($G140)</f>
        <v>0</v>
      </c>
      <c r="Z140" s="1">
        <f>MAX($H140)</f>
        <v>0</v>
      </c>
    </row>
    <row r="141" spans="1:26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/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>
        <f>MIN($B141)</f>
        <v>0</v>
      </c>
      <c r="J141" s="1">
        <f>MIN($C141)</f>
        <v>0</v>
      </c>
      <c r="K141" s="1">
        <f>MIN($D141)</f>
        <v>0</v>
      </c>
      <c r="L141" s="1">
        <f>MIN($E141)</f>
        <v>0</v>
      </c>
      <c r="M141" s="1">
        <f>MIN($G141)</f>
        <v>0</v>
      </c>
      <c r="N141" s="1">
        <f>MIN($H141)</f>
        <v>0</v>
      </c>
      <c r="O141" s="1">
        <f>MEDIAN($B141)</f>
        <v>0</v>
      </c>
      <c r="P141" s="1">
        <f>MEDIAN($C141)</f>
        <v>0</v>
      </c>
      <c r="Q141" s="1">
        <f>MEDIAN($D141)</f>
        <v>0</v>
      </c>
      <c r="R141" s="1">
        <f>MEDIAN($E141)</f>
        <v>0</v>
      </c>
      <c r="S141" s="1">
        <f>MEDIAN($G141)</f>
        <v>0</v>
      </c>
      <c r="T141" s="1">
        <f>MEDIAN($H141)</f>
        <v>0</v>
      </c>
      <c r="U141" s="1">
        <f>MAX($B141)</f>
        <v>0</v>
      </c>
      <c r="V141" s="1">
        <f>MAX($C141)</f>
        <v>0</v>
      </c>
      <c r="W141" s="1">
        <f>MAX($D141)</f>
        <v>0</v>
      </c>
      <c r="X141" s="1">
        <f>MAX($E141)</f>
        <v>0</v>
      </c>
      <c r="Y141" s="1">
        <f>MAX($G141)</f>
        <v>0</v>
      </c>
      <c r="Z141" s="1">
        <f>MAX($H141)</f>
        <v>0</v>
      </c>
    </row>
    <row r="142" spans="1:26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/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>
        <f>MIN($B142)</f>
        <v>0</v>
      </c>
      <c r="J142" s="1">
        <f>MIN($C142)</f>
        <v>0</v>
      </c>
      <c r="K142" s="1">
        <f>MIN($D142)</f>
        <v>0</v>
      </c>
      <c r="L142" s="1">
        <f>MIN($E142)</f>
        <v>0</v>
      </c>
      <c r="M142" s="1">
        <f>MIN($G142)</f>
        <v>0</v>
      </c>
      <c r="N142" s="1">
        <f>MIN($H142)</f>
        <v>0</v>
      </c>
      <c r="O142" s="1">
        <f>MEDIAN($B142)</f>
        <v>0</v>
      </c>
      <c r="P142" s="1">
        <f>MEDIAN($C142)</f>
        <v>0</v>
      </c>
      <c r="Q142" s="1">
        <f>MEDIAN($D142)</f>
        <v>0</v>
      </c>
      <c r="R142" s="1">
        <f>MEDIAN($E142)</f>
        <v>0</v>
      </c>
      <c r="S142" s="1">
        <f>MEDIAN($G142)</f>
        <v>0</v>
      </c>
      <c r="T142" s="1">
        <f>MEDIAN($H142)</f>
        <v>0</v>
      </c>
      <c r="U142" s="1">
        <f>MAX($B142)</f>
        <v>0</v>
      </c>
      <c r="V142" s="1">
        <f>MAX($C142)</f>
        <v>0</v>
      </c>
      <c r="W142" s="1">
        <f>MAX($D142)</f>
        <v>0</v>
      </c>
      <c r="X142" s="1">
        <f>MAX($E142)</f>
        <v>0</v>
      </c>
      <c r="Y142" s="1">
        <f>MAX($G142)</f>
        <v>0</v>
      </c>
      <c r="Z142" s="1">
        <f>MAX($H142)</f>
        <v>0</v>
      </c>
    </row>
    <row r="143" spans="1:26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/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>
        <f>MIN($B143)</f>
        <v>0</v>
      </c>
      <c r="J143" s="1">
        <f>MIN($C143)</f>
        <v>0</v>
      </c>
      <c r="K143" s="1">
        <f>MIN($D143)</f>
        <v>0</v>
      </c>
      <c r="L143" s="1">
        <f>MIN($E143)</f>
        <v>0</v>
      </c>
      <c r="M143" s="1">
        <f>MIN($G143)</f>
        <v>0</v>
      </c>
      <c r="N143" s="1">
        <f>MIN($H143)</f>
        <v>0</v>
      </c>
      <c r="O143" s="1">
        <f>MEDIAN($B143)</f>
        <v>0</v>
      </c>
      <c r="P143" s="1">
        <f>MEDIAN($C143)</f>
        <v>0</v>
      </c>
      <c r="Q143" s="1">
        <f>MEDIAN($D143)</f>
        <v>0</v>
      </c>
      <c r="R143" s="1">
        <f>MEDIAN($E143)</f>
        <v>0</v>
      </c>
      <c r="S143" s="1">
        <f>MEDIAN($G143)</f>
        <v>0</v>
      </c>
      <c r="T143" s="1">
        <f>MEDIAN($H143)</f>
        <v>0</v>
      </c>
      <c r="U143" s="1">
        <f>MAX($B143)</f>
        <v>0</v>
      </c>
      <c r="V143" s="1">
        <f>MAX($C143)</f>
        <v>0</v>
      </c>
      <c r="W143" s="1">
        <f>MAX($D143)</f>
        <v>0</v>
      </c>
      <c r="X143" s="1">
        <f>MAX($E143)</f>
        <v>0</v>
      </c>
      <c r="Y143" s="1">
        <f>MAX($G143)</f>
        <v>0</v>
      </c>
      <c r="Z143" s="1">
        <f>MAX($H143)</f>
        <v>0</v>
      </c>
    </row>
    <row r="144" spans="1:26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/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>
        <f>MIN($B144)</f>
        <v>0</v>
      </c>
      <c r="J144" s="1">
        <f>MIN($C144)</f>
        <v>0</v>
      </c>
      <c r="K144" s="1">
        <f>MIN($D144)</f>
        <v>0</v>
      </c>
      <c r="L144" s="1">
        <f>MIN($E144)</f>
        <v>0</v>
      </c>
      <c r="M144" s="1">
        <f>MIN($G144)</f>
        <v>0</v>
      </c>
      <c r="N144" s="1">
        <f>MIN($H144)</f>
        <v>0</v>
      </c>
      <c r="O144" s="1">
        <f>MEDIAN($B144)</f>
        <v>0</v>
      </c>
      <c r="P144" s="1">
        <f>MEDIAN($C144)</f>
        <v>0</v>
      </c>
      <c r="Q144" s="1">
        <f>MEDIAN($D144)</f>
        <v>0</v>
      </c>
      <c r="R144" s="1">
        <f>MEDIAN($E144)</f>
        <v>0</v>
      </c>
      <c r="S144" s="1">
        <f>MEDIAN($G144)</f>
        <v>0</v>
      </c>
      <c r="T144" s="1">
        <f>MEDIAN($H144)</f>
        <v>0</v>
      </c>
      <c r="U144" s="1">
        <f>MAX($B144)</f>
        <v>0</v>
      </c>
      <c r="V144" s="1">
        <f>MAX($C144)</f>
        <v>0</v>
      </c>
      <c r="W144" s="1">
        <f>MAX($D144)</f>
        <v>0</v>
      </c>
      <c r="X144" s="1">
        <f>MAX($E144)</f>
        <v>0</v>
      </c>
      <c r="Y144" s="1">
        <f>MAX($G144)</f>
        <v>0</v>
      </c>
      <c r="Z144" s="1">
        <f>MAX($H144)</f>
        <v>0</v>
      </c>
    </row>
    <row r="145" spans="1:26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/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>
        <f>MIN($B145)</f>
        <v>0</v>
      </c>
      <c r="J145" s="1">
        <f>MIN($C145)</f>
        <v>0</v>
      </c>
      <c r="K145" s="1">
        <f>MIN($D145)</f>
        <v>0</v>
      </c>
      <c r="L145" s="1">
        <f>MIN($E145)</f>
        <v>0</v>
      </c>
      <c r="M145" s="1">
        <f>MIN($G145)</f>
        <v>0</v>
      </c>
      <c r="N145" s="1">
        <f>MIN($H145)</f>
        <v>0</v>
      </c>
      <c r="O145" s="1">
        <f>MEDIAN($B145)</f>
        <v>0</v>
      </c>
      <c r="P145" s="1">
        <f>MEDIAN($C145)</f>
        <v>0</v>
      </c>
      <c r="Q145" s="1">
        <f>MEDIAN($D145)</f>
        <v>0</v>
      </c>
      <c r="R145" s="1">
        <f>MEDIAN($E145)</f>
        <v>0</v>
      </c>
      <c r="S145" s="1">
        <f>MEDIAN($G145)</f>
        <v>0</v>
      </c>
      <c r="T145" s="1">
        <f>MEDIAN($H145)</f>
        <v>0</v>
      </c>
      <c r="U145" s="1">
        <f>MAX($B145)</f>
        <v>0</v>
      </c>
      <c r="V145" s="1">
        <f>MAX($C145)</f>
        <v>0</v>
      </c>
      <c r="W145" s="1">
        <f>MAX($D145)</f>
        <v>0</v>
      </c>
      <c r="X145" s="1">
        <f>MAX($E145)</f>
        <v>0</v>
      </c>
      <c r="Y145" s="1">
        <f>MAX($G145)</f>
        <v>0</v>
      </c>
      <c r="Z145" s="1">
        <f>MAX($H145)</f>
        <v>0</v>
      </c>
    </row>
    <row r="146" spans="1:26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/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>
        <f>MIN($B146)</f>
        <v>0</v>
      </c>
      <c r="J146" s="1">
        <f>MIN($C146)</f>
        <v>0</v>
      </c>
      <c r="K146" s="1">
        <f>MIN($D146)</f>
        <v>0</v>
      </c>
      <c r="L146" s="1">
        <f>MIN($E146)</f>
        <v>0</v>
      </c>
      <c r="M146" s="1">
        <f>MIN($G146)</f>
        <v>0</v>
      </c>
      <c r="N146" s="1">
        <f>MIN($H146)</f>
        <v>0</v>
      </c>
      <c r="O146" s="1">
        <f>MEDIAN($B146)</f>
        <v>0</v>
      </c>
      <c r="P146" s="1">
        <f>MEDIAN($C146)</f>
        <v>0</v>
      </c>
      <c r="Q146" s="1">
        <f>MEDIAN($D146)</f>
        <v>0</v>
      </c>
      <c r="R146" s="1">
        <f>MEDIAN($E146)</f>
        <v>0</v>
      </c>
      <c r="S146" s="1">
        <f>MEDIAN($G146)</f>
        <v>0</v>
      </c>
      <c r="T146" s="1">
        <f>MEDIAN($H146)</f>
        <v>0</v>
      </c>
      <c r="U146" s="1">
        <f>MAX($B146)</f>
        <v>0</v>
      </c>
      <c r="V146" s="1">
        <f>MAX($C146)</f>
        <v>0</v>
      </c>
      <c r="W146" s="1">
        <f>MAX($D146)</f>
        <v>0</v>
      </c>
      <c r="X146" s="1">
        <f>MAX($E146)</f>
        <v>0</v>
      </c>
      <c r="Y146" s="1">
        <f>MAX($G146)</f>
        <v>0</v>
      </c>
      <c r="Z146" s="1">
        <f>MAX($H146)</f>
        <v>0</v>
      </c>
    </row>
    <row r="147" spans="1:26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/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>
        <f>MIN($B147)</f>
        <v>0</v>
      </c>
      <c r="J147" s="1">
        <f>MIN($C147)</f>
        <v>0</v>
      </c>
      <c r="K147" s="1">
        <f>MIN($D147)</f>
        <v>0</v>
      </c>
      <c r="L147" s="1">
        <f>MIN($E147)</f>
        <v>0</v>
      </c>
      <c r="M147" s="1">
        <f>MIN($G147)</f>
        <v>0</v>
      </c>
      <c r="N147" s="1">
        <f>MIN($H147)</f>
        <v>0</v>
      </c>
      <c r="O147" s="1">
        <f>MEDIAN($B147)</f>
        <v>0</v>
      </c>
      <c r="P147" s="1">
        <f>MEDIAN($C147)</f>
        <v>0</v>
      </c>
      <c r="Q147" s="1">
        <f>MEDIAN($D147)</f>
        <v>0</v>
      </c>
      <c r="R147" s="1">
        <f>MEDIAN($E147)</f>
        <v>0</v>
      </c>
      <c r="S147" s="1">
        <f>MEDIAN($G147)</f>
        <v>0</v>
      </c>
      <c r="T147" s="1">
        <f>MEDIAN($H147)</f>
        <v>0</v>
      </c>
      <c r="U147" s="1">
        <f>MAX($B147)</f>
        <v>0</v>
      </c>
      <c r="V147" s="1">
        <f>MAX($C147)</f>
        <v>0</v>
      </c>
      <c r="W147" s="1">
        <f>MAX($D147)</f>
        <v>0</v>
      </c>
      <c r="X147" s="1">
        <f>MAX($E147)</f>
        <v>0</v>
      </c>
      <c r="Y147" s="1">
        <f>MAX($G147)</f>
        <v>0</v>
      </c>
      <c r="Z147" s="1">
        <f>MAX($H147)</f>
        <v>0</v>
      </c>
    </row>
    <row r="148" spans="1:26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/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>
        <f>MIN($B148)</f>
        <v>0</v>
      </c>
      <c r="J148" s="1">
        <f>MIN($C148)</f>
        <v>0</v>
      </c>
      <c r="K148" s="1">
        <f>MIN($D148)</f>
        <v>0</v>
      </c>
      <c r="L148" s="1">
        <f>MIN($E148)</f>
        <v>0</v>
      </c>
      <c r="M148" s="1">
        <f>MIN($G148)</f>
        <v>0</v>
      </c>
      <c r="N148" s="1">
        <f>MIN($H148)</f>
        <v>0</v>
      </c>
      <c r="O148" s="1">
        <f>MEDIAN($B148)</f>
        <v>0</v>
      </c>
      <c r="P148" s="1">
        <f>MEDIAN($C148)</f>
        <v>0</v>
      </c>
      <c r="Q148" s="1">
        <f>MEDIAN($D148)</f>
        <v>0</v>
      </c>
      <c r="R148" s="1">
        <f>MEDIAN($E148)</f>
        <v>0</v>
      </c>
      <c r="S148" s="1">
        <f>MEDIAN($G148)</f>
        <v>0</v>
      </c>
      <c r="T148" s="1">
        <f>MEDIAN($H148)</f>
        <v>0</v>
      </c>
      <c r="U148" s="1">
        <f>MAX($B148)</f>
        <v>0</v>
      </c>
      <c r="V148" s="1">
        <f>MAX($C148)</f>
        <v>0</v>
      </c>
      <c r="W148" s="1">
        <f>MAX($D148)</f>
        <v>0</v>
      </c>
      <c r="X148" s="1">
        <f>MAX($E148)</f>
        <v>0</v>
      </c>
      <c r="Y148" s="1">
        <f>MAX($G148)</f>
        <v>0</v>
      </c>
      <c r="Z148" s="1">
        <f>MAX($H148)</f>
        <v>0</v>
      </c>
    </row>
    <row r="149" spans="1:26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/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>
        <f>MIN($B149)</f>
        <v>0</v>
      </c>
      <c r="J149" s="1">
        <f>MIN($C149)</f>
        <v>0</v>
      </c>
      <c r="K149" s="1">
        <f>MIN($D149)</f>
        <v>0</v>
      </c>
      <c r="L149" s="1">
        <f>MIN($E149)</f>
        <v>0</v>
      </c>
      <c r="M149" s="1">
        <f>MIN($G149)</f>
        <v>0</v>
      </c>
      <c r="N149" s="1">
        <f>MIN($H149)</f>
        <v>0</v>
      </c>
      <c r="O149" s="1">
        <f>MEDIAN($B149)</f>
        <v>0</v>
      </c>
      <c r="P149" s="1">
        <f>MEDIAN($C149)</f>
        <v>0</v>
      </c>
      <c r="Q149" s="1">
        <f>MEDIAN($D149)</f>
        <v>0</v>
      </c>
      <c r="R149" s="1">
        <f>MEDIAN($E149)</f>
        <v>0</v>
      </c>
      <c r="S149" s="1">
        <f>MEDIAN($G149)</f>
        <v>0</v>
      </c>
      <c r="T149" s="1">
        <f>MEDIAN($H149)</f>
        <v>0</v>
      </c>
      <c r="U149" s="1">
        <f>MAX($B149)</f>
        <v>0</v>
      </c>
      <c r="V149" s="1">
        <f>MAX($C149)</f>
        <v>0</v>
      </c>
      <c r="W149" s="1">
        <f>MAX($D149)</f>
        <v>0</v>
      </c>
      <c r="X149" s="1">
        <f>MAX($E149)</f>
        <v>0</v>
      </c>
      <c r="Y149" s="1">
        <f>MAX($G149)</f>
        <v>0</v>
      </c>
      <c r="Z149" s="1">
        <f>MAX($H149)</f>
        <v>0</v>
      </c>
    </row>
    <row r="150" spans="1:26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/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>
        <f>MIN($B150)</f>
        <v>0</v>
      </c>
      <c r="J150" s="1">
        <f>MIN($C150)</f>
        <v>0</v>
      </c>
      <c r="K150" s="1">
        <f>MIN($D150)</f>
        <v>0</v>
      </c>
      <c r="L150" s="1">
        <f>MIN($E150)</f>
        <v>0</v>
      </c>
      <c r="M150" s="1">
        <f>MIN($G150)</f>
        <v>0</v>
      </c>
      <c r="N150" s="1">
        <f>MIN($H150)</f>
        <v>0</v>
      </c>
      <c r="O150" s="1">
        <f>MEDIAN($B150)</f>
        <v>0</v>
      </c>
      <c r="P150" s="1">
        <f>MEDIAN($C150)</f>
        <v>0</v>
      </c>
      <c r="Q150" s="1">
        <f>MEDIAN($D150)</f>
        <v>0</v>
      </c>
      <c r="R150" s="1">
        <f>MEDIAN($E150)</f>
        <v>0</v>
      </c>
      <c r="S150" s="1">
        <f>MEDIAN($G150)</f>
        <v>0</v>
      </c>
      <c r="T150" s="1">
        <f>MEDIAN($H150)</f>
        <v>0</v>
      </c>
      <c r="U150" s="1">
        <f>MAX($B150)</f>
        <v>0</v>
      </c>
      <c r="V150" s="1">
        <f>MAX($C150)</f>
        <v>0</v>
      </c>
      <c r="W150" s="1">
        <f>MAX($D150)</f>
        <v>0</v>
      </c>
      <c r="X150" s="1">
        <f>MAX($E150)</f>
        <v>0</v>
      </c>
      <c r="Y150" s="1">
        <f>MAX($G150)</f>
        <v>0</v>
      </c>
      <c r="Z150" s="1">
        <f>MAX($H150)</f>
        <v>0</v>
      </c>
    </row>
    <row r="151" spans="1:26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/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>
        <f>MIN($B151)</f>
        <v>0</v>
      </c>
      <c r="J151" s="1">
        <f>MIN($C151)</f>
        <v>0</v>
      </c>
      <c r="K151" s="1">
        <f>MIN($D151)</f>
        <v>0</v>
      </c>
      <c r="L151" s="1">
        <f>MIN($E151)</f>
        <v>0</v>
      </c>
      <c r="M151" s="1">
        <f>MIN($G151)</f>
        <v>0</v>
      </c>
      <c r="N151" s="1">
        <f>MIN($H151)</f>
        <v>0</v>
      </c>
      <c r="O151" s="1">
        <f>MEDIAN($B151)</f>
        <v>0</v>
      </c>
      <c r="P151" s="1">
        <f>MEDIAN($C151)</f>
        <v>0</v>
      </c>
      <c r="Q151" s="1">
        <f>MEDIAN($D151)</f>
        <v>0</v>
      </c>
      <c r="R151" s="1">
        <f>MEDIAN($E151)</f>
        <v>0</v>
      </c>
      <c r="S151" s="1">
        <f>MEDIAN($G151)</f>
        <v>0</v>
      </c>
      <c r="T151" s="1">
        <f>MEDIAN($H151)</f>
        <v>0</v>
      </c>
      <c r="U151" s="1">
        <f>MAX($B151)</f>
        <v>0</v>
      </c>
      <c r="V151" s="1">
        <f>MAX($C151)</f>
        <v>0</v>
      </c>
      <c r="W151" s="1">
        <f>MAX($D151)</f>
        <v>0</v>
      </c>
      <c r="X151" s="1">
        <f>MAX($E151)</f>
        <v>0</v>
      </c>
      <c r="Y151" s="1">
        <f>MAX($G151)</f>
        <v>0</v>
      </c>
      <c r="Z151" s="1">
        <f>MAX($H151)</f>
        <v>0</v>
      </c>
    </row>
    <row r="152" spans="1:26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/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>
        <f>MIN($B152)</f>
        <v>0</v>
      </c>
      <c r="J152" s="1">
        <f>MIN($C152)</f>
        <v>0</v>
      </c>
      <c r="K152" s="1">
        <f>MIN($D152)</f>
        <v>0</v>
      </c>
      <c r="L152" s="1">
        <f>MIN($E152)</f>
        <v>0</v>
      </c>
      <c r="M152" s="1">
        <f>MIN($G152)</f>
        <v>0</v>
      </c>
      <c r="N152" s="1">
        <f>MIN($H152)</f>
        <v>0</v>
      </c>
      <c r="O152" s="1">
        <f>MEDIAN($B152)</f>
        <v>0</v>
      </c>
      <c r="P152" s="1">
        <f>MEDIAN($C152)</f>
        <v>0</v>
      </c>
      <c r="Q152" s="1">
        <f>MEDIAN($D152)</f>
        <v>0</v>
      </c>
      <c r="R152" s="1">
        <f>MEDIAN($E152)</f>
        <v>0</v>
      </c>
      <c r="S152" s="1">
        <f>MEDIAN($G152)</f>
        <v>0</v>
      </c>
      <c r="T152" s="1">
        <f>MEDIAN($H152)</f>
        <v>0</v>
      </c>
      <c r="U152" s="1">
        <f>MAX($B152)</f>
        <v>0</v>
      </c>
      <c r="V152" s="1">
        <f>MAX($C152)</f>
        <v>0</v>
      </c>
      <c r="W152" s="1">
        <f>MAX($D152)</f>
        <v>0</v>
      </c>
      <c r="X152" s="1">
        <f>MAX($E152)</f>
        <v>0</v>
      </c>
      <c r="Y152" s="1">
        <f>MAX($G152)</f>
        <v>0</v>
      </c>
      <c r="Z152" s="1">
        <f>MAX($H152)</f>
        <v>0</v>
      </c>
    </row>
    <row r="153" spans="1:26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/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>
        <f>MIN($B153)</f>
        <v>0</v>
      </c>
      <c r="J153" s="1">
        <f>MIN($C153)</f>
        <v>0</v>
      </c>
      <c r="K153" s="1">
        <f>MIN($D153)</f>
        <v>0</v>
      </c>
      <c r="L153" s="1">
        <f>MIN($E153)</f>
        <v>0</v>
      </c>
      <c r="M153" s="1">
        <f>MIN($G153)</f>
        <v>0</v>
      </c>
      <c r="N153" s="1">
        <f>MIN($H153)</f>
        <v>0</v>
      </c>
      <c r="O153" s="1">
        <f>MEDIAN($B153)</f>
        <v>0</v>
      </c>
      <c r="P153" s="1">
        <f>MEDIAN($C153)</f>
        <v>0</v>
      </c>
      <c r="Q153" s="1">
        <f>MEDIAN($D153)</f>
        <v>0</v>
      </c>
      <c r="R153" s="1">
        <f>MEDIAN($E153)</f>
        <v>0</v>
      </c>
      <c r="S153" s="1">
        <f>MEDIAN($G153)</f>
        <v>0</v>
      </c>
      <c r="T153" s="1">
        <f>MEDIAN($H153)</f>
        <v>0</v>
      </c>
      <c r="U153" s="1">
        <f>MAX($B153)</f>
        <v>0</v>
      </c>
      <c r="V153" s="1">
        <f>MAX($C153)</f>
        <v>0</v>
      </c>
      <c r="W153" s="1">
        <f>MAX($D153)</f>
        <v>0</v>
      </c>
      <c r="X153" s="1">
        <f>MAX($E153)</f>
        <v>0</v>
      </c>
      <c r="Y153" s="1">
        <f>MAX($G153)</f>
        <v>0</v>
      </c>
      <c r="Z153" s="1">
        <f>MAX($H153)</f>
        <v>0</v>
      </c>
    </row>
    <row r="154" spans="1:26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/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>
        <f>MIN($B154)</f>
        <v>0</v>
      </c>
      <c r="J154" s="1">
        <f>MIN($C154)</f>
        <v>0</v>
      </c>
      <c r="K154" s="1">
        <f>MIN($D154)</f>
        <v>0</v>
      </c>
      <c r="L154" s="1">
        <f>MIN($E154)</f>
        <v>0</v>
      </c>
      <c r="M154" s="1">
        <f>MIN($G154)</f>
        <v>0</v>
      </c>
      <c r="N154" s="1">
        <f>MIN($H154)</f>
        <v>0</v>
      </c>
      <c r="O154" s="1">
        <f>MEDIAN($B154)</f>
        <v>0</v>
      </c>
      <c r="P154" s="1">
        <f>MEDIAN($C154)</f>
        <v>0</v>
      </c>
      <c r="Q154" s="1">
        <f>MEDIAN($D154)</f>
        <v>0</v>
      </c>
      <c r="R154" s="1">
        <f>MEDIAN($E154)</f>
        <v>0</v>
      </c>
      <c r="S154" s="1">
        <f>MEDIAN($G154)</f>
        <v>0</v>
      </c>
      <c r="T154" s="1">
        <f>MEDIAN($H154)</f>
        <v>0</v>
      </c>
      <c r="U154" s="1">
        <f>MAX($B154)</f>
        <v>0</v>
      </c>
      <c r="V154" s="1">
        <f>MAX($C154)</f>
        <v>0</v>
      </c>
      <c r="W154" s="1">
        <f>MAX($D154)</f>
        <v>0</v>
      </c>
      <c r="X154" s="1">
        <f>MAX($E154)</f>
        <v>0</v>
      </c>
      <c r="Y154" s="1">
        <f>MAX($G154)</f>
        <v>0</v>
      </c>
      <c r="Z154" s="1">
        <f>MAX($H154)</f>
        <v>0</v>
      </c>
    </row>
    <row r="155" spans="1:26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/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>
        <f>MIN($B155)</f>
        <v>0</v>
      </c>
      <c r="J155" s="1">
        <f>MIN($C155)</f>
        <v>0</v>
      </c>
      <c r="K155" s="1">
        <f>MIN($D155)</f>
        <v>0</v>
      </c>
      <c r="L155" s="1">
        <f>MIN($E155)</f>
        <v>0</v>
      </c>
      <c r="M155" s="1">
        <f>MIN($G155)</f>
        <v>0</v>
      </c>
      <c r="N155" s="1">
        <f>MIN($H155)</f>
        <v>0</v>
      </c>
      <c r="O155" s="1">
        <f>MEDIAN($B155)</f>
        <v>0</v>
      </c>
      <c r="P155" s="1">
        <f>MEDIAN($C155)</f>
        <v>0</v>
      </c>
      <c r="Q155" s="1">
        <f>MEDIAN($D155)</f>
        <v>0</v>
      </c>
      <c r="R155" s="1">
        <f>MEDIAN($E155)</f>
        <v>0</v>
      </c>
      <c r="S155" s="1">
        <f>MEDIAN($G155)</f>
        <v>0</v>
      </c>
      <c r="T155" s="1">
        <f>MEDIAN($H155)</f>
        <v>0</v>
      </c>
      <c r="U155" s="1">
        <f>MAX($B155)</f>
        <v>0</v>
      </c>
      <c r="V155" s="1">
        <f>MAX($C155)</f>
        <v>0</v>
      </c>
      <c r="W155" s="1">
        <f>MAX($D155)</f>
        <v>0</v>
      </c>
      <c r="X155" s="1">
        <f>MAX($E155)</f>
        <v>0</v>
      </c>
      <c r="Y155" s="1">
        <f>MAX($G155)</f>
        <v>0</v>
      </c>
      <c r="Z155" s="1">
        <f>MAX($H155)</f>
        <v>0</v>
      </c>
    </row>
    <row r="156" spans="1:26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/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>
        <f>MIN($B156)</f>
        <v>0</v>
      </c>
      <c r="J156" s="1">
        <f>MIN($C156)</f>
        <v>0</v>
      </c>
      <c r="K156" s="1">
        <f>MIN($D156)</f>
        <v>0</v>
      </c>
      <c r="L156" s="1">
        <f>MIN($E156)</f>
        <v>0</v>
      </c>
      <c r="M156" s="1">
        <f>MIN($G156)</f>
        <v>0</v>
      </c>
      <c r="N156" s="1">
        <f>MIN($H156)</f>
        <v>0</v>
      </c>
      <c r="O156" s="1">
        <f>MEDIAN($B156)</f>
        <v>0</v>
      </c>
      <c r="P156" s="1">
        <f>MEDIAN($C156)</f>
        <v>0</v>
      </c>
      <c r="Q156" s="1">
        <f>MEDIAN($D156)</f>
        <v>0</v>
      </c>
      <c r="R156" s="1">
        <f>MEDIAN($E156)</f>
        <v>0</v>
      </c>
      <c r="S156" s="1">
        <f>MEDIAN($G156)</f>
        <v>0</v>
      </c>
      <c r="T156" s="1">
        <f>MEDIAN($H156)</f>
        <v>0</v>
      </c>
      <c r="U156" s="1">
        <f>MAX($B156)</f>
        <v>0</v>
      </c>
      <c r="V156" s="1">
        <f>MAX($C156)</f>
        <v>0</v>
      </c>
      <c r="W156" s="1">
        <f>MAX($D156)</f>
        <v>0</v>
      </c>
      <c r="X156" s="1">
        <f>MAX($E156)</f>
        <v>0</v>
      </c>
      <c r="Y156" s="1">
        <f>MAX($G156)</f>
        <v>0</v>
      </c>
      <c r="Z156" s="1">
        <f>MAX($H156)</f>
        <v>0</v>
      </c>
    </row>
    <row r="157" spans="1:26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/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>
        <f>MIN($B157)</f>
        <v>0</v>
      </c>
      <c r="J157" s="1">
        <f>MIN($C157)</f>
        <v>0</v>
      </c>
      <c r="K157" s="1">
        <f>MIN($D157)</f>
        <v>0</v>
      </c>
      <c r="L157" s="1">
        <f>MIN($E157)</f>
        <v>0</v>
      </c>
      <c r="M157" s="1">
        <f>MIN($G157)</f>
        <v>0</v>
      </c>
      <c r="N157" s="1">
        <f>MIN($H157)</f>
        <v>0</v>
      </c>
      <c r="O157" s="1">
        <f>MEDIAN($B157)</f>
        <v>0</v>
      </c>
      <c r="P157" s="1">
        <f>MEDIAN($C157)</f>
        <v>0</v>
      </c>
      <c r="Q157" s="1">
        <f>MEDIAN($D157)</f>
        <v>0</v>
      </c>
      <c r="R157" s="1">
        <f>MEDIAN($E157)</f>
        <v>0</v>
      </c>
      <c r="S157" s="1">
        <f>MEDIAN($G157)</f>
        <v>0</v>
      </c>
      <c r="T157" s="1">
        <f>MEDIAN($H157)</f>
        <v>0</v>
      </c>
      <c r="U157" s="1">
        <f>MAX($B157)</f>
        <v>0</v>
      </c>
      <c r="V157" s="1">
        <f>MAX($C157)</f>
        <v>0</v>
      </c>
      <c r="W157" s="1">
        <f>MAX($D157)</f>
        <v>0</v>
      </c>
      <c r="X157" s="1">
        <f>MAX($E157)</f>
        <v>0</v>
      </c>
      <c r="Y157" s="1">
        <f>MAX($G157)</f>
        <v>0</v>
      </c>
      <c r="Z157" s="1">
        <f>MAX($H157)</f>
        <v>0</v>
      </c>
    </row>
    <row r="158" spans="1:26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/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>
        <f>MIN($B158)</f>
        <v>0</v>
      </c>
      <c r="J158" s="1">
        <f>MIN($C158)</f>
        <v>0</v>
      </c>
      <c r="K158" s="1">
        <f>MIN($D158)</f>
        <v>0</v>
      </c>
      <c r="L158" s="1">
        <f>MIN($E158)</f>
        <v>0</v>
      </c>
      <c r="M158" s="1">
        <f>MIN($G158)</f>
        <v>0</v>
      </c>
      <c r="N158" s="1">
        <f>MIN($H158)</f>
        <v>0</v>
      </c>
      <c r="O158" s="1">
        <f>MEDIAN($B158)</f>
        <v>0</v>
      </c>
      <c r="P158" s="1">
        <f>MEDIAN($C158)</f>
        <v>0</v>
      </c>
      <c r="Q158" s="1">
        <f>MEDIAN($D158)</f>
        <v>0</v>
      </c>
      <c r="R158" s="1">
        <f>MEDIAN($E158)</f>
        <v>0</v>
      </c>
      <c r="S158" s="1">
        <f>MEDIAN($G158)</f>
        <v>0</v>
      </c>
      <c r="T158" s="1">
        <f>MEDIAN($H158)</f>
        <v>0</v>
      </c>
      <c r="U158" s="1">
        <f>MAX($B158)</f>
        <v>0</v>
      </c>
      <c r="V158" s="1">
        <f>MAX($C158)</f>
        <v>0</v>
      </c>
      <c r="W158" s="1">
        <f>MAX($D158)</f>
        <v>0</v>
      </c>
      <c r="X158" s="1">
        <f>MAX($E158)</f>
        <v>0</v>
      </c>
      <c r="Y158" s="1">
        <f>MAX($G158)</f>
        <v>0</v>
      </c>
      <c r="Z158" s="1">
        <f>MAX($H158)</f>
        <v>0</v>
      </c>
    </row>
    <row r="159" spans="1:26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/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>
        <f>MIN($B159)</f>
        <v>0</v>
      </c>
      <c r="J159" s="1">
        <f>MIN($C159)</f>
        <v>0</v>
      </c>
      <c r="K159" s="1">
        <f>MIN($D159)</f>
        <v>0</v>
      </c>
      <c r="L159" s="1">
        <f>MIN($E159)</f>
        <v>0</v>
      </c>
      <c r="M159" s="1">
        <f>MIN($G159)</f>
        <v>0</v>
      </c>
      <c r="N159" s="1">
        <f>MIN($H159)</f>
        <v>0</v>
      </c>
      <c r="O159" s="1">
        <f>MEDIAN($B159)</f>
        <v>0</v>
      </c>
      <c r="P159" s="1">
        <f>MEDIAN($C159)</f>
        <v>0</v>
      </c>
      <c r="Q159" s="1">
        <f>MEDIAN($D159)</f>
        <v>0</v>
      </c>
      <c r="R159" s="1">
        <f>MEDIAN($E159)</f>
        <v>0</v>
      </c>
      <c r="S159" s="1">
        <f>MEDIAN($G159)</f>
        <v>0</v>
      </c>
      <c r="T159" s="1">
        <f>MEDIAN($H159)</f>
        <v>0</v>
      </c>
      <c r="U159" s="1">
        <f>MAX($B159)</f>
        <v>0</v>
      </c>
      <c r="V159" s="1">
        <f>MAX($C159)</f>
        <v>0</v>
      </c>
      <c r="W159" s="1">
        <f>MAX($D159)</f>
        <v>0</v>
      </c>
      <c r="X159" s="1">
        <f>MAX($E159)</f>
        <v>0</v>
      </c>
      <c r="Y159" s="1">
        <f>MAX($G159)</f>
        <v>0</v>
      </c>
      <c r="Z159" s="1">
        <f>MAX($H159)</f>
        <v>0</v>
      </c>
    </row>
    <row r="160" spans="1:26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/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>
        <f>MIN($B160)</f>
        <v>0</v>
      </c>
      <c r="J160" s="1">
        <f>MIN($C160)</f>
        <v>0</v>
      </c>
      <c r="K160" s="1">
        <f>MIN($D160)</f>
        <v>0</v>
      </c>
      <c r="L160" s="1">
        <f>MIN($E160)</f>
        <v>0</v>
      </c>
      <c r="M160" s="1">
        <f>MIN($G160)</f>
        <v>0</v>
      </c>
      <c r="N160" s="1">
        <f>MIN($H160)</f>
        <v>0</v>
      </c>
      <c r="O160" s="1">
        <f>MEDIAN($B160)</f>
        <v>0</v>
      </c>
      <c r="P160" s="1">
        <f>MEDIAN($C160)</f>
        <v>0</v>
      </c>
      <c r="Q160" s="1">
        <f>MEDIAN($D160)</f>
        <v>0</v>
      </c>
      <c r="R160" s="1">
        <f>MEDIAN($E160)</f>
        <v>0</v>
      </c>
      <c r="S160" s="1">
        <f>MEDIAN($G160)</f>
        <v>0</v>
      </c>
      <c r="T160" s="1">
        <f>MEDIAN($H160)</f>
        <v>0</v>
      </c>
      <c r="U160" s="1">
        <f>MAX($B160)</f>
        <v>0</v>
      </c>
      <c r="V160" s="1">
        <f>MAX($C160)</f>
        <v>0</v>
      </c>
      <c r="W160" s="1">
        <f>MAX($D160)</f>
        <v>0</v>
      </c>
      <c r="X160" s="1">
        <f>MAX($E160)</f>
        <v>0</v>
      </c>
      <c r="Y160" s="1">
        <f>MAX($G160)</f>
        <v>0</v>
      </c>
      <c r="Z160" s="1">
        <f>MAX($H160)</f>
        <v>0</v>
      </c>
    </row>
    <row r="161" spans="1:26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/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>
        <f>MIN($B161)</f>
        <v>0</v>
      </c>
      <c r="J161" s="1">
        <f>MIN($C161)</f>
        <v>0</v>
      </c>
      <c r="K161" s="1">
        <f>MIN($D161)</f>
        <v>0</v>
      </c>
      <c r="L161" s="1">
        <f>MIN($E161)</f>
        <v>0</v>
      </c>
      <c r="M161" s="1">
        <f>MIN($G161)</f>
        <v>0</v>
      </c>
      <c r="N161" s="1">
        <f>MIN($H161)</f>
        <v>0</v>
      </c>
      <c r="O161" s="1">
        <f>MEDIAN($B161)</f>
        <v>0</v>
      </c>
      <c r="P161" s="1">
        <f>MEDIAN($C161)</f>
        <v>0</v>
      </c>
      <c r="Q161" s="1">
        <f>MEDIAN($D161)</f>
        <v>0</v>
      </c>
      <c r="R161" s="1">
        <f>MEDIAN($E161)</f>
        <v>0</v>
      </c>
      <c r="S161" s="1">
        <f>MEDIAN($G161)</f>
        <v>0</v>
      </c>
      <c r="T161" s="1">
        <f>MEDIAN($H161)</f>
        <v>0</v>
      </c>
      <c r="U161" s="1">
        <f>MAX($B161)</f>
        <v>0</v>
      </c>
      <c r="V161" s="1">
        <f>MAX($C161)</f>
        <v>0</v>
      </c>
      <c r="W161" s="1">
        <f>MAX($D161)</f>
        <v>0</v>
      </c>
      <c r="X161" s="1">
        <f>MAX($E161)</f>
        <v>0</v>
      </c>
      <c r="Y161" s="1">
        <f>MAX($G161)</f>
        <v>0</v>
      </c>
      <c r="Z161" s="1">
        <f>MAX($H161)</f>
        <v>0</v>
      </c>
    </row>
    <row r="162" spans="1:26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/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>
        <f>MIN($B162)</f>
        <v>0</v>
      </c>
      <c r="J162" s="1">
        <f>MIN($C162)</f>
        <v>0</v>
      </c>
      <c r="K162" s="1">
        <f>MIN($D162)</f>
        <v>0</v>
      </c>
      <c r="L162" s="1">
        <f>MIN($E162)</f>
        <v>0</v>
      </c>
      <c r="M162" s="1">
        <f>MIN($G162)</f>
        <v>0</v>
      </c>
      <c r="N162" s="1">
        <f>MIN($H162)</f>
        <v>0</v>
      </c>
      <c r="O162" s="1">
        <f>MEDIAN($B162)</f>
        <v>0</v>
      </c>
      <c r="P162" s="1">
        <f>MEDIAN($C162)</f>
        <v>0</v>
      </c>
      <c r="Q162" s="1">
        <f>MEDIAN($D162)</f>
        <v>0</v>
      </c>
      <c r="R162" s="1">
        <f>MEDIAN($E162)</f>
        <v>0</v>
      </c>
      <c r="S162" s="1">
        <f>MEDIAN($G162)</f>
        <v>0</v>
      </c>
      <c r="T162" s="1">
        <f>MEDIAN($H162)</f>
        <v>0</v>
      </c>
      <c r="U162" s="1">
        <f>MAX($B162)</f>
        <v>0</v>
      </c>
      <c r="V162" s="1">
        <f>MAX($C162)</f>
        <v>0</v>
      </c>
      <c r="W162" s="1">
        <f>MAX($D162)</f>
        <v>0</v>
      </c>
      <c r="X162" s="1">
        <f>MAX($E162)</f>
        <v>0</v>
      </c>
      <c r="Y162" s="1">
        <f>MAX($G162)</f>
        <v>0</v>
      </c>
      <c r="Z162" s="1">
        <f>MAX($H162)</f>
        <v>0</v>
      </c>
    </row>
    <row r="163" spans="1:26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/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>
        <f>MIN($B163)</f>
        <v>0</v>
      </c>
      <c r="J163" s="1">
        <f>MIN($C163)</f>
        <v>0</v>
      </c>
      <c r="K163" s="1">
        <f>MIN($D163)</f>
        <v>0</v>
      </c>
      <c r="L163" s="1">
        <f>MIN($E163)</f>
        <v>0</v>
      </c>
      <c r="M163" s="1">
        <f>MIN($G163)</f>
        <v>0</v>
      </c>
      <c r="N163" s="1">
        <f>MIN($H163)</f>
        <v>0</v>
      </c>
      <c r="O163" s="1">
        <f>MEDIAN($B163)</f>
        <v>0</v>
      </c>
      <c r="P163" s="1">
        <f>MEDIAN($C163)</f>
        <v>0</v>
      </c>
      <c r="Q163" s="1">
        <f>MEDIAN($D163)</f>
        <v>0</v>
      </c>
      <c r="R163" s="1">
        <f>MEDIAN($E163)</f>
        <v>0</v>
      </c>
      <c r="S163" s="1">
        <f>MEDIAN($G163)</f>
        <v>0</v>
      </c>
      <c r="T163" s="1">
        <f>MEDIAN($H163)</f>
        <v>0</v>
      </c>
      <c r="U163" s="1">
        <f>MAX($B163)</f>
        <v>0</v>
      </c>
      <c r="V163" s="1">
        <f>MAX($C163)</f>
        <v>0</v>
      </c>
      <c r="W163" s="1">
        <f>MAX($D163)</f>
        <v>0</v>
      </c>
      <c r="X163" s="1">
        <f>MAX($E163)</f>
        <v>0</v>
      </c>
      <c r="Y163" s="1">
        <f>MAX($G163)</f>
        <v>0</v>
      </c>
      <c r="Z163" s="1">
        <f>MAX($H163)</f>
        <v>0</v>
      </c>
    </row>
    <row r="164" spans="1:26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/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>
        <f>MIN($B164)</f>
        <v>0</v>
      </c>
      <c r="J164" s="1">
        <f>MIN($C164)</f>
        <v>0</v>
      </c>
      <c r="K164" s="1">
        <f>MIN($D164)</f>
        <v>0</v>
      </c>
      <c r="L164" s="1">
        <f>MIN($E164)</f>
        <v>0</v>
      </c>
      <c r="M164" s="1">
        <f>MIN($G164)</f>
        <v>0</v>
      </c>
      <c r="N164" s="1">
        <f>MIN($H164)</f>
        <v>0</v>
      </c>
      <c r="O164" s="1">
        <f>MEDIAN($B164)</f>
        <v>0</v>
      </c>
      <c r="P164" s="1">
        <f>MEDIAN($C164)</f>
        <v>0</v>
      </c>
      <c r="Q164" s="1">
        <f>MEDIAN($D164)</f>
        <v>0</v>
      </c>
      <c r="R164" s="1">
        <f>MEDIAN($E164)</f>
        <v>0</v>
      </c>
      <c r="S164" s="1">
        <f>MEDIAN($G164)</f>
        <v>0</v>
      </c>
      <c r="T164" s="1">
        <f>MEDIAN($H164)</f>
        <v>0</v>
      </c>
      <c r="U164" s="1">
        <f>MAX($B164)</f>
        <v>0</v>
      </c>
      <c r="V164" s="1">
        <f>MAX($C164)</f>
        <v>0</v>
      </c>
      <c r="W164" s="1">
        <f>MAX($D164)</f>
        <v>0</v>
      </c>
      <c r="X164" s="1">
        <f>MAX($E164)</f>
        <v>0</v>
      </c>
      <c r="Y164" s="1">
        <f>MAX($G164)</f>
        <v>0</v>
      </c>
      <c r="Z164" s="1">
        <f>MAX($H164)</f>
        <v>0</v>
      </c>
    </row>
    <row r="165" spans="1:26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/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>
        <f>MIN($B165)</f>
        <v>0</v>
      </c>
      <c r="J165" s="1">
        <f>MIN($C165)</f>
        <v>0</v>
      </c>
      <c r="K165" s="1">
        <f>MIN($D165)</f>
        <v>0</v>
      </c>
      <c r="L165" s="1">
        <f>MIN($E165)</f>
        <v>0</v>
      </c>
      <c r="M165" s="1">
        <f>MIN($G165)</f>
        <v>0</v>
      </c>
      <c r="N165" s="1">
        <f>MIN($H165)</f>
        <v>0</v>
      </c>
      <c r="O165" s="1">
        <f>MEDIAN($B165)</f>
        <v>0</v>
      </c>
      <c r="P165" s="1">
        <f>MEDIAN($C165)</f>
        <v>0</v>
      </c>
      <c r="Q165" s="1">
        <f>MEDIAN($D165)</f>
        <v>0</v>
      </c>
      <c r="R165" s="1">
        <f>MEDIAN($E165)</f>
        <v>0</v>
      </c>
      <c r="S165" s="1">
        <f>MEDIAN($G165)</f>
        <v>0</v>
      </c>
      <c r="T165" s="1">
        <f>MEDIAN($H165)</f>
        <v>0</v>
      </c>
      <c r="U165" s="1">
        <f>MAX($B165)</f>
        <v>0</v>
      </c>
      <c r="V165" s="1">
        <f>MAX($C165)</f>
        <v>0</v>
      </c>
      <c r="W165" s="1">
        <f>MAX($D165)</f>
        <v>0</v>
      </c>
      <c r="X165" s="1">
        <f>MAX($E165)</f>
        <v>0</v>
      </c>
      <c r="Y165" s="1">
        <f>MAX($G165)</f>
        <v>0</v>
      </c>
      <c r="Z165" s="1">
        <f>MAX($H165)</f>
        <v>0</v>
      </c>
    </row>
    <row r="166" spans="1:26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/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>
        <f>MIN($B166)</f>
        <v>0</v>
      </c>
      <c r="J166" s="1">
        <f>MIN($C166)</f>
        <v>0</v>
      </c>
      <c r="K166" s="1">
        <f>MIN($D166)</f>
        <v>0</v>
      </c>
      <c r="L166" s="1">
        <f>MIN($E166)</f>
        <v>0</v>
      </c>
      <c r="M166" s="1">
        <f>MIN($G166)</f>
        <v>0</v>
      </c>
      <c r="N166" s="1">
        <f>MIN($H166)</f>
        <v>0</v>
      </c>
      <c r="O166" s="1">
        <f>MEDIAN($B166)</f>
        <v>0</v>
      </c>
      <c r="P166" s="1">
        <f>MEDIAN($C166)</f>
        <v>0</v>
      </c>
      <c r="Q166" s="1">
        <f>MEDIAN($D166)</f>
        <v>0</v>
      </c>
      <c r="R166" s="1">
        <f>MEDIAN($E166)</f>
        <v>0</v>
      </c>
      <c r="S166" s="1">
        <f>MEDIAN($G166)</f>
        <v>0</v>
      </c>
      <c r="T166" s="1">
        <f>MEDIAN($H166)</f>
        <v>0</v>
      </c>
      <c r="U166" s="1">
        <f>MAX($B166)</f>
        <v>0</v>
      </c>
      <c r="V166" s="1">
        <f>MAX($C166)</f>
        <v>0</v>
      </c>
      <c r="W166" s="1">
        <f>MAX($D166)</f>
        <v>0</v>
      </c>
      <c r="X166" s="1">
        <f>MAX($E166)</f>
        <v>0</v>
      </c>
      <c r="Y166" s="1">
        <f>MAX($G166)</f>
        <v>0</v>
      </c>
      <c r="Z166" s="1">
        <f>MAX($H166)</f>
        <v>0</v>
      </c>
    </row>
    <row r="167" spans="1:26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/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>
        <f>MIN($B167)</f>
        <v>0</v>
      </c>
      <c r="J167" s="1">
        <f>MIN($C167)</f>
        <v>0</v>
      </c>
      <c r="K167" s="1">
        <f>MIN($D167)</f>
        <v>0</v>
      </c>
      <c r="L167" s="1">
        <f>MIN($E167)</f>
        <v>0</v>
      </c>
      <c r="M167" s="1">
        <f>MIN($G167)</f>
        <v>0</v>
      </c>
      <c r="N167" s="1">
        <f>MIN($H167)</f>
        <v>0</v>
      </c>
      <c r="O167" s="1">
        <f>MEDIAN($B167)</f>
        <v>0</v>
      </c>
      <c r="P167" s="1">
        <f>MEDIAN($C167)</f>
        <v>0</v>
      </c>
      <c r="Q167" s="1">
        <f>MEDIAN($D167)</f>
        <v>0</v>
      </c>
      <c r="R167" s="1">
        <f>MEDIAN($E167)</f>
        <v>0</v>
      </c>
      <c r="S167" s="1">
        <f>MEDIAN($G167)</f>
        <v>0</v>
      </c>
      <c r="T167" s="1">
        <f>MEDIAN($H167)</f>
        <v>0</v>
      </c>
      <c r="U167" s="1">
        <f>MAX($B167)</f>
        <v>0</v>
      </c>
      <c r="V167" s="1">
        <f>MAX($C167)</f>
        <v>0</v>
      </c>
      <c r="W167" s="1">
        <f>MAX($D167)</f>
        <v>0</v>
      </c>
      <c r="X167" s="1">
        <f>MAX($E167)</f>
        <v>0</v>
      </c>
      <c r="Y167" s="1">
        <f>MAX($G167)</f>
        <v>0</v>
      </c>
      <c r="Z167" s="1">
        <f>MAX($H167)</f>
        <v>0</v>
      </c>
    </row>
    <row r="168" spans="1:26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/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>
        <f>MIN($B168)</f>
        <v>0</v>
      </c>
      <c r="J168" s="1">
        <f>MIN($C168)</f>
        <v>0</v>
      </c>
      <c r="K168" s="1">
        <f>MIN($D168)</f>
        <v>0</v>
      </c>
      <c r="L168" s="1">
        <f>MIN($E168)</f>
        <v>0</v>
      </c>
      <c r="M168" s="1">
        <f>MIN($G168)</f>
        <v>0</v>
      </c>
      <c r="N168" s="1">
        <f>MIN($H168)</f>
        <v>0</v>
      </c>
      <c r="O168" s="1">
        <f>MEDIAN($B168)</f>
        <v>0</v>
      </c>
      <c r="P168" s="1">
        <f>MEDIAN($C168)</f>
        <v>0</v>
      </c>
      <c r="Q168" s="1">
        <f>MEDIAN($D168)</f>
        <v>0</v>
      </c>
      <c r="R168" s="1">
        <f>MEDIAN($E168)</f>
        <v>0</v>
      </c>
      <c r="S168" s="1">
        <f>MEDIAN($G168)</f>
        <v>0</v>
      </c>
      <c r="T168" s="1">
        <f>MEDIAN($H168)</f>
        <v>0</v>
      </c>
      <c r="U168" s="1">
        <f>MAX($B168)</f>
        <v>0</v>
      </c>
      <c r="V168" s="1">
        <f>MAX($C168)</f>
        <v>0</v>
      </c>
      <c r="W168" s="1">
        <f>MAX($D168)</f>
        <v>0</v>
      </c>
      <c r="X168" s="1">
        <f>MAX($E168)</f>
        <v>0</v>
      </c>
      <c r="Y168" s="1">
        <f>MAX($G168)</f>
        <v>0</v>
      </c>
      <c r="Z168" s="1">
        <f>MAX($H168)</f>
        <v>0</v>
      </c>
    </row>
    <row r="169" spans="1:26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/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>
        <f>MIN($B169)</f>
        <v>0</v>
      </c>
      <c r="J169" s="1">
        <f>MIN($C169)</f>
        <v>0</v>
      </c>
      <c r="K169" s="1">
        <f>MIN($D169)</f>
        <v>0</v>
      </c>
      <c r="L169" s="1">
        <f>MIN($E169)</f>
        <v>0</v>
      </c>
      <c r="M169" s="1">
        <f>MIN($G169)</f>
        <v>0</v>
      </c>
      <c r="N169" s="1">
        <f>MIN($H169)</f>
        <v>0</v>
      </c>
      <c r="O169" s="1">
        <f>MEDIAN($B169)</f>
        <v>0</v>
      </c>
      <c r="P169" s="1">
        <f>MEDIAN($C169)</f>
        <v>0</v>
      </c>
      <c r="Q169" s="1">
        <f>MEDIAN($D169)</f>
        <v>0</v>
      </c>
      <c r="R169" s="1">
        <f>MEDIAN($E169)</f>
        <v>0</v>
      </c>
      <c r="S169" s="1">
        <f>MEDIAN($G169)</f>
        <v>0</v>
      </c>
      <c r="T169" s="1">
        <f>MEDIAN($H169)</f>
        <v>0</v>
      </c>
      <c r="U169" s="1">
        <f>MAX($B169)</f>
        <v>0</v>
      </c>
      <c r="V169" s="1">
        <f>MAX($C169)</f>
        <v>0</v>
      </c>
      <c r="W169" s="1">
        <f>MAX($D169)</f>
        <v>0</v>
      </c>
      <c r="X169" s="1">
        <f>MAX($E169)</f>
        <v>0</v>
      </c>
      <c r="Y169" s="1">
        <f>MAX($G169)</f>
        <v>0</v>
      </c>
      <c r="Z169" s="1">
        <f>MAX($H169)</f>
        <v>0</v>
      </c>
    </row>
    <row r="170" spans="1:26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/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>
        <f>MIN($B170)</f>
        <v>0</v>
      </c>
      <c r="J170" s="1">
        <f>MIN($C170)</f>
        <v>0</v>
      </c>
      <c r="K170" s="1">
        <f>MIN($D170)</f>
        <v>0</v>
      </c>
      <c r="L170" s="1">
        <f>MIN($E170)</f>
        <v>0</v>
      </c>
      <c r="M170" s="1">
        <f>MIN($G170)</f>
        <v>0</v>
      </c>
      <c r="N170" s="1">
        <f>MIN($H170)</f>
        <v>0</v>
      </c>
      <c r="O170" s="1">
        <f>MEDIAN($B170)</f>
        <v>0</v>
      </c>
      <c r="P170" s="1">
        <f>MEDIAN($C170)</f>
        <v>0</v>
      </c>
      <c r="Q170" s="1">
        <f>MEDIAN($D170)</f>
        <v>0</v>
      </c>
      <c r="R170" s="1">
        <f>MEDIAN($E170)</f>
        <v>0</v>
      </c>
      <c r="S170" s="1">
        <f>MEDIAN($G170)</f>
        <v>0</v>
      </c>
      <c r="T170" s="1">
        <f>MEDIAN($H170)</f>
        <v>0</v>
      </c>
      <c r="U170" s="1">
        <f>MAX($B170)</f>
        <v>0</v>
      </c>
      <c r="V170" s="1">
        <f>MAX($C170)</f>
        <v>0</v>
      </c>
      <c r="W170" s="1">
        <f>MAX($D170)</f>
        <v>0</v>
      </c>
      <c r="X170" s="1">
        <f>MAX($E170)</f>
        <v>0</v>
      </c>
      <c r="Y170" s="1">
        <f>MAX($G170)</f>
        <v>0</v>
      </c>
      <c r="Z170" s="1">
        <f>MAX($H170)</f>
        <v>0</v>
      </c>
    </row>
    <row r="171" spans="1:26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/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>
        <f>MIN($B171)</f>
        <v>0</v>
      </c>
      <c r="J171" s="1">
        <f>MIN($C171)</f>
        <v>0</v>
      </c>
      <c r="K171" s="1">
        <f>MIN($D171)</f>
        <v>0</v>
      </c>
      <c r="L171" s="1">
        <f>MIN($E171)</f>
        <v>0</v>
      </c>
      <c r="M171" s="1">
        <f>MIN($G171)</f>
        <v>0</v>
      </c>
      <c r="N171" s="1">
        <f>MIN($H171)</f>
        <v>0</v>
      </c>
      <c r="O171" s="1">
        <f>MEDIAN($B171)</f>
        <v>0</v>
      </c>
      <c r="P171" s="1">
        <f>MEDIAN($C171)</f>
        <v>0</v>
      </c>
      <c r="Q171" s="1">
        <f>MEDIAN($D171)</f>
        <v>0</v>
      </c>
      <c r="R171" s="1">
        <f>MEDIAN($E171)</f>
        <v>0</v>
      </c>
      <c r="S171" s="1">
        <f>MEDIAN($G171)</f>
        <v>0</v>
      </c>
      <c r="T171" s="1">
        <f>MEDIAN($H171)</f>
        <v>0</v>
      </c>
      <c r="U171" s="1">
        <f>MAX($B171)</f>
        <v>0</v>
      </c>
      <c r="V171" s="1">
        <f>MAX($C171)</f>
        <v>0</v>
      </c>
      <c r="W171" s="1">
        <f>MAX($D171)</f>
        <v>0</v>
      </c>
      <c r="X171" s="1">
        <f>MAX($E171)</f>
        <v>0</v>
      </c>
      <c r="Y171" s="1">
        <f>MAX($G171)</f>
        <v>0</v>
      </c>
      <c r="Z171" s="1">
        <f>MAX($H171)</f>
        <v>0</v>
      </c>
    </row>
    <row r="172" spans="1:26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/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>
        <f>MIN($B172)</f>
        <v>0</v>
      </c>
      <c r="J172" s="1">
        <f>MIN($C172)</f>
        <v>0</v>
      </c>
      <c r="K172" s="1">
        <f>MIN($D172)</f>
        <v>0</v>
      </c>
      <c r="L172" s="1">
        <f>MIN($E172)</f>
        <v>0</v>
      </c>
      <c r="M172" s="1">
        <f>MIN($G172)</f>
        <v>0</v>
      </c>
      <c r="N172" s="1">
        <f>MIN($H172)</f>
        <v>0</v>
      </c>
      <c r="O172" s="1">
        <f>MEDIAN($B172)</f>
        <v>0</v>
      </c>
      <c r="P172" s="1">
        <f>MEDIAN($C172)</f>
        <v>0</v>
      </c>
      <c r="Q172" s="1">
        <f>MEDIAN($D172)</f>
        <v>0</v>
      </c>
      <c r="R172" s="1">
        <f>MEDIAN($E172)</f>
        <v>0</v>
      </c>
      <c r="S172" s="1">
        <f>MEDIAN($G172)</f>
        <v>0</v>
      </c>
      <c r="T172" s="1">
        <f>MEDIAN($H172)</f>
        <v>0</v>
      </c>
      <c r="U172" s="1">
        <f>MAX($B172)</f>
        <v>0</v>
      </c>
      <c r="V172" s="1">
        <f>MAX($C172)</f>
        <v>0</v>
      </c>
      <c r="W172" s="1">
        <f>MAX($D172)</f>
        <v>0</v>
      </c>
      <c r="X172" s="1">
        <f>MAX($E172)</f>
        <v>0</v>
      </c>
      <c r="Y172" s="1">
        <f>MAX($G172)</f>
        <v>0</v>
      </c>
      <c r="Z172" s="1">
        <f>MAX($H172)</f>
        <v>0</v>
      </c>
    </row>
    <row r="173" spans="1:26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/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>
        <f>MIN($B173)</f>
        <v>0</v>
      </c>
      <c r="J173" s="1">
        <f>MIN($C173)</f>
        <v>0</v>
      </c>
      <c r="K173" s="1">
        <f>MIN($D173)</f>
        <v>0</v>
      </c>
      <c r="L173" s="1">
        <f>MIN($E173)</f>
        <v>0</v>
      </c>
      <c r="M173" s="1">
        <f>MIN($G173)</f>
        <v>0</v>
      </c>
      <c r="N173" s="1">
        <f>MIN($H173)</f>
        <v>0</v>
      </c>
      <c r="O173" s="1">
        <f>MEDIAN($B173)</f>
        <v>0</v>
      </c>
      <c r="P173" s="1">
        <f>MEDIAN($C173)</f>
        <v>0</v>
      </c>
      <c r="Q173" s="1">
        <f>MEDIAN($D173)</f>
        <v>0</v>
      </c>
      <c r="R173" s="1">
        <f>MEDIAN($E173)</f>
        <v>0</v>
      </c>
      <c r="S173" s="1">
        <f>MEDIAN($G173)</f>
        <v>0</v>
      </c>
      <c r="T173" s="1">
        <f>MEDIAN($H173)</f>
        <v>0</v>
      </c>
      <c r="U173" s="1">
        <f>MAX($B173)</f>
        <v>0</v>
      </c>
      <c r="V173" s="1">
        <f>MAX($C173)</f>
        <v>0</v>
      </c>
      <c r="W173" s="1">
        <f>MAX($D173)</f>
        <v>0</v>
      </c>
      <c r="X173" s="1">
        <f>MAX($E173)</f>
        <v>0</v>
      </c>
      <c r="Y173" s="1">
        <f>MAX($G173)</f>
        <v>0</v>
      </c>
      <c r="Z173" s="1">
        <f>MAX($H173)</f>
        <v>0</v>
      </c>
    </row>
    <row r="174" spans="1:26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/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>
        <f>MIN($B174)</f>
        <v>0</v>
      </c>
      <c r="J174" s="1">
        <f>MIN($C174)</f>
        <v>0</v>
      </c>
      <c r="K174" s="1">
        <f>MIN($D174)</f>
        <v>0</v>
      </c>
      <c r="L174" s="1">
        <f>MIN($E174)</f>
        <v>0</v>
      </c>
      <c r="M174" s="1">
        <f>MIN($G174)</f>
        <v>0</v>
      </c>
      <c r="N174" s="1">
        <f>MIN($H174)</f>
        <v>0</v>
      </c>
      <c r="O174" s="1">
        <f>MEDIAN($B174)</f>
        <v>0</v>
      </c>
      <c r="P174" s="1">
        <f>MEDIAN($C174)</f>
        <v>0</v>
      </c>
      <c r="Q174" s="1">
        <f>MEDIAN($D174)</f>
        <v>0</v>
      </c>
      <c r="R174" s="1">
        <f>MEDIAN($E174)</f>
        <v>0</v>
      </c>
      <c r="S174" s="1">
        <f>MEDIAN($G174)</f>
        <v>0</v>
      </c>
      <c r="T174" s="1">
        <f>MEDIAN($H174)</f>
        <v>0</v>
      </c>
      <c r="U174" s="1">
        <f>MAX($B174)</f>
        <v>0</v>
      </c>
      <c r="V174" s="1">
        <f>MAX($C174)</f>
        <v>0</v>
      </c>
      <c r="W174" s="1">
        <f>MAX($D174)</f>
        <v>0</v>
      </c>
      <c r="X174" s="1">
        <f>MAX($E174)</f>
        <v>0</v>
      </c>
      <c r="Y174" s="1">
        <f>MAX($G174)</f>
        <v>0</v>
      </c>
      <c r="Z174" s="1">
        <f>MAX($H174)</f>
        <v>0</v>
      </c>
    </row>
    <row r="175" spans="1:26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/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>
        <f>MIN($B175)</f>
        <v>0</v>
      </c>
      <c r="J175" s="1">
        <f>MIN($C175)</f>
        <v>0</v>
      </c>
      <c r="K175" s="1">
        <f>MIN($D175)</f>
        <v>0</v>
      </c>
      <c r="L175" s="1">
        <f>MIN($E175)</f>
        <v>0</v>
      </c>
      <c r="M175" s="1">
        <f>MIN($G175)</f>
        <v>0</v>
      </c>
      <c r="N175" s="1">
        <f>MIN($H175)</f>
        <v>0</v>
      </c>
      <c r="O175" s="1">
        <f>MEDIAN($B175)</f>
        <v>0</v>
      </c>
      <c r="P175" s="1">
        <f>MEDIAN($C175)</f>
        <v>0</v>
      </c>
      <c r="Q175" s="1">
        <f>MEDIAN($D175)</f>
        <v>0</v>
      </c>
      <c r="R175" s="1">
        <f>MEDIAN($E175)</f>
        <v>0</v>
      </c>
      <c r="S175" s="1">
        <f>MEDIAN($G175)</f>
        <v>0</v>
      </c>
      <c r="T175" s="1">
        <f>MEDIAN($H175)</f>
        <v>0</v>
      </c>
      <c r="U175" s="1">
        <f>MAX($B175)</f>
        <v>0</v>
      </c>
      <c r="V175" s="1">
        <f>MAX($C175)</f>
        <v>0</v>
      </c>
      <c r="W175" s="1">
        <f>MAX($D175)</f>
        <v>0</v>
      </c>
      <c r="X175" s="1">
        <f>MAX($E175)</f>
        <v>0</v>
      </c>
      <c r="Y175" s="1">
        <f>MAX($G175)</f>
        <v>0</v>
      </c>
      <c r="Z175" s="1">
        <f>MAX($H175)</f>
        <v>0</v>
      </c>
    </row>
    <row r="176" spans="1:26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/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>
        <f>MIN($B176)</f>
        <v>0</v>
      </c>
      <c r="J176" s="1">
        <f>MIN($C176)</f>
        <v>0</v>
      </c>
      <c r="K176" s="1">
        <f>MIN($D176)</f>
        <v>0</v>
      </c>
      <c r="L176" s="1">
        <f>MIN($E176)</f>
        <v>0</v>
      </c>
      <c r="M176" s="1">
        <f>MIN($G176)</f>
        <v>0</v>
      </c>
      <c r="N176" s="1">
        <f>MIN($H176)</f>
        <v>0</v>
      </c>
      <c r="O176" s="1">
        <f>MEDIAN($B176)</f>
        <v>0</v>
      </c>
      <c r="P176" s="1">
        <f>MEDIAN($C176)</f>
        <v>0</v>
      </c>
      <c r="Q176" s="1">
        <f>MEDIAN($D176)</f>
        <v>0</v>
      </c>
      <c r="R176" s="1">
        <f>MEDIAN($E176)</f>
        <v>0</v>
      </c>
      <c r="S176" s="1">
        <f>MEDIAN($G176)</f>
        <v>0</v>
      </c>
      <c r="T176" s="1">
        <f>MEDIAN($H176)</f>
        <v>0</v>
      </c>
      <c r="U176" s="1">
        <f>MAX($B176)</f>
        <v>0</v>
      </c>
      <c r="V176" s="1">
        <f>MAX($C176)</f>
        <v>0</v>
      </c>
      <c r="W176" s="1">
        <f>MAX($D176)</f>
        <v>0</v>
      </c>
      <c r="X176" s="1">
        <f>MAX($E176)</f>
        <v>0</v>
      </c>
      <c r="Y176" s="1">
        <f>MAX($G176)</f>
        <v>0</v>
      </c>
      <c r="Z176" s="1">
        <f>MAX($H176)</f>
        <v>0</v>
      </c>
    </row>
    <row r="177" spans="1:26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/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>
        <f>MIN($B177)</f>
        <v>0</v>
      </c>
      <c r="J177" s="1">
        <f>MIN($C177)</f>
        <v>0</v>
      </c>
      <c r="K177" s="1">
        <f>MIN($D177)</f>
        <v>0</v>
      </c>
      <c r="L177" s="1">
        <f>MIN($E177)</f>
        <v>0</v>
      </c>
      <c r="M177" s="1">
        <f>MIN($G177)</f>
        <v>0</v>
      </c>
      <c r="N177" s="1">
        <f>MIN($H177)</f>
        <v>0</v>
      </c>
      <c r="O177" s="1">
        <f>MEDIAN($B177)</f>
        <v>0</v>
      </c>
      <c r="P177" s="1">
        <f>MEDIAN($C177)</f>
        <v>0</v>
      </c>
      <c r="Q177" s="1">
        <f>MEDIAN($D177)</f>
        <v>0</v>
      </c>
      <c r="R177" s="1">
        <f>MEDIAN($E177)</f>
        <v>0</v>
      </c>
      <c r="S177" s="1">
        <f>MEDIAN($G177)</f>
        <v>0</v>
      </c>
      <c r="T177" s="1">
        <f>MEDIAN($H177)</f>
        <v>0</v>
      </c>
      <c r="U177" s="1">
        <f>MAX($B177)</f>
        <v>0</v>
      </c>
      <c r="V177" s="1">
        <f>MAX($C177)</f>
        <v>0</v>
      </c>
      <c r="W177" s="1">
        <f>MAX($D177)</f>
        <v>0</v>
      </c>
      <c r="X177" s="1">
        <f>MAX($E177)</f>
        <v>0</v>
      </c>
      <c r="Y177" s="1">
        <f>MAX($G177)</f>
        <v>0</v>
      </c>
      <c r="Z177" s="1">
        <f>MAX($H177)</f>
        <v>0</v>
      </c>
    </row>
    <row r="178" spans="1:26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/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>
        <f>MIN($B178)</f>
        <v>0</v>
      </c>
      <c r="J178" s="1">
        <f>MIN($C178)</f>
        <v>0</v>
      </c>
      <c r="K178" s="1">
        <f>MIN($D178)</f>
        <v>0</v>
      </c>
      <c r="L178" s="1">
        <f>MIN($E178)</f>
        <v>0</v>
      </c>
      <c r="M178" s="1">
        <f>MIN($G178)</f>
        <v>0</v>
      </c>
      <c r="N178" s="1">
        <f>MIN($H178)</f>
        <v>0</v>
      </c>
      <c r="O178" s="1">
        <f>MEDIAN($B178)</f>
        <v>0</v>
      </c>
      <c r="P178" s="1">
        <f>MEDIAN($C178)</f>
        <v>0</v>
      </c>
      <c r="Q178" s="1">
        <f>MEDIAN($D178)</f>
        <v>0</v>
      </c>
      <c r="R178" s="1">
        <f>MEDIAN($E178)</f>
        <v>0</v>
      </c>
      <c r="S178" s="1">
        <f>MEDIAN($G178)</f>
        <v>0</v>
      </c>
      <c r="T178" s="1">
        <f>MEDIAN($H178)</f>
        <v>0</v>
      </c>
      <c r="U178" s="1">
        <f>MAX($B178)</f>
        <v>0</v>
      </c>
      <c r="V178" s="1">
        <f>MAX($C178)</f>
        <v>0</v>
      </c>
      <c r="W178" s="1">
        <f>MAX($D178)</f>
        <v>0</v>
      </c>
      <c r="X178" s="1">
        <f>MAX($E178)</f>
        <v>0</v>
      </c>
      <c r="Y178" s="1">
        <f>MAX($G178)</f>
        <v>0</v>
      </c>
      <c r="Z178" s="1">
        <f>MAX($H178)</f>
        <v>0</v>
      </c>
    </row>
    <row r="179" spans="1:26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/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>
        <f>MIN($B179)</f>
        <v>0</v>
      </c>
      <c r="J179" s="1">
        <f>MIN($C179)</f>
        <v>0</v>
      </c>
      <c r="K179" s="1">
        <f>MIN($D179)</f>
        <v>0</v>
      </c>
      <c r="L179" s="1">
        <f>MIN($E179)</f>
        <v>0</v>
      </c>
      <c r="M179" s="1">
        <f>MIN($G179)</f>
        <v>0</v>
      </c>
      <c r="N179" s="1">
        <f>MIN($H179)</f>
        <v>0</v>
      </c>
      <c r="O179" s="1">
        <f>MEDIAN($B179)</f>
        <v>0</v>
      </c>
      <c r="P179" s="1">
        <f>MEDIAN($C179)</f>
        <v>0</v>
      </c>
      <c r="Q179" s="1">
        <f>MEDIAN($D179)</f>
        <v>0</v>
      </c>
      <c r="R179" s="1">
        <f>MEDIAN($E179)</f>
        <v>0</v>
      </c>
      <c r="S179" s="1">
        <f>MEDIAN($G179)</f>
        <v>0</v>
      </c>
      <c r="T179" s="1">
        <f>MEDIAN($H179)</f>
        <v>0</v>
      </c>
      <c r="U179" s="1">
        <f>MAX($B179)</f>
        <v>0</v>
      </c>
      <c r="V179" s="1">
        <f>MAX($C179)</f>
        <v>0</v>
      </c>
      <c r="W179" s="1">
        <f>MAX($D179)</f>
        <v>0</v>
      </c>
      <c r="X179" s="1">
        <f>MAX($E179)</f>
        <v>0</v>
      </c>
      <c r="Y179" s="1">
        <f>MAX($G179)</f>
        <v>0</v>
      </c>
      <c r="Z179" s="1">
        <f>MAX($H179)</f>
        <v>0</v>
      </c>
    </row>
    <row r="180" spans="1:26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/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>
        <f>MIN($B180)</f>
        <v>0</v>
      </c>
      <c r="J180" s="1">
        <f>MIN($C180)</f>
        <v>0</v>
      </c>
      <c r="K180" s="1">
        <f>MIN($D180)</f>
        <v>0</v>
      </c>
      <c r="L180" s="1">
        <f>MIN($E180)</f>
        <v>0</v>
      </c>
      <c r="M180" s="1">
        <f>MIN($G180)</f>
        <v>0</v>
      </c>
      <c r="N180" s="1">
        <f>MIN($H180)</f>
        <v>0</v>
      </c>
      <c r="O180" s="1">
        <f>MEDIAN($B180)</f>
        <v>0</v>
      </c>
      <c r="P180" s="1">
        <f>MEDIAN($C180)</f>
        <v>0</v>
      </c>
      <c r="Q180" s="1">
        <f>MEDIAN($D180)</f>
        <v>0</v>
      </c>
      <c r="R180" s="1">
        <f>MEDIAN($E180)</f>
        <v>0</v>
      </c>
      <c r="S180" s="1">
        <f>MEDIAN($G180)</f>
        <v>0</v>
      </c>
      <c r="T180" s="1">
        <f>MEDIAN($H180)</f>
        <v>0</v>
      </c>
      <c r="U180" s="1">
        <f>MAX($B180)</f>
        <v>0</v>
      </c>
      <c r="V180" s="1">
        <f>MAX($C180)</f>
        <v>0</v>
      </c>
      <c r="W180" s="1">
        <f>MAX($D180)</f>
        <v>0</v>
      </c>
      <c r="X180" s="1">
        <f>MAX($E180)</f>
        <v>0</v>
      </c>
      <c r="Y180" s="1">
        <f>MAX($G180)</f>
        <v>0</v>
      </c>
      <c r="Z180" s="1">
        <f>MAX($H180)</f>
        <v>0</v>
      </c>
    </row>
    <row r="181" spans="1:26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/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>
        <f>MIN($B181)</f>
        <v>0</v>
      </c>
      <c r="J181" s="1">
        <f>MIN($C181)</f>
        <v>0</v>
      </c>
      <c r="K181" s="1">
        <f>MIN($D181)</f>
        <v>0</v>
      </c>
      <c r="L181" s="1">
        <f>MIN($E181)</f>
        <v>0</v>
      </c>
      <c r="M181" s="1">
        <f>MIN($G181)</f>
        <v>0</v>
      </c>
      <c r="N181" s="1">
        <f>MIN($H181)</f>
        <v>0</v>
      </c>
      <c r="O181" s="1">
        <f>MEDIAN($B181)</f>
        <v>0</v>
      </c>
      <c r="P181" s="1">
        <f>MEDIAN($C181)</f>
        <v>0</v>
      </c>
      <c r="Q181" s="1">
        <f>MEDIAN($D181)</f>
        <v>0</v>
      </c>
      <c r="R181" s="1">
        <f>MEDIAN($E181)</f>
        <v>0</v>
      </c>
      <c r="S181" s="1">
        <f>MEDIAN($G181)</f>
        <v>0</v>
      </c>
      <c r="T181" s="1">
        <f>MEDIAN($H181)</f>
        <v>0</v>
      </c>
      <c r="U181" s="1">
        <f>MAX($B181)</f>
        <v>0</v>
      </c>
      <c r="V181" s="1">
        <f>MAX($C181)</f>
        <v>0</v>
      </c>
      <c r="W181" s="1">
        <f>MAX($D181)</f>
        <v>0</v>
      </c>
      <c r="X181" s="1">
        <f>MAX($E181)</f>
        <v>0</v>
      </c>
      <c r="Y181" s="1">
        <f>MAX($G181)</f>
        <v>0</v>
      </c>
      <c r="Z181" s="1">
        <f>MAX($H181)</f>
        <v>0</v>
      </c>
    </row>
    <row r="182" spans="1:26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/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>
        <f>MIN($B182)</f>
        <v>0</v>
      </c>
      <c r="J182" s="1">
        <f>MIN($C182)</f>
        <v>0</v>
      </c>
      <c r="K182" s="1">
        <f>MIN($D182)</f>
        <v>0</v>
      </c>
      <c r="L182" s="1">
        <f>MIN($E182)</f>
        <v>0</v>
      </c>
      <c r="M182" s="1">
        <f>MIN($G182)</f>
        <v>0</v>
      </c>
      <c r="N182" s="1">
        <f>MIN($H182)</f>
        <v>0</v>
      </c>
      <c r="O182" s="1">
        <f>MEDIAN($B182)</f>
        <v>0</v>
      </c>
      <c r="P182" s="1">
        <f>MEDIAN($C182)</f>
        <v>0</v>
      </c>
      <c r="Q182" s="1">
        <f>MEDIAN($D182)</f>
        <v>0</v>
      </c>
      <c r="R182" s="1">
        <f>MEDIAN($E182)</f>
        <v>0</v>
      </c>
      <c r="S182" s="1">
        <f>MEDIAN($G182)</f>
        <v>0</v>
      </c>
      <c r="T182" s="1">
        <f>MEDIAN($H182)</f>
        <v>0</v>
      </c>
      <c r="U182" s="1">
        <f>MAX($B182)</f>
        <v>0</v>
      </c>
      <c r="V182" s="1">
        <f>MAX($C182)</f>
        <v>0</v>
      </c>
      <c r="W182" s="1">
        <f>MAX($D182)</f>
        <v>0</v>
      </c>
      <c r="X182" s="1">
        <f>MAX($E182)</f>
        <v>0</v>
      </c>
      <c r="Y182" s="1">
        <f>MAX($G182)</f>
        <v>0</v>
      </c>
      <c r="Z182" s="1">
        <f>MAX($H182)</f>
        <v>0</v>
      </c>
    </row>
    <row r="183" spans="1:26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/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>
        <f>MIN($B183)</f>
        <v>0</v>
      </c>
      <c r="J183" s="1">
        <f>MIN($C183)</f>
        <v>0</v>
      </c>
      <c r="K183" s="1">
        <f>MIN($D183)</f>
        <v>0</v>
      </c>
      <c r="L183" s="1">
        <f>MIN($E183)</f>
        <v>0</v>
      </c>
      <c r="M183" s="1">
        <f>MIN($G183)</f>
        <v>0</v>
      </c>
      <c r="N183" s="1">
        <f>MIN($H183)</f>
        <v>0</v>
      </c>
      <c r="O183" s="1">
        <f>MEDIAN($B183)</f>
        <v>0</v>
      </c>
      <c r="P183" s="1">
        <f>MEDIAN($C183)</f>
        <v>0</v>
      </c>
      <c r="Q183" s="1">
        <f>MEDIAN($D183)</f>
        <v>0</v>
      </c>
      <c r="R183" s="1">
        <f>MEDIAN($E183)</f>
        <v>0</v>
      </c>
      <c r="S183" s="1">
        <f>MEDIAN($G183)</f>
        <v>0</v>
      </c>
      <c r="T183" s="1">
        <f>MEDIAN($H183)</f>
        <v>0</v>
      </c>
      <c r="U183" s="1">
        <f>MAX($B183)</f>
        <v>0</v>
      </c>
      <c r="V183" s="1">
        <f>MAX($C183)</f>
        <v>0</v>
      </c>
      <c r="W183" s="1">
        <f>MAX($D183)</f>
        <v>0</v>
      </c>
      <c r="X183" s="1">
        <f>MAX($E183)</f>
        <v>0</v>
      </c>
      <c r="Y183" s="1">
        <f>MAX($G183)</f>
        <v>0</v>
      </c>
      <c r="Z183" s="1">
        <f>MAX($H183)</f>
        <v>0</v>
      </c>
    </row>
    <row r="184" spans="1:26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/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>
        <f>MIN($B184)</f>
        <v>0</v>
      </c>
      <c r="J184" s="1">
        <f>MIN($C184)</f>
        <v>0</v>
      </c>
      <c r="K184" s="1">
        <f>MIN($D184)</f>
        <v>0</v>
      </c>
      <c r="L184" s="1">
        <f>MIN($E184)</f>
        <v>0</v>
      </c>
      <c r="M184" s="1">
        <f>MIN($G184)</f>
        <v>0</v>
      </c>
      <c r="N184" s="1">
        <f>MIN($H184)</f>
        <v>0</v>
      </c>
      <c r="O184" s="1">
        <f>MEDIAN($B184)</f>
        <v>0</v>
      </c>
      <c r="P184" s="1">
        <f>MEDIAN($C184)</f>
        <v>0</v>
      </c>
      <c r="Q184" s="1">
        <f>MEDIAN($D184)</f>
        <v>0</v>
      </c>
      <c r="R184" s="1">
        <f>MEDIAN($E184)</f>
        <v>0</v>
      </c>
      <c r="S184" s="1">
        <f>MEDIAN($G184)</f>
        <v>0</v>
      </c>
      <c r="T184" s="1">
        <f>MEDIAN($H184)</f>
        <v>0</v>
      </c>
      <c r="U184" s="1">
        <f>MAX($B184)</f>
        <v>0</v>
      </c>
      <c r="V184" s="1">
        <f>MAX($C184)</f>
        <v>0</v>
      </c>
      <c r="W184" s="1">
        <f>MAX($D184)</f>
        <v>0</v>
      </c>
      <c r="X184" s="1">
        <f>MAX($E184)</f>
        <v>0</v>
      </c>
      <c r="Y184" s="1">
        <f>MAX($G184)</f>
        <v>0</v>
      </c>
      <c r="Z184" s="1">
        <f>MAX($H184)</f>
        <v>0</v>
      </c>
    </row>
    <row r="185" spans="1:26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/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>
        <f>MIN($B185)</f>
        <v>0</v>
      </c>
      <c r="J185" s="1">
        <f>MIN($C185)</f>
        <v>0</v>
      </c>
      <c r="K185" s="1">
        <f>MIN($D185)</f>
        <v>0</v>
      </c>
      <c r="L185" s="1">
        <f>MIN($E185)</f>
        <v>0</v>
      </c>
      <c r="M185" s="1">
        <f>MIN($G185)</f>
        <v>0</v>
      </c>
      <c r="N185" s="1">
        <f>MIN($H185)</f>
        <v>0</v>
      </c>
      <c r="O185" s="1">
        <f>MEDIAN($B185)</f>
        <v>0</v>
      </c>
      <c r="P185" s="1">
        <f>MEDIAN($C185)</f>
        <v>0</v>
      </c>
      <c r="Q185" s="1">
        <f>MEDIAN($D185)</f>
        <v>0</v>
      </c>
      <c r="R185" s="1">
        <f>MEDIAN($E185)</f>
        <v>0</v>
      </c>
      <c r="S185" s="1">
        <f>MEDIAN($G185)</f>
        <v>0</v>
      </c>
      <c r="T185" s="1">
        <f>MEDIAN($H185)</f>
        <v>0</v>
      </c>
      <c r="U185" s="1">
        <f>MAX($B185)</f>
        <v>0</v>
      </c>
      <c r="V185" s="1">
        <f>MAX($C185)</f>
        <v>0</v>
      </c>
      <c r="W185" s="1">
        <f>MAX($D185)</f>
        <v>0</v>
      </c>
      <c r="X185" s="1">
        <f>MAX($E185)</f>
        <v>0</v>
      </c>
      <c r="Y185" s="1">
        <f>MAX($G185)</f>
        <v>0</v>
      </c>
      <c r="Z185" s="1">
        <f>MAX($H185)</f>
        <v>0</v>
      </c>
    </row>
    <row r="186" spans="1:26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/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>
        <f>MIN($B186)</f>
        <v>0</v>
      </c>
      <c r="J186" s="1">
        <f>MIN($C186)</f>
        <v>0</v>
      </c>
      <c r="K186" s="1">
        <f>MIN($D186)</f>
        <v>0</v>
      </c>
      <c r="L186" s="1">
        <f>MIN($E186)</f>
        <v>0</v>
      </c>
      <c r="M186" s="1">
        <f>MIN($G186)</f>
        <v>0</v>
      </c>
      <c r="N186" s="1">
        <f>MIN($H186)</f>
        <v>0</v>
      </c>
      <c r="O186" s="1">
        <f>MEDIAN($B186)</f>
        <v>0</v>
      </c>
      <c r="P186" s="1">
        <f>MEDIAN($C186)</f>
        <v>0</v>
      </c>
      <c r="Q186" s="1">
        <f>MEDIAN($D186)</f>
        <v>0</v>
      </c>
      <c r="R186" s="1">
        <f>MEDIAN($E186)</f>
        <v>0</v>
      </c>
      <c r="S186" s="1">
        <f>MEDIAN($G186)</f>
        <v>0</v>
      </c>
      <c r="T186" s="1">
        <f>MEDIAN($H186)</f>
        <v>0</v>
      </c>
      <c r="U186" s="1">
        <f>MAX($B186)</f>
        <v>0</v>
      </c>
      <c r="V186" s="1">
        <f>MAX($C186)</f>
        <v>0</v>
      </c>
      <c r="W186" s="1">
        <f>MAX($D186)</f>
        <v>0</v>
      </c>
      <c r="X186" s="1">
        <f>MAX($E186)</f>
        <v>0</v>
      </c>
      <c r="Y186" s="1">
        <f>MAX($G186)</f>
        <v>0</v>
      </c>
      <c r="Z186" s="1">
        <f>MAX($H186)</f>
        <v>0</v>
      </c>
    </row>
    <row r="187" spans="1:26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/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>
        <f>MIN($B187)</f>
        <v>0</v>
      </c>
      <c r="J187" s="1">
        <f>MIN($C187)</f>
        <v>0</v>
      </c>
      <c r="K187" s="1">
        <f>MIN($D187)</f>
        <v>0</v>
      </c>
      <c r="L187" s="1">
        <f>MIN($E187)</f>
        <v>0</v>
      </c>
      <c r="M187" s="1">
        <f>MIN($G187)</f>
        <v>0</v>
      </c>
      <c r="N187" s="1">
        <f>MIN($H187)</f>
        <v>0</v>
      </c>
      <c r="O187" s="1">
        <f>MEDIAN($B187)</f>
        <v>0</v>
      </c>
      <c r="P187" s="1">
        <f>MEDIAN($C187)</f>
        <v>0</v>
      </c>
      <c r="Q187" s="1">
        <f>MEDIAN($D187)</f>
        <v>0</v>
      </c>
      <c r="R187" s="1">
        <f>MEDIAN($E187)</f>
        <v>0</v>
      </c>
      <c r="S187" s="1">
        <f>MEDIAN($G187)</f>
        <v>0</v>
      </c>
      <c r="T187" s="1">
        <f>MEDIAN($H187)</f>
        <v>0</v>
      </c>
      <c r="U187" s="1">
        <f>MAX($B187)</f>
        <v>0</v>
      </c>
      <c r="V187" s="1">
        <f>MAX($C187)</f>
        <v>0</v>
      </c>
      <c r="W187" s="1">
        <f>MAX($D187)</f>
        <v>0</v>
      </c>
      <c r="X187" s="1">
        <f>MAX($E187)</f>
        <v>0</v>
      </c>
      <c r="Y187" s="1">
        <f>MAX($G187)</f>
        <v>0</v>
      </c>
      <c r="Z187" s="1">
        <f>MAX($H187)</f>
        <v>0</v>
      </c>
    </row>
    <row r="188" spans="1:26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/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>
        <f>MIN($B188)</f>
        <v>0</v>
      </c>
      <c r="J188" s="1">
        <f>MIN($C188)</f>
        <v>0</v>
      </c>
      <c r="K188" s="1">
        <f>MIN($D188)</f>
        <v>0</v>
      </c>
      <c r="L188" s="1">
        <f>MIN($E188)</f>
        <v>0</v>
      </c>
      <c r="M188" s="1">
        <f>MIN($G188)</f>
        <v>0</v>
      </c>
      <c r="N188" s="1">
        <f>MIN($H188)</f>
        <v>0</v>
      </c>
      <c r="O188" s="1">
        <f>MEDIAN($B188)</f>
        <v>0</v>
      </c>
      <c r="P188" s="1">
        <f>MEDIAN($C188)</f>
        <v>0</v>
      </c>
      <c r="Q188" s="1">
        <f>MEDIAN($D188)</f>
        <v>0</v>
      </c>
      <c r="R188" s="1">
        <f>MEDIAN($E188)</f>
        <v>0</v>
      </c>
      <c r="S188" s="1">
        <f>MEDIAN($G188)</f>
        <v>0</v>
      </c>
      <c r="T188" s="1">
        <f>MEDIAN($H188)</f>
        <v>0</v>
      </c>
      <c r="U188" s="1">
        <f>MAX($B188)</f>
        <v>0</v>
      </c>
      <c r="V188" s="1">
        <f>MAX($C188)</f>
        <v>0</v>
      </c>
      <c r="W188" s="1">
        <f>MAX($D188)</f>
        <v>0</v>
      </c>
      <c r="X188" s="1">
        <f>MAX($E188)</f>
        <v>0</v>
      </c>
      <c r="Y188" s="1">
        <f>MAX($G188)</f>
        <v>0</v>
      </c>
      <c r="Z188" s="1">
        <f>MAX($H188)</f>
        <v>0</v>
      </c>
    </row>
    <row r="189" spans="1:26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/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>
        <f>MIN($B189)</f>
        <v>0</v>
      </c>
      <c r="J189" s="1">
        <f>MIN($C189)</f>
        <v>0</v>
      </c>
      <c r="K189" s="1">
        <f>MIN($D189)</f>
        <v>0</v>
      </c>
      <c r="L189" s="1">
        <f>MIN($E189)</f>
        <v>0</v>
      </c>
      <c r="M189" s="1">
        <f>MIN($G189)</f>
        <v>0</v>
      </c>
      <c r="N189" s="1">
        <f>MIN($H189)</f>
        <v>0</v>
      </c>
      <c r="O189" s="1">
        <f>MEDIAN($B189)</f>
        <v>0</v>
      </c>
      <c r="P189" s="1">
        <f>MEDIAN($C189)</f>
        <v>0</v>
      </c>
      <c r="Q189" s="1">
        <f>MEDIAN($D189)</f>
        <v>0</v>
      </c>
      <c r="R189" s="1">
        <f>MEDIAN($E189)</f>
        <v>0</v>
      </c>
      <c r="S189" s="1">
        <f>MEDIAN($G189)</f>
        <v>0</v>
      </c>
      <c r="T189" s="1">
        <f>MEDIAN($H189)</f>
        <v>0</v>
      </c>
      <c r="U189" s="1">
        <f>MAX($B189)</f>
        <v>0</v>
      </c>
      <c r="V189" s="1">
        <f>MAX($C189)</f>
        <v>0</v>
      </c>
      <c r="W189" s="1">
        <f>MAX($D189)</f>
        <v>0</v>
      </c>
      <c r="X189" s="1">
        <f>MAX($E189)</f>
        <v>0</v>
      </c>
      <c r="Y189" s="1">
        <f>MAX($G189)</f>
        <v>0</v>
      </c>
      <c r="Z189" s="1">
        <f>MAX($H189)</f>
        <v>0</v>
      </c>
    </row>
    <row r="190" spans="1:26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/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>
        <f>MIN($B190)</f>
        <v>0</v>
      </c>
      <c r="J190" s="1">
        <f>MIN($C190)</f>
        <v>0</v>
      </c>
      <c r="K190" s="1">
        <f>MIN($D190)</f>
        <v>0</v>
      </c>
      <c r="L190" s="1">
        <f>MIN($E190)</f>
        <v>0</v>
      </c>
      <c r="M190" s="1">
        <f>MIN($G190)</f>
        <v>0</v>
      </c>
      <c r="N190" s="1">
        <f>MIN($H190)</f>
        <v>0</v>
      </c>
      <c r="O190" s="1">
        <f>MEDIAN($B190)</f>
        <v>0</v>
      </c>
      <c r="P190" s="1">
        <f>MEDIAN($C190)</f>
        <v>0</v>
      </c>
      <c r="Q190" s="1">
        <f>MEDIAN($D190)</f>
        <v>0</v>
      </c>
      <c r="R190" s="1">
        <f>MEDIAN($E190)</f>
        <v>0</v>
      </c>
      <c r="S190" s="1">
        <f>MEDIAN($G190)</f>
        <v>0</v>
      </c>
      <c r="T190" s="1">
        <f>MEDIAN($H190)</f>
        <v>0</v>
      </c>
      <c r="U190" s="1">
        <f>MAX($B190)</f>
        <v>0</v>
      </c>
      <c r="V190" s="1">
        <f>MAX($C190)</f>
        <v>0</v>
      </c>
      <c r="W190" s="1">
        <f>MAX($D190)</f>
        <v>0</v>
      </c>
      <c r="X190" s="1">
        <f>MAX($E190)</f>
        <v>0</v>
      </c>
      <c r="Y190" s="1">
        <f>MAX($G190)</f>
        <v>0</v>
      </c>
      <c r="Z190" s="1">
        <f>MAX($H190)</f>
        <v>0</v>
      </c>
    </row>
    <row r="191" spans="1:26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/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>
        <f>MIN($B191)</f>
        <v>0</v>
      </c>
      <c r="J191" s="1">
        <f>MIN($C191)</f>
        <v>0</v>
      </c>
      <c r="K191" s="1">
        <f>MIN($D191)</f>
        <v>0</v>
      </c>
      <c r="L191" s="1">
        <f>MIN($E191)</f>
        <v>0</v>
      </c>
      <c r="M191" s="1">
        <f>MIN($G191)</f>
        <v>0</v>
      </c>
      <c r="N191" s="1">
        <f>MIN($H191)</f>
        <v>0</v>
      </c>
      <c r="O191" s="1">
        <f>MEDIAN($B191)</f>
        <v>0</v>
      </c>
      <c r="P191" s="1">
        <f>MEDIAN($C191)</f>
        <v>0</v>
      </c>
      <c r="Q191" s="1">
        <f>MEDIAN($D191)</f>
        <v>0</v>
      </c>
      <c r="R191" s="1">
        <f>MEDIAN($E191)</f>
        <v>0</v>
      </c>
      <c r="S191" s="1">
        <f>MEDIAN($G191)</f>
        <v>0</v>
      </c>
      <c r="T191" s="1">
        <f>MEDIAN($H191)</f>
        <v>0</v>
      </c>
      <c r="U191" s="1">
        <f>MAX($B191)</f>
        <v>0</v>
      </c>
      <c r="V191" s="1">
        <f>MAX($C191)</f>
        <v>0</v>
      </c>
      <c r="W191" s="1">
        <f>MAX($D191)</f>
        <v>0</v>
      </c>
      <c r="X191" s="1">
        <f>MAX($E191)</f>
        <v>0</v>
      </c>
      <c r="Y191" s="1">
        <f>MAX($G191)</f>
        <v>0</v>
      </c>
      <c r="Z191" s="1">
        <f>MAX($H191)</f>
        <v>0</v>
      </c>
    </row>
    <row r="192" spans="1:26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/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>
        <f>MIN($B192)</f>
        <v>0</v>
      </c>
      <c r="J192" s="1">
        <f>MIN($C192)</f>
        <v>0</v>
      </c>
      <c r="K192" s="1">
        <f>MIN($D192)</f>
        <v>0</v>
      </c>
      <c r="L192" s="1">
        <f>MIN($E192)</f>
        <v>0</v>
      </c>
      <c r="M192" s="1">
        <f>MIN($G192)</f>
        <v>0</v>
      </c>
      <c r="N192" s="1">
        <f>MIN($H192)</f>
        <v>0</v>
      </c>
      <c r="O192" s="1">
        <f>MEDIAN($B192)</f>
        <v>0</v>
      </c>
      <c r="P192" s="1">
        <f>MEDIAN($C192)</f>
        <v>0</v>
      </c>
      <c r="Q192" s="1">
        <f>MEDIAN($D192)</f>
        <v>0</v>
      </c>
      <c r="R192" s="1">
        <f>MEDIAN($E192)</f>
        <v>0</v>
      </c>
      <c r="S192" s="1">
        <f>MEDIAN($G192)</f>
        <v>0</v>
      </c>
      <c r="T192" s="1">
        <f>MEDIAN($H192)</f>
        <v>0</v>
      </c>
      <c r="U192" s="1">
        <f>MAX($B192)</f>
        <v>0</v>
      </c>
      <c r="V192" s="1">
        <f>MAX($C192)</f>
        <v>0</v>
      </c>
      <c r="W192" s="1">
        <f>MAX($D192)</f>
        <v>0</v>
      </c>
      <c r="X192" s="1">
        <f>MAX($E192)</f>
        <v>0</v>
      </c>
      <c r="Y192" s="1">
        <f>MAX($G192)</f>
        <v>0</v>
      </c>
      <c r="Z192" s="1">
        <f>MAX($H192)</f>
        <v>0</v>
      </c>
    </row>
    <row r="193" spans="1:26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/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>
        <f>MIN($B193)</f>
        <v>0</v>
      </c>
      <c r="J193" s="1">
        <f>MIN($C193)</f>
        <v>0</v>
      </c>
      <c r="K193" s="1">
        <f>MIN($D193)</f>
        <v>0</v>
      </c>
      <c r="L193" s="1">
        <f>MIN($E193)</f>
        <v>0</v>
      </c>
      <c r="M193" s="1">
        <f>MIN($G193)</f>
        <v>0</v>
      </c>
      <c r="N193" s="1">
        <f>MIN($H193)</f>
        <v>0</v>
      </c>
      <c r="O193" s="1">
        <f>MEDIAN($B193)</f>
        <v>0</v>
      </c>
      <c r="P193" s="1">
        <f>MEDIAN($C193)</f>
        <v>0</v>
      </c>
      <c r="Q193" s="1">
        <f>MEDIAN($D193)</f>
        <v>0</v>
      </c>
      <c r="R193" s="1">
        <f>MEDIAN($E193)</f>
        <v>0</v>
      </c>
      <c r="S193" s="1">
        <f>MEDIAN($G193)</f>
        <v>0</v>
      </c>
      <c r="T193" s="1">
        <f>MEDIAN($H193)</f>
        <v>0</v>
      </c>
      <c r="U193" s="1">
        <f>MAX($B193)</f>
        <v>0</v>
      </c>
      <c r="V193" s="1">
        <f>MAX($C193)</f>
        <v>0</v>
      </c>
      <c r="W193" s="1">
        <f>MAX($D193)</f>
        <v>0</v>
      </c>
      <c r="X193" s="1">
        <f>MAX($E193)</f>
        <v>0</v>
      </c>
      <c r="Y193" s="1">
        <f>MAX($G193)</f>
        <v>0</v>
      </c>
      <c r="Z193" s="1">
        <f>MAX($H193)</f>
        <v>0</v>
      </c>
    </row>
    <row r="194" spans="1:26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/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>
        <f>MIN($B194)</f>
        <v>0</v>
      </c>
      <c r="J194" s="1">
        <f>MIN($C194)</f>
        <v>0</v>
      </c>
      <c r="K194" s="1">
        <f>MIN($D194)</f>
        <v>0</v>
      </c>
      <c r="L194" s="1">
        <f>MIN($E194)</f>
        <v>0</v>
      </c>
      <c r="M194" s="1">
        <f>MIN($G194)</f>
        <v>0</v>
      </c>
      <c r="N194" s="1">
        <f>MIN($H194)</f>
        <v>0</v>
      </c>
      <c r="O194" s="1">
        <f>MEDIAN($B194)</f>
        <v>0</v>
      </c>
      <c r="P194" s="1">
        <f>MEDIAN($C194)</f>
        <v>0</v>
      </c>
      <c r="Q194" s="1">
        <f>MEDIAN($D194)</f>
        <v>0</v>
      </c>
      <c r="R194" s="1">
        <f>MEDIAN($E194)</f>
        <v>0</v>
      </c>
      <c r="S194" s="1">
        <f>MEDIAN($G194)</f>
        <v>0</v>
      </c>
      <c r="T194" s="1">
        <f>MEDIAN($H194)</f>
        <v>0</v>
      </c>
      <c r="U194" s="1">
        <f>MAX($B194)</f>
        <v>0</v>
      </c>
      <c r="V194" s="1">
        <f>MAX($C194)</f>
        <v>0</v>
      </c>
      <c r="W194" s="1">
        <f>MAX($D194)</f>
        <v>0</v>
      </c>
      <c r="X194" s="1">
        <f>MAX($E194)</f>
        <v>0</v>
      </c>
      <c r="Y194" s="1">
        <f>MAX($G194)</f>
        <v>0</v>
      </c>
      <c r="Z194" s="1">
        <f>MAX($H194)</f>
        <v>0</v>
      </c>
    </row>
    <row r="195" spans="1:26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/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>
        <f>MIN($B195)</f>
        <v>0</v>
      </c>
      <c r="J195" s="1">
        <f>MIN($C195)</f>
        <v>0</v>
      </c>
      <c r="K195" s="1">
        <f>MIN($D195)</f>
        <v>0</v>
      </c>
      <c r="L195" s="1">
        <f>MIN($E195)</f>
        <v>0</v>
      </c>
      <c r="M195" s="1">
        <f>MIN($G195)</f>
        <v>0</v>
      </c>
      <c r="N195" s="1">
        <f>MIN($H195)</f>
        <v>0</v>
      </c>
      <c r="O195" s="1">
        <f>MEDIAN($B195)</f>
        <v>0</v>
      </c>
      <c r="P195" s="1">
        <f>MEDIAN($C195)</f>
        <v>0</v>
      </c>
      <c r="Q195" s="1">
        <f>MEDIAN($D195)</f>
        <v>0</v>
      </c>
      <c r="R195" s="1">
        <f>MEDIAN($E195)</f>
        <v>0</v>
      </c>
      <c r="S195" s="1">
        <f>MEDIAN($G195)</f>
        <v>0</v>
      </c>
      <c r="T195" s="1">
        <f>MEDIAN($H195)</f>
        <v>0</v>
      </c>
      <c r="U195" s="1">
        <f>MAX($B195)</f>
        <v>0</v>
      </c>
      <c r="V195" s="1">
        <f>MAX($C195)</f>
        <v>0</v>
      </c>
      <c r="W195" s="1">
        <f>MAX($D195)</f>
        <v>0</v>
      </c>
      <c r="X195" s="1">
        <f>MAX($E195)</f>
        <v>0</v>
      </c>
      <c r="Y195" s="1">
        <f>MAX($G195)</f>
        <v>0</v>
      </c>
      <c r="Z195" s="1">
        <f>MAX($H195)</f>
        <v>0</v>
      </c>
    </row>
    <row r="196" spans="1:26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/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>
        <f>MIN($B196)</f>
        <v>0</v>
      </c>
      <c r="J196" s="1">
        <f>MIN($C196)</f>
        <v>0</v>
      </c>
      <c r="K196" s="1">
        <f>MIN($D196)</f>
        <v>0</v>
      </c>
      <c r="L196" s="1">
        <f>MIN($E196)</f>
        <v>0</v>
      </c>
      <c r="M196" s="1">
        <f>MIN($G196)</f>
        <v>0</v>
      </c>
      <c r="N196" s="1">
        <f>MIN($H196)</f>
        <v>0</v>
      </c>
      <c r="O196" s="1">
        <f>MEDIAN($B196)</f>
        <v>0</v>
      </c>
      <c r="P196" s="1">
        <f>MEDIAN($C196)</f>
        <v>0</v>
      </c>
      <c r="Q196" s="1">
        <f>MEDIAN($D196)</f>
        <v>0</v>
      </c>
      <c r="R196" s="1">
        <f>MEDIAN($E196)</f>
        <v>0</v>
      </c>
      <c r="S196" s="1">
        <f>MEDIAN($G196)</f>
        <v>0</v>
      </c>
      <c r="T196" s="1">
        <f>MEDIAN($H196)</f>
        <v>0</v>
      </c>
      <c r="U196" s="1">
        <f>MAX($B196)</f>
        <v>0</v>
      </c>
      <c r="V196" s="1">
        <f>MAX($C196)</f>
        <v>0</v>
      </c>
      <c r="W196" s="1">
        <f>MAX($D196)</f>
        <v>0</v>
      </c>
      <c r="X196" s="1">
        <f>MAX($E196)</f>
        <v>0</v>
      </c>
      <c r="Y196" s="1">
        <f>MAX($G196)</f>
        <v>0</v>
      </c>
      <c r="Z196" s="1">
        <f>MAX($H196)</f>
        <v>0</v>
      </c>
    </row>
    <row r="197" spans="1:26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/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>
        <f>MIN($B197)</f>
        <v>0</v>
      </c>
      <c r="J197" s="1">
        <f>MIN($C197)</f>
        <v>0</v>
      </c>
      <c r="K197" s="1">
        <f>MIN($D197)</f>
        <v>0</v>
      </c>
      <c r="L197" s="1">
        <f>MIN($E197)</f>
        <v>0</v>
      </c>
      <c r="M197" s="1">
        <f>MIN($G197)</f>
        <v>0</v>
      </c>
      <c r="N197" s="1">
        <f>MIN($H197)</f>
        <v>0</v>
      </c>
      <c r="O197" s="1">
        <f>MEDIAN($B197)</f>
        <v>0</v>
      </c>
      <c r="P197" s="1">
        <f>MEDIAN($C197)</f>
        <v>0</v>
      </c>
      <c r="Q197" s="1">
        <f>MEDIAN($D197)</f>
        <v>0</v>
      </c>
      <c r="R197" s="1">
        <f>MEDIAN($E197)</f>
        <v>0</v>
      </c>
      <c r="S197" s="1">
        <f>MEDIAN($G197)</f>
        <v>0</v>
      </c>
      <c r="T197" s="1">
        <f>MEDIAN($H197)</f>
        <v>0</v>
      </c>
      <c r="U197" s="1">
        <f>MAX($B197)</f>
        <v>0</v>
      </c>
      <c r="V197" s="1">
        <f>MAX($C197)</f>
        <v>0</v>
      </c>
      <c r="W197" s="1">
        <f>MAX($D197)</f>
        <v>0</v>
      </c>
      <c r="X197" s="1">
        <f>MAX($E197)</f>
        <v>0</v>
      </c>
      <c r="Y197" s="1">
        <f>MAX($G197)</f>
        <v>0</v>
      </c>
      <c r="Z197" s="1">
        <f>MAX($H197)</f>
        <v>0</v>
      </c>
    </row>
    <row r="198" spans="1:26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/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>
        <f>MIN($B198)</f>
        <v>0</v>
      </c>
      <c r="J198" s="1">
        <f>MIN($C198)</f>
        <v>0</v>
      </c>
      <c r="K198" s="1">
        <f>MIN($D198)</f>
        <v>0</v>
      </c>
      <c r="L198" s="1">
        <f>MIN($E198)</f>
        <v>0</v>
      </c>
      <c r="M198" s="1">
        <f>MIN($G198)</f>
        <v>0</v>
      </c>
      <c r="N198" s="1">
        <f>MIN($H198)</f>
        <v>0</v>
      </c>
      <c r="O198" s="1">
        <f>MEDIAN($B198)</f>
        <v>0</v>
      </c>
      <c r="P198" s="1">
        <f>MEDIAN($C198)</f>
        <v>0</v>
      </c>
      <c r="Q198" s="1">
        <f>MEDIAN($D198)</f>
        <v>0</v>
      </c>
      <c r="R198" s="1">
        <f>MEDIAN($E198)</f>
        <v>0</v>
      </c>
      <c r="S198" s="1">
        <f>MEDIAN($G198)</f>
        <v>0</v>
      </c>
      <c r="T198" s="1">
        <f>MEDIAN($H198)</f>
        <v>0</v>
      </c>
      <c r="U198" s="1">
        <f>MAX($B198)</f>
        <v>0</v>
      </c>
      <c r="V198" s="1">
        <f>MAX($C198)</f>
        <v>0</v>
      </c>
      <c r="W198" s="1">
        <f>MAX($D198)</f>
        <v>0</v>
      </c>
      <c r="X198" s="1">
        <f>MAX($E198)</f>
        <v>0</v>
      </c>
      <c r="Y198" s="1">
        <f>MAX($G198)</f>
        <v>0</v>
      </c>
      <c r="Z198" s="1">
        <f>MAX($H198)</f>
        <v>0</v>
      </c>
    </row>
    <row r="199" spans="1:26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/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>
        <f>MIN($B199)</f>
        <v>0</v>
      </c>
      <c r="J199" s="1">
        <f>MIN($C199)</f>
        <v>0</v>
      </c>
      <c r="K199" s="1">
        <f>MIN($D199)</f>
        <v>0</v>
      </c>
      <c r="L199" s="1">
        <f>MIN($E199)</f>
        <v>0</v>
      </c>
      <c r="M199" s="1">
        <f>MIN($G199)</f>
        <v>0</v>
      </c>
      <c r="N199" s="1">
        <f>MIN($H199)</f>
        <v>0</v>
      </c>
      <c r="O199" s="1">
        <f>MEDIAN($B199)</f>
        <v>0</v>
      </c>
      <c r="P199" s="1">
        <f>MEDIAN($C199)</f>
        <v>0</v>
      </c>
      <c r="Q199" s="1">
        <f>MEDIAN($D199)</f>
        <v>0</v>
      </c>
      <c r="R199" s="1">
        <f>MEDIAN($E199)</f>
        <v>0</v>
      </c>
      <c r="S199" s="1">
        <f>MEDIAN($G199)</f>
        <v>0</v>
      </c>
      <c r="T199" s="1">
        <f>MEDIAN($H199)</f>
        <v>0</v>
      </c>
      <c r="U199" s="1">
        <f>MAX($B199)</f>
        <v>0</v>
      </c>
      <c r="V199" s="1">
        <f>MAX($C199)</f>
        <v>0</v>
      </c>
      <c r="W199" s="1">
        <f>MAX($D199)</f>
        <v>0</v>
      </c>
      <c r="X199" s="1">
        <f>MAX($E199)</f>
        <v>0</v>
      </c>
      <c r="Y199" s="1">
        <f>MAX($G199)</f>
        <v>0</v>
      </c>
      <c r="Z199" s="1">
        <f>MAX($H199)</f>
        <v>0</v>
      </c>
    </row>
    <row r="200" spans="1:26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/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>
        <f>MIN($B200)</f>
        <v>0</v>
      </c>
      <c r="J200" s="1">
        <f>MIN($C200)</f>
        <v>0</v>
      </c>
      <c r="K200" s="1">
        <f>MIN($D200)</f>
        <v>0</v>
      </c>
      <c r="L200" s="1">
        <f>MIN($E200)</f>
        <v>0</v>
      </c>
      <c r="M200" s="1">
        <f>MIN($G200)</f>
        <v>0</v>
      </c>
      <c r="N200" s="1">
        <f>MIN($H200)</f>
        <v>0</v>
      </c>
      <c r="O200" s="1">
        <f>MEDIAN($B200)</f>
        <v>0</v>
      </c>
      <c r="P200" s="1">
        <f>MEDIAN($C200)</f>
        <v>0</v>
      </c>
      <c r="Q200" s="1">
        <f>MEDIAN($D200)</f>
        <v>0</v>
      </c>
      <c r="R200" s="1">
        <f>MEDIAN($E200)</f>
        <v>0</v>
      </c>
      <c r="S200" s="1">
        <f>MEDIAN($G200)</f>
        <v>0</v>
      </c>
      <c r="T200" s="1">
        <f>MEDIAN($H200)</f>
        <v>0</v>
      </c>
      <c r="U200" s="1">
        <f>MAX($B200)</f>
        <v>0</v>
      </c>
      <c r="V200" s="1">
        <f>MAX($C200)</f>
        <v>0</v>
      </c>
      <c r="W200" s="1">
        <f>MAX($D200)</f>
        <v>0</v>
      </c>
      <c r="X200" s="1">
        <f>MAX($E200)</f>
        <v>0</v>
      </c>
      <c r="Y200" s="1">
        <f>MAX($G200)</f>
        <v>0</v>
      </c>
      <c r="Z200" s="1">
        <f>MAX($H200)</f>
        <v>0</v>
      </c>
    </row>
    <row r="201" spans="1:26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/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>
        <f>MIN($B201)</f>
        <v>0</v>
      </c>
      <c r="J201" s="1">
        <f>MIN($C201)</f>
        <v>0</v>
      </c>
      <c r="K201" s="1">
        <f>MIN($D201)</f>
        <v>0</v>
      </c>
      <c r="L201" s="1">
        <f>MIN($E201)</f>
        <v>0</v>
      </c>
      <c r="M201" s="1">
        <f>MIN($G201)</f>
        <v>0</v>
      </c>
      <c r="N201" s="1">
        <f>MIN($H201)</f>
        <v>0</v>
      </c>
      <c r="O201" s="1">
        <f>MEDIAN($B201)</f>
        <v>0</v>
      </c>
      <c r="P201" s="1">
        <f>MEDIAN($C201)</f>
        <v>0</v>
      </c>
      <c r="Q201" s="1">
        <f>MEDIAN($D201)</f>
        <v>0</v>
      </c>
      <c r="R201" s="1">
        <f>MEDIAN($E201)</f>
        <v>0</v>
      </c>
      <c r="S201" s="1">
        <f>MEDIAN($G201)</f>
        <v>0</v>
      </c>
      <c r="T201" s="1">
        <f>MEDIAN($H201)</f>
        <v>0</v>
      </c>
      <c r="U201" s="1">
        <f>MAX($B201)</f>
        <v>0</v>
      </c>
      <c r="V201" s="1">
        <f>MAX($C201)</f>
        <v>0</v>
      </c>
      <c r="W201" s="1">
        <f>MAX($D201)</f>
        <v>0</v>
      </c>
      <c r="X201" s="1">
        <f>MAX($E201)</f>
        <v>0</v>
      </c>
      <c r="Y201" s="1">
        <f>MAX($G201)</f>
        <v>0</v>
      </c>
      <c r="Z201" s="1">
        <f>MAX($H201)</f>
        <v>0</v>
      </c>
    </row>
    <row r="202" spans="1:26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/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>
        <f>MIN($B202)</f>
        <v>0</v>
      </c>
      <c r="J202" s="1">
        <f>MIN($C202)</f>
        <v>0</v>
      </c>
      <c r="K202" s="1">
        <f>MIN($D202)</f>
        <v>0</v>
      </c>
      <c r="L202" s="1">
        <f>MIN($E202)</f>
        <v>0</v>
      </c>
      <c r="M202" s="1">
        <f>MIN($G202)</f>
        <v>0</v>
      </c>
      <c r="N202" s="1">
        <f>MIN($H202)</f>
        <v>0</v>
      </c>
      <c r="O202" s="1">
        <f>MEDIAN($B202)</f>
        <v>0</v>
      </c>
      <c r="P202" s="1">
        <f>MEDIAN($C202)</f>
        <v>0</v>
      </c>
      <c r="Q202" s="1">
        <f>MEDIAN($D202)</f>
        <v>0</v>
      </c>
      <c r="R202" s="1">
        <f>MEDIAN($E202)</f>
        <v>0</v>
      </c>
      <c r="S202" s="1">
        <f>MEDIAN($G202)</f>
        <v>0</v>
      </c>
      <c r="T202" s="1">
        <f>MEDIAN($H202)</f>
        <v>0</v>
      </c>
      <c r="U202" s="1">
        <f>MAX($B202)</f>
        <v>0</v>
      </c>
      <c r="V202" s="1">
        <f>MAX($C202)</f>
        <v>0</v>
      </c>
      <c r="W202" s="1">
        <f>MAX($D202)</f>
        <v>0</v>
      </c>
      <c r="X202" s="1">
        <f>MAX($E202)</f>
        <v>0</v>
      </c>
      <c r="Y202" s="1">
        <f>MAX($G202)</f>
        <v>0</v>
      </c>
      <c r="Z202" s="1">
        <f>MAX($H202)</f>
        <v>0</v>
      </c>
    </row>
    <row r="203" spans="1:26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/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>
        <f>MIN($B203)</f>
        <v>0</v>
      </c>
      <c r="J203" s="1">
        <f>MIN($C203)</f>
        <v>0</v>
      </c>
      <c r="K203" s="1">
        <f>MIN($D203)</f>
        <v>0</v>
      </c>
      <c r="L203" s="1">
        <f>MIN($E203)</f>
        <v>0</v>
      </c>
      <c r="M203" s="1">
        <f>MIN($G203)</f>
        <v>0</v>
      </c>
      <c r="N203" s="1">
        <f>MIN($H203)</f>
        <v>0</v>
      </c>
      <c r="O203" s="1">
        <f>MEDIAN($B203)</f>
        <v>0</v>
      </c>
      <c r="P203" s="1">
        <f>MEDIAN($C203)</f>
        <v>0</v>
      </c>
      <c r="Q203" s="1">
        <f>MEDIAN($D203)</f>
        <v>0</v>
      </c>
      <c r="R203" s="1">
        <f>MEDIAN($E203)</f>
        <v>0</v>
      </c>
      <c r="S203" s="1">
        <f>MEDIAN($G203)</f>
        <v>0</v>
      </c>
      <c r="T203" s="1">
        <f>MEDIAN($H203)</f>
        <v>0</v>
      </c>
      <c r="U203" s="1">
        <f>MAX($B203)</f>
        <v>0</v>
      </c>
      <c r="V203" s="1">
        <f>MAX($C203)</f>
        <v>0</v>
      </c>
      <c r="W203" s="1">
        <f>MAX($D203)</f>
        <v>0</v>
      </c>
      <c r="X203" s="1">
        <f>MAX($E203)</f>
        <v>0</v>
      </c>
      <c r="Y203" s="1">
        <f>MAX($G203)</f>
        <v>0</v>
      </c>
      <c r="Z203" s="1">
        <f>MAX($H203)</f>
        <v>0</v>
      </c>
    </row>
    <row r="204" spans="1:26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/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>
        <f>MIN($B204)</f>
        <v>0</v>
      </c>
      <c r="J204" s="1">
        <f>MIN($C204)</f>
        <v>0</v>
      </c>
      <c r="K204" s="1">
        <f>MIN($D204)</f>
        <v>0</v>
      </c>
      <c r="L204" s="1">
        <f>MIN($E204)</f>
        <v>0</v>
      </c>
      <c r="M204" s="1">
        <f>MIN($G204)</f>
        <v>0</v>
      </c>
      <c r="N204" s="1">
        <f>MIN($H204)</f>
        <v>0</v>
      </c>
      <c r="O204" s="1">
        <f>MEDIAN($B204)</f>
        <v>0</v>
      </c>
      <c r="P204" s="1">
        <f>MEDIAN($C204)</f>
        <v>0</v>
      </c>
      <c r="Q204" s="1">
        <f>MEDIAN($D204)</f>
        <v>0</v>
      </c>
      <c r="R204" s="1">
        <f>MEDIAN($E204)</f>
        <v>0</v>
      </c>
      <c r="S204" s="1">
        <f>MEDIAN($G204)</f>
        <v>0</v>
      </c>
      <c r="T204" s="1">
        <f>MEDIAN($H204)</f>
        <v>0</v>
      </c>
      <c r="U204" s="1">
        <f>MAX($B204)</f>
        <v>0</v>
      </c>
      <c r="V204" s="1">
        <f>MAX($C204)</f>
        <v>0</v>
      </c>
      <c r="W204" s="1">
        <f>MAX($D204)</f>
        <v>0</v>
      </c>
      <c r="X204" s="1">
        <f>MAX($E204)</f>
        <v>0</v>
      </c>
      <c r="Y204" s="1">
        <f>MAX($G204)</f>
        <v>0</v>
      </c>
      <c r="Z204" s="1">
        <f>MAX($H204)</f>
        <v>0</v>
      </c>
    </row>
    <row r="205" spans="1:26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/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>
        <f>MIN($B205)</f>
        <v>0</v>
      </c>
      <c r="J205" s="1">
        <f>MIN($C205)</f>
        <v>0</v>
      </c>
      <c r="K205" s="1">
        <f>MIN($D205)</f>
        <v>0</v>
      </c>
      <c r="L205" s="1">
        <f>MIN($E205)</f>
        <v>0</v>
      </c>
      <c r="M205" s="1">
        <f>MIN($G205)</f>
        <v>0</v>
      </c>
      <c r="N205" s="1">
        <f>MIN($H205)</f>
        <v>0</v>
      </c>
      <c r="O205" s="1">
        <f>MEDIAN($B205)</f>
        <v>0</v>
      </c>
      <c r="P205" s="1">
        <f>MEDIAN($C205)</f>
        <v>0</v>
      </c>
      <c r="Q205" s="1">
        <f>MEDIAN($D205)</f>
        <v>0</v>
      </c>
      <c r="R205" s="1">
        <f>MEDIAN($E205)</f>
        <v>0</v>
      </c>
      <c r="S205" s="1">
        <f>MEDIAN($G205)</f>
        <v>0</v>
      </c>
      <c r="T205" s="1">
        <f>MEDIAN($H205)</f>
        <v>0</v>
      </c>
      <c r="U205" s="1">
        <f>MAX($B205)</f>
        <v>0</v>
      </c>
      <c r="V205" s="1">
        <f>MAX($C205)</f>
        <v>0</v>
      </c>
      <c r="W205" s="1">
        <f>MAX($D205)</f>
        <v>0</v>
      </c>
      <c r="X205" s="1">
        <f>MAX($E205)</f>
        <v>0</v>
      </c>
      <c r="Y205" s="1">
        <f>MAX($G205)</f>
        <v>0</v>
      </c>
      <c r="Z205" s="1">
        <f>MAX($H205)</f>
        <v>0</v>
      </c>
    </row>
    <row r="206" spans="1:26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/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>
        <f>MIN($B206)</f>
        <v>0</v>
      </c>
      <c r="J206" s="1">
        <f>MIN($C206)</f>
        <v>0</v>
      </c>
      <c r="K206" s="1">
        <f>MIN($D206)</f>
        <v>0</v>
      </c>
      <c r="L206" s="1">
        <f>MIN($E206)</f>
        <v>0</v>
      </c>
      <c r="M206" s="1">
        <f>MIN($G206)</f>
        <v>0</v>
      </c>
      <c r="N206" s="1">
        <f>MIN($H206)</f>
        <v>0</v>
      </c>
      <c r="O206" s="1">
        <f>MEDIAN($B206)</f>
        <v>0</v>
      </c>
      <c r="P206" s="1">
        <f>MEDIAN($C206)</f>
        <v>0</v>
      </c>
      <c r="Q206" s="1">
        <f>MEDIAN($D206)</f>
        <v>0</v>
      </c>
      <c r="R206" s="1">
        <f>MEDIAN($E206)</f>
        <v>0</v>
      </c>
      <c r="S206" s="1">
        <f>MEDIAN($G206)</f>
        <v>0</v>
      </c>
      <c r="T206" s="1">
        <f>MEDIAN($H206)</f>
        <v>0</v>
      </c>
      <c r="U206" s="1">
        <f>MAX($B206)</f>
        <v>0</v>
      </c>
      <c r="V206" s="1">
        <f>MAX($C206)</f>
        <v>0</v>
      </c>
      <c r="W206" s="1">
        <f>MAX($D206)</f>
        <v>0</v>
      </c>
      <c r="X206" s="1">
        <f>MAX($E206)</f>
        <v>0</v>
      </c>
      <c r="Y206" s="1">
        <f>MAX($G206)</f>
        <v>0</v>
      </c>
      <c r="Z206" s="1">
        <f>MAX($H206)</f>
        <v>0</v>
      </c>
    </row>
    <row r="207" spans="1:26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/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>
        <f>MIN($B207)</f>
        <v>0</v>
      </c>
      <c r="J207" s="1">
        <f>MIN($C207)</f>
        <v>0</v>
      </c>
      <c r="K207" s="1">
        <f>MIN($D207)</f>
        <v>0</v>
      </c>
      <c r="L207" s="1">
        <f>MIN($E207)</f>
        <v>0</v>
      </c>
      <c r="M207" s="1">
        <f>MIN($G207)</f>
        <v>0</v>
      </c>
      <c r="N207" s="1">
        <f>MIN($H207)</f>
        <v>0</v>
      </c>
      <c r="O207" s="1">
        <f>MEDIAN($B207)</f>
        <v>0</v>
      </c>
      <c r="P207" s="1">
        <f>MEDIAN($C207)</f>
        <v>0</v>
      </c>
      <c r="Q207" s="1">
        <f>MEDIAN($D207)</f>
        <v>0</v>
      </c>
      <c r="R207" s="1">
        <f>MEDIAN($E207)</f>
        <v>0</v>
      </c>
      <c r="S207" s="1">
        <f>MEDIAN($G207)</f>
        <v>0</v>
      </c>
      <c r="T207" s="1">
        <f>MEDIAN($H207)</f>
        <v>0</v>
      </c>
      <c r="U207" s="1">
        <f>MAX($B207)</f>
        <v>0</v>
      </c>
      <c r="V207" s="1">
        <f>MAX($C207)</f>
        <v>0</v>
      </c>
      <c r="W207" s="1">
        <f>MAX($D207)</f>
        <v>0</v>
      </c>
      <c r="X207" s="1">
        <f>MAX($E207)</f>
        <v>0</v>
      </c>
      <c r="Y207" s="1">
        <f>MAX($G207)</f>
        <v>0</v>
      </c>
      <c r="Z207" s="1">
        <f>MAX($H207)</f>
        <v>0</v>
      </c>
    </row>
    <row r="208" spans="1:26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/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>
        <f>MIN($B208)</f>
        <v>0</v>
      </c>
      <c r="J208" s="1">
        <f>MIN($C208)</f>
        <v>0</v>
      </c>
      <c r="K208" s="1">
        <f>MIN($D208)</f>
        <v>0</v>
      </c>
      <c r="L208" s="1">
        <f>MIN($E208)</f>
        <v>0</v>
      </c>
      <c r="M208" s="1">
        <f>MIN($G208)</f>
        <v>0</v>
      </c>
      <c r="N208" s="1">
        <f>MIN($H208)</f>
        <v>0</v>
      </c>
      <c r="O208" s="1">
        <f>MEDIAN($B208)</f>
        <v>0</v>
      </c>
      <c r="P208" s="1">
        <f>MEDIAN($C208)</f>
        <v>0</v>
      </c>
      <c r="Q208" s="1">
        <f>MEDIAN($D208)</f>
        <v>0</v>
      </c>
      <c r="R208" s="1">
        <f>MEDIAN($E208)</f>
        <v>0</v>
      </c>
      <c r="S208" s="1">
        <f>MEDIAN($G208)</f>
        <v>0</v>
      </c>
      <c r="T208" s="1">
        <f>MEDIAN($H208)</f>
        <v>0</v>
      </c>
      <c r="U208" s="1">
        <f>MAX($B208)</f>
        <v>0</v>
      </c>
      <c r="V208" s="1">
        <f>MAX($C208)</f>
        <v>0</v>
      </c>
      <c r="W208" s="1">
        <f>MAX($D208)</f>
        <v>0</v>
      </c>
      <c r="X208" s="1">
        <f>MAX($E208)</f>
        <v>0</v>
      </c>
      <c r="Y208" s="1">
        <f>MAX($G208)</f>
        <v>0</v>
      </c>
      <c r="Z208" s="1">
        <f>MAX($H208)</f>
        <v>0</v>
      </c>
    </row>
    <row r="209" spans="1:26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/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>
        <f>MIN($B209)</f>
        <v>0</v>
      </c>
      <c r="J209" s="1">
        <f>MIN($C209)</f>
        <v>0</v>
      </c>
      <c r="K209" s="1">
        <f>MIN($D209)</f>
        <v>0</v>
      </c>
      <c r="L209" s="1">
        <f>MIN($E209)</f>
        <v>0</v>
      </c>
      <c r="M209" s="1">
        <f>MIN($G209)</f>
        <v>0</v>
      </c>
      <c r="N209" s="1">
        <f>MIN($H209)</f>
        <v>0</v>
      </c>
      <c r="O209" s="1">
        <f>MEDIAN($B209)</f>
        <v>0</v>
      </c>
      <c r="P209" s="1">
        <f>MEDIAN($C209)</f>
        <v>0</v>
      </c>
      <c r="Q209" s="1">
        <f>MEDIAN($D209)</f>
        <v>0</v>
      </c>
      <c r="R209" s="1">
        <f>MEDIAN($E209)</f>
        <v>0</v>
      </c>
      <c r="S209" s="1">
        <f>MEDIAN($G209)</f>
        <v>0</v>
      </c>
      <c r="T209" s="1">
        <f>MEDIAN($H209)</f>
        <v>0</v>
      </c>
      <c r="U209" s="1">
        <f>MAX($B209)</f>
        <v>0</v>
      </c>
      <c r="V209" s="1">
        <f>MAX($C209)</f>
        <v>0</v>
      </c>
      <c r="W209" s="1">
        <f>MAX($D209)</f>
        <v>0</v>
      </c>
      <c r="X209" s="1">
        <f>MAX($E209)</f>
        <v>0</v>
      </c>
      <c r="Y209" s="1">
        <f>MAX($G209)</f>
        <v>0</v>
      </c>
      <c r="Z209" s="1">
        <f>MAX($H209)</f>
        <v>0</v>
      </c>
    </row>
    <row r="210" spans="1:26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/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>
        <f>MIN($B210)</f>
        <v>0</v>
      </c>
      <c r="J210" s="1">
        <f>MIN($C210)</f>
        <v>0</v>
      </c>
      <c r="K210" s="1">
        <f>MIN($D210)</f>
        <v>0</v>
      </c>
      <c r="L210" s="1">
        <f>MIN($E210)</f>
        <v>0</v>
      </c>
      <c r="M210" s="1">
        <f>MIN($G210)</f>
        <v>0</v>
      </c>
      <c r="N210" s="1">
        <f>MIN($H210)</f>
        <v>0</v>
      </c>
      <c r="O210" s="1">
        <f>MEDIAN($B210)</f>
        <v>0</v>
      </c>
      <c r="P210" s="1">
        <f>MEDIAN($C210)</f>
        <v>0</v>
      </c>
      <c r="Q210" s="1">
        <f>MEDIAN($D210)</f>
        <v>0</v>
      </c>
      <c r="R210" s="1">
        <f>MEDIAN($E210)</f>
        <v>0</v>
      </c>
      <c r="S210" s="1">
        <f>MEDIAN($G210)</f>
        <v>0</v>
      </c>
      <c r="T210" s="1">
        <f>MEDIAN($H210)</f>
        <v>0</v>
      </c>
      <c r="U210" s="1">
        <f>MAX($B210)</f>
        <v>0</v>
      </c>
      <c r="V210" s="1">
        <f>MAX($C210)</f>
        <v>0</v>
      </c>
      <c r="W210" s="1">
        <f>MAX($D210)</f>
        <v>0</v>
      </c>
      <c r="X210" s="1">
        <f>MAX($E210)</f>
        <v>0</v>
      </c>
      <c r="Y210" s="1">
        <f>MAX($G210)</f>
        <v>0</v>
      </c>
      <c r="Z210" s="1">
        <f>MAX($H210)</f>
        <v>0</v>
      </c>
    </row>
    <row r="211" spans="1:26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/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>
        <f>MIN($B211)</f>
        <v>0</v>
      </c>
      <c r="J211" s="1">
        <f>MIN($C211)</f>
        <v>0</v>
      </c>
      <c r="K211" s="1">
        <f>MIN($D211)</f>
        <v>0</v>
      </c>
      <c r="L211" s="1">
        <f>MIN($E211)</f>
        <v>0</v>
      </c>
      <c r="M211" s="1">
        <f>MIN($G211)</f>
        <v>0</v>
      </c>
      <c r="N211" s="1">
        <f>MIN($H211)</f>
        <v>0</v>
      </c>
      <c r="O211" s="1">
        <f>MEDIAN($B211)</f>
        <v>0</v>
      </c>
      <c r="P211" s="1">
        <f>MEDIAN($C211)</f>
        <v>0</v>
      </c>
      <c r="Q211" s="1">
        <f>MEDIAN($D211)</f>
        <v>0</v>
      </c>
      <c r="R211" s="1">
        <f>MEDIAN($E211)</f>
        <v>0</v>
      </c>
      <c r="S211" s="1">
        <f>MEDIAN($G211)</f>
        <v>0</v>
      </c>
      <c r="T211" s="1">
        <f>MEDIAN($H211)</f>
        <v>0</v>
      </c>
      <c r="U211" s="1">
        <f>MAX($B211)</f>
        <v>0</v>
      </c>
      <c r="V211" s="1">
        <f>MAX($C211)</f>
        <v>0</v>
      </c>
      <c r="W211" s="1">
        <f>MAX($D211)</f>
        <v>0</v>
      </c>
      <c r="X211" s="1">
        <f>MAX($E211)</f>
        <v>0</v>
      </c>
      <c r="Y211" s="1">
        <f>MAX($G211)</f>
        <v>0</v>
      </c>
      <c r="Z211" s="1">
        <f>MAX($H211)</f>
        <v>0</v>
      </c>
    </row>
    <row r="212" spans="1:26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/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>
        <f>MIN($B212)</f>
        <v>0</v>
      </c>
      <c r="J212" s="1">
        <f>MIN($C212)</f>
        <v>0</v>
      </c>
      <c r="K212" s="1">
        <f>MIN($D212)</f>
        <v>0</v>
      </c>
      <c r="L212" s="1">
        <f>MIN($E212)</f>
        <v>0</v>
      </c>
      <c r="M212" s="1">
        <f>MIN($G212)</f>
        <v>0</v>
      </c>
      <c r="N212" s="1">
        <f>MIN($H212)</f>
        <v>0</v>
      </c>
      <c r="O212" s="1">
        <f>MEDIAN($B212)</f>
        <v>0</v>
      </c>
      <c r="P212" s="1">
        <f>MEDIAN($C212)</f>
        <v>0</v>
      </c>
      <c r="Q212" s="1">
        <f>MEDIAN($D212)</f>
        <v>0</v>
      </c>
      <c r="R212" s="1">
        <f>MEDIAN($E212)</f>
        <v>0</v>
      </c>
      <c r="S212" s="1">
        <f>MEDIAN($G212)</f>
        <v>0</v>
      </c>
      <c r="T212" s="1">
        <f>MEDIAN($H212)</f>
        <v>0</v>
      </c>
      <c r="U212" s="1">
        <f>MAX($B212)</f>
        <v>0</v>
      </c>
      <c r="V212" s="1">
        <f>MAX($C212)</f>
        <v>0</v>
      </c>
      <c r="W212" s="1">
        <f>MAX($D212)</f>
        <v>0</v>
      </c>
      <c r="X212" s="1">
        <f>MAX($E212)</f>
        <v>0</v>
      </c>
      <c r="Y212" s="1">
        <f>MAX($G212)</f>
        <v>0</v>
      </c>
      <c r="Z212" s="1">
        <f>MAX($H212)</f>
        <v>0</v>
      </c>
    </row>
    <row r="213" spans="1:26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/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>
        <f>MIN($B213)</f>
        <v>0</v>
      </c>
      <c r="J213" s="1">
        <f>MIN($C213)</f>
        <v>0</v>
      </c>
      <c r="K213" s="1">
        <f>MIN($D213)</f>
        <v>0</v>
      </c>
      <c r="L213" s="1">
        <f>MIN($E213)</f>
        <v>0</v>
      </c>
      <c r="M213" s="1">
        <f>MIN($G213)</f>
        <v>0</v>
      </c>
      <c r="N213" s="1">
        <f>MIN($H213)</f>
        <v>0</v>
      </c>
      <c r="O213" s="1">
        <f>MEDIAN($B213)</f>
        <v>0</v>
      </c>
      <c r="P213" s="1">
        <f>MEDIAN($C213)</f>
        <v>0</v>
      </c>
      <c r="Q213" s="1">
        <f>MEDIAN($D213)</f>
        <v>0</v>
      </c>
      <c r="R213" s="1">
        <f>MEDIAN($E213)</f>
        <v>0</v>
      </c>
      <c r="S213" s="1">
        <f>MEDIAN($G213)</f>
        <v>0</v>
      </c>
      <c r="T213" s="1">
        <f>MEDIAN($H213)</f>
        <v>0</v>
      </c>
      <c r="U213" s="1">
        <f>MAX($B213)</f>
        <v>0</v>
      </c>
      <c r="V213" s="1">
        <f>MAX($C213)</f>
        <v>0</v>
      </c>
      <c r="W213" s="1">
        <f>MAX($D213)</f>
        <v>0</v>
      </c>
      <c r="X213" s="1">
        <f>MAX($E213)</f>
        <v>0</v>
      </c>
      <c r="Y213" s="1">
        <f>MAX($G213)</f>
        <v>0</v>
      </c>
      <c r="Z213" s="1">
        <f>MAX($H213)</f>
        <v>0</v>
      </c>
    </row>
    <row r="214" spans="1:26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/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>
        <f>MIN($B214)</f>
        <v>0</v>
      </c>
      <c r="J214" s="1">
        <f>MIN($C214)</f>
        <v>0</v>
      </c>
      <c r="K214" s="1">
        <f>MIN($D214)</f>
        <v>0</v>
      </c>
      <c r="L214" s="1">
        <f>MIN($E214)</f>
        <v>0</v>
      </c>
      <c r="M214" s="1">
        <f>MIN($G214)</f>
        <v>0</v>
      </c>
      <c r="N214" s="1">
        <f>MIN($H214)</f>
        <v>0</v>
      </c>
      <c r="O214" s="1">
        <f>MEDIAN($B214)</f>
        <v>0</v>
      </c>
      <c r="P214" s="1">
        <f>MEDIAN($C214)</f>
        <v>0</v>
      </c>
      <c r="Q214" s="1">
        <f>MEDIAN($D214)</f>
        <v>0</v>
      </c>
      <c r="R214" s="1">
        <f>MEDIAN($E214)</f>
        <v>0</v>
      </c>
      <c r="S214" s="1">
        <f>MEDIAN($G214)</f>
        <v>0</v>
      </c>
      <c r="T214" s="1">
        <f>MEDIAN($H214)</f>
        <v>0</v>
      </c>
      <c r="U214" s="1">
        <f>MAX($B214)</f>
        <v>0</v>
      </c>
      <c r="V214" s="1">
        <f>MAX($C214)</f>
        <v>0</v>
      </c>
      <c r="W214" s="1">
        <f>MAX($D214)</f>
        <v>0</v>
      </c>
      <c r="X214" s="1">
        <f>MAX($E214)</f>
        <v>0</v>
      </c>
      <c r="Y214" s="1">
        <f>MAX($G214)</f>
        <v>0</v>
      </c>
      <c r="Z214" s="1">
        <f>MAX($H214)</f>
        <v>0</v>
      </c>
    </row>
    <row r="215" spans="1:26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/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>
        <f>MIN($B215)</f>
        <v>0</v>
      </c>
      <c r="J215" s="1">
        <f>MIN($C215)</f>
        <v>0</v>
      </c>
      <c r="K215" s="1">
        <f>MIN($D215)</f>
        <v>0</v>
      </c>
      <c r="L215" s="1">
        <f>MIN($E215)</f>
        <v>0</v>
      </c>
      <c r="M215" s="1">
        <f>MIN($G215)</f>
        <v>0</v>
      </c>
      <c r="N215" s="1">
        <f>MIN($H215)</f>
        <v>0</v>
      </c>
      <c r="O215" s="1">
        <f>MEDIAN($B215)</f>
        <v>0</v>
      </c>
      <c r="P215" s="1">
        <f>MEDIAN($C215)</f>
        <v>0</v>
      </c>
      <c r="Q215" s="1">
        <f>MEDIAN($D215)</f>
        <v>0</v>
      </c>
      <c r="R215" s="1">
        <f>MEDIAN($E215)</f>
        <v>0</v>
      </c>
      <c r="S215" s="1">
        <f>MEDIAN($G215)</f>
        <v>0</v>
      </c>
      <c r="T215" s="1">
        <f>MEDIAN($H215)</f>
        <v>0</v>
      </c>
      <c r="U215" s="1">
        <f>MAX($B215)</f>
        <v>0</v>
      </c>
      <c r="V215" s="1">
        <f>MAX($C215)</f>
        <v>0</v>
      </c>
      <c r="W215" s="1">
        <f>MAX($D215)</f>
        <v>0</v>
      </c>
      <c r="X215" s="1">
        <f>MAX($E215)</f>
        <v>0</v>
      </c>
      <c r="Y215" s="1">
        <f>MAX($G215)</f>
        <v>0</v>
      </c>
      <c r="Z215" s="1">
        <f>MAX($H215)</f>
        <v>0</v>
      </c>
    </row>
    <row r="216" spans="1:26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/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>
        <f>MIN($B216)</f>
        <v>0</v>
      </c>
      <c r="J216" s="1">
        <f>MIN($C216)</f>
        <v>0</v>
      </c>
      <c r="K216" s="1">
        <f>MIN($D216)</f>
        <v>0</v>
      </c>
      <c r="L216" s="1">
        <f>MIN($E216)</f>
        <v>0</v>
      </c>
      <c r="M216" s="1">
        <f>MIN($G216)</f>
        <v>0</v>
      </c>
      <c r="N216" s="1">
        <f>MIN($H216)</f>
        <v>0</v>
      </c>
      <c r="O216" s="1">
        <f>MEDIAN($B216)</f>
        <v>0</v>
      </c>
      <c r="P216" s="1">
        <f>MEDIAN($C216)</f>
        <v>0</v>
      </c>
      <c r="Q216" s="1">
        <f>MEDIAN($D216)</f>
        <v>0</v>
      </c>
      <c r="R216" s="1">
        <f>MEDIAN($E216)</f>
        <v>0</v>
      </c>
      <c r="S216" s="1">
        <f>MEDIAN($G216)</f>
        <v>0</v>
      </c>
      <c r="T216" s="1">
        <f>MEDIAN($H216)</f>
        <v>0</v>
      </c>
      <c r="U216" s="1">
        <f>MAX($B216)</f>
        <v>0</v>
      </c>
      <c r="V216" s="1">
        <f>MAX($C216)</f>
        <v>0</v>
      </c>
      <c r="W216" s="1">
        <f>MAX($D216)</f>
        <v>0</v>
      </c>
      <c r="X216" s="1">
        <f>MAX($E216)</f>
        <v>0</v>
      </c>
      <c r="Y216" s="1">
        <f>MAX($G216)</f>
        <v>0</v>
      </c>
      <c r="Z216" s="1">
        <f>MAX($H216)</f>
        <v>0</v>
      </c>
    </row>
    <row r="217" spans="1:26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/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>
        <f>MIN($B217)</f>
        <v>0</v>
      </c>
      <c r="J217" s="1">
        <f>MIN($C217)</f>
        <v>0</v>
      </c>
      <c r="K217" s="1">
        <f>MIN($D217)</f>
        <v>0</v>
      </c>
      <c r="L217" s="1">
        <f>MIN($E217)</f>
        <v>0</v>
      </c>
      <c r="M217" s="1">
        <f>MIN($G217)</f>
        <v>0</v>
      </c>
      <c r="N217" s="1">
        <f>MIN($H217)</f>
        <v>0</v>
      </c>
      <c r="O217" s="1">
        <f>MEDIAN($B217)</f>
        <v>0</v>
      </c>
      <c r="P217" s="1">
        <f>MEDIAN($C217)</f>
        <v>0</v>
      </c>
      <c r="Q217" s="1">
        <f>MEDIAN($D217)</f>
        <v>0</v>
      </c>
      <c r="R217" s="1">
        <f>MEDIAN($E217)</f>
        <v>0</v>
      </c>
      <c r="S217" s="1">
        <f>MEDIAN($G217)</f>
        <v>0</v>
      </c>
      <c r="T217" s="1">
        <f>MEDIAN($H217)</f>
        <v>0</v>
      </c>
      <c r="U217" s="1">
        <f>MAX($B217)</f>
        <v>0</v>
      </c>
      <c r="V217" s="1">
        <f>MAX($C217)</f>
        <v>0</v>
      </c>
      <c r="W217" s="1">
        <f>MAX($D217)</f>
        <v>0</v>
      </c>
      <c r="X217" s="1">
        <f>MAX($E217)</f>
        <v>0</v>
      </c>
      <c r="Y217" s="1">
        <f>MAX($G217)</f>
        <v>0</v>
      </c>
      <c r="Z217" s="1">
        <f>MAX($H217)</f>
        <v>0</v>
      </c>
    </row>
    <row r="218" spans="1:26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/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>
        <f>MIN($B218)</f>
        <v>0</v>
      </c>
      <c r="J218" s="1">
        <f>MIN($C218)</f>
        <v>0</v>
      </c>
      <c r="K218" s="1">
        <f>MIN($D218)</f>
        <v>0</v>
      </c>
      <c r="L218" s="1">
        <f>MIN($E218)</f>
        <v>0</v>
      </c>
      <c r="M218" s="1">
        <f>MIN($G218)</f>
        <v>0</v>
      </c>
      <c r="N218" s="1">
        <f>MIN($H218)</f>
        <v>0</v>
      </c>
      <c r="O218" s="1">
        <f>MEDIAN($B218)</f>
        <v>0</v>
      </c>
      <c r="P218" s="1">
        <f>MEDIAN($C218)</f>
        <v>0</v>
      </c>
      <c r="Q218" s="1">
        <f>MEDIAN($D218)</f>
        <v>0</v>
      </c>
      <c r="R218" s="1">
        <f>MEDIAN($E218)</f>
        <v>0</v>
      </c>
      <c r="S218" s="1">
        <f>MEDIAN($G218)</f>
        <v>0</v>
      </c>
      <c r="T218" s="1">
        <f>MEDIAN($H218)</f>
        <v>0</v>
      </c>
      <c r="U218" s="1">
        <f>MAX($B218)</f>
        <v>0</v>
      </c>
      <c r="V218" s="1">
        <f>MAX($C218)</f>
        <v>0</v>
      </c>
      <c r="W218" s="1">
        <f>MAX($D218)</f>
        <v>0</v>
      </c>
      <c r="X218" s="1">
        <f>MAX($E218)</f>
        <v>0</v>
      </c>
      <c r="Y218" s="1">
        <f>MAX($G218)</f>
        <v>0</v>
      </c>
      <c r="Z218" s="1">
        <f>MAX($H218)</f>
        <v>0</v>
      </c>
    </row>
    <row r="219" spans="1:26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/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>
        <f>MIN($B219)</f>
        <v>0</v>
      </c>
      <c r="J219" s="1">
        <f>MIN($C219)</f>
        <v>0</v>
      </c>
      <c r="K219" s="1">
        <f>MIN($D219)</f>
        <v>0</v>
      </c>
      <c r="L219" s="1">
        <f>MIN($E219)</f>
        <v>0</v>
      </c>
      <c r="M219" s="1">
        <f>MIN($G219)</f>
        <v>0</v>
      </c>
      <c r="N219" s="1">
        <f>MIN($H219)</f>
        <v>0</v>
      </c>
      <c r="O219" s="1">
        <f>MEDIAN($B219)</f>
        <v>0</v>
      </c>
      <c r="P219" s="1">
        <f>MEDIAN($C219)</f>
        <v>0</v>
      </c>
      <c r="Q219" s="1">
        <f>MEDIAN($D219)</f>
        <v>0</v>
      </c>
      <c r="R219" s="1">
        <f>MEDIAN($E219)</f>
        <v>0</v>
      </c>
      <c r="S219" s="1">
        <f>MEDIAN($G219)</f>
        <v>0</v>
      </c>
      <c r="T219" s="1">
        <f>MEDIAN($H219)</f>
        <v>0</v>
      </c>
      <c r="U219" s="1">
        <f>MAX($B219)</f>
        <v>0</v>
      </c>
      <c r="V219" s="1">
        <f>MAX($C219)</f>
        <v>0</v>
      </c>
      <c r="W219" s="1">
        <f>MAX($D219)</f>
        <v>0</v>
      </c>
      <c r="X219" s="1">
        <f>MAX($E219)</f>
        <v>0</v>
      </c>
      <c r="Y219" s="1">
        <f>MAX($G219)</f>
        <v>0</v>
      </c>
      <c r="Z219" s="1">
        <f>MAX($H219)</f>
        <v>0</v>
      </c>
    </row>
    <row r="220" spans="1:26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/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>
        <f>MIN($B220)</f>
        <v>0</v>
      </c>
      <c r="J220" s="1">
        <f>MIN($C220)</f>
        <v>0</v>
      </c>
      <c r="K220" s="1">
        <f>MIN($D220)</f>
        <v>0</v>
      </c>
      <c r="L220" s="1">
        <f>MIN($E220)</f>
        <v>0</v>
      </c>
      <c r="M220" s="1">
        <f>MIN($G220)</f>
        <v>0</v>
      </c>
      <c r="N220" s="1">
        <f>MIN($H220)</f>
        <v>0</v>
      </c>
      <c r="O220" s="1">
        <f>MEDIAN($B220)</f>
        <v>0</v>
      </c>
      <c r="P220" s="1">
        <f>MEDIAN($C220)</f>
        <v>0</v>
      </c>
      <c r="Q220" s="1">
        <f>MEDIAN($D220)</f>
        <v>0</v>
      </c>
      <c r="R220" s="1">
        <f>MEDIAN($E220)</f>
        <v>0</v>
      </c>
      <c r="S220" s="1">
        <f>MEDIAN($G220)</f>
        <v>0</v>
      </c>
      <c r="T220" s="1">
        <f>MEDIAN($H220)</f>
        <v>0</v>
      </c>
      <c r="U220" s="1">
        <f>MAX($B220)</f>
        <v>0</v>
      </c>
      <c r="V220" s="1">
        <f>MAX($C220)</f>
        <v>0</v>
      </c>
      <c r="W220" s="1">
        <f>MAX($D220)</f>
        <v>0</v>
      </c>
      <c r="X220" s="1">
        <f>MAX($E220)</f>
        <v>0</v>
      </c>
      <c r="Y220" s="1">
        <f>MAX($G220)</f>
        <v>0</v>
      </c>
      <c r="Z220" s="1">
        <f>MAX($H220)</f>
        <v>0</v>
      </c>
    </row>
    <row r="221" spans="1:26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/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>
        <f>MIN($B221)</f>
        <v>0</v>
      </c>
      <c r="J221" s="1">
        <f>MIN($C221)</f>
        <v>0</v>
      </c>
      <c r="K221" s="1">
        <f>MIN($D221)</f>
        <v>0</v>
      </c>
      <c r="L221" s="1">
        <f>MIN($E221)</f>
        <v>0</v>
      </c>
      <c r="M221" s="1">
        <f>MIN($G221)</f>
        <v>0</v>
      </c>
      <c r="N221" s="1">
        <f>MIN($H221)</f>
        <v>0</v>
      </c>
      <c r="O221" s="1">
        <f>MEDIAN($B221)</f>
        <v>0</v>
      </c>
      <c r="P221" s="1">
        <f>MEDIAN($C221)</f>
        <v>0</v>
      </c>
      <c r="Q221" s="1">
        <f>MEDIAN($D221)</f>
        <v>0</v>
      </c>
      <c r="R221" s="1">
        <f>MEDIAN($E221)</f>
        <v>0</v>
      </c>
      <c r="S221" s="1">
        <f>MEDIAN($G221)</f>
        <v>0</v>
      </c>
      <c r="T221" s="1">
        <f>MEDIAN($H221)</f>
        <v>0</v>
      </c>
      <c r="U221" s="1">
        <f>MAX($B221)</f>
        <v>0</v>
      </c>
      <c r="V221" s="1">
        <f>MAX($C221)</f>
        <v>0</v>
      </c>
      <c r="W221" s="1">
        <f>MAX($D221)</f>
        <v>0</v>
      </c>
      <c r="X221" s="1">
        <f>MAX($E221)</f>
        <v>0</v>
      </c>
      <c r="Y221" s="1">
        <f>MAX($G221)</f>
        <v>0</v>
      </c>
      <c r="Z221" s="1">
        <f>MAX($H221)</f>
        <v>0</v>
      </c>
    </row>
    <row r="222" spans="1:26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/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>
        <f>MIN($B222)</f>
        <v>0</v>
      </c>
      <c r="J222" s="1">
        <f>MIN($C222)</f>
        <v>0</v>
      </c>
      <c r="K222" s="1">
        <f>MIN($D222)</f>
        <v>0</v>
      </c>
      <c r="L222" s="1">
        <f>MIN($E222)</f>
        <v>0</v>
      </c>
      <c r="M222" s="1">
        <f>MIN($G222)</f>
        <v>0</v>
      </c>
      <c r="N222" s="1">
        <f>MIN($H222)</f>
        <v>0</v>
      </c>
      <c r="O222" s="1">
        <f>MEDIAN($B222)</f>
        <v>0</v>
      </c>
      <c r="P222" s="1">
        <f>MEDIAN($C222)</f>
        <v>0</v>
      </c>
      <c r="Q222" s="1">
        <f>MEDIAN($D222)</f>
        <v>0</v>
      </c>
      <c r="R222" s="1">
        <f>MEDIAN($E222)</f>
        <v>0</v>
      </c>
      <c r="S222" s="1">
        <f>MEDIAN($G222)</f>
        <v>0</v>
      </c>
      <c r="T222" s="1">
        <f>MEDIAN($H222)</f>
        <v>0</v>
      </c>
      <c r="U222" s="1">
        <f>MAX($B222)</f>
        <v>0</v>
      </c>
      <c r="V222" s="1">
        <f>MAX($C222)</f>
        <v>0</v>
      </c>
      <c r="W222" s="1">
        <f>MAX($D222)</f>
        <v>0</v>
      </c>
      <c r="X222" s="1">
        <f>MAX($E222)</f>
        <v>0</v>
      </c>
      <c r="Y222" s="1">
        <f>MAX($G222)</f>
        <v>0</v>
      </c>
      <c r="Z222" s="1">
        <f>MAX($H222)</f>
        <v>0</v>
      </c>
    </row>
    <row r="223" spans="1:26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/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>
        <f>MIN($B223)</f>
        <v>0</v>
      </c>
      <c r="J223" s="1">
        <f>MIN($C223)</f>
        <v>0</v>
      </c>
      <c r="K223" s="1">
        <f>MIN($D223)</f>
        <v>0</v>
      </c>
      <c r="L223" s="1">
        <f>MIN($E223)</f>
        <v>0</v>
      </c>
      <c r="M223" s="1">
        <f>MIN($G223)</f>
        <v>0</v>
      </c>
      <c r="N223" s="1">
        <f>MIN($H223)</f>
        <v>0</v>
      </c>
      <c r="O223" s="1">
        <f>MEDIAN($B223)</f>
        <v>0</v>
      </c>
      <c r="P223" s="1">
        <f>MEDIAN($C223)</f>
        <v>0</v>
      </c>
      <c r="Q223" s="1">
        <f>MEDIAN($D223)</f>
        <v>0</v>
      </c>
      <c r="R223" s="1">
        <f>MEDIAN($E223)</f>
        <v>0</v>
      </c>
      <c r="S223" s="1">
        <f>MEDIAN($G223)</f>
        <v>0</v>
      </c>
      <c r="T223" s="1">
        <f>MEDIAN($H223)</f>
        <v>0</v>
      </c>
      <c r="U223" s="1">
        <f>MAX($B223)</f>
        <v>0</v>
      </c>
      <c r="V223" s="1">
        <f>MAX($C223)</f>
        <v>0</v>
      </c>
      <c r="W223" s="1">
        <f>MAX($D223)</f>
        <v>0</v>
      </c>
      <c r="X223" s="1">
        <f>MAX($E223)</f>
        <v>0</v>
      </c>
      <c r="Y223" s="1">
        <f>MAX($G223)</f>
        <v>0</v>
      </c>
      <c r="Z223" s="1">
        <f>MAX($H223)</f>
        <v>0</v>
      </c>
    </row>
    <row r="224" spans="1:26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/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>
        <f>MIN($B224)</f>
        <v>0</v>
      </c>
      <c r="J224" s="1">
        <f>MIN($C224)</f>
        <v>0</v>
      </c>
      <c r="K224" s="1">
        <f>MIN($D224)</f>
        <v>0</v>
      </c>
      <c r="L224" s="1">
        <f>MIN($E224)</f>
        <v>0</v>
      </c>
      <c r="M224" s="1">
        <f>MIN($G224)</f>
        <v>0</v>
      </c>
      <c r="N224" s="1">
        <f>MIN($H224)</f>
        <v>0</v>
      </c>
      <c r="O224" s="1">
        <f>MEDIAN($B224)</f>
        <v>0</v>
      </c>
      <c r="P224" s="1">
        <f>MEDIAN($C224)</f>
        <v>0</v>
      </c>
      <c r="Q224" s="1">
        <f>MEDIAN($D224)</f>
        <v>0</v>
      </c>
      <c r="R224" s="1">
        <f>MEDIAN($E224)</f>
        <v>0</v>
      </c>
      <c r="S224" s="1">
        <f>MEDIAN($G224)</f>
        <v>0</v>
      </c>
      <c r="T224" s="1">
        <f>MEDIAN($H224)</f>
        <v>0</v>
      </c>
      <c r="U224" s="1">
        <f>MAX($B224)</f>
        <v>0</v>
      </c>
      <c r="V224" s="1">
        <f>MAX($C224)</f>
        <v>0</v>
      </c>
      <c r="W224" s="1">
        <f>MAX($D224)</f>
        <v>0</v>
      </c>
      <c r="X224" s="1">
        <f>MAX($E224)</f>
        <v>0</v>
      </c>
      <c r="Y224" s="1">
        <f>MAX($G224)</f>
        <v>0</v>
      </c>
      <c r="Z224" s="1">
        <f>MAX($H224)</f>
        <v>0</v>
      </c>
    </row>
    <row r="225" spans="1:26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/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>
        <f>MIN($B225)</f>
        <v>0</v>
      </c>
      <c r="J225" s="1">
        <f>MIN($C225)</f>
        <v>0</v>
      </c>
      <c r="K225" s="1">
        <f>MIN($D225)</f>
        <v>0</v>
      </c>
      <c r="L225" s="1">
        <f>MIN($E225)</f>
        <v>0</v>
      </c>
      <c r="M225" s="1">
        <f>MIN($G225)</f>
        <v>0</v>
      </c>
      <c r="N225" s="1">
        <f>MIN($H225)</f>
        <v>0</v>
      </c>
      <c r="O225" s="1">
        <f>MEDIAN($B225)</f>
        <v>0</v>
      </c>
      <c r="P225" s="1">
        <f>MEDIAN($C225)</f>
        <v>0</v>
      </c>
      <c r="Q225" s="1">
        <f>MEDIAN($D225)</f>
        <v>0</v>
      </c>
      <c r="R225" s="1">
        <f>MEDIAN($E225)</f>
        <v>0</v>
      </c>
      <c r="S225" s="1">
        <f>MEDIAN($G225)</f>
        <v>0</v>
      </c>
      <c r="T225" s="1">
        <f>MEDIAN($H225)</f>
        <v>0</v>
      </c>
      <c r="U225" s="1">
        <f>MAX($B225)</f>
        <v>0</v>
      </c>
      <c r="V225" s="1">
        <f>MAX($C225)</f>
        <v>0</v>
      </c>
      <c r="W225" s="1">
        <f>MAX($D225)</f>
        <v>0</v>
      </c>
      <c r="X225" s="1">
        <f>MAX($E225)</f>
        <v>0</v>
      </c>
      <c r="Y225" s="1">
        <f>MAX($G225)</f>
        <v>0</v>
      </c>
      <c r="Z225" s="1">
        <f>MAX($H225)</f>
        <v>0</v>
      </c>
    </row>
    <row r="226" spans="1:26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/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>
        <f>MIN($B226)</f>
        <v>0</v>
      </c>
      <c r="J226" s="1">
        <f>MIN($C226)</f>
        <v>0</v>
      </c>
      <c r="K226" s="1">
        <f>MIN($D226)</f>
        <v>0</v>
      </c>
      <c r="L226" s="1">
        <f>MIN($E226)</f>
        <v>0</v>
      </c>
      <c r="M226" s="1">
        <f>MIN($G226)</f>
        <v>0</v>
      </c>
      <c r="N226" s="1">
        <f>MIN($H226)</f>
        <v>0</v>
      </c>
      <c r="O226" s="1">
        <f>MEDIAN($B226)</f>
        <v>0</v>
      </c>
      <c r="P226" s="1">
        <f>MEDIAN($C226)</f>
        <v>0</v>
      </c>
      <c r="Q226" s="1">
        <f>MEDIAN($D226)</f>
        <v>0</v>
      </c>
      <c r="R226" s="1">
        <f>MEDIAN($E226)</f>
        <v>0</v>
      </c>
      <c r="S226" s="1">
        <f>MEDIAN($G226)</f>
        <v>0</v>
      </c>
      <c r="T226" s="1">
        <f>MEDIAN($H226)</f>
        <v>0</v>
      </c>
      <c r="U226" s="1">
        <f>MAX($B226)</f>
        <v>0</v>
      </c>
      <c r="V226" s="1">
        <f>MAX($C226)</f>
        <v>0</v>
      </c>
      <c r="W226" s="1">
        <f>MAX($D226)</f>
        <v>0</v>
      </c>
      <c r="X226" s="1">
        <f>MAX($E226)</f>
        <v>0</v>
      </c>
      <c r="Y226" s="1">
        <f>MAX($G226)</f>
        <v>0</v>
      </c>
      <c r="Z226" s="1">
        <f>MAX($H226)</f>
        <v>0</v>
      </c>
    </row>
    <row r="227" spans="1:26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/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>
        <f>MIN($B227)</f>
        <v>0</v>
      </c>
      <c r="J227" s="1">
        <f>MIN($C227)</f>
        <v>0</v>
      </c>
      <c r="K227" s="1">
        <f>MIN($D227)</f>
        <v>0</v>
      </c>
      <c r="L227" s="1">
        <f>MIN($E227)</f>
        <v>0</v>
      </c>
      <c r="M227" s="1">
        <f>MIN($G227)</f>
        <v>0</v>
      </c>
      <c r="N227" s="1">
        <f>MIN($H227)</f>
        <v>0</v>
      </c>
      <c r="O227" s="1">
        <f>MEDIAN($B227)</f>
        <v>0</v>
      </c>
      <c r="P227" s="1">
        <f>MEDIAN($C227)</f>
        <v>0</v>
      </c>
      <c r="Q227" s="1">
        <f>MEDIAN($D227)</f>
        <v>0</v>
      </c>
      <c r="R227" s="1">
        <f>MEDIAN($E227)</f>
        <v>0</v>
      </c>
      <c r="S227" s="1">
        <f>MEDIAN($G227)</f>
        <v>0</v>
      </c>
      <c r="T227" s="1">
        <f>MEDIAN($H227)</f>
        <v>0</v>
      </c>
      <c r="U227" s="1">
        <f>MAX($B227)</f>
        <v>0</v>
      </c>
      <c r="V227" s="1">
        <f>MAX($C227)</f>
        <v>0</v>
      </c>
      <c r="W227" s="1">
        <f>MAX($D227)</f>
        <v>0</v>
      </c>
      <c r="X227" s="1">
        <f>MAX($E227)</f>
        <v>0</v>
      </c>
      <c r="Y227" s="1">
        <f>MAX($G227)</f>
        <v>0</v>
      </c>
      <c r="Z227" s="1">
        <f>MAX($H227)</f>
        <v>0</v>
      </c>
    </row>
    <row r="228" spans="1:26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/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>
        <f>MIN($B228)</f>
        <v>0</v>
      </c>
      <c r="J228" s="1">
        <f>MIN($C228)</f>
        <v>0</v>
      </c>
      <c r="K228" s="1">
        <f>MIN($D228)</f>
        <v>0</v>
      </c>
      <c r="L228" s="1">
        <f>MIN($E228)</f>
        <v>0</v>
      </c>
      <c r="M228" s="1">
        <f>MIN($G228)</f>
        <v>0</v>
      </c>
      <c r="N228" s="1">
        <f>MIN($H228)</f>
        <v>0</v>
      </c>
      <c r="O228" s="1">
        <f>MEDIAN($B228)</f>
        <v>0</v>
      </c>
      <c r="P228" s="1">
        <f>MEDIAN($C228)</f>
        <v>0</v>
      </c>
      <c r="Q228" s="1">
        <f>MEDIAN($D228)</f>
        <v>0</v>
      </c>
      <c r="R228" s="1">
        <f>MEDIAN($E228)</f>
        <v>0</v>
      </c>
      <c r="S228" s="1">
        <f>MEDIAN($G228)</f>
        <v>0</v>
      </c>
      <c r="T228" s="1">
        <f>MEDIAN($H228)</f>
        <v>0</v>
      </c>
      <c r="U228" s="1">
        <f>MAX($B228)</f>
        <v>0</v>
      </c>
      <c r="V228" s="1">
        <f>MAX($C228)</f>
        <v>0</v>
      </c>
      <c r="W228" s="1">
        <f>MAX($D228)</f>
        <v>0</v>
      </c>
      <c r="X228" s="1">
        <f>MAX($E228)</f>
        <v>0</v>
      </c>
      <c r="Y228" s="1">
        <f>MAX($G228)</f>
        <v>0</v>
      </c>
      <c r="Z228" s="1">
        <f>MAX($H228)</f>
        <v>0</v>
      </c>
    </row>
    <row r="229" spans="1:26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/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>
        <f>MIN($B229)</f>
        <v>0</v>
      </c>
      <c r="J229" s="1">
        <f>MIN($C229)</f>
        <v>0</v>
      </c>
      <c r="K229" s="1">
        <f>MIN($D229)</f>
        <v>0</v>
      </c>
      <c r="L229" s="1">
        <f>MIN($E229)</f>
        <v>0</v>
      </c>
      <c r="M229" s="1">
        <f>MIN($G229)</f>
        <v>0</v>
      </c>
      <c r="N229" s="1">
        <f>MIN($H229)</f>
        <v>0</v>
      </c>
      <c r="O229" s="1">
        <f>MEDIAN($B229)</f>
        <v>0</v>
      </c>
      <c r="P229" s="1">
        <f>MEDIAN($C229)</f>
        <v>0</v>
      </c>
      <c r="Q229" s="1">
        <f>MEDIAN($D229)</f>
        <v>0</v>
      </c>
      <c r="R229" s="1">
        <f>MEDIAN($E229)</f>
        <v>0</v>
      </c>
      <c r="S229" s="1">
        <f>MEDIAN($G229)</f>
        <v>0</v>
      </c>
      <c r="T229" s="1">
        <f>MEDIAN($H229)</f>
        <v>0</v>
      </c>
      <c r="U229" s="1">
        <f>MAX($B229)</f>
        <v>0</v>
      </c>
      <c r="V229" s="1">
        <f>MAX($C229)</f>
        <v>0</v>
      </c>
      <c r="W229" s="1">
        <f>MAX($D229)</f>
        <v>0</v>
      </c>
      <c r="X229" s="1">
        <f>MAX($E229)</f>
        <v>0</v>
      </c>
      <c r="Y229" s="1">
        <f>MAX($G229)</f>
        <v>0</v>
      </c>
      <c r="Z229" s="1">
        <f>MAX($H229)</f>
        <v>0</v>
      </c>
    </row>
    <row r="230" spans="1:26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/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>
        <f>MIN($B230)</f>
        <v>0</v>
      </c>
      <c r="J230" s="1">
        <f>MIN($C230)</f>
        <v>0</v>
      </c>
      <c r="K230" s="1">
        <f>MIN($D230)</f>
        <v>0</v>
      </c>
      <c r="L230" s="1">
        <f>MIN($E230)</f>
        <v>0</v>
      </c>
      <c r="M230" s="1">
        <f>MIN($G230)</f>
        <v>0</v>
      </c>
      <c r="N230" s="1">
        <f>MIN($H230)</f>
        <v>0</v>
      </c>
      <c r="O230" s="1">
        <f>MEDIAN($B230)</f>
        <v>0</v>
      </c>
      <c r="P230" s="1">
        <f>MEDIAN($C230)</f>
        <v>0</v>
      </c>
      <c r="Q230" s="1">
        <f>MEDIAN($D230)</f>
        <v>0</v>
      </c>
      <c r="R230" s="1">
        <f>MEDIAN($E230)</f>
        <v>0</v>
      </c>
      <c r="S230" s="1">
        <f>MEDIAN($G230)</f>
        <v>0</v>
      </c>
      <c r="T230" s="1">
        <f>MEDIAN($H230)</f>
        <v>0</v>
      </c>
      <c r="U230" s="1">
        <f>MAX($B230)</f>
        <v>0</v>
      </c>
      <c r="V230" s="1">
        <f>MAX($C230)</f>
        <v>0</v>
      </c>
      <c r="W230" s="1">
        <f>MAX($D230)</f>
        <v>0</v>
      </c>
      <c r="X230" s="1">
        <f>MAX($E230)</f>
        <v>0</v>
      </c>
      <c r="Y230" s="1">
        <f>MAX($G230)</f>
        <v>0</v>
      </c>
      <c r="Z230" s="1">
        <f>MAX($H230)</f>
        <v>0</v>
      </c>
    </row>
    <row r="231" spans="1:26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/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>
        <f>MIN($B231)</f>
        <v>0</v>
      </c>
      <c r="J231" s="1">
        <f>MIN($C231)</f>
        <v>0</v>
      </c>
      <c r="K231" s="1">
        <f>MIN($D231)</f>
        <v>0</v>
      </c>
      <c r="L231" s="1">
        <f>MIN($E231)</f>
        <v>0</v>
      </c>
      <c r="M231" s="1">
        <f>MIN($G231)</f>
        <v>0</v>
      </c>
      <c r="N231" s="1">
        <f>MIN($H231)</f>
        <v>0</v>
      </c>
      <c r="O231" s="1">
        <f>MEDIAN($B231)</f>
        <v>0</v>
      </c>
      <c r="P231" s="1">
        <f>MEDIAN($C231)</f>
        <v>0</v>
      </c>
      <c r="Q231" s="1">
        <f>MEDIAN($D231)</f>
        <v>0</v>
      </c>
      <c r="R231" s="1">
        <f>MEDIAN($E231)</f>
        <v>0</v>
      </c>
      <c r="S231" s="1">
        <f>MEDIAN($G231)</f>
        <v>0</v>
      </c>
      <c r="T231" s="1">
        <f>MEDIAN($H231)</f>
        <v>0</v>
      </c>
      <c r="U231" s="1">
        <f>MAX($B231)</f>
        <v>0</v>
      </c>
      <c r="V231" s="1">
        <f>MAX($C231)</f>
        <v>0</v>
      </c>
      <c r="W231" s="1">
        <f>MAX($D231)</f>
        <v>0</v>
      </c>
      <c r="X231" s="1">
        <f>MAX($E231)</f>
        <v>0</v>
      </c>
      <c r="Y231" s="1">
        <f>MAX($G231)</f>
        <v>0</v>
      </c>
      <c r="Z231" s="1">
        <f>MAX($H231)</f>
        <v>0</v>
      </c>
    </row>
    <row r="232" spans="1:26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/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>
        <f>MIN($B232)</f>
        <v>0</v>
      </c>
      <c r="J232" s="1">
        <f>MIN($C232)</f>
        <v>0</v>
      </c>
      <c r="K232" s="1">
        <f>MIN($D232)</f>
        <v>0</v>
      </c>
      <c r="L232" s="1">
        <f>MIN($E232)</f>
        <v>0</v>
      </c>
      <c r="M232" s="1">
        <f>MIN($G232)</f>
        <v>0</v>
      </c>
      <c r="N232" s="1">
        <f>MIN($H232)</f>
        <v>0</v>
      </c>
      <c r="O232" s="1">
        <f>MEDIAN($B232)</f>
        <v>0</v>
      </c>
      <c r="P232" s="1">
        <f>MEDIAN($C232)</f>
        <v>0</v>
      </c>
      <c r="Q232" s="1">
        <f>MEDIAN($D232)</f>
        <v>0</v>
      </c>
      <c r="R232" s="1">
        <f>MEDIAN($E232)</f>
        <v>0</v>
      </c>
      <c r="S232" s="1">
        <f>MEDIAN($G232)</f>
        <v>0</v>
      </c>
      <c r="T232" s="1">
        <f>MEDIAN($H232)</f>
        <v>0</v>
      </c>
      <c r="U232" s="1">
        <f>MAX($B232)</f>
        <v>0</v>
      </c>
      <c r="V232" s="1">
        <f>MAX($C232)</f>
        <v>0</v>
      </c>
      <c r="W232" s="1">
        <f>MAX($D232)</f>
        <v>0</v>
      </c>
      <c r="X232" s="1">
        <f>MAX($E232)</f>
        <v>0</v>
      </c>
      <c r="Y232" s="1">
        <f>MAX($G232)</f>
        <v>0</v>
      </c>
      <c r="Z232" s="1">
        <f>MAX($H232)</f>
        <v>0</v>
      </c>
    </row>
    <row r="233" spans="1:26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/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>
        <f>MIN($B233)</f>
        <v>0</v>
      </c>
      <c r="J233" s="1">
        <f>MIN($C233)</f>
        <v>0</v>
      </c>
      <c r="K233" s="1">
        <f>MIN($D233)</f>
        <v>0</v>
      </c>
      <c r="L233" s="1">
        <f>MIN($E233)</f>
        <v>0</v>
      </c>
      <c r="M233" s="1">
        <f>MIN($G233)</f>
        <v>0</v>
      </c>
      <c r="N233" s="1">
        <f>MIN($H233)</f>
        <v>0</v>
      </c>
      <c r="O233" s="1">
        <f>MEDIAN($B233)</f>
        <v>0</v>
      </c>
      <c r="P233" s="1">
        <f>MEDIAN($C233)</f>
        <v>0</v>
      </c>
      <c r="Q233" s="1">
        <f>MEDIAN($D233)</f>
        <v>0</v>
      </c>
      <c r="R233" s="1">
        <f>MEDIAN($E233)</f>
        <v>0</v>
      </c>
      <c r="S233" s="1">
        <f>MEDIAN($G233)</f>
        <v>0</v>
      </c>
      <c r="T233" s="1">
        <f>MEDIAN($H233)</f>
        <v>0</v>
      </c>
      <c r="U233" s="1">
        <f>MAX($B233)</f>
        <v>0</v>
      </c>
      <c r="V233" s="1">
        <f>MAX($C233)</f>
        <v>0</v>
      </c>
      <c r="W233" s="1">
        <f>MAX($D233)</f>
        <v>0</v>
      </c>
      <c r="X233" s="1">
        <f>MAX($E233)</f>
        <v>0</v>
      </c>
      <c r="Y233" s="1">
        <f>MAX($G233)</f>
        <v>0</v>
      </c>
      <c r="Z233" s="1">
        <f>MAX($H233)</f>
        <v>0</v>
      </c>
    </row>
    <row r="234" spans="1:26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/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>
        <f>MIN($B234)</f>
        <v>0</v>
      </c>
      <c r="J234" s="1">
        <f>MIN($C234)</f>
        <v>0</v>
      </c>
      <c r="K234" s="1">
        <f>MIN($D234)</f>
        <v>0</v>
      </c>
      <c r="L234" s="1">
        <f>MIN($E234)</f>
        <v>0</v>
      </c>
      <c r="M234" s="1">
        <f>MIN($G234)</f>
        <v>0</v>
      </c>
      <c r="N234" s="1">
        <f>MIN($H234)</f>
        <v>0</v>
      </c>
      <c r="O234" s="1">
        <f>MEDIAN($B234)</f>
        <v>0</v>
      </c>
      <c r="P234" s="1">
        <f>MEDIAN($C234)</f>
        <v>0</v>
      </c>
      <c r="Q234" s="1">
        <f>MEDIAN($D234)</f>
        <v>0</v>
      </c>
      <c r="R234" s="1">
        <f>MEDIAN($E234)</f>
        <v>0</v>
      </c>
      <c r="S234" s="1">
        <f>MEDIAN($G234)</f>
        <v>0</v>
      </c>
      <c r="T234" s="1">
        <f>MEDIAN($H234)</f>
        <v>0</v>
      </c>
      <c r="U234" s="1">
        <f>MAX($B234)</f>
        <v>0</v>
      </c>
      <c r="V234" s="1">
        <f>MAX($C234)</f>
        <v>0</v>
      </c>
      <c r="W234" s="1">
        <f>MAX($D234)</f>
        <v>0</v>
      </c>
      <c r="X234" s="1">
        <f>MAX($E234)</f>
        <v>0</v>
      </c>
      <c r="Y234" s="1">
        <f>MAX($G234)</f>
        <v>0</v>
      </c>
      <c r="Z234" s="1">
        <f>MAX($H234)</f>
        <v>0</v>
      </c>
    </row>
    <row r="235" spans="1:26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/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>
        <f>MIN($B235)</f>
        <v>0</v>
      </c>
      <c r="J235" s="1">
        <f>MIN($C235)</f>
        <v>0</v>
      </c>
      <c r="K235" s="1">
        <f>MIN($D235)</f>
        <v>0</v>
      </c>
      <c r="L235" s="1">
        <f>MIN($E235)</f>
        <v>0</v>
      </c>
      <c r="M235" s="1">
        <f>MIN($G235)</f>
        <v>0</v>
      </c>
      <c r="N235" s="1">
        <f>MIN($H235)</f>
        <v>0</v>
      </c>
      <c r="O235" s="1">
        <f>MEDIAN($B235)</f>
        <v>0</v>
      </c>
      <c r="P235" s="1">
        <f>MEDIAN($C235)</f>
        <v>0</v>
      </c>
      <c r="Q235" s="1">
        <f>MEDIAN($D235)</f>
        <v>0</v>
      </c>
      <c r="R235" s="1">
        <f>MEDIAN($E235)</f>
        <v>0</v>
      </c>
      <c r="S235" s="1">
        <f>MEDIAN($G235)</f>
        <v>0</v>
      </c>
      <c r="T235" s="1">
        <f>MEDIAN($H235)</f>
        <v>0</v>
      </c>
      <c r="U235" s="1">
        <f>MAX($B235)</f>
        <v>0</v>
      </c>
      <c r="V235" s="1">
        <f>MAX($C235)</f>
        <v>0</v>
      </c>
      <c r="W235" s="1">
        <f>MAX($D235)</f>
        <v>0</v>
      </c>
      <c r="X235" s="1">
        <f>MAX($E235)</f>
        <v>0</v>
      </c>
      <c r="Y235" s="1">
        <f>MAX($G235)</f>
        <v>0</v>
      </c>
      <c r="Z235" s="1">
        <f>MAX($H235)</f>
        <v>0</v>
      </c>
    </row>
    <row r="236" spans="1:26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/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>
        <f>MIN($B236)</f>
        <v>0</v>
      </c>
      <c r="J236" s="1">
        <f>MIN($C236)</f>
        <v>0</v>
      </c>
      <c r="K236" s="1">
        <f>MIN($D236)</f>
        <v>0</v>
      </c>
      <c r="L236" s="1">
        <f>MIN($E236)</f>
        <v>0</v>
      </c>
      <c r="M236" s="1">
        <f>MIN($G236)</f>
        <v>0</v>
      </c>
      <c r="N236" s="1">
        <f>MIN($H236)</f>
        <v>0</v>
      </c>
      <c r="O236" s="1">
        <f>MEDIAN($B236)</f>
        <v>0</v>
      </c>
      <c r="P236" s="1">
        <f>MEDIAN($C236)</f>
        <v>0</v>
      </c>
      <c r="Q236" s="1">
        <f>MEDIAN($D236)</f>
        <v>0</v>
      </c>
      <c r="R236" s="1">
        <f>MEDIAN($E236)</f>
        <v>0</v>
      </c>
      <c r="S236" s="1">
        <f>MEDIAN($G236)</f>
        <v>0</v>
      </c>
      <c r="T236" s="1">
        <f>MEDIAN($H236)</f>
        <v>0</v>
      </c>
      <c r="U236" s="1">
        <f>MAX($B236)</f>
        <v>0</v>
      </c>
      <c r="V236" s="1">
        <f>MAX($C236)</f>
        <v>0</v>
      </c>
      <c r="W236" s="1">
        <f>MAX($D236)</f>
        <v>0</v>
      </c>
      <c r="X236" s="1">
        <f>MAX($E236)</f>
        <v>0</v>
      </c>
      <c r="Y236" s="1">
        <f>MAX($G236)</f>
        <v>0</v>
      </c>
      <c r="Z236" s="1">
        <f>MAX($H236)</f>
        <v>0</v>
      </c>
    </row>
    <row r="237" spans="1:26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/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>
        <f>MIN($B237)</f>
        <v>0</v>
      </c>
      <c r="J237" s="1">
        <f>MIN($C237)</f>
        <v>0</v>
      </c>
      <c r="K237" s="1">
        <f>MIN($D237)</f>
        <v>0</v>
      </c>
      <c r="L237" s="1">
        <f>MIN($E237)</f>
        <v>0</v>
      </c>
      <c r="M237" s="1">
        <f>MIN($G237)</f>
        <v>0</v>
      </c>
      <c r="N237" s="1">
        <f>MIN($H237)</f>
        <v>0</v>
      </c>
      <c r="O237" s="1">
        <f>MEDIAN($B237)</f>
        <v>0</v>
      </c>
      <c r="P237" s="1">
        <f>MEDIAN($C237)</f>
        <v>0</v>
      </c>
      <c r="Q237" s="1">
        <f>MEDIAN($D237)</f>
        <v>0</v>
      </c>
      <c r="R237" s="1">
        <f>MEDIAN($E237)</f>
        <v>0</v>
      </c>
      <c r="S237" s="1">
        <f>MEDIAN($G237)</f>
        <v>0</v>
      </c>
      <c r="T237" s="1">
        <f>MEDIAN($H237)</f>
        <v>0</v>
      </c>
      <c r="U237" s="1">
        <f>MAX($B237)</f>
        <v>0</v>
      </c>
      <c r="V237" s="1">
        <f>MAX($C237)</f>
        <v>0</v>
      </c>
      <c r="W237" s="1">
        <f>MAX($D237)</f>
        <v>0</v>
      </c>
      <c r="X237" s="1">
        <f>MAX($E237)</f>
        <v>0</v>
      </c>
      <c r="Y237" s="1">
        <f>MAX($G237)</f>
        <v>0</v>
      </c>
      <c r="Z237" s="1">
        <f>MAX($H237)</f>
        <v>0</v>
      </c>
    </row>
    <row r="238" spans="1:26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/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>
        <f>MIN($B238)</f>
        <v>0</v>
      </c>
      <c r="J238" s="1">
        <f>MIN($C238)</f>
        <v>0</v>
      </c>
      <c r="K238" s="1">
        <f>MIN($D238)</f>
        <v>0</v>
      </c>
      <c r="L238" s="1">
        <f>MIN($E238)</f>
        <v>0</v>
      </c>
      <c r="M238" s="1">
        <f>MIN($G238)</f>
        <v>0</v>
      </c>
      <c r="N238" s="1">
        <f>MIN($H238)</f>
        <v>0</v>
      </c>
      <c r="O238" s="1">
        <f>MEDIAN($B238)</f>
        <v>0</v>
      </c>
      <c r="P238" s="1">
        <f>MEDIAN($C238)</f>
        <v>0</v>
      </c>
      <c r="Q238" s="1">
        <f>MEDIAN($D238)</f>
        <v>0</v>
      </c>
      <c r="R238" s="1">
        <f>MEDIAN($E238)</f>
        <v>0</v>
      </c>
      <c r="S238" s="1">
        <f>MEDIAN($G238)</f>
        <v>0</v>
      </c>
      <c r="T238" s="1">
        <f>MEDIAN($H238)</f>
        <v>0</v>
      </c>
      <c r="U238" s="1">
        <f>MAX($B238)</f>
        <v>0</v>
      </c>
      <c r="V238" s="1">
        <f>MAX($C238)</f>
        <v>0</v>
      </c>
      <c r="W238" s="1">
        <f>MAX($D238)</f>
        <v>0</v>
      </c>
      <c r="X238" s="1">
        <f>MAX($E238)</f>
        <v>0</v>
      </c>
      <c r="Y238" s="1">
        <f>MAX($G238)</f>
        <v>0</v>
      </c>
      <c r="Z238" s="1">
        <f>MAX($H238)</f>
        <v>0</v>
      </c>
    </row>
    <row r="239" spans="1:26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/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>
        <f>MIN($B239)</f>
        <v>0</v>
      </c>
      <c r="J239" s="1">
        <f>MIN($C239)</f>
        <v>0</v>
      </c>
      <c r="K239" s="1">
        <f>MIN($D239)</f>
        <v>0</v>
      </c>
      <c r="L239" s="1">
        <f>MIN($E239)</f>
        <v>0</v>
      </c>
      <c r="M239" s="1">
        <f>MIN($G239)</f>
        <v>0</v>
      </c>
      <c r="N239" s="1">
        <f>MIN($H239)</f>
        <v>0</v>
      </c>
      <c r="O239" s="1">
        <f>MEDIAN($B239)</f>
        <v>0</v>
      </c>
      <c r="P239" s="1">
        <f>MEDIAN($C239)</f>
        <v>0</v>
      </c>
      <c r="Q239" s="1">
        <f>MEDIAN($D239)</f>
        <v>0</v>
      </c>
      <c r="R239" s="1">
        <f>MEDIAN($E239)</f>
        <v>0</v>
      </c>
      <c r="S239" s="1">
        <f>MEDIAN($G239)</f>
        <v>0</v>
      </c>
      <c r="T239" s="1">
        <f>MEDIAN($H239)</f>
        <v>0</v>
      </c>
      <c r="U239" s="1">
        <f>MAX($B239)</f>
        <v>0</v>
      </c>
      <c r="V239" s="1">
        <f>MAX($C239)</f>
        <v>0</v>
      </c>
      <c r="W239" s="1">
        <f>MAX($D239)</f>
        <v>0</v>
      </c>
      <c r="X239" s="1">
        <f>MAX($E239)</f>
        <v>0</v>
      </c>
      <c r="Y239" s="1">
        <f>MAX($G239)</f>
        <v>0</v>
      </c>
      <c r="Z239" s="1">
        <f>MAX($H239)</f>
        <v>0</v>
      </c>
    </row>
    <row r="240" spans="1:26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/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>
        <f>MIN($B240)</f>
        <v>0</v>
      </c>
      <c r="J240" s="1">
        <f>MIN($C240)</f>
        <v>0</v>
      </c>
      <c r="K240" s="1">
        <f>MIN($D240)</f>
        <v>0</v>
      </c>
      <c r="L240" s="1">
        <f>MIN($E240)</f>
        <v>0</v>
      </c>
      <c r="M240" s="1">
        <f>MIN($G240)</f>
        <v>0</v>
      </c>
      <c r="N240" s="1">
        <f>MIN($H240)</f>
        <v>0</v>
      </c>
      <c r="O240" s="1">
        <f>MEDIAN($B240)</f>
        <v>0</v>
      </c>
      <c r="P240" s="1">
        <f>MEDIAN($C240)</f>
        <v>0</v>
      </c>
      <c r="Q240" s="1">
        <f>MEDIAN($D240)</f>
        <v>0</v>
      </c>
      <c r="R240" s="1">
        <f>MEDIAN($E240)</f>
        <v>0</v>
      </c>
      <c r="S240" s="1">
        <f>MEDIAN($G240)</f>
        <v>0</v>
      </c>
      <c r="T240" s="1">
        <f>MEDIAN($H240)</f>
        <v>0</v>
      </c>
      <c r="U240" s="1">
        <f>MAX($B240)</f>
        <v>0</v>
      </c>
      <c r="V240" s="1">
        <f>MAX($C240)</f>
        <v>0</v>
      </c>
      <c r="W240" s="1">
        <f>MAX($D240)</f>
        <v>0</v>
      </c>
      <c r="X240" s="1">
        <f>MAX($E240)</f>
        <v>0</v>
      </c>
      <c r="Y240" s="1">
        <f>MAX($G240)</f>
        <v>0</v>
      </c>
      <c r="Z240" s="1">
        <f>MAX($H240)</f>
        <v>0</v>
      </c>
    </row>
    <row r="241" spans="1:26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/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>
        <f>MIN($B241)</f>
        <v>0</v>
      </c>
      <c r="J241" s="1">
        <f>MIN($C241)</f>
        <v>0</v>
      </c>
      <c r="K241" s="1">
        <f>MIN($D241)</f>
        <v>0</v>
      </c>
      <c r="L241" s="1">
        <f>MIN($E241)</f>
        <v>0</v>
      </c>
      <c r="M241" s="1">
        <f>MIN($G241)</f>
        <v>0</v>
      </c>
      <c r="N241" s="1">
        <f>MIN($H241)</f>
        <v>0</v>
      </c>
      <c r="O241" s="1">
        <f>MEDIAN($B241)</f>
        <v>0</v>
      </c>
      <c r="P241" s="1">
        <f>MEDIAN($C241)</f>
        <v>0</v>
      </c>
      <c r="Q241" s="1">
        <f>MEDIAN($D241)</f>
        <v>0</v>
      </c>
      <c r="R241" s="1">
        <f>MEDIAN($E241)</f>
        <v>0</v>
      </c>
      <c r="S241" s="1">
        <f>MEDIAN($G241)</f>
        <v>0</v>
      </c>
      <c r="T241" s="1">
        <f>MEDIAN($H241)</f>
        <v>0</v>
      </c>
      <c r="U241" s="1">
        <f>MAX($B241)</f>
        <v>0</v>
      </c>
      <c r="V241" s="1">
        <f>MAX($C241)</f>
        <v>0</v>
      </c>
      <c r="W241" s="1">
        <f>MAX($D241)</f>
        <v>0</v>
      </c>
      <c r="X241" s="1">
        <f>MAX($E241)</f>
        <v>0</v>
      </c>
      <c r="Y241" s="1">
        <f>MAX($G241)</f>
        <v>0</v>
      </c>
      <c r="Z241" s="1">
        <f>MAX($H241)</f>
        <v>0</v>
      </c>
    </row>
    <row r="242" spans="1:26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/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>
        <f>MIN($B242)</f>
        <v>0</v>
      </c>
      <c r="J242" s="1">
        <f>MIN($C242)</f>
        <v>0</v>
      </c>
      <c r="K242" s="1">
        <f>MIN($D242)</f>
        <v>0</v>
      </c>
      <c r="L242" s="1">
        <f>MIN($E242)</f>
        <v>0</v>
      </c>
      <c r="M242" s="1">
        <f>MIN($G242)</f>
        <v>0</v>
      </c>
      <c r="N242" s="1">
        <f>MIN($H242)</f>
        <v>0</v>
      </c>
      <c r="O242" s="1">
        <f>MEDIAN($B242)</f>
        <v>0</v>
      </c>
      <c r="P242" s="1">
        <f>MEDIAN($C242)</f>
        <v>0</v>
      </c>
      <c r="Q242" s="1">
        <f>MEDIAN($D242)</f>
        <v>0</v>
      </c>
      <c r="R242" s="1">
        <f>MEDIAN($E242)</f>
        <v>0</v>
      </c>
      <c r="S242" s="1">
        <f>MEDIAN($G242)</f>
        <v>0</v>
      </c>
      <c r="T242" s="1">
        <f>MEDIAN($H242)</f>
        <v>0</v>
      </c>
      <c r="U242" s="1">
        <f>MAX($B242)</f>
        <v>0</v>
      </c>
      <c r="V242" s="1">
        <f>MAX($C242)</f>
        <v>0</v>
      </c>
      <c r="W242" s="1">
        <f>MAX($D242)</f>
        <v>0</v>
      </c>
      <c r="X242" s="1">
        <f>MAX($E242)</f>
        <v>0</v>
      </c>
      <c r="Y242" s="1">
        <f>MAX($G242)</f>
        <v>0</v>
      </c>
      <c r="Z242" s="1">
        <f>MAX($H242)</f>
        <v>0</v>
      </c>
    </row>
    <row r="243" spans="1:26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/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>
        <f>MIN($B243)</f>
        <v>0</v>
      </c>
      <c r="J243" s="1">
        <f>MIN($C243)</f>
        <v>0</v>
      </c>
      <c r="K243" s="1">
        <f>MIN($D243)</f>
        <v>0</v>
      </c>
      <c r="L243" s="1">
        <f>MIN($E243)</f>
        <v>0</v>
      </c>
      <c r="M243" s="1">
        <f>MIN($G243)</f>
        <v>0</v>
      </c>
      <c r="N243" s="1">
        <f>MIN($H243)</f>
        <v>0</v>
      </c>
      <c r="O243" s="1">
        <f>MEDIAN($B243)</f>
        <v>0</v>
      </c>
      <c r="P243" s="1">
        <f>MEDIAN($C243)</f>
        <v>0</v>
      </c>
      <c r="Q243" s="1">
        <f>MEDIAN($D243)</f>
        <v>0</v>
      </c>
      <c r="R243" s="1">
        <f>MEDIAN($E243)</f>
        <v>0</v>
      </c>
      <c r="S243" s="1">
        <f>MEDIAN($G243)</f>
        <v>0</v>
      </c>
      <c r="T243" s="1">
        <f>MEDIAN($H243)</f>
        <v>0</v>
      </c>
      <c r="U243" s="1">
        <f>MAX($B243)</f>
        <v>0</v>
      </c>
      <c r="V243" s="1">
        <f>MAX($C243)</f>
        <v>0</v>
      </c>
      <c r="W243" s="1">
        <f>MAX($D243)</f>
        <v>0</v>
      </c>
      <c r="X243" s="1">
        <f>MAX($E243)</f>
        <v>0</v>
      </c>
      <c r="Y243" s="1">
        <f>MAX($G243)</f>
        <v>0</v>
      </c>
      <c r="Z243" s="1">
        <f>MAX($H243)</f>
        <v>0</v>
      </c>
    </row>
    <row r="244" spans="1:26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/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>
        <f>MIN($B244)</f>
        <v>0</v>
      </c>
      <c r="J244" s="1">
        <f>MIN($C244)</f>
        <v>0</v>
      </c>
      <c r="K244" s="1">
        <f>MIN($D244)</f>
        <v>0</v>
      </c>
      <c r="L244" s="1">
        <f>MIN($E244)</f>
        <v>0</v>
      </c>
      <c r="M244" s="1">
        <f>MIN($G244)</f>
        <v>0</v>
      </c>
      <c r="N244" s="1">
        <f>MIN($H244)</f>
        <v>0</v>
      </c>
      <c r="O244" s="1">
        <f>MEDIAN($B244)</f>
        <v>0</v>
      </c>
      <c r="P244" s="1">
        <f>MEDIAN($C244)</f>
        <v>0</v>
      </c>
      <c r="Q244" s="1">
        <f>MEDIAN($D244)</f>
        <v>0</v>
      </c>
      <c r="R244" s="1">
        <f>MEDIAN($E244)</f>
        <v>0</v>
      </c>
      <c r="S244" s="1">
        <f>MEDIAN($G244)</f>
        <v>0</v>
      </c>
      <c r="T244" s="1">
        <f>MEDIAN($H244)</f>
        <v>0</v>
      </c>
      <c r="U244" s="1">
        <f>MAX($B244)</f>
        <v>0</v>
      </c>
      <c r="V244" s="1">
        <f>MAX($C244)</f>
        <v>0</v>
      </c>
      <c r="W244" s="1">
        <f>MAX($D244)</f>
        <v>0</v>
      </c>
      <c r="X244" s="1">
        <f>MAX($E244)</f>
        <v>0</v>
      </c>
      <c r="Y244" s="1">
        <f>MAX($G244)</f>
        <v>0</v>
      </c>
      <c r="Z244" s="1">
        <f>MAX($H244)</f>
        <v>0</v>
      </c>
    </row>
    <row r="245" spans="1:26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/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>
        <f>MIN($B245)</f>
        <v>0</v>
      </c>
      <c r="J245" s="1">
        <f>MIN($C245)</f>
        <v>0</v>
      </c>
      <c r="K245" s="1">
        <f>MIN($D245)</f>
        <v>0</v>
      </c>
      <c r="L245" s="1">
        <f>MIN($E245)</f>
        <v>0</v>
      </c>
      <c r="M245" s="1">
        <f>MIN($G245)</f>
        <v>0</v>
      </c>
      <c r="N245" s="1">
        <f>MIN($H245)</f>
        <v>0</v>
      </c>
      <c r="O245" s="1">
        <f>MEDIAN($B245)</f>
        <v>0</v>
      </c>
      <c r="P245" s="1">
        <f>MEDIAN($C245)</f>
        <v>0</v>
      </c>
      <c r="Q245" s="1">
        <f>MEDIAN($D245)</f>
        <v>0</v>
      </c>
      <c r="R245" s="1">
        <f>MEDIAN($E245)</f>
        <v>0</v>
      </c>
      <c r="S245" s="1">
        <f>MEDIAN($G245)</f>
        <v>0</v>
      </c>
      <c r="T245" s="1">
        <f>MEDIAN($H245)</f>
        <v>0</v>
      </c>
      <c r="U245" s="1">
        <f>MAX($B245)</f>
        <v>0</v>
      </c>
      <c r="V245" s="1">
        <f>MAX($C245)</f>
        <v>0</v>
      </c>
      <c r="W245" s="1">
        <f>MAX($D245)</f>
        <v>0</v>
      </c>
      <c r="X245" s="1">
        <f>MAX($E245)</f>
        <v>0</v>
      </c>
      <c r="Y245" s="1">
        <f>MAX($G245)</f>
        <v>0</v>
      </c>
      <c r="Z245" s="1">
        <f>MAX($H245)</f>
        <v>0</v>
      </c>
    </row>
    <row r="246" spans="1:26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/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>
        <f>MIN($B246)</f>
        <v>0</v>
      </c>
      <c r="J246" s="1">
        <f>MIN($C246)</f>
        <v>0</v>
      </c>
      <c r="K246" s="1">
        <f>MIN($D246)</f>
        <v>0</v>
      </c>
      <c r="L246" s="1">
        <f>MIN($E246)</f>
        <v>0</v>
      </c>
      <c r="M246" s="1">
        <f>MIN($G246)</f>
        <v>0</v>
      </c>
      <c r="N246" s="1">
        <f>MIN($H246)</f>
        <v>0</v>
      </c>
      <c r="O246" s="1">
        <f>MEDIAN($B246)</f>
        <v>0</v>
      </c>
      <c r="P246" s="1">
        <f>MEDIAN($C246)</f>
        <v>0</v>
      </c>
      <c r="Q246" s="1">
        <f>MEDIAN($D246)</f>
        <v>0</v>
      </c>
      <c r="R246" s="1">
        <f>MEDIAN($E246)</f>
        <v>0</v>
      </c>
      <c r="S246" s="1">
        <f>MEDIAN($G246)</f>
        <v>0</v>
      </c>
      <c r="T246" s="1">
        <f>MEDIAN($H246)</f>
        <v>0</v>
      </c>
      <c r="U246" s="1">
        <f>MAX($B246)</f>
        <v>0</v>
      </c>
      <c r="V246" s="1">
        <f>MAX($C246)</f>
        <v>0</v>
      </c>
      <c r="W246" s="1">
        <f>MAX($D246)</f>
        <v>0</v>
      </c>
      <c r="X246" s="1">
        <f>MAX($E246)</f>
        <v>0</v>
      </c>
      <c r="Y246" s="1">
        <f>MAX($G246)</f>
        <v>0</v>
      </c>
      <c r="Z246" s="1">
        <f>MAX($H246)</f>
        <v>0</v>
      </c>
    </row>
    <row r="247" spans="1:26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/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>
        <f>MIN($B247)</f>
        <v>0</v>
      </c>
      <c r="J247" s="1">
        <f>MIN($C247)</f>
        <v>0</v>
      </c>
      <c r="K247" s="1">
        <f>MIN($D247)</f>
        <v>0</v>
      </c>
      <c r="L247" s="1">
        <f>MIN($E247)</f>
        <v>0</v>
      </c>
      <c r="M247" s="1">
        <f>MIN($G247)</f>
        <v>0</v>
      </c>
      <c r="N247" s="1">
        <f>MIN($H247)</f>
        <v>0</v>
      </c>
      <c r="O247" s="1">
        <f>MEDIAN($B247)</f>
        <v>0</v>
      </c>
      <c r="P247" s="1">
        <f>MEDIAN($C247)</f>
        <v>0</v>
      </c>
      <c r="Q247" s="1">
        <f>MEDIAN($D247)</f>
        <v>0</v>
      </c>
      <c r="R247" s="1">
        <f>MEDIAN($E247)</f>
        <v>0</v>
      </c>
      <c r="S247" s="1">
        <f>MEDIAN($G247)</f>
        <v>0</v>
      </c>
      <c r="T247" s="1">
        <f>MEDIAN($H247)</f>
        <v>0</v>
      </c>
      <c r="U247" s="1">
        <f>MAX($B247)</f>
        <v>0</v>
      </c>
      <c r="V247" s="1">
        <f>MAX($C247)</f>
        <v>0</v>
      </c>
      <c r="W247" s="1">
        <f>MAX($D247)</f>
        <v>0</v>
      </c>
      <c r="X247" s="1">
        <f>MAX($E247)</f>
        <v>0</v>
      </c>
      <c r="Y247" s="1">
        <f>MAX($G247)</f>
        <v>0</v>
      </c>
      <c r="Z247" s="1">
        <f>MAX($H247)</f>
        <v>0</v>
      </c>
    </row>
    <row r="248" spans="1:26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/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>
        <f>MIN($B248)</f>
        <v>0</v>
      </c>
      <c r="J248" s="1">
        <f>MIN($C248)</f>
        <v>0</v>
      </c>
      <c r="K248" s="1">
        <f>MIN($D248)</f>
        <v>0</v>
      </c>
      <c r="L248" s="1">
        <f>MIN($E248)</f>
        <v>0</v>
      </c>
      <c r="M248" s="1">
        <f>MIN($G248)</f>
        <v>0</v>
      </c>
      <c r="N248" s="1">
        <f>MIN($H248)</f>
        <v>0</v>
      </c>
      <c r="O248" s="1">
        <f>MEDIAN($B248)</f>
        <v>0</v>
      </c>
      <c r="P248" s="1">
        <f>MEDIAN($C248)</f>
        <v>0</v>
      </c>
      <c r="Q248" s="1">
        <f>MEDIAN($D248)</f>
        <v>0</v>
      </c>
      <c r="R248" s="1">
        <f>MEDIAN($E248)</f>
        <v>0</v>
      </c>
      <c r="S248" s="1">
        <f>MEDIAN($G248)</f>
        <v>0</v>
      </c>
      <c r="T248" s="1">
        <f>MEDIAN($H248)</f>
        <v>0</v>
      </c>
      <c r="U248" s="1">
        <f>MAX($B248)</f>
        <v>0</v>
      </c>
      <c r="V248" s="1">
        <f>MAX($C248)</f>
        <v>0</v>
      </c>
      <c r="W248" s="1">
        <f>MAX($D248)</f>
        <v>0</v>
      </c>
      <c r="X248" s="1">
        <f>MAX($E248)</f>
        <v>0</v>
      </c>
      <c r="Y248" s="1">
        <f>MAX($G248)</f>
        <v>0</v>
      </c>
      <c r="Z248" s="1">
        <f>MAX($H248)</f>
        <v>0</v>
      </c>
    </row>
    <row r="249" spans="1:26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/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>
        <f>MIN($B249)</f>
        <v>0</v>
      </c>
      <c r="J249" s="1">
        <f>MIN($C249)</f>
        <v>0</v>
      </c>
      <c r="K249" s="1">
        <f>MIN($D249)</f>
        <v>0</v>
      </c>
      <c r="L249" s="1">
        <f>MIN($E249)</f>
        <v>0</v>
      </c>
      <c r="M249" s="1">
        <f>MIN($G249)</f>
        <v>0</v>
      </c>
      <c r="N249" s="1">
        <f>MIN($H249)</f>
        <v>0</v>
      </c>
      <c r="O249" s="1">
        <f>MEDIAN($B249)</f>
        <v>0</v>
      </c>
      <c r="P249" s="1">
        <f>MEDIAN($C249)</f>
        <v>0</v>
      </c>
      <c r="Q249" s="1">
        <f>MEDIAN($D249)</f>
        <v>0</v>
      </c>
      <c r="R249" s="1">
        <f>MEDIAN($E249)</f>
        <v>0</v>
      </c>
      <c r="S249" s="1">
        <f>MEDIAN($G249)</f>
        <v>0</v>
      </c>
      <c r="T249" s="1">
        <f>MEDIAN($H249)</f>
        <v>0</v>
      </c>
      <c r="U249" s="1">
        <f>MAX($B249)</f>
        <v>0</v>
      </c>
      <c r="V249" s="1">
        <f>MAX($C249)</f>
        <v>0</v>
      </c>
      <c r="W249" s="1">
        <f>MAX($D249)</f>
        <v>0</v>
      </c>
      <c r="X249" s="1">
        <f>MAX($E249)</f>
        <v>0</v>
      </c>
      <c r="Y249" s="1">
        <f>MAX($G249)</f>
        <v>0</v>
      </c>
      <c r="Z249" s="1">
        <f>MAX($H249)</f>
        <v>0</v>
      </c>
    </row>
    <row r="250" spans="1:26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/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>
        <f>MIN($B250)</f>
        <v>0</v>
      </c>
      <c r="J250" s="1">
        <f>MIN($C250)</f>
        <v>0</v>
      </c>
      <c r="K250" s="1">
        <f>MIN($D250)</f>
        <v>0</v>
      </c>
      <c r="L250" s="1">
        <f>MIN($E250)</f>
        <v>0</v>
      </c>
      <c r="M250" s="1">
        <f>MIN($G250)</f>
        <v>0</v>
      </c>
      <c r="N250" s="1">
        <f>MIN($H250)</f>
        <v>0</v>
      </c>
      <c r="O250" s="1">
        <f>MEDIAN($B250)</f>
        <v>0</v>
      </c>
      <c r="P250" s="1">
        <f>MEDIAN($C250)</f>
        <v>0</v>
      </c>
      <c r="Q250" s="1">
        <f>MEDIAN($D250)</f>
        <v>0</v>
      </c>
      <c r="R250" s="1">
        <f>MEDIAN($E250)</f>
        <v>0</v>
      </c>
      <c r="S250" s="1">
        <f>MEDIAN($G250)</f>
        <v>0</v>
      </c>
      <c r="T250" s="1">
        <f>MEDIAN($H250)</f>
        <v>0</v>
      </c>
      <c r="U250" s="1">
        <f>MAX($B250)</f>
        <v>0</v>
      </c>
      <c r="V250" s="1">
        <f>MAX($C250)</f>
        <v>0</v>
      </c>
      <c r="W250" s="1">
        <f>MAX($D250)</f>
        <v>0</v>
      </c>
      <c r="X250" s="1">
        <f>MAX($E250)</f>
        <v>0</v>
      </c>
      <c r="Y250" s="1">
        <f>MAX($G250)</f>
        <v>0</v>
      </c>
      <c r="Z250" s="1">
        <f>MAX($H250)</f>
        <v>0</v>
      </c>
    </row>
    <row r="251" spans="1:26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/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>
        <f>MIN($B251)</f>
        <v>0</v>
      </c>
      <c r="J251" s="1">
        <f>MIN($C251)</f>
        <v>0</v>
      </c>
      <c r="K251" s="1">
        <f>MIN($D251)</f>
        <v>0</v>
      </c>
      <c r="L251" s="1">
        <f>MIN($E251)</f>
        <v>0</v>
      </c>
      <c r="M251" s="1">
        <f>MIN($G251)</f>
        <v>0</v>
      </c>
      <c r="N251" s="1">
        <f>MIN($H251)</f>
        <v>0</v>
      </c>
      <c r="O251" s="1">
        <f>MEDIAN($B251)</f>
        <v>0</v>
      </c>
      <c r="P251" s="1">
        <f>MEDIAN($C251)</f>
        <v>0</v>
      </c>
      <c r="Q251" s="1">
        <f>MEDIAN($D251)</f>
        <v>0</v>
      </c>
      <c r="R251" s="1">
        <f>MEDIAN($E251)</f>
        <v>0</v>
      </c>
      <c r="S251" s="1">
        <f>MEDIAN($G251)</f>
        <v>0</v>
      </c>
      <c r="T251" s="1">
        <f>MEDIAN($H251)</f>
        <v>0</v>
      </c>
      <c r="U251" s="1">
        <f>MAX($B251)</f>
        <v>0</v>
      </c>
      <c r="V251" s="1">
        <f>MAX($C251)</f>
        <v>0</v>
      </c>
      <c r="W251" s="1">
        <f>MAX($D251)</f>
        <v>0</v>
      </c>
      <c r="X251" s="1">
        <f>MAX($E251)</f>
        <v>0</v>
      </c>
      <c r="Y251" s="1">
        <f>MAX($G251)</f>
        <v>0</v>
      </c>
      <c r="Z251" s="1">
        <f>MAX($H251)</f>
        <v>0</v>
      </c>
    </row>
    <row r="252" spans="1:26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/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>
        <f>MIN($B252)</f>
        <v>0</v>
      </c>
      <c r="J252" s="1">
        <f>MIN($C252)</f>
        <v>0</v>
      </c>
      <c r="K252" s="1">
        <f>MIN($D252)</f>
        <v>0</v>
      </c>
      <c r="L252" s="1">
        <f>MIN($E252)</f>
        <v>0</v>
      </c>
      <c r="M252" s="1">
        <f>MIN($G252)</f>
        <v>0</v>
      </c>
      <c r="N252" s="1">
        <f>MIN($H252)</f>
        <v>0</v>
      </c>
      <c r="O252" s="1">
        <f>MEDIAN($B252)</f>
        <v>0</v>
      </c>
      <c r="P252" s="1">
        <f>MEDIAN($C252)</f>
        <v>0</v>
      </c>
      <c r="Q252" s="1">
        <f>MEDIAN($D252)</f>
        <v>0</v>
      </c>
      <c r="R252" s="1">
        <f>MEDIAN($E252)</f>
        <v>0</v>
      </c>
      <c r="S252" s="1">
        <f>MEDIAN($G252)</f>
        <v>0</v>
      </c>
      <c r="T252" s="1">
        <f>MEDIAN($H252)</f>
        <v>0</v>
      </c>
      <c r="U252" s="1">
        <f>MAX($B252)</f>
        <v>0</v>
      </c>
      <c r="V252" s="1">
        <f>MAX($C252)</f>
        <v>0</v>
      </c>
      <c r="W252" s="1">
        <f>MAX($D252)</f>
        <v>0</v>
      </c>
      <c r="X252" s="1">
        <f>MAX($E252)</f>
        <v>0</v>
      </c>
      <c r="Y252" s="1">
        <f>MAX($G252)</f>
        <v>0</v>
      </c>
      <c r="Z252" s="1">
        <f>MAX($H252)</f>
        <v>0</v>
      </c>
    </row>
    <row r="253" spans="1:26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/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>
        <f>MIN($B253)</f>
        <v>0</v>
      </c>
      <c r="J253" s="1">
        <f>MIN($C253)</f>
        <v>0</v>
      </c>
      <c r="K253" s="1">
        <f>MIN($D253)</f>
        <v>0</v>
      </c>
      <c r="L253" s="1">
        <f>MIN($E253)</f>
        <v>0</v>
      </c>
      <c r="M253" s="1">
        <f>MIN($G253)</f>
        <v>0</v>
      </c>
      <c r="N253" s="1">
        <f>MIN($H253)</f>
        <v>0</v>
      </c>
      <c r="O253" s="1">
        <f>MEDIAN($B253)</f>
        <v>0</v>
      </c>
      <c r="P253" s="1">
        <f>MEDIAN($C253)</f>
        <v>0</v>
      </c>
      <c r="Q253" s="1">
        <f>MEDIAN($D253)</f>
        <v>0</v>
      </c>
      <c r="R253" s="1">
        <f>MEDIAN($E253)</f>
        <v>0</v>
      </c>
      <c r="S253" s="1">
        <f>MEDIAN($G253)</f>
        <v>0</v>
      </c>
      <c r="T253" s="1">
        <f>MEDIAN($H253)</f>
        <v>0</v>
      </c>
      <c r="U253" s="1">
        <f>MAX($B253)</f>
        <v>0</v>
      </c>
      <c r="V253" s="1">
        <f>MAX($C253)</f>
        <v>0</v>
      </c>
      <c r="W253" s="1">
        <f>MAX($D253)</f>
        <v>0</v>
      </c>
      <c r="X253" s="1">
        <f>MAX($E253)</f>
        <v>0</v>
      </c>
      <c r="Y253" s="1">
        <f>MAX($G253)</f>
        <v>0</v>
      </c>
      <c r="Z253" s="1">
        <f>MAX($H253)</f>
        <v>0</v>
      </c>
    </row>
    <row r="254" spans="1:26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/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>
        <f>MIN($B254)</f>
        <v>0</v>
      </c>
      <c r="J254" s="1">
        <f>MIN($C254)</f>
        <v>0</v>
      </c>
      <c r="K254" s="1">
        <f>MIN($D254)</f>
        <v>0</v>
      </c>
      <c r="L254" s="1">
        <f>MIN($E254)</f>
        <v>0</v>
      </c>
      <c r="M254" s="1">
        <f>MIN($G254)</f>
        <v>0</v>
      </c>
      <c r="N254" s="1">
        <f>MIN($H254)</f>
        <v>0</v>
      </c>
      <c r="O254" s="1">
        <f>MEDIAN($B254)</f>
        <v>0</v>
      </c>
      <c r="P254" s="1">
        <f>MEDIAN($C254)</f>
        <v>0</v>
      </c>
      <c r="Q254" s="1">
        <f>MEDIAN($D254)</f>
        <v>0</v>
      </c>
      <c r="R254" s="1">
        <f>MEDIAN($E254)</f>
        <v>0</v>
      </c>
      <c r="S254" s="1">
        <f>MEDIAN($G254)</f>
        <v>0</v>
      </c>
      <c r="T254" s="1">
        <f>MEDIAN($H254)</f>
        <v>0</v>
      </c>
      <c r="U254" s="1">
        <f>MAX($B254)</f>
        <v>0</v>
      </c>
      <c r="V254" s="1">
        <f>MAX($C254)</f>
        <v>0</v>
      </c>
      <c r="W254" s="1">
        <f>MAX($D254)</f>
        <v>0</v>
      </c>
      <c r="X254" s="1">
        <f>MAX($E254)</f>
        <v>0</v>
      </c>
      <c r="Y254" s="1">
        <f>MAX($G254)</f>
        <v>0</v>
      </c>
      <c r="Z254" s="1">
        <f>MAX($H254)</f>
        <v>0</v>
      </c>
    </row>
    <row r="255" spans="1:26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/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>
        <f>MIN($B255)</f>
        <v>0</v>
      </c>
      <c r="J255" s="1">
        <f>MIN($C255)</f>
        <v>0</v>
      </c>
      <c r="K255" s="1">
        <f>MIN($D255)</f>
        <v>0</v>
      </c>
      <c r="L255" s="1">
        <f>MIN($E255)</f>
        <v>0</v>
      </c>
      <c r="M255" s="1">
        <f>MIN($G255)</f>
        <v>0</v>
      </c>
      <c r="N255" s="1">
        <f>MIN($H255)</f>
        <v>0</v>
      </c>
      <c r="O255" s="1">
        <f>MEDIAN($B255)</f>
        <v>0</v>
      </c>
      <c r="P255" s="1">
        <f>MEDIAN($C255)</f>
        <v>0</v>
      </c>
      <c r="Q255" s="1">
        <f>MEDIAN($D255)</f>
        <v>0</v>
      </c>
      <c r="R255" s="1">
        <f>MEDIAN($E255)</f>
        <v>0</v>
      </c>
      <c r="S255" s="1">
        <f>MEDIAN($G255)</f>
        <v>0</v>
      </c>
      <c r="T255" s="1">
        <f>MEDIAN($H255)</f>
        <v>0</v>
      </c>
      <c r="U255" s="1">
        <f>MAX($B255)</f>
        <v>0</v>
      </c>
      <c r="V255" s="1">
        <f>MAX($C255)</f>
        <v>0</v>
      </c>
      <c r="W255" s="1">
        <f>MAX($D255)</f>
        <v>0</v>
      </c>
      <c r="X255" s="1">
        <f>MAX($E255)</f>
        <v>0</v>
      </c>
      <c r="Y255" s="1">
        <f>MAX($G255)</f>
        <v>0</v>
      </c>
      <c r="Z255" s="1">
        <f>MAX($H255)</f>
        <v>0</v>
      </c>
    </row>
    <row r="256" spans="1:26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/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>
        <f>MIN($B256)</f>
        <v>0</v>
      </c>
      <c r="J256" s="1">
        <f>MIN($C256)</f>
        <v>0</v>
      </c>
      <c r="K256" s="1">
        <f>MIN($D256)</f>
        <v>0</v>
      </c>
      <c r="L256" s="1">
        <f>MIN($E256)</f>
        <v>0</v>
      </c>
      <c r="M256" s="1">
        <f>MIN($G256)</f>
        <v>0</v>
      </c>
      <c r="N256" s="1">
        <f>MIN($H256)</f>
        <v>0</v>
      </c>
      <c r="O256" s="1">
        <f>MEDIAN($B256)</f>
        <v>0</v>
      </c>
      <c r="P256" s="1">
        <f>MEDIAN($C256)</f>
        <v>0</v>
      </c>
      <c r="Q256" s="1">
        <f>MEDIAN($D256)</f>
        <v>0</v>
      </c>
      <c r="R256" s="1">
        <f>MEDIAN($E256)</f>
        <v>0</v>
      </c>
      <c r="S256" s="1">
        <f>MEDIAN($G256)</f>
        <v>0</v>
      </c>
      <c r="T256" s="1">
        <f>MEDIAN($H256)</f>
        <v>0</v>
      </c>
      <c r="U256" s="1">
        <f>MAX($B256)</f>
        <v>0</v>
      </c>
      <c r="V256" s="1">
        <f>MAX($C256)</f>
        <v>0</v>
      </c>
      <c r="W256" s="1">
        <f>MAX($D256)</f>
        <v>0</v>
      </c>
      <c r="X256" s="1">
        <f>MAX($E256)</f>
        <v>0</v>
      </c>
      <c r="Y256" s="1">
        <f>MAX($G256)</f>
        <v>0</v>
      </c>
      <c r="Z256" s="1">
        <f>MAX($H256)</f>
        <v>0</v>
      </c>
    </row>
    <row r="257" spans="1:26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/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>
        <f>MIN($B257)</f>
        <v>0</v>
      </c>
      <c r="J257" s="1">
        <f>MIN($C257)</f>
        <v>0</v>
      </c>
      <c r="K257" s="1">
        <f>MIN($D257)</f>
        <v>0</v>
      </c>
      <c r="L257" s="1">
        <f>MIN($E257)</f>
        <v>0</v>
      </c>
      <c r="M257" s="1">
        <f>MIN($G257)</f>
        <v>0</v>
      </c>
      <c r="N257" s="1">
        <f>MIN($H257)</f>
        <v>0</v>
      </c>
      <c r="O257" s="1">
        <f>MEDIAN($B257)</f>
        <v>0</v>
      </c>
      <c r="P257" s="1">
        <f>MEDIAN($C257)</f>
        <v>0</v>
      </c>
      <c r="Q257" s="1">
        <f>MEDIAN($D257)</f>
        <v>0</v>
      </c>
      <c r="R257" s="1">
        <f>MEDIAN($E257)</f>
        <v>0</v>
      </c>
      <c r="S257" s="1">
        <f>MEDIAN($G257)</f>
        <v>0</v>
      </c>
      <c r="T257" s="1">
        <f>MEDIAN($H257)</f>
        <v>0</v>
      </c>
      <c r="U257" s="1">
        <f>MAX($B257)</f>
        <v>0</v>
      </c>
      <c r="V257" s="1">
        <f>MAX($C257)</f>
        <v>0</v>
      </c>
      <c r="W257" s="1">
        <f>MAX($D257)</f>
        <v>0</v>
      </c>
      <c r="X257" s="1">
        <f>MAX($E257)</f>
        <v>0</v>
      </c>
      <c r="Y257" s="1">
        <f>MAX($G257)</f>
        <v>0</v>
      </c>
      <c r="Z257" s="1">
        <f>MAX($H257)</f>
        <v>0</v>
      </c>
    </row>
    <row r="258" spans="1:26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/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>
        <f>MIN($B258)</f>
        <v>0</v>
      </c>
      <c r="J258" s="1">
        <f>MIN($C258)</f>
        <v>0</v>
      </c>
      <c r="K258" s="1">
        <f>MIN($D258)</f>
        <v>0</v>
      </c>
      <c r="L258" s="1">
        <f>MIN($E258)</f>
        <v>0</v>
      </c>
      <c r="M258" s="1">
        <f>MIN($G258)</f>
        <v>0</v>
      </c>
      <c r="N258" s="1">
        <f>MIN($H258)</f>
        <v>0</v>
      </c>
      <c r="O258" s="1">
        <f>MEDIAN($B258)</f>
        <v>0</v>
      </c>
      <c r="P258" s="1">
        <f>MEDIAN($C258)</f>
        <v>0</v>
      </c>
      <c r="Q258" s="1">
        <f>MEDIAN($D258)</f>
        <v>0</v>
      </c>
      <c r="R258" s="1">
        <f>MEDIAN($E258)</f>
        <v>0</v>
      </c>
      <c r="S258" s="1">
        <f>MEDIAN($G258)</f>
        <v>0</v>
      </c>
      <c r="T258" s="1">
        <f>MEDIAN($H258)</f>
        <v>0</v>
      </c>
      <c r="U258" s="1">
        <f>MAX($B258)</f>
        <v>0</v>
      </c>
      <c r="V258" s="1">
        <f>MAX($C258)</f>
        <v>0</v>
      </c>
      <c r="W258" s="1">
        <f>MAX($D258)</f>
        <v>0</v>
      </c>
      <c r="X258" s="1">
        <f>MAX($E258)</f>
        <v>0</v>
      </c>
      <c r="Y258" s="1">
        <f>MAX($G258)</f>
        <v>0</v>
      </c>
      <c r="Z258" s="1">
        <f>MAX($H258)</f>
        <v>0</v>
      </c>
    </row>
    <row r="259" spans="1:26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/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>
        <f>MIN($B259)</f>
        <v>0</v>
      </c>
      <c r="J259" s="1">
        <f>MIN($C259)</f>
        <v>0</v>
      </c>
      <c r="K259" s="1">
        <f>MIN($D259)</f>
        <v>0</v>
      </c>
      <c r="L259" s="1">
        <f>MIN($E259)</f>
        <v>0</v>
      </c>
      <c r="M259" s="1">
        <f>MIN($G259)</f>
        <v>0</v>
      </c>
      <c r="N259" s="1">
        <f>MIN($H259)</f>
        <v>0</v>
      </c>
      <c r="O259" s="1">
        <f>MEDIAN($B259)</f>
        <v>0</v>
      </c>
      <c r="P259" s="1">
        <f>MEDIAN($C259)</f>
        <v>0</v>
      </c>
      <c r="Q259" s="1">
        <f>MEDIAN($D259)</f>
        <v>0</v>
      </c>
      <c r="R259" s="1">
        <f>MEDIAN($E259)</f>
        <v>0</v>
      </c>
      <c r="S259" s="1">
        <f>MEDIAN($G259)</f>
        <v>0</v>
      </c>
      <c r="T259" s="1">
        <f>MEDIAN($H259)</f>
        <v>0</v>
      </c>
      <c r="U259" s="1">
        <f>MAX($B259)</f>
        <v>0</v>
      </c>
      <c r="V259" s="1">
        <f>MAX($C259)</f>
        <v>0</v>
      </c>
      <c r="W259" s="1">
        <f>MAX($D259)</f>
        <v>0</v>
      </c>
      <c r="X259" s="1">
        <f>MAX($E259)</f>
        <v>0</v>
      </c>
      <c r="Y259" s="1">
        <f>MAX($G259)</f>
        <v>0</v>
      </c>
      <c r="Z259" s="1">
        <f>MAX($H259)</f>
        <v>0</v>
      </c>
    </row>
    <row r="260" spans="1:26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/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>
        <f>MIN($B260)</f>
        <v>0</v>
      </c>
      <c r="J260" s="1">
        <f>MIN($C260)</f>
        <v>0</v>
      </c>
      <c r="K260" s="1">
        <f>MIN($D260)</f>
        <v>0</v>
      </c>
      <c r="L260" s="1">
        <f>MIN($E260)</f>
        <v>0</v>
      </c>
      <c r="M260" s="1">
        <f>MIN($G260)</f>
        <v>0</v>
      </c>
      <c r="N260" s="1">
        <f>MIN($H260)</f>
        <v>0</v>
      </c>
      <c r="O260" s="1">
        <f>MEDIAN($B260)</f>
        <v>0</v>
      </c>
      <c r="P260" s="1">
        <f>MEDIAN($C260)</f>
        <v>0</v>
      </c>
      <c r="Q260" s="1">
        <f>MEDIAN($D260)</f>
        <v>0</v>
      </c>
      <c r="R260" s="1">
        <f>MEDIAN($E260)</f>
        <v>0</v>
      </c>
      <c r="S260" s="1">
        <f>MEDIAN($G260)</f>
        <v>0</v>
      </c>
      <c r="T260" s="1">
        <f>MEDIAN($H260)</f>
        <v>0</v>
      </c>
      <c r="U260" s="1">
        <f>MAX($B260)</f>
        <v>0</v>
      </c>
      <c r="V260" s="1">
        <f>MAX($C260)</f>
        <v>0</v>
      </c>
      <c r="W260" s="1">
        <f>MAX($D260)</f>
        <v>0</v>
      </c>
      <c r="X260" s="1">
        <f>MAX($E260)</f>
        <v>0</v>
      </c>
      <c r="Y260" s="1">
        <f>MAX($G260)</f>
        <v>0</v>
      </c>
      <c r="Z260" s="1">
        <f>MAX($H260)</f>
        <v>0</v>
      </c>
    </row>
    <row r="261" spans="1:26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/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>
        <f>MIN($B261)</f>
        <v>0</v>
      </c>
      <c r="J261" s="1">
        <f>MIN($C261)</f>
        <v>0</v>
      </c>
      <c r="K261" s="1">
        <f>MIN($D261)</f>
        <v>0</v>
      </c>
      <c r="L261" s="1">
        <f>MIN($E261)</f>
        <v>0</v>
      </c>
      <c r="M261" s="1">
        <f>MIN($G261)</f>
        <v>0</v>
      </c>
      <c r="N261" s="1">
        <f>MIN($H261)</f>
        <v>0</v>
      </c>
      <c r="O261" s="1">
        <f>MEDIAN($B261)</f>
        <v>0</v>
      </c>
      <c r="P261" s="1">
        <f>MEDIAN($C261)</f>
        <v>0</v>
      </c>
      <c r="Q261" s="1">
        <f>MEDIAN($D261)</f>
        <v>0</v>
      </c>
      <c r="R261" s="1">
        <f>MEDIAN($E261)</f>
        <v>0</v>
      </c>
      <c r="S261" s="1">
        <f>MEDIAN($G261)</f>
        <v>0</v>
      </c>
      <c r="T261" s="1">
        <f>MEDIAN($H261)</f>
        <v>0</v>
      </c>
      <c r="U261" s="1">
        <f>MAX($B261)</f>
        <v>0</v>
      </c>
      <c r="V261" s="1">
        <f>MAX($C261)</f>
        <v>0</v>
      </c>
      <c r="W261" s="1">
        <f>MAX($D261)</f>
        <v>0</v>
      </c>
      <c r="X261" s="1">
        <f>MAX($E261)</f>
        <v>0</v>
      </c>
      <c r="Y261" s="1">
        <f>MAX($G261)</f>
        <v>0</v>
      </c>
      <c r="Z261" s="1">
        <f>MAX($H261)</f>
        <v>0</v>
      </c>
    </row>
    <row r="262" spans="1:26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/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>
        <f>MIN($B262)</f>
        <v>0</v>
      </c>
      <c r="J262" s="1">
        <f>MIN($C262)</f>
        <v>0</v>
      </c>
      <c r="K262" s="1">
        <f>MIN($D262)</f>
        <v>0</v>
      </c>
      <c r="L262" s="1">
        <f>MIN($E262)</f>
        <v>0</v>
      </c>
      <c r="M262" s="1">
        <f>MIN($G262)</f>
        <v>0</v>
      </c>
      <c r="N262" s="1">
        <f>MIN($H262)</f>
        <v>0</v>
      </c>
      <c r="O262" s="1">
        <f>MEDIAN($B262)</f>
        <v>0</v>
      </c>
      <c r="P262" s="1">
        <f>MEDIAN($C262)</f>
        <v>0</v>
      </c>
      <c r="Q262" s="1">
        <f>MEDIAN($D262)</f>
        <v>0</v>
      </c>
      <c r="R262" s="1">
        <f>MEDIAN($E262)</f>
        <v>0</v>
      </c>
      <c r="S262" s="1">
        <f>MEDIAN($G262)</f>
        <v>0</v>
      </c>
      <c r="T262" s="1">
        <f>MEDIAN($H262)</f>
        <v>0</v>
      </c>
      <c r="U262" s="1">
        <f>MAX($B262)</f>
        <v>0</v>
      </c>
      <c r="V262" s="1">
        <f>MAX($C262)</f>
        <v>0</v>
      </c>
      <c r="W262" s="1">
        <f>MAX($D262)</f>
        <v>0</v>
      </c>
      <c r="X262" s="1">
        <f>MAX($E262)</f>
        <v>0</v>
      </c>
      <c r="Y262" s="1">
        <f>MAX($G262)</f>
        <v>0</v>
      </c>
      <c r="Z262" s="1">
        <f>MAX($H262)</f>
        <v>0</v>
      </c>
    </row>
    <row r="263" spans="1:26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/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>
        <f>MIN($B263)</f>
        <v>0</v>
      </c>
      <c r="J263" s="1">
        <f>MIN($C263)</f>
        <v>0</v>
      </c>
      <c r="K263" s="1">
        <f>MIN($D263)</f>
        <v>0</v>
      </c>
      <c r="L263" s="1">
        <f>MIN($E263)</f>
        <v>0</v>
      </c>
      <c r="M263" s="1">
        <f>MIN($G263)</f>
        <v>0</v>
      </c>
      <c r="N263" s="1">
        <f>MIN($H263)</f>
        <v>0</v>
      </c>
      <c r="O263" s="1">
        <f>MEDIAN($B263)</f>
        <v>0</v>
      </c>
      <c r="P263" s="1">
        <f>MEDIAN($C263)</f>
        <v>0</v>
      </c>
      <c r="Q263" s="1">
        <f>MEDIAN($D263)</f>
        <v>0</v>
      </c>
      <c r="R263" s="1">
        <f>MEDIAN($E263)</f>
        <v>0</v>
      </c>
      <c r="S263" s="1">
        <f>MEDIAN($G263)</f>
        <v>0</v>
      </c>
      <c r="T263" s="1">
        <f>MEDIAN($H263)</f>
        <v>0</v>
      </c>
      <c r="U263" s="1">
        <f>MAX($B263)</f>
        <v>0</v>
      </c>
      <c r="V263" s="1">
        <f>MAX($C263)</f>
        <v>0</v>
      </c>
      <c r="W263" s="1">
        <f>MAX($D263)</f>
        <v>0</v>
      </c>
      <c r="X263" s="1">
        <f>MAX($E263)</f>
        <v>0</v>
      </c>
      <c r="Y263" s="1">
        <f>MAX($G263)</f>
        <v>0</v>
      </c>
      <c r="Z263" s="1">
        <f>MAX($H263)</f>
        <v>0</v>
      </c>
    </row>
    <row r="264" spans="1:26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/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>
        <f>MIN($B264)</f>
        <v>0</v>
      </c>
      <c r="J264" s="1">
        <f>MIN($C264)</f>
        <v>0</v>
      </c>
      <c r="K264" s="1">
        <f>MIN($D264)</f>
        <v>0</v>
      </c>
      <c r="L264" s="1">
        <f>MIN($E264)</f>
        <v>0</v>
      </c>
      <c r="M264" s="1">
        <f>MIN($G264)</f>
        <v>0</v>
      </c>
      <c r="N264" s="1">
        <f>MIN($H264)</f>
        <v>0</v>
      </c>
      <c r="O264" s="1">
        <f>MEDIAN($B264)</f>
        <v>0</v>
      </c>
      <c r="P264" s="1">
        <f>MEDIAN($C264)</f>
        <v>0</v>
      </c>
      <c r="Q264" s="1">
        <f>MEDIAN($D264)</f>
        <v>0</v>
      </c>
      <c r="R264" s="1">
        <f>MEDIAN($E264)</f>
        <v>0</v>
      </c>
      <c r="S264" s="1">
        <f>MEDIAN($G264)</f>
        <v>0</v>
      </c>
      <c r="T264" s="1">
        <f>MEDIAN($H264)</f>
        <v>0</v>
      </c>
      <c r="U264" s="1">
        <f>MAX($B264)</f>
        <v>0</v>
      </c>
      <c r="V264" s="1">
        <f>MAX($C264)</f>
        <v>0</v>
      </c>
      <c r="W264" s="1">
        <f>MAX($D264)</f>
        <v>0</v>
      </c>
      <c r="X264" s="1">
        <f>MAX($E264)</f>
        <v>0</v>
      </c>
      <c r="Y264" s="1">
        <f>MAX($G264)</f>
        <v>0</v>
      </c>
      <c r="Z264" s="1">
        <f>MAX($H264)</f>
        <v>0</v>
      </c>
    </row>
    <row r="265" spans="1:26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/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>
        <f>MIN($B265)</f>
        <v>0</v>
      </c>
      <c r="J265" s="1">
        <f>MIN($C265)</f>
        <v>0</v>
      </c>
      <c r="K265" s="1">
        <f>MIN($D265)</f>
        <v>0</v>
      </c>
      <c r="L265" s="1">
        <f>MIN($E265)</f>
        <v>0</v>
      </c>
      <c r="M265" s="1">
        <f>MIN($G265)</f>
        <v>0</v>
      </c>
      <c r="N265" s="1">
        <f>MIN($H265)</f>
        <v>0</v>
      </c>
      <c r="O265" s="1">
        <f>MEDIAN($B265)</f>
        <v>0</v>
      </c>
      <c r="P265" s="1">
        <f>MEDIAN($C265)</f>
        <v>0</v>
      </c>
      <c r="Q265" s="1">
        <f>MEDIAN($D265)</f>
        <v>0</v>
      </c>
      <c r="R265" s="1">
        <f>MEDIAN($E265)</f>
        <v>0</v>
      </c>
      <c r="S265" s="1">
        <f>MEDIAN($G265)</f>
        <v>0</v>
      </c>
      <c r="T265" s="1">
        <f>MEDIAN($H265)</f>
        <v>0</v>
      </c>
      <c r="U265" s="1">
        <f>MAX($B265)</f>
        <v>0</v>
      </c>
      <c r="V265" s="1">
        <f>MAX($C265)</f>
        <v>0</v>
      </c>
      <c r="W265" s="1">
        <f>MAX($D265)</f>
        <v>0</v>
      </c>
      <c r="X265" s="1">
        <f>MAX($E265)</f>
        <v>0</v>
      </c>
      <c r="Y265" s="1">
        <f>MAX($G265)</f>
        <v>0</v>
      </c>
      <c r="Z265" s="1">
        <f>MAX($H265)</f>
        <v>0</v>
      </c>
    </row>
    <row r="266" spans="1:26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/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>
        <f>MIN($B266)</f>
        <v>0</v>
      </c>
      <c r="J266" s="1">
        <f>MIN($C266)</f>
        <v>0</v>
      </c>
      <c r="K266" s="1">
        <f>MIN($D266)</f>
        <v>0</v>
      </c>
      <c r="L266" s="1">
        <f>MIN($E266)</f>
        <v>0</v>
      </c>
      <c r="M266" s="1">
        <f>MIN($G266)</f>
        <v>0</v>
      </c>
      <c r="N266" s="1">
        <f>MIN($H266)</f>
        <v>0</v>
      </c>
      <c r="O266" s="1">
        <f>MEDIAN($B266)</f>
        <v>0</v>
      </c>
      <c r="P266" s="1">
        <f>MEDIAN($C266)</f>
        <v>0</v>
      </c>
      <c r="Q266" s="1">
        <f>MEDIAN($D266)</f>
        <v>0</v>
      </c>
      <c r="R266" s="1">
        <f>MEDIAN($E266)</f>
        <v>0</v>
      </c>
      <c r="S266" s="1">
        <f>MEDIAN($G266)</f>
        <v>0</v>
      </c>
      <c r="T266" s="1">
        <f>MEDIAN($H266)</f>
        <v>0</v>
      </c>
      <c r="U266" s="1">
        <f>MAX($B266)</f>
        <v>0</v>
      </c>
      <c r="V266" s="1">
        <f>MAX($C266)</f>
        <v>0</v>
      </c>
      <c r="W266" s="1">
        <f>MAX($D266)</f>
        <v>0</v>
      </c>
      <c r="X266" s="1">
        <f>MAX($E266)</f>
        <v>0</v>
      </c>
      <c r="Y266" s="1">
        <f>MAX($G266)</f>
        <v>0</v>
      </c>
      <c r="Z266" s="1">
        <f>MAX($H266)</f>
        <v>0</v>
      </c>
    </row>
    <row r="267" spans="1:26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/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>
        <f>MIN($B267)</f>
        <v>0</v>
      </c>
      <c r="J267" s="1">
        <f>MIN($C267)</f>
        <v>0</v>
      </c>
      <c r="K267" s="1">
        <f>MIN($D267)</f>
        <v>0</v>
      </c>
      <c r="L267" s="1">
        <f>MIN($E267)</f>
        <v>0</v>
      </c>
      <c r="M267" s="1">
        <f>MIN($G267)</f>
        <v>0</v>
      </c>
      <c r="N267" s="1">
        <f>MIN($H267)</f>
        <v>0</v>
      </c>
      <c r="O267" s="1">
        <f>MEDIAN($B267)</f>
        <v>0</v>
      </c>
      <c r="P267" s="1">
        <f>MEDIAN($C267)</f>
        <v>0</v>
      </c>
      <c r="Q267" s="1">
        <f>MEDIAN($D267)</f>
        <v>0</v>
      </c>
      <c r="R267" s="1">
        <f>MEDIAN($E267)</f>
        <v>0</v>
      </c>
      <c r="S267" s="1">
        <f>MEDIAN($G267)</f>
        <v>0</v>
      </c>
      <c r="T267" s="1">
        <f>MEDIAN($H267)</f>
        <v>0</v>
      </c>
      <c r="U267" s="1">
        <f>MAX($B267)</f>
        <v>0</v>
      </c>
      <c r="V267" s="1">
        <f>MAX($C267)</f>
        <v>0</v>
      </c>
      <c r="W267" s="1">
        <f>MAX($D267)</f>
        <v>0</v>
      </c>
      <c r="X267" s="1">
        <f>MAX($E267)</f>
        <v>0</v>
      </c>
      <c r="Y267" s="1">
        <f>MAX($G267)</f>
        <v>0</v>
      </c>
      <c r="Z267" s="1">
        <f>MAX($H267)</f>
        <v>0</v>
      </c>
    </row>
    <row r="268" spans="1:26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/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>
        <f>MIN($B268)</f>
        <v>0</v>
      </c>
      <c r="J268" s="1">
        <f>MIN($C268)</f>
        <v>0</v>
      </c>
      <c r="K268" s="1">
        <f>MIN($D268)</f>
        <v>0</v>
      </c>
      <c r="L268" s="1">
        <f>MIN($E268)</f>
        <v>0</v>
      </c>
      <c r="M268" s="1">
        <f>MIN($G268)</f>
        <v>0</v>
      </c>
      <c r="N268" s="1">
        <f>MIN($H268)</f>
        <v>0</v>
      </c>
      <c r="O268" s="1">
        <f>MEDIAN($B268)</f>
        <v>0</v>
      </c>
      <c r="P268" s="1">
        <f>MEDIAN($C268)</f>
        <v>0</v>
      </c>
      <c r="Q268" s="1">
        <f>MEDIAN($D268)</f>
        <v>0</v>
      </c>
      <c r="R268" s="1">
        <f>MEDIAN($E268)</f>
        <v>0</v>
      </c>
      <c r="S268" s="1">
        <f>MEDIAN($G268)</f>
        <v>0</v>
      </c>
      <c r="T268" s="1">
        <f>MEDIAN($H268)</f>
        <v>0</v>
      </c>
      <c r="U268" s="1">
        <f>MAX($B268)</f>
        <v>0</v>
      </c>
      <c r="V268" s="1">
        <f>MAX($C268)</f>
        <v>0</v>
      </c>
      <c r="W268" s="1">
        <f>MAX($D268)</f>
        <v>0</v>
      </c>
      <c r="X268" s="1">
        <f>MAX($E268)</f>
        <v>0</v>
      </c>
      <c r="Y268" s="1">
        <f>MAX($G268)</f>
        <v>0</v>
      </c>
      <c r="Z268" s="1">
        <f>MAX($H268)</f>
        <v>0</v>
      </c>
    </row>
    <row r="269" spans="1:26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/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>
        <f>MIN($B269)</f>
        <v>0</v>
      </c>
      <c r="J269" s="1">
        <f>MIN($C269)</f>
        <v>0</v>
      </c>
      <c r="K269" s="1">
        <f>MIN($D269)</f>
        <v>0</v>
      </c>
      <c r="L269" s="1">
        <f>MIN($E269)</f>
        <v>0</v>
      </c>
      <c r="M269" s="1">
        <f>MIN($G269)</f>
        <v>0</v>
      </c>
      <c r="N269" s="1">
        <f>MIN($H269)</f>
        <v>0</v>
      </c>
      <c r="O269" s="1">
        <f>MEDIAN($B269)</f>
        <v>0</v>
      </c>
      <c r="P269" s="1">
        <f>MEDIAN($C269)</f>
        <v>0</v>
      </c>
      <c r="Q269" s="1">
        <f>MEDIAN($D269)</f>
        <v>0</v>
      </c>
      <c r="R269" s="1">
        <f>MEDIAN($E269)</f>
        <v>0</v>
      </c>
      <c r="S269" s="1">
        <f>MEDIAN($G269)</f>
        <v>0</v>
      </c>
      <c r="T269" s="1">
        <f>MEDIAN($H269)</f>
        <v>0</v>
      </c>
      <c r="U269" s="1">
        <f>MAX($B269)</f>
        <v>0</v>
      </c>
      <c r="V269" s="1">
        <f>MAX($C269)</f>
        <v>0</v>
      </c>
      <c r="W269" s="1">
        <f>MAX($D269)</f>
        <v>0</v>
      </c>
      <c r="X269" s="1">
        <f>MAX($E269)</f>
        <v>0</v>
      </c>
      <c r="Y269" s="1">
        <f>MAX($G269)</f>
        <v>0</v>
      </c>
      <c r="Z269" s="1">
        <f>MAX($H269)</f>
        <v>0</v>
      </c>
    </row>
    <row r="270" spans="1:26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/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>
        <f>MIN($B270)</f>
        <v>0</v>
      </c>
      <c r="J270" s="1">
        <f>MIN($C270)</f>
        <v>0</v>
      </c>
      <c r="K270" s="1">
        <f>MIN($D270)</f>
        <v>0</v>
      </c>
      <c r="L270" s="1">
        <f>MIN($E270)</f>
        <v>0</v>
      </c>
      <c r="M270" s="1">
        <f>MIN($G270)</f>
        <v>0</v>
      </c>
      <c r="N270" s="1">
        <f>MIN($H270)</f>
        <v>0</v>
      </c>
      <c r="O270" s="1">
        <f>MEDIAN($B270)</f>
        <v>0</v>
      </c>
      <c r="P270" s="1">
        <f>MEDIAN($C270)</f>
        <v>0</v>
      </c>
      <c r="Q270" s="1">
        <f>MEDIAN($D270)</f>
        <v>0</v>
      </c>
      <c r="R270" s="1">
        <f>MEDIAN($E270)</f>
        <v>0</v>
      </c>
      <c r="S270" s="1">
        <f>MEDIAN($G270)</f>
        <v>0</v>
      </c>
      <c r="T270" s="1">
        <f>MEDIAN($H270)</f>
        <v>0</v>
      </c>
      <c r="U270" s="1">
        <f>MAX($B270)</f>
        <v>0</v>
      </c>
      <c r="V270" s="1">
        <f>MAX($C270)</f>
        <v>0</v>
      </c>
      <c r="W270" s="1">
        <f>MAX($D270)</f>
        <v>0</v>
      </c>
      <c r="X270" s="1">
        <f>MAX($E270)</f>
        <v>0</v>
      </c>
      <c r="Y270" s="1">
        <f>MAX($G270)</f>
        <v>0</v>
      </c>
      <c r="Z270" s="1">
        <f>MAX($H270)</f>
        <v>0</v>
      </c>
    </row>
    <row r="271" spans="1:26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/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>
        <f>MIN($B271)</f>
        <v>0</v>
      </c>
      <c r="J271" s="1">
        <f>MIN($C271)</f>
        <v>0</v>
      </c>
      <c r="K271" s="1">
        <f>MIN($D271)</f>
        <v>0</v>
      </c>
      <c r="L271" s="1">
        <f>MIN($E271)</f>
        <v>0</v>
      </c>
      <c r="M271" s="1">
        <f>MIN($G271)</f>
        <v>0</v>
      </c>
      <c r="N271" s="1">
        <f>MIN($H271)</f>
        <v>0</v>
      </c>
      <c r="O271" s="1">
        <f>MEDIAN($B271)</f>
        <v>0</v>
      </c>
      <c r="P271" s="1">
        <f>MEDIAN($C271)</f>
        <v>0</v>
      </c>
      <c r="Q271" s="1">
        <f>MEDIAN($D271)</f>
        <v>0</v>
      </c>
      <c r="R271" s="1">
        <f>MEDIAN($E271)</f>
        <v>0</v>
      </c>
      <c r="S271" s="1">
        <f>MEDIAN($G271)</f>
        <v>0</v>
      </c>
      <c r="T271" s="1">
        <f>MEDIAN($H271)</f>
        <v>0</v>
      </c>
      <c r="U271" s="1">
        <f>MAX($B271)</f>
        <v>0</v>
      </c>
      <c r="V271" s="1">
        <f>MAX($C271)</f>
        <v>0</v>
      </c>
      <c r="W271" s="1">
        <f>MAX($D271)</f>
        <v>0</v>
      </c>
      <c r="X271" s="1">
        <f>MAX($E271)</f>
        <v>0</v>
      </c>
      <c r="Y271" s="1">
        <f>MAX($G271)</f>
        <v>0</v>
      </c>
      <c r="Z271" s="1">
        <f>MAX($H271)</f>
        <v>0</v>
      </c>
    </row>
    <row r="272" spans="1:26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/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>
        <f>MIN($B272)</f>
        <v>0</v>
      </c>
      <c r="J272" s="1">
        <f>MIN($C272)</f>
        <v>0</v>
      </c>
      <c r="K272" s="1">
        <f>MIN($D272)</f>
        <v>0</v>
      </c>
      <c r="L272" s="1">
        <f>MIN($E272)</f>
        <v>0</v>
      </c>
      <c r="M272" s="1">
        <f>MIN($G272)</f>
        <v>0</v>
      </c>
      <c r="N272" s="1">
        <f>MIN($H272)</f>
        <v>0</v>
      </c>
      <c r="O272" s="1">
        <f>MEDIAN($B272)</f>
        <v>0</v>
      </c>
      <c r="P272" s="1">
        <f>MEDIAN($C272)</f>
        <v>0</v>
      </c>
      <c r="Q272" s="1">
        <f>MEDIAN($D272)</f>
        <v>0</v>
      </c>
      <c r="R272" s="1">
        <f>MEDIAN($E272)</f>
        <v>0</v>
      </c>
      <c r="S272" s="1">
        <f>MEDIAN($G272)</f>
        <v>0</v>
      </c>
      <c r="T272" s="1">
        <f>MEDIAN($H272)</f>
        <v>0</v>
      </c>
      <c r="U272" s="1">
        <f>MAX($B272)</f>
        <v>0</v>
      </c>
      <c r="V272" s="1">
        <f>MAX($C272)</f>
        <v>0</v>
      </c>
      <c r="W272" s="1">
        <f>MAX($D272)</f>
        <v>0</v>
      </c>
      <c r="X272" s="1">
        <f>MAX($E272)</f>
        <v>0</v>
      </c>
      <c r="Y272" s="1">
        <f>MAX($G272)</f>
        <v>0</v>
      </c>
      <c r="Z272" s="1">
        <f>MAX($H272)</f>
        <v>0</v>
      </c>
    </row>
    <row r="273" spans="1:26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/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>
        <f>MIN($B273)</f>
        <v>0</v>
      </c>
      <c r="J273" s="1">
        <f>MIN($C273)</f>
        <v>0</v>
      </c>
      <c r="K273" s="1">
        <f>MIN($D273)</f>
        <v>0</v>
      </c>
      <c r="L273" s="1">
        <f>MIN($E273)</f>
        <v>0</v>
      </c>
      <c r="M273" s="1">
        <f>MIN($G273)</f>
        <v>0</v>
      </c>
      <c r="N273" s="1">
        <f>MIN($H273)</f>
        <v>0</v>
      </c>
      <c r="O273" s="1">
        <f>MEDIAN($B273)</f>
        <v>0</v>
      </c>
      <c r="P273" s="1">
        <f>MEDIAN($C273)</f>
        <v>0</v>
      </c>
      <c r="Q273" s="1">
        <f>MEDIAN($D273)</f>
        <v>0</v>
      </c>
      <c r="R273" s="1">
        <f>MEDIAN($E273)</f>
        <v>0</v>
      </c>
      <c r="S273" s="1">
        <f>MEDIAN($G273)</f>
        <v>0</v>
      </c>
      <c r="T273" s="1">
        <f>MEDIAN($H273)</f>
        <v>0</v>
      </c>
      <c r="U273" s="1">
        <f>MAX($B273)</f>
        <v>0</v>
      </c>
      <c r="V273" s="1">
        <f>MAX($C273)</f>
        <v>0</v>
      </c>
      <c r="W273" s="1">
        <f>MAX($D273)</f>
        <v>0</v>
      </c>
      <c r="X273" s="1">
        <f>MAX($E273)</f>
        <v>0</v>
      </c>
      <c r="Y273" s="1">
        <f>MAX($G273)</f>
        <v>0</v>
      </c>
      <c r="Z273" s="1">
        <f>MAX($H273)</f>
        <v>0</v>
      </c>
    </row>
    <row r="274" spans="1:26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/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>
        <f>MIN($B274)</f>
        <v>0</v>
      </c>
      <c r="J274" s="1">
        <f>MIN($C274)</f>
        <v>0</v>
      </c>
      <c r="K274" s="1">
        <f>MIN($D274)</f>
        <v>0</v>
      </c>
      <c r="L274" s="1">
        <f>MIN($E274)</f>
        <v>0</v>
      </c>
      <c r="M274" s="1">
        <f>MIN($G274)</f>
        <v>0</v>
      </c>
      <c r="N274" s="1">
        <f>MIN($H274)</f>
        <v>0</v>
      </c>
      <c r="O274" s="1">
        <f>MEDIAN($B274)</f>
        <v>0</v>
      </c>
      <c r="P274" s="1">
        <f>MEDIAN($C274)</f>
        <v>0</v>
      </c>
      <c r="Q274" s="1">
        <f>MEDIAN($D274)</f>
        <v>0</v>
      </c>
      <c r="R274" s="1">
        <f>MEDIAN($E274)</f>
        <v>0</v>
      </c>
      <c r="S274" s="1">
        <f>MEDIAN($G274)</f>
        <v>0</v>
      </c>
      <c r="T274" s="1">
        <f>MEDIAN($H274)</f>
        <v>0</v>
      </c>
      <c r="U274" s="1">
        <f>MAX($B274)</f>
        <v>0</v>
      </c>
      <c r="V274" s="1">
        <f>MAX($C274)</f>
        <v>0</v>
      </c>
      <c r="W274" s="1">
        <f>MAX($D274)</f>
        <v>0</v>
      </c>
      <c r="X274" s="1">
        <f>MAX($E274)</f>
        <v>0</v>
      </c>
      <c r="Y274" s="1">
        <f>MAX($G274)</f>
        <v>0</v>
      </c>
      <c r="Z274" s="1">
        <f>MAX($H274)</f>
        <v>0</v>
      </c>
    </row>
    <row r="275" spans="1:26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/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>
        <f>MIN($B275)</f>
        <v>0</v>
      </c>
      <c r="J275" s="1">
        <f>MIN($C275)</f>
        <v>0</v>
      </c>
      <c r="K275" s="1">
        <f>MIN($D275)</f>
        <v>0</v>
      </c>
      <c r="L275" s="1">
        <f>MIN($E275)</f>
        <v>0</v>
      </c>
      <c r="M275" s="1">
        <f>MIN($G275)</f>
        <v>0</v>
      </c>
      <c r="N275" s="1">
        <f>MIN($H275)</f>
        <v>0</v>
      </c>
      <c r="O275" s="1">
        <f>MEDIAN($B275)</f>
        <v>0</v>
      </c>
      <c r="P275" s="1">
        <f>MEDIAN($C275)</f>
        <v>0</v>
      </c>
      <c r="Q275" s="1">
        <f>MEDIAN($D275)</f>
        <v>0</v>
      </c>
      <c r="R275" s="1">
        <f>MEDIAN($E275)</f>
        <v>0</v>
      </c>
      <c r="S275" s="1">
        <f>MEDIAN($G275)</f>
        <v>0</v>
      </c>
      <c r="T275" s="1">
        <f>MEDIAN($H275)</f>
        <v>0</v>
      </c>
      <c r="U275" s="1">
        <f>MAX($B275)</f>
        <v>0</v>
      </c>
      <c r="V275" s="1">
        <f>MAX($C275)</f>
        <v>0</v>
      </c>
      <c r="W275" s="1">
        <f>MAX($D275)</f>
        <v>0</v>
      </c>
      <c r="X275" s="1">
        <f>MAX($E275)</f>
        <v>0</v>
      </c>
      <c r="Y275" s="1">
        <f>MAX($G275)</f>
        <v>0</v>
      </c>
      <c r="Z275" s="1">
        <f>MAX($H275)</f>
        <v>0</v>
      </c>
    </row>
    <row r="276" spans="1:26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/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>
        <f>MIN($B276)</f>
        <v>0</v>
      </c>
      <c r="J276" s="1">
        <f>MIN($C276)</f>
        <v>0</v>
      </c>
      <c r="K276" s="1">
        <f>MIN($D276)</f>
        <v>0</v>
      </c>
      <c r="L276" s="1">
        <f>MIN($E276)</f>
        <v>0</v>
      </c>
      <c r="M276" s="1">
        <f>MIN($G276)</f>
        <v>0</v>
      </c>
      <c r="N276" s="1">
        <f>MIN($H276)</f>
        <v>0</v>
      </c>
      <c r="O276" s="1">
        <f>MEDIAN($B276)</f>
        <v>0</v>
      </c>
      <c r="P276" s="1">
        <f>MEDIAN($C276)</f>
        <v>0</v>
      </c>
      <c r="Q276" s="1">
        <f>MEDIAN($D276)</f>
        <v>0</v>
      </c>
      <c r="R276" s="1">
        <f>MEDIAN($E276)</f>
        <v>0</v>
      </c>
      <c r="S276" s="1">
        <f>MEDIAN($G276)</f>
        <v>0</v>
      </c>
      <c r="T276" s="1">
        <f>MEDIAN($H276)</f>
        <v>0</v>
      </c>
      <c r="U276" s="1">
        <f>MAX($B276)</f>
        <v>0</v>
      </c>
      <c r="V276" s="1">
        <f>MAX($C276)</f>
        <v>0</v>
      </c>
      <c r="W276" s="1">
        <f>MAX($D276)</f>
        <v>0</v>
      </c>
      <c r="X276" s="1">
        <f>MAX($E276)</f>
        <v>0</v>
      </c>
      <c r="Y276" s="1">
        <f>MAX($G276)</f>
        <v>0</v>
      </c>
      <c r="Z276" s="1">
        <f>MAX($H276)</f>
        <v>0</v>
      </c>
    </row>
    <row r="277" spans="1:26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/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>
        <f>MIN($B277)</f>
        <v>0</v>
      </c>
      <c r="J277" s="1">
        <f>MIN($C277)</f>
        <v>0</v>
      </c>
      <c r="K277" s="1">
        <f>MIN($D277)</f>
        <v>0</v>
      </c>
      <c r="L277" s="1">
        <f>MIN($E277)</f>
        <v>0</v>
      </c>
      <c r="M277" s="1">
        <f>MIN($G277)</f>
        <v>0</v>
      </c>
      <c r="N277" s="1">
        <f>MIN($H277)</f>
        <v>0</v>
      </c>
      <c r="O277" s="1">
        <f>MEDIAN($B277)</f>
        <v>0</v>
      </c>
      <c r="P277" s="1">
        <f>MEDIAN($C277)</f>
        <v>0</v>
      </c>
      <c r="Q277" s="1">
        <f>MEDIAN($D277)</f>
        <v>0</v>
      </c>
      <c r="R277" s="1">
        <f>MEDIAN($E277)</f>
        <v>0</v>
      </c>
      <c r="S277" s="1">
        <f>MEDIAN($G277)</f>
        <v>0</v>
      </c>
      <c r="T277" s="1">
        <f>MEDIAN($H277)</f>
        <v>0</v>
      </c>
      <c r="U277" s="1">
        <f>MAX($B277)</f>
        <v>0</v>
      </c>
      <c r="V277" s="1">
        <f>MAX($C277)</f>
        <v>0</v>
      </c>
      <c r="W277" s="1">
        <f>MAX($D277)</f>
        <v>0</v>
      </c>
      <c r="X277" s="1">
        <f>MAX($E277)</f>
        <v>0</v>
      </c>
      <c r="Y277" s="1">
        <f>MAX($G277)</f>
        <v>0</v>
      </c>
      <c r="Z277" s="1">
        <f>MAX($H277)</f>
        <v>0</v>
      </c>
    </row>
    <row r="278" spans="1:26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/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>
        <f>MIN($B278)</f>
        <v>0</v>
      </c>
      <c r="J278" s="1">
        <f>MIN($C278)</f>
        <v>0</v>
      </c>
      <c r="K278" s="1">
        <f>MIN($D278)</f>
        <v>0</v>
      </c>
      <c r="L278" s="1">
        <f>MIN($E278)</f>
        <v>0</v>
      </c>
      <c r="M278" s="1">
        <f>MIN($G278)</f>
        <v>0</v>
      </c>
      <c r="N278" s="1">
        <f>MIN($H278)</f>
        <v>0</v>
      </c>
      <c r="O278" s="1">
        <f>MEDIAN($B278)</f>
        <v>0</v>
      </c>
      <c r="P278" s="1">
        <f>MEDIAN($C278)</f>
        <v>0</v>
      </c>
      <c r="Q278" s="1">
        <f>MEDIAN($D278)</f>
        <v>0</v>
      </c>
      <c r="R278" s="1">
        <f>MEDIAN($E278)</f>
        <v>0</v>
      </c>
      <c r="S278" s="1">
        <f>MEDIAN($G278)</f>
        <v>0</v>
      </c>
      <c r="T278" s="1">
        <f>MEDIAN($H278)</f>
        <v>0</v>
      </c>
      <c r="U278" s="1">
        <f>MAX($B278)</f>
        <v>0</v>
      </c>
      <c r="V278" s="1">
        <f>MAX($C278)</f>
        <v>0</v>
      </c>
      <c r="W278" s="1">
        <f>MAX($D278)</f>
        <v>0</v>
      </c>
      <c r="X278" s="1">
        <f>MAX($E278)</f>
        <v>0</v>
      </c>
      <c r="Y278" s="1">
        <f>MAX($G278)</f>
        <v>0</v>
      </c>
      <c r="Z278" s="1">
        <f>MAX($H278)</f>
        <v>0</v>
      </c>
    </row>
    <row r="279" spans="1:26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/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>
        <f>MIN($B279)</f>
        <v>0</v>
      </c>
      <c r="J279" s="1">
        <f>MIN($C279)</f>
        <v>0</v>
      </c>
      <c r="K279" s="1">
        <f>MIN($D279)</f>
        <v>0</v>
      </c>
      <c r="L279" s="1">
        <f>MIN($E279)</f>
        <v>0</v>
      </c>
      <c r="M279" s="1">
        <f>MIN($G279)</f>
        <v>0</v>
      </c>
      <c r="N279" s="1">
        <f>MIN($H279)</f>
        <v>0</v>
      </c>
      <c r="O279" s="1">
        <f>MEDIAN($B279)</f>
        <v>0</v>
      </c>
      <c r="P279" s="1">
        <f>MEDIAN($C279)</f>
        <v>0</v>
      </c>
      <c r="Q279" s="1">
        <f>MEDIAN($D279)</f>
        <v>0</v>
      </c>
      <c r="R279" s="1">
        <f>MEDIAN($E279)</f>
        <v>0</v>
      </c>
      <c r="S279" s="1">
        <f>MEDIAN($G279)</f>
        <v>0</v>
      </c>
      <c r="T279" s="1">
        <f>MEDIAN($H279)</f>
        <v>0</v>
      </c>
      <c r="U279" s="1">
        <f>MAX($B279)</f>
        <v>0</v>
      </c>
      <c r="V279" s="1">
        <f>MAX($C279)</f>
        <v>0</v>
      </c>
      <c r="W279" s="1">
        <f>MAX($D279)</f>
        <v>0</v>
      </c>
      <c r="X279" s="1">
        <f>MAX($E279)</f>
        <v>0</v>
      </c>
      <c r="Y279" s="1">
        <f>MAX($G279)</f>
        <v>0</v>
      </c>
      <c r="Z279" s="1">
        <f>MAX($H279)</f>
        <v>0</v>
      </c>
    </row>
    <row r="280" spans="1:26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/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>
        <f>MIN($B280)</f>
        <v>0</v>
      </c>
      <c r="J280" s="1">
        <f>MIN($C280)</f>
        <v>0</v>
      </c>
      <c r="K280" s="1">
        <f>MIN($D280)</f>
        <v>0</v>
      </c>
      <c r="L280" s="1">
        <f>MIN($E280)</f>
        <v>0</v>
      </c>
      <c r="M280" s="1">
        <f>MIN($G280)</f>
        <v>0</v>
      </c>
      <c r="N280" s="1">
        <f>MIN($H280)</f>
        <v>0</v>
      </c>
      <c r="O280" s="1">
        <f>MEDIAN($B280)</f>
        <v>0</v>
      </c>
      <c r="P280" s="1">
        <f>MEDIAN($C280)</f>
        <v>0</v>
      </c>
      <c r="Q280" s="1">
        <f>MEDIAN($D280)</f>
        <v>0</v>
      </c>
      <c r="R280" s="1">
        <f>MEDIAN($E280)</f>
        <v>0</v>
      </c>
      <c r="S280" s="1">
        <f>MEDIAN($G280)</f>
        <v>0</v>
      </c>
      <c r="T280" s="1">
        <f>MEDIAN($H280)</f>
        <v>0</v>
      </c>
      <c r="U280" s="1">
        <f>MAX($B280)</f>
        <v>0</v>
      </c>
      <c r="V280" s="1">
        <f>MAX($C280)</f>
        <v>0</v>
      </c>
      <c r="W280" s="1">
        <f>MAX($D280)</f>
        <v>0</v>
      </c>
      <c r="X280" s="1">
        <f>MAX($E280)</f>
        <v>0</v>
      </c>
      <c r="Y280" s="1">
        <f>MAX($G280)</f>
        <v>0</v>
      </c>
      <c r="Z280" s="1">
        <f>MAX($H280)</f>
        <v>0</v>
      </c>
    </row>
    <row r="281" spans="1:26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/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>
        <f>MIN($B281)</f>
        <v>0</v>
      </c>
      <c r="J281" s="1">
        <f>MIN($C281)</f>
        <v>0</v>
      </c>
      <c r="K281" s="1">
        <f>MIN($D281)</f>
        <v>0</v>
      </c>
      <c r="L281" s="1">
        <f>MIN($E281)</f>
        <v>0</v>
      </c>
      <c r="M281" s="1">
        <f>MIN($G281)</f>
        <v>0</v>
      </c>
      <c r="N281" s="1">
        <f>MIN($H281)</f>
        <v>0</v>
      </c>
      <c r="O281" s="1">
        <f>MEDIAN($B281)</f>
        <v>0</v>
      </c>
      <c r="P281" s="1">
        <f>MEDIAN($C281)</f>
        <v>0</v>
      </c>
      <c r="Q281" s="1">
        <f>MEDIAN($D281)</f>
        <v>0</v>
      </c>
      <c r="R281" s="1">
        <f>MEDIAN($E281)</f>
        <v>0</v>
      </c>
      <c r="S281" s="1">
        <f>MEDIAN($G281)</f>
        <v>0</v>
      </c>
      <c r="T281" s="1">
        <f>MEDIAN($H281)</f>
        <v>0</v>
      </c>
      <c r="U281" s="1">
        <f>MAX($B281)</f>
        <v>0</v>
      </c>
      <c r="V281" s="1">
        <f>MAX($C281)</f>
        <v>0</v>
      </c>
      <c r="W281" s="1">
        <f>MAX($D281)</f>
        <v>0</v>
      </c>
      <c r="X281" s="1">
        <f>MAX($E281)</f>
        <v>0</v>
      </c>
      <c r="Y281" s="1">
        <f>MAX($G281)</f>
        <v>0</v>
      </c>
      <c r="Z281" s="1">
        <f>MAX($H281)</f>
        <v>0</v>
      </c>
    </row>
    <row r="282" spans="1:26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/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>
        <f>MIN($B282)</f>
        <v>0</v>
      </c>
      <c r="J282" s="1">
        <f>MIN($C282)</f>
        <v>0</v>
      </c>
      <c r="K282" s="1">
        <f>MIN($D282)</f>
        <v>0</v>
      </c>
      <c r="L282" s="1">
        <f>MIN($E282)</f>
        <v>0</v>
      </c>
      <c r="M282" s="1">
        <f>MIN($G282)</f>
        <v>0</v>
      </c>
      <c r="N282" s="1">
        <f>MIN($H282)</f>
        <v>0</v>
      </c>
      <c r="O282" s="1">
        <f>MEDIAN($B282)</f>
        <v>0</v>
      </c>
      <c r="P282" s="1">
        <f>MEDIAN($C282)</f>
        <v>0</v>
      </c>
      <c r="Q282" s="1">
        <f>MEDIAN($D282)</f>
        <v>0</v>
      </c>
      <c r="R282" s="1">
        <f>MEDIAN($E282)</f>
        <v>0</v>
      </c>
      <c r="S282" s="1">
        <f>MEDIAN($G282)</f>
        <v>0</v>
      </c>
      <c r="T282" s="1">
        <f>MEDIAN($H282)</f>
        <v>0</v>
      </c>
      <c r="U282" s="1">
        <f>MAX($B282)</f>
        <v>0</v>
      </c>
      <c r="V282" s="1">
        <f>MAX($C282)</f>
        <v>0</v>
      </c>
      <c r="W282" s="1">
        <f>MAX($D282)</f>
        <v>0</v>
      </c>
      <c r="X282" s="1">
        <f>MAX($E282)</f>
        <v>0</v>
      </c>
      <c r="Y282" s="1">
        <f>MAX($G282)</f>
        <v>0</v>
      </c>
      <c r="Z282" s="1">
        <f>MAX($H282)</f>
        <v>0</v>
      </c>
    </row>
    <row r="283" spans="1:26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/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>
        <f>MIN($B283)</f>
        <v>0</v>
      </c>
      <c r="J283" s="1">
        <f>MIN($C283)</f>
        <v>0</v>
      </c>
      <c r="K283" s="1">
        <f>MIN($D283)</f>
        <v>0</v>
      </c>
      <c r="L283" s="1">
        <f>MIN($E283)</f>
        <v>0</v>
      </c>
      <c r="M283" s="1">
        <f>MIN($G283)</f>
        <v>0</v>
      </c>
      <c r="N283" s="1">
        <f>MIN($H283)</f>
        <v>0</v>
      </c>
      <c r="O283" s="1">
        <f>MEDIAN($B283)</f>
        <v>0</v>
      </c>
      <c r="P283" s="1">
        <f>MEDIAN($C283)</f>
        <v>0</v>
      </c>
      <c r="Q283" s="1">
        <f>MEDIAN($D283)</f>
        <v>0</v>
      </c>
      <c r="R283" s="1">
        <f>MEDIAN($E283)</f>
        <v>0</v>
      </c>
      <c r="S283" s="1">
        <f>MEDIAN($G283)</f>
        <v>0</v>
      </c>
      <c r="T283" s="1">
        <f>MEDIAN($H283)</f>
        <v>0</v>
      </c>
      <c r="U283" s="1">
        <f>MAX($B283)</f>
        <v>0</v>
      </c>
      <c r="V283" s="1">
        <f>MAX($C283)</f>
        <v>0</v>
      </c>
      <c r="W283" s="1">
        <f>MAX($D283)</f>
        <v>0</v>
      </c>
      <c r="X283" s="1">
        <f>MAX($E283)</f>
        <v>0</v>
      </c>
      <c r="Y283" s="1">
        <f>MAX($G283)</f>
        <v>0</v>
      </c>
      <c r="Z283" s="1">
        <f>MAX($H283)</f>
        <v>0</v>
      </c>
    </row>
    <row r="284" spans="1:26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/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>
        <f>MIN($B284)</f>
        <v>0</v>
      </c>
      <c r="J284" s="1">
        <f>MIN($C284)</f>
        <v>0</v>
      </c>
      <c r="K284" s="1">
        <f>MIN($D284)</f>
        <v>0</v>
      </c>
      <c r="L284" s="1">
        <f>MIN($E284)</f>
        <v>0</v>
      </c>
      <c r="M284" s="1">
        <f>MIN($G284)</f>
        <v>0</v>
      </c>
      <c r="N284" s="1">
        <f>MIN($H284)</f>
        <v>0</v>
      </c>
      <c r="O284" s="1">
        <f>MEDIAN($B284)</f>
        <v>0</v>
      </c>
      <c r="P284" s="1">
        <f>MEDIAN($C284)</f>
        <v>0</v>
      </c>
      <c r="Q284" s="1">
        <f>MEDIAN($D284)</f>
        <v>0</v>
      </c>
      <c r="R284" s="1">
        <f>MEDIAN($E284)</f>
        <v>0</v>
      </c>
      <c r="S284" s="1">
        <f>MEDIAN($G284)</f>
        <v>0</v>
      </c>
      <c r="T284" s="1">
        <f>MEDIAN($H284)</f>
        <v>0</v>
      </c>
      <c r="U284" s="1">
        <f>MAX($B284)</f>
        <v>0</v>
      </c>
      <c r="V284" s="1">
        <f>MAX($C284)</f>
        <v>0</v>
      </c>
      <c r="W284" s="1">
        <f>MAX($D284)</f>
        <v>0</v>
      </c>
      <c r="X284" s="1">
        <f>MAX($E284)</f>
        <v>0</v>
      </c>
      <c r="Y284" s="1">
        <f>MAX($G284)</f>
        <v>0</v>
      </c>
      <c r="Z284" s="1">
        <f>MAX($H284)</f>
        <v>0</v>
      </c>
    </row>
    <row r="285" spans="1:26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/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>
        <f>MIN($B285)</f>
        <v>0</v>
      </c>
      <c r="J285" s="1">
        <f>MIN($C285)</f>
        <v>0</v>
      </c>
      <c r="K285" s="1">
        <f>MIN($D285)</f>
        <v>0</v>
      </c>
      <c r="L285" s="1">
        <f>MIN($E285)</f>
        <v>0</v>
      </c>
      <c r="M285" s="1">
        <f>MIN($G285)</f>
        <v>0</v>
      </c>
      <c r="N285" s="1">
        <f>MIN($H285)</f>
        <v>0</v>
      </c>
      <c r="O285" s="1">
        <f>MEDIAN($B285)</f>
        <v>0</v>
      </c>
      <c r="P285" s="1">
        <f>MEDIAN($C285)</f>
        <v>0</v>
      </c>
      <c r="Q285" s="1">
        <f>MEDIAN($D285)</f>
        <v>0</v>
      </c>
      <c r="R285" s="1">
        <f>MEDIAN($E285)</f>
        <v>0</v>
      </c>
      <c r="S285" s="1">
        <f>MEDIAN($G285)</f>
        <v>0</v>
      </c>
      <c r="T285" s="1">
        <f>MEDIAN($H285)</f>
        <v>0</v>
      </c>
      <c r="U285" s="1">
        <f>MAX($B285)</f>
        <v>0</v>
      </c>
      <c r="V285" s="1">
        <f>MAX($C285)</f>
        <v>0</v>
      </c>
      <c r="W285" s="1">
        <f>MAX($D285)</f>
        <v>0</v>
      </c>
      <c r="X285" s="1">
        <f>MAX($E285)</f>
        <v>0</v>
      </c>
      <c r="Y285" s="1">
        <f>MAX($G285)</f>
        <v>0</v>
      </c>
      <c r="Z285" s="1">
        <f>MAX($H285)</f>
        <v>0</v>
      </c>
    </row>
    <row r="286" spans="1:26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/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>
        <f>MIN($B286)</f>
        <v>0</v>
      </c>
      <c r="J286" s="1">
        <f>MIN($C286)</f>
        <v>0</v>
      </c>
      <c r="K286" s="1">
        <f>MIN($D286)</f>
        <v>0</v>
      </c>
      <c r="L286" s="1">
        <f>MIN($E286)</f>
        <v>0</v>
      </c>
      <c r="M286" s="1">
        <f>MIN($G286)</f>
        <v>0</v>
      </c>
      <c r="N286" s="1">
        <f>MIN($H286)</f>
        <v>0</v>
      </c>
      <c r="O286" s="1">
        <f>MEDIAN($B286)</f>
        <v>0</v>
      </c>
      <c r="P286" s="1">
        <f>MEDIAN($C286)</f>
        <v>0</v>
      </c>
      <c r="Q286" s="1">
        <f>MEDIAN($D286)</f>
        <v>0</v>
      </c>
      <c r="R286" s="1">
        <f>MEDIAN($E286)</f>
        <v>0</v>
      </c>
      <c r="S286" s="1">
        <f>MEDIAN($G286)</f>
        <v>0</v>
      </c>
      <c r="T286" s="1">
        <f>MEDIAN($H286)</f>
        <v>0</v>
      </c>
      <c r="U286" s="1">
        <f>MAX($B286)</f>
        <v>0</v>
      </c>
      <c r="V286" s="1">
        <f>MAX($C286)</f>
        <v>0</v>
      </c>
      <c r="W286" s="1">
        <f>MAX($D286)</f>
        <v>0</v>
      </c>
      <c r="X286" s="1">
        <f>MAX($E286)</f>
        <v>0</v>
      </c>
      <c r="Y286" s="1">
        <f>MAX($G286)</f>
        <v>0</v>
      </c>
      <c r="Z286" s="1">
        <f>MAX($H286)</f>
        <v>0</v>
      </c>
    </row>
    <row r="287" spans="1:26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/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>
        <f>MIN($B287)</f>
        <v>0</v>
      </c>
      <c r="J287" s="1">
        <f>MIN($C287)</f>
        <v>0</v>
      </c>
      <c r="K287" s="1">
        <f>MIN($D287)</f>
        <v>0</v>
      </c>
      <c r="L287" s="1">
        <f>MIN($E287)</f>
        <v>0</v>
      </c>
      <c r="M287" s="1">
        <f>MIN($G287)</f>
        <v>0</v>
      </c>
      <c r="N287" s="1">
        <f>MIN($H287)</f>
        <v>0</v>
      </c>
      <c r="O287" s="1">
        <f>MEDIAN($B287)</f>
        <v>0</v>
      </c>
      <c r="P287" s="1">
        <f>MEDIAN($C287)</f>
        <v>0</v>
      </c>
      <c r="Q287" s="1">
        <f>MEDIAN($D287)</f>
        <v>0</v>
      </c>
      <c r="R287" s="1">
        <f>MEDIAN($E287)</f>
        <v>0</v>
      </c>
      <c r="S287" s="1">
        <f>MEDIAN($G287)</f>
        <v>0</v>
      </c>
      <c r="T287" s="1">
        <f>MEDIAN($H287)</f>
        <v>0</v>
      </c>
      <c r="U287" s="1">
        <f>MAX($B287)</f>
        <v>0</v>
      </c>
      <c r="V287" s="1">
        <f>MAX($C287)</f>
        <v>0</v>
      </c>
      <c r="W287" s="1">
        <f>MAX($D287)</f>
        <v>0</v>
      </c>
      <c r="X287" s="1">
        <f>MAX($E287)</f>
        <v>0</v>
      </c>
      <c r="Y287" s="1">
        <f>MAX($G287)</f>
        <v>0</v>
      </c>
      <c r="Z287" s="1">
        <f>MAX($H287)</f>
        <v>0</v>
      </c>
    </row>
    <row r="288" spans="1:26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/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>
        <f>MIN($B288)</f>
        <v>0</v>
      </c>
      <c r="J288" s="1">
        <f>MIN($C288)</f>
        <v>0</v>
      </c>
      <c r="K288" s="1">
        <f>MIN($D288)</f>
        <v>0</v>
      </c>
      <c r="L288" s="1">
        <f>MIN($E288)</f>
        <v>0</v>
      </c>
      <c r="M288" s="1">
        <f>MIN($G288)</f>
        <v>0</v>
      </c>
      <c r="N288" s="1">
        <f>MIN($H288)</f>
        <v>0</v>
      </c>
      <c r="O288" s="1">
        <f>MEDIAN($B288)</f>
        <v>0</v>
      </c>
      <c r="P288" s="1">
        <f>MEDIAN($C288)</f>
        <v>0</v>
      </c>
      <c r="Q288" s="1">
        <f>MEDIAN($D288)</f>
        <v>0</v>
      </c>
      <c r="R288" s="1">
        <f>MEDIAN($E288)</f>
        <v>0</v>
      </c>
      <c r="S288" s="1">
        <f>MEDIAN($G288)</f>
        <v>0</v>
      </c>
      <c r="T288" s="1">
        <f>MEDIAN($H288)</f>
        <v>0</v>
      </c>
      <c r="U288" s="1">
        <f>MAX($B288)</f>
        <v>0</v>
      </c>
      <c r="V288" s="1">
        <f>MAX($C288)</f>
        <v>0</v>
      </c>
      <c r="W288" s="1">
        <f>MAX($D288)</f>
        <v>0</v>
      </c>
      <c r="X288" s="1">
        <f>MAX($E288)</f>
        <v>0</v>
      </c>
      <c r="Y288" s="1">
        <f>MAX($G288)</f>
        <v>0</v>
      </c>
      <c r="Z288" s="1">
        <f>MAX($H288)</f>
        <v>0</v>
      </c>
    </row>
    <row r="289" spans="1:26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/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>
        <f>MIN($B289)</f>
        <v>0</v>
      </c>
      <c r="J289" s="1">
        <f>MIN($C289)</f>
        <v>0</v>
      </c>
      <c r="K289" s="1">
        <f>MIN($D289)</f>
        <v>0</v>
      </c>
      <c r="L289" s="1">
        <f>MIN($E289)</f>
        <v>0</v>
      </c>
      <c r="M289" s="1">
        <f>MIN($G289)</f>
        <v>0</v>
      </c>
      <c r="N289" s="1">
        <f>MIN($H289)</f>
        <v>0</v>
      </c>
      <c r="O289" s="1">
        <f>MEDIAN($B289)</f>
        <v>0</v>
      </c>
      <c r="P289" s="1">
        <f>MEDIAN($C289)</f>
        <v>0</v>
      </c>
      <c r="Q289" s="1">
        <f>MEDIAN($D289)</f>
        <v>0</v>
      </c>
      <c r="R289" s="1">
        <f>MEDIAN($E289)</f>
        <v>0</v>
      </c>
      <c r="S289" s="1">
        <f>MEDIAN($G289)</f>
        <v>0</v>
      </c>
      <c r="T289" s="1">
        <f>MEDIAN($H289)</f>
        <v>0</v>
      </c>
      <c r="U289" s="1">
        <f>MAX($B289)</f>
        <v>0</v>
      </c>
      <c r="V289" s="1">
        <f>MAX($C289)</f>
        <v>0</v>
      </c>
      <c r="W289" s="1">
        <f>MAX($D289)</f>
        <v>0</v>
      </c>
      <c r="X289" s="1">
        <f>MAX($E289)</f>
        <v>0</v>
      </c>
      <c r="Y289" s="1">
        <f>MAX($G289)</f>
        <v>0</v>
      </c>
      <c r="Z289" s="1">
        <f>MAX($H289)</f>
        <v>0</v>
      </c>
    </row>
    <row r="290" spans="1:26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/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>
        <f>MIN($B290)</f>
        <v>0</v>
      </c>
      <c r="J290" s="1">
        <f>MIN($C290)</f>
        <v>0</v>
      </c>
      <c r="K290" s="1">
        <f>MIN($D290)</f>
        <v>0</v>
      </c>
      <c r="L290" s="1">
        <f>MIN($E290)</f>
        <v>0</v>
      </c>
      <c r="M290" s="1">
        <f>MIN($G290)</f>
        <v>0</v>
      </c>
      <c r="N290" s="1">
        <f>MIN($H290)</f>
        <v>0</v>
      </c>
      <c r="O290" s="1">
        <f>MEDIAN($B290)</f>
        <v>0</v>
      </c>
      <c r="P290" s="1">
        <f>MEDIAN($C290)</f>
        <v>0</v>
      </c>
      <c r="Q290" s="1">
        <f>MEDIAN($D290)</f>
        <v>0</v>
      </c>
      <c r="R290" s="1">
        <f>MEDIAN($E290)</f>
        <v>0</v>
      </c>
      <c r="S290" s="1">
        <f>MEDIAN($G290)</f>
        <v>0</v>
      </c>
      <c r="T290" s="1">
        <f>MEDIAN($H290)</f>
        <v>0</v>
      </c>
      <c r="U290" s="1">
        <f>MAX($B290)</f>
        <v>0</v>
      </c>
      <c r="V290" s="1">
        <f>MAX($C290)</f>
        <v>0</v>
      </c>
      <c r="W290" s="1">
        <f>MAX($D290)</f>
        <v>0</v>
      </c>
      <c r="X290" s="1">
        <f>MAX($E290)</f>
        <v>0</v>
      </c>
      <c r="Y290" s="1">
        <f>MAX($G290)</f>
        <v>0</v>
      </c>
      <c r="Z290" s="1">
        <f>MAX($H290)</f>
        <v>0</v>
      </c>
    </row>
    <row r="291" spans="1:26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/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>
        <f>MIN($B291)</f>
        <v>0</v>
      </c>
      <c r="J291" s="1">
        <f>MIN($C291)</f>
        <v>0</v>
      </c>
      <c r="K291" s="1">
        <f>MIN($D291)</f>
        <v>0</v>
      </c>
      <c r="L291" s="1">
        <f>MIN($E291)</f>
        <v>0</v>
      </c>
      <c r="M291" s="1">
        <f>MIN($G291)</f>
        <v>0</v>
      </c>
      <c r="N291" s="1">
        <f>MIN($H291)</f>
        <v>0</v>
      </c>
      <c r="O291" s="1">
        <f>MEDIAN($B291)</f>
        <v>0</v>
      </c>
      <c r="P291" s="1">
        <f>MEDIAN($C291)</f>
        <v>0</v>
      </c>
      <c r="Q291" s="1">
        <f>MEDIAN($D291)</f>
        <v>0</v>
      </c>
      <c r="R291" s="1">
        <f>MEDIAN($E291)</f>
        <v>0</v>
      </c>
      <c r="S291" s="1">
        <f>MEDIAN($G291)</f>
        <v>0</v>
      </c>
      <c r="T291" s="1">
        <f>MEDIAN($H291)</f>
        <v>0</v>
      </c>
      <c r="U291" s="1">
        <f>MAX($B291)</f>
        <v>0</v>
      </c>
      <c r="V291" s="1">
        <f>MAX($C291)</f>
        <v>0</v>
      </c>
      <c r="W291" s="1">
        <f>MAX($D291)</f>
        <v>0</v>
      </c>
      <c r="X291" s="1">
        <f>MAX($E291)</f>
        <v>0</v>
      </c>
      <c r="Y291" s="1">
        <f>MAX($G291)</f>
        <v>0</v>
      </c>
      <c r="Z291" s="1">
        <f>MAX($H291)</f>
        <v>0</v>
      </c>
    </row>
    <row r="292" spans="1:26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/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>
        <f>MIN($B292)</f>
        <v>0</v>
      </c>
      <c r="J292" s="1">
        <f>MIN($C292)</f>
        <v>0</v>
      </c>
      <c r="K292" s="1">
        <f>MIN($D292)</f>
        <v>0</v>
      </c>
      <c r="L292" s="1">
        <f>MIN($E292)</f>
        <v>0</v>
      </c>
      <c r="M292" s="1">
        <f>MIN($G292)</f>
        <v>0</v>
      </c>
      <c r="N292" s="1">
        <f>MIN($H292)</f>
        <v>0</v>
      </c>
      <c r="O292" s="1">
        <f>MEDIAN($B292)</f>
        <v>0</v>
      </c>
      <c r="P292" s="1">
        <f>MEDIAN($C292)</f>
        <v>0</v>
      </c>
      <c r="Q292" s="1">
        <f>MEDIAN($D292)</f>
        <v>0</v>
      </c>
      <c r="R292" s="1">
        <f>MEDIAN($E292)</f>
        <v>0</v>
      </c>
      <c r="S292" s="1">
        <f>MEDIAN($G292)</f>
        <v>0</v>
      </c>
      <c r="T292" s="1">
        <f>MEDIAN($H292)</f>
        <v>0</v>
      </c>
      <c r="U292" s="1">
        <f>MAX($B292)</f>
        <v>0</v>
      </c>
      <c r="V292" s="1">
        <f>MAX($C292)</f>
        <v>0</v>
      </c>
      <c r="W292" s="1">
        <f>MAX($D292)</f>
        <v>0</v>
      </c>
      <c r="X292" s="1">
        <f>MAX($E292)</f>
        <v>0</v>
      </c>
      <c r="Y292" s="1">
        <f>MAX($G292)</f>
        <v>0</v>
      </c>
      <c r="Z292" s="1">
        <f>MAX($H292)</f>
        <v>0</v>
      </c>
    </row>
    <row r="293" spans="1:26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/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>
        <f>MIN($B293)</f>
        <v>0</v>
      </c>
      <c r="J293" s="1">
        <f>MIN($C293)</f>
        <v>0</v>
      </c>
      <c r="K293" s="1">
        <f>MIN($D293)</f>
        <v>0</v>
      </c>
      <c r="L293" s="1">
        <f>MIN($E293)</f>
        <v>0</v>
      </c>
      <c r="M293" s="1">
        <f>MIN($G293)</f>
        <v>0</v>
      </c>
      <c r="N293" s="1">
        <f>MIN($H293)</f>
        <v>0</v>
      </c>
      <c r="O293" s="1">
        <f>MEDIAN($B293)</f>
        <v>0</v>
      </c>
      <c r="P293" s="1">
        <f>MEDIAN($C293)</f>
        <v>0</v>
      </c>
      <c r="Q293" s="1">
        <f>MEDIAN($D293)</f>
        <v>0</v>
      </c>
      <c r="R293" s="1">
        <f>MEDIAN($E293)</f>
        <v>0</v>
      </c>
      <c r="S293" s="1">
        <f>MEDIAN($G293)</f>
        <v>0</v>
      </c>
      <c r="T293" s="1">
        <f>MEDIAN($H293)</f>
        <v>0</v>
      </c>
      <c r="U293" s="1">
        <f>MAX($B293)</f>
        <v>0</v>
      </c>
      <c r="V293" s="1">
        <f>MAX($C293)</f>
        <v>0</v>
      </c>
      <c r="W293" s="1">
        <f>MAX($D293)</f>
        <v>0</v>
      </c>
      <c r="X293" s="1">
        <f>MAX($E293)</f>
        <v>0</v>
      </c>
      <c r="Y293" s="1">
        <f>MAX($G293)</f>
        <v>0</v>
      </c>
      <c r="Z293" s="1">
        <f>MAX($H293)</f>
        <v>0</v>
      </c>
    </row>
    <row r="294" spans="1:26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/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>
        <f>MIN($B294)</f>
        <v>0</v>
      </c>
      <c r="J294" s="1">
        <f>MIN($C294)</f>
        <v>0</v>
      </c>
      <c r="K294" s="1">
        <f>MIN($D294)</f>
        <v>0</v>
      </c>
      <c r="L294" s="1">
        <f>MIN($E294)</f>
        <v>0</v>
      </c>
      <c r="M294" s="1">
        <f>MIN($G294)</f>
        <v>0</v>
      </c>
      <c r="N294" s="1">
        <f>MIN($H294)</f>
        <v>0</v>
      </c>
      <c r="O294" s="1">
        <f>MEDIAN($B294)</f>
        <v>0</v>
      </c>
      <c r="P294" s="1">
        <f>MEDIAN($C294)</f>
        <v>0</v>
      </c>
      <c r="Q294" s="1">
        <f>MEDIAN($D294)</f>
        <v>0</v>
      </c>
      <c r="R294" s="1">
        <f>MEDIAN($E294)</f>
        <v>0</v>
      </c>
      <c r="S294" s="1">
        <f>MEDIAN($G294)</f>
        <v>0</v>
      </c>
      <c r="T294" s="1">
        <f>MEDIAN($H294)</f>
        <v>0</v>
      </c>
      <c r="U294" s="1">
        <f>MAX($B294)</f>
        <v>0</v>
      </c>
      <c r="V294" s="1">
        <f>MAX($C294)</f>
        <v>0</v>
      </c>
      <c r="W294" s="1">
        <f>MAX($D294)</f>
        <v>0</v>
      </c>
      <c r="X294" s="1">
        <f>MAX($E294)</f>
        <v>0</v>
      </c>
      <c r="Y294" s="1">
        <f>MAX($G294)</f>
        <v>0</v>
      </c>
      <c r="Z294" s="1">
        <f>MAX($H294)</f>
        <v>0</v>
      </c>
    </row>
    <row r="295" spans="1:26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/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>
        <f>MIN($B295)</f>
        <v>0</v>
      </c>
      <c r="J295" s="1">
        <f>MIN($C295)</f>
        <v>0</v>
      </c>
      <c r="K295" s="1">
        <f>MIN($D295)</f>
        <v>0</v>
      </c>
      <c r="L295" s="1">
        <f>MIN($E295)</f>
        <v>0</v>
      </c>
      <c r="M295" s="1">
        <f>MIN($G295)</f>
        <v>0</v>
      </c>
      <c r="N295" s="1">
        <f>MIN($H295)</f>
        <v>0</v>
      </c>
      <c r="O295" s="1">
        <f>MEDIAN($B295)</f>
        <v>0</v>
      </c>
      <c r="P295" s="1">
        <f>MEDIAN($C295)</f>
        <v>0</v>
      </c>
      <c r="Q295" s="1">
        <f>MEDIAN($D295)</f>
        <v>0</v>
      </c>
      <c r="R295" s="1">
        <f>MEDIAN($E295)</f>
        <v>0</v>
      </c>
      <c r="S295" s="1">
        <f>MEDIAN($G295)</f>
        <v>0</v>
      </c>
      <c r="T295" s="1">
        <f>MEDIAN($H295)</f>
        <v>0</v>
      </c>
      <c r="U295" s="1">
        <f>MAX($B295)</f>
        <v>0</v>
      </c>
      <c r="V295" s="1">
        <f>MAX($C295)</f>
        <v>0</v>
      </c>
      <c r="W295" s="1">
        <f>MAX($D295)</f>
        <v>0</v>
      </c>
      <c r="X295" s="1">
        <f>MAX($E295)</f>
        <v>0</v>
      </c>
      <c r="Y295" s="1">
        <f>MAX($G295)</f>
        <v>0</v>
      </c>
      <c r="Z295" s="1">
        <f>MAX($H295)</f>
        <v>0</v>
      </c>
    </row>
    <row r="296" spans="1:26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/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>
        <f>MIN($B296)</f>
        <v>0</v>
      </c>
      <c r="J296" s="1">
        <f>MIN($C296)</f>
        <v>0</v>
      </c>
      <c r="K296" s="1">
        <f>MIN($D296)</f>
        <v>0</v>
      </c>
      <c r="L296" s="1">
        <f>MIN($E296)</f>
        <v>0</v>
      </c>
      <c r="M296" s="1">
        <f>MIN($G296)</f>
        <v>0</v>
      </c>
      <c r="N296" s="1">
        <f>MIN($H296)</f>
        <v>0</v>
      </c>
      <c r="O296" s="1">
        <f>MEDIAN($B296)</f>
        <v>0</v>
      </c>
      <c r="P296" s="1">
        <f>MEDIAN($C296)</f>
        <v>0</v>
      </c>
      <c r="Q296" s="1">
        <f>MEDIAN($D296)</f>
        <v>0</v>
      </c>
      <c r="R296" s="1">
        <f>MEDIAN($E296)</f>
        <v>0</v>
      </c>
      <c r="S296" s="1">
        <f>MEDIAN($G296)</f>
        <v>0</v>
      </c>
      <c r="T296" s="1">
        <f>MEDIAN($H296)</f>
        <v>0</v>
      </c>
      <c r="U296" s="1">
        <f>MAX($B296)</f>
        <v>0</v>
      </c>
      <c r="V296" s="1">
        <f>MAX($C296)</f>
        <v>0</v>
      </c>
      <c r="W296" s="1">
        <f>MAX($D296)</f>
        <v>0</v>
      </c>
      <c r="X296" s="1">
        <f>MAX($E296)</f>
        <v>0</v>
      </c>
      <c r="Y296" s="1">
        <f>MAX($G296)</f>
        <v>0</v>
      </c>
      <c r="Z296" s="1">
        <f>MAX($H296)</f>
        <v>0</v>
      </c>
    </row>
    <row r="297" spans="1:26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/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>
        <f>MIN($B297)</f>
        <v>0</v>
      </c>
      <c r="J297" s="1">
        <f>MIN($C297)</f>
        <v>0</v>
      </c>
      <c r="K297" s="1">
        <f>MIN($D297)</f>
        <v>0</v>
      </c>
      <c r="L297" s="1">
        <f>MIN($E297)</f>
        <v>0</v>
      </c>
      <c r="M297" s="1">
        <f>MIN($G297)</f>
        <v>0</v>
      </c>
      <c r="N297" s="1">
        <f>MIN($H297)</f>
        <v>0</v>
      </c>
      <c r="O297" s="1">
        <f>MEDIAN($B297)</f>
        <v>0</v>
      </c>
      <c r="P297" s="1">
        <f>MEDIAN($C297)</f>
        <v>0</v>
      </c>
      <c r="Q297" s="1">
        <f>MEDIAN($D297)</f>
        <v>0</v>
      </c>
      <c r="R297" s="1">
        <f>MEDIAN($E297)</f>
        <v>0</v>
      </c>
      <c r="S297" s="1">
        <f>MEDIAN($G297)</f>
        <v>0</v>
      </c>
      <c r="T297" s="1">
        <f>MEDIAN($H297)</f>
        <v>0</v>
      </c>
      <c r="U297" s="1">
        <f>MAX($B297)</f>
        <v>0</v>
      </c>
      <c r="V297" s="1">
        <f>MAX($C297)</f>
        <v>0</v>
      </c>
      <c r="W297" s="1">
        <f>MAX($D297)</f>
        <v>0</v>
      </c>
      <c r="X297" s="1">
        <f>MAX($E297)</f>
        <v>0</v>
      </c>
      <c r="Y297" s="1">
        <f>MAX($G297)</f>
        <v>0</v>
      </c>
      <c r="Z297" s="1">
        <f>MAX($H297)</f>
        <v>0</v>
      </c>
    </row>
    <row r="298" spans="1:26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/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>
        <f>MIN($B298)</f>
        <v>0</v>
      </c>
      <c r="J298" s="1">
        <f>MIN($C298)</f>
        <v>0</v>
      </c>
      <c r="K298" s="1">
        <f>MIN($D298)</f>
        <v>0</v>
      </c>
      <c r="L298" s="1">
        <f>MIN($E298)</f>
        <v>0</v>
      </c>
      <c r="M298" s="1">
        <f>MIN($G298)</f>
        <v>0</v>
      </c>
      <c r="N298" s="1">
        <f>MIN($H298)</f>
        <v>0</v>
      </c>
      <c r="O298" s="1">
        <f>MEDIAN($B298)</f>
        <v>0</v>
      </c>
      <c r="P298" s="1">
        <f>MEDIAN($C298)</f>
        <v>0</v>
      </c>
      <c r="Q298" s="1">
        <f>MEDIAN($D298)</f>
        <v>0</v>
      </c>
      <c r="R298" s="1">
        <f>MEDIAN($E298)</f>
        <v>0</v>
      </c>
      <c r="S298" s="1">
        <f>MEDIAN($G298)</f>
        <v>0</v>
      </c>
      <c r="T298" s="1">
        <f>MEDIAN($H298)</f>
        <v>0</v>
      </c>
      <c r="U298" s="1">
        <f>MAX($B298)</f>
        <v>0</v>
      </c>
      <c r="V298" s="1">
        <f>MAX($C298)</f>
        <v>0</v>
      </c>
      <c r="W298" s="1">
        <f>MAX($D298)</f>
        <v>0</v>
      </c>
      <c r="X298" s="1">
        <f>MAX($E298)</f>
        <v>0</v>
      </c>
      <c r="Y298" s="1">
        <f>MAX($G298)</f>
        <v>0</v>
      </c>
      <c r="Z298" s="1">
        <f>MAX($H298)</f>
        <v>0</v>
      </c>
    </row>
    <row r="299" spans="1:26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/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>
        <f>MIN($B299)</f>
        <v>0</v>
      </c>
      <c r="J299" s="1">
        <f>MIN($C299)</f>
        <v>0</v>
      </c>
      <c r="K299" s="1">
        <f>MIN($D299)</f>
        <v>0</v>
      </c>
      <c r="L299" s="1">
        <f>MIN($E299)</f>
        <v>0</v>
      </c>
      <c r="M299" s="1">
        <f>MIN($G299)</f>
        <v>0</v>
      </c>
      <c r="N299" s="1">
        <f>MIN($H299)</f>
        <v>0</v>
      </c>
      <c r="O299" s="1">
        <f>MEDIAN($B299)</f>
        <v>0</v>
      </c>
      <c r="P299" s="1">
        <f>MEDIAN($C299)</f>
        <v>0</v>
      </c>
      <c r="Q299" s="1">
        <f>MEDIAN($D299)</f>
        <v>0</v>
      </c>
      <c r="R299" s="1">
        <f>MEDIAN($E299)</f>
        <v>0</v>
      </c>
      <c r="S299" s="1">
        <f>MEDIAN($G299)</f>
        <v>0</v>
      </c>
      <c r="T299" s="1">
        <f>MEDIAN($H299)</f>
        <v>0</v>
      </c>
      <c r="U299" s="1">
        <f>MAX($B299)</f>
        <v>0</v>
      </c>
      <c r="V299" s="1">
        <f>MAX($C299)</f>
        <v>0</v>
      </c>
      <c r="W299" s="1">
        <f>MAX($D299)</f>
        <v>0</v>
      </c>
      <c r="X299" s="1">
        <f>MAX($E299)</f>
        <v>0</v>
      </c>
      <c r="Y299" s="1">
        <f>MAX($G299)</f>
        <v>0</v>
      </c>
      <c r="Z299" s="1">
        <f>MAX($H299)</f>
        <v>0</v>
      </c>
    </row>
    <row r="300" spans="1:26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/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>
        <f>MIN($B300)</f>
        <v>0</v>
      </c>
      <c r="J300" s="1">
        <f>MIN($C300)</f>
        <v>0</v>
      </c>
      <c r="K300" s="1">
        <f>MIN($D300)</f>
        <v>0</v>
      </c>
      <c r="L300" s="1">
        <f>MIN($E300)</f>
        <v>0</v>
      </c>
      <c r="M300" s="1">
        <f>MIN($G300)</f>
        <v>0</v>
      </c>
      <c r="N300" s="1">
        <f>MIN($H300)</f>
        <v>0</v>
      </c>
      <c r="O300" s="1">
        <f>MEDIAN($B300)</f>
        <v>0</v>
      </c>
      <c r="P300" s="1">
        <f>MEDIAN($C300)</f>
        <v>0</v>
      </c>
      <c r="Q300" s="1">
        <f>MEDIAN($D300)</f>
        <v>0</v>
      </c>
      <c r="R300" s="1">
        <f>MEDIAN($E300)</f>
        <v>0</v>
      </c>
      <c r="S300" s="1">
        <f>MEDIAN($G300)</f>
        <v>0</v>
      </c>
      <c r="T300" s="1">
        <f>MEDIAN($H300)</f>
        <v>0</v>
      </c>
      <c r="U300" s="1">
        <f>MAX($B300)</f>
        <v>0</v>
      </c>
      <c r="V300" s="1">
        <f>MAX($C300)</f>
        <v>0</v>
      </c>
      <c r="W300" s="1">
        <f>MAX($D300)</f>
        <v>0</v>
      </c>
      <c r="X300" s="1">
        <f>MAX($E300)</f>
        <v>0</v>
      </c>
      <c r="Y300" s="1">
        <f>MAX($G300)</f>
        <v>0</v>
      </c>
      <c r="Z300" s="1">
        <f>MAX($H300)</f>
        <v>0</v>
      </c>
    </row>
    <row r="301" spans="1:26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/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>
        <f>MIN($B301)</f>
        <v>0</v>
      </c>
      <c r="J301" s="1">
        <f>MIN($C301)</f>
        <v>0</v>
      </c>
      <c r="K301" s="1">
        <f>MIN($D301)</f>
        <v>0</v>
      </c>
      <c r="L301" s="1">
        <f>MIN($E301)</f>
        <v>0</v>
      </c>
      <c r="M301" s="1">
        <f>MIN($G301)</f>
        <v>0</v>
      </c>
      <c r="N301" s="1">
        <f>MIN($H301)</f>
        <v>0</v>
      </c>
      <c r="O301" s="1">
        <f>MEDIAN($B301)</f>
        <v>0</v>
      </c>
      <c r="P301" s="1">
        <f>MEDIAN($C301)</f>
        <v>0</v>
      </c>
      <c r="Q301" s="1">
        <f>MEDIAN($D301)</f>
        <v>0</v>
      </c>
      <c r="R301" s="1">
        <f>MEDIAN($E301)</f>
        <v>0</v>
      </c>
      <c r="S301" s="1">
        <f>MEDIAN($G301)</f>
        <v>0</v>
      </c>
      <c r="T301" s="1">
        <f>MEDIAN($H301)</f>
        <v>0</v>
      </c>
      <c r="U301" s="1">
        <f>MAX($B301)</f>
        <v>0</v>
      </c>
      <c r="V301" s="1">
        <f>MAX($C301)</f>
        <v>0</v>
      </c>
      <c r="W301" s="1">
        <f>MAX($D301)</f>
        <v>0</v>
      </c>
      <c r="X301" s="1">
        <f>MAX($E301)</f>
        <v>0</v>
      </c>
      <c r="Y301" s="1">
        <f>MAX($G301)</f>
        <v>0</v>
      </c>
      <c r="Z301" s="1">
        <f>MAX($H301)</f>
        <v>0</v>
      </c>
    </row>
    <row r="302" spans="1:26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/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>
        <f>MIN($B302)</f>
        <v>0</v>
      </c>
      <c r="J302" s="1">
        <f>MIN($C302)</f>
        <v>0</v>
      </c>
      <c r="K302" s="1">
        <f>MIN($D302)</f>
        <v>0</v>
      </c>
      <c r="L302" s="1">
        <f>MIN($E302)</f>
        <v>0</v>
      </c>
      <c r="M302" s="1">
        <f>MIN($G302)</f>
        <v>0</v>
      </c>
      <c r="N302" s="1">
        <f>MIN($H302)</f>
        <v>0</v>
      </c>
      <c r="O302" s="1">
        <f>MEDIAN($B302)</f>
        <v>0</v>
      </c>
      <c r="P302" s="1">
        <f>MEDIAN($C302)</f>
        <v>0</v>
      </c>
      <c r="Q302" s="1">
        <f>MEDIAN($D302)</f>
        <v>0</v>
      </c>
      <c r="R302" s="1">
        <f>MEDIAN($E302)</f>
        <v>0</v>
      </c>
      <c r="S302" s="1">
        <f>MEDIAN($G302)</f>
        <v>0</v>
      </c>
      <c r="T302" s="1">
        <f>MEDIAN($H302)</f>
        <v>0</v>
      </c>
      <c r="U302" s="1">
        <f>MAX($B302)</f>
        <v>0</v>
      </c>
      <c r="V302" s="1">
        <f>MAX($C302)</f>
        <v>0</v>
      </c>
      <c r="W302" s="1">
        <f>MAX($D302)</f>
        <v>0</v>
      </c>
      <c r="X302" s="1">
        <f>MAX($E302)</f>
        <v>0</v>
      </c>
      <c r="Y302" s="1">
        <f>MAX($G302)</f>
        <v>0</v>
      </c>
      <c r="Z302" s="1">
        <f>MAX($H302)</f>
        <v>0</v>
      </c>
    </row>
    <row r="303" spans="1:26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/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>
        <f>MIN($B303)</f>
        <v>0</v>
      </c>
      <c r="J303" s="1">
        <f>MIN($C303)</f>
        <v>0</v>
      </c>
      <c r="K303" s="1">
        <f>MIN($D303)</f>
        <v>0</v>
      </c>
      <c r="L303" s="1">
        <f>MIN($E303)</f>
        <v>0</v>
      </c>
      <c r="M303" s="1">
        <f>MIN($G303)</f>
        <v>0</v>
      </c>
      <c r="N303" s="1">
        <f>MIN($H303)</f>
        <v>0</v>
      </c>
      <c r="O303" s="1">
        <f>MEDIAN($B303)</f>
        <v>0</v>
      </c>
      <c r="P303" s="1">
        <f>MEDIAN($C303)</f>
        <v>0</v>
      </c>
      <c r="Q303" s="1">
        <f>MEDIAN($D303)</f>
        <v>0</v>
      </c>
      <c r="R303" s="1">
        <f>MEDIAN($E303)</f>
        <v>0</v>
      </c>
      <c r="S303" s="1">
        <f>MEDIAN($G303)</f>
        <v>0</v>
      </c>
      <c r="T303" s="1">
        <f>MEDIAN($H303)</f>
        <v>0</v>
      </c>
      <c r="U303" s="1">
        <f>MAX($B303)</f>
        <v>0</v>
      </c>
      <c r="V303" s="1">
        <f>MAX($C303)</f>
        <v>0</v>
      </c>
      <c r="W303" s="1">
        <f>MAX($D303)</f>
        <v>0</v>
      </c>
      <c r="X303" s="1">
        <f>MAX($E303)</f>
        <v>0</v>
      </c>
      <c r="Y303" s="1">
        <f>MAX($G303)</f>
        <v>0</v>
      </c>
      <c r="Z303" s="1">
        <f>MAX($H303)</f>
        <v>0</v>
      </c>
    </row>
    <row r="304" spans="1:26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/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>
        <f>MIN($B304)</f>
        <v>0</v>
      </c>
      <c r="J304" s="1">
        <f>MIN($C304)</f>
        <v>0</v>
      </c>
      <c r="K304" s="1">
        <f>MIN($D304)</f>
        <v>0</v>
      </c>
      <c r="L304" s="1">
        <f>MIN($E304)</f>
        <v>0</v>
      </c>
      <c r="M304" s="1">
        <f>MIN($G304)</f>
        <v>0</v>
      </c>
      <c r="N304" s="1">
        <f>MIN($H304)</f>
        <v>0</v>
      </c>
      <c r="O304" s="1">
        <f>MEDIAN($B304)</f>
        <v>0</v>
      </c>
      <c r="P304" s="1">
        <f>MEDIAN($C304)</f>
        <v>0</v>
      </c>
      <c r="Q304" s="1">
        <f>MEDIAN($D304)</f>
        <v>0</v>
      </c>
      <c r="R304" s="1">
        <f>MEDIAN($E304)</f>
        <v>0</v>
      </c>
      <c r="S304" s="1">
        <f>MEDIAN($G304)</f>
        <v>0</v>
      </c>
      <c r="T304" s="1">
        <f>MEDIAN($H304)</f>
        <v>0</v>
      </c>
      <c r="U304" s="1">
        <f>MAX($B304)</f>
        <v>0</v>
      </c>
      <c r="V304" s="1">
        <f>MAX($C304)</f>
        <v>0</v>
      </c>
      <c r="W304" s="1">
        <f>MAX($D304)</f>
        <v>0</v>
      </c>
      <c r="X304" s="1">
        <f>MAX($E304)</f>
        <v>0</v>
      </c>
      <c r="Y304" s="1">
        <f>MAX($G304)</f>
        <v>0</v>
      </c>
      <c r="Z304" s="1">
        <f>MAX($H304)</f>
        <v>0</v>
      </c>
    </row>
    <row r="305" spans="1:26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/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>
        <f>MIN($B305)</f>
        <v>0</v>
      </c>
      <c r="J305" s="1">
        <f>MIN($C305)</f>
        <v>0</v>
      </c>
      <c r="K305" s="1">
        <f>MIN($D305)</f>
        <v>0</v>
      </c>
      <c r="L305" s="1">
        <f>MIN($E305)</f>
        <v>0</v>
      </c>
      <c r="M305" s="1">
        <f>MIN($G305)</f>
        <v>0</v>
      </c>
      <c r="N305" s="1">
        <f>MIN($H305)</f>
        <v>0</v>
      </c>
      <c r="O305" s="1">
        <f>MEDIAN($B305)</f>
        <v>0</v>
      </c>
      <c r="P305" s="1">
        <f>MEDIAN($C305)</f>
        <v>0</v>
      </c>
      <c r="Q305" s="1">
        <f>MEDIAN($D305)</f>
        <v>0</v>
      </c>
      <c r="R305" s="1">
        <f>MEDIAN($E305)</f>
        <v>0</v>
      </c>
      <c r="S305" s="1">
        <f>MEDIAN($G305)</f>
        <v>0</v>
      </c>
      <c r="T305" s="1">
        <f>MEDIAN($H305)</f>
        <v>0</v>
      </c>
      <c r="U305" s="1">
        <f>MAX($B305)</f>
        <v>0</v>
      </c>
      <c r="V305" s="1">
        <f>MAX($C305)</f>
        <v>0</v>
      </c>
      <c r="W305" s="1">
        <f>MAX($D305)</f>
        <v>0</v>
      </c>
      <c r="X305" s="1">
        <f>MAX($E305)</f>
        <v>0</v>
      </c>
      <c r="Y305" s="1">
        <f>MAX($G305)</f>
        <v>0</v>
      </c>
      <c r="Z305" s="1">
        <f>MAX($H305)</f>
        <v>0</v>
      </c>
    </row>
    <row r="306" spans="1:26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/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>
        <f>MIN($B306)</f>
        <v>0</v>
      </c>
      <c r="J306" s="1">
        <f>MIN($C306)</f>
        <v>0</v>
      </c>
      <c r="K306" s="1">
        <f>MIN($D306)</f>
        <v>0</v>
      </c>
      <c r="L306" s="1">
        <f>MIN($E306)</f>
        <v>0</v>
      </c>
      <c r="M306" s="1">
        <f>MIN($G306)</f>
        <v>0</v>
      </c>
      <c r="N306" s="1">
        <f>MIN($H306)</f>
        <v>0</v>
      </c>
      <c r="O306" s="1">
        <f>MEDIAN($B306)</f>
        <v>0</v>
      </c>
      <c r="P306" s="1">
        <f>MEDIAN($C306)</f>
        <v>0</v>
      </c>
      <c r="Q306" s="1">
        <f>MEDIAN($D306)</f>
        <v>0</v>
      </c>
      <c r="R306" s="1">
        <f>MEDIAN($E306)</f>
        <v>0</v>
      </c>
      <c r="S306" s="1">
        <f>MEDIAN($G306)</f>
        <v>0</v>
      </c>
      <c r="T306" s="1">
        <f>MEDIAN($H306)</f>
        <v>0</v>
      </c>
      <c r="U306" s="1">
        <f>MAX($B306)</f>
        <v>0</v>
      </c>
      <c r="V306" s="1">
        <f>MAX($C306)</f>
        <v>0</v>
      </c>
      <c r="W306" s="1">
        <f>MAX($D306)</f>
        <v>0</v>
      </c>
      <c r="X306" s="1">
        <f>MAX($E306)</f>
        <v>0</v>
      </c>
      <c r="Y306" s="1">
        <f>MAX($G306)</f>
        <v>0</v>
      </c>
      <c r="Z306" s="1">
        <f>MAX($H306)</f>
        <v>0</v>
      </c>
    </row>
    <row r="307" spans="1:26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/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>
        <f>MIN($B307)</f>
        <v>0</v>
      </c>
      <c r="J307" s="1">
        <f>MIN($C307)</f>
        <v>0</v>
      </c>
      <c r="K307" s="1">
        <f>MIN($D307)</f>
        <v>0</v>
      </c>
      <c r="L307" s="1">
        <f>MIN($E307)</f>
        <v>0</v>
      </c>
      <c r="M307" s="1">
        <f>MIN($G307)</f>
        <v>0</v>
      </c>
      <c r="N307" s="1">
        <f>MIN($H307)</f>
        <v>0</v>
      </c>
      <c r="O307" s="1">
        <f>MEDIAN($B307)</f>
        <v>0</v>
      </c>
      <c r="P307" s="1">
        <f>MEDIAN($C307)</f>
        <v>0</v>
      </c>
      <c r="Q307" s="1">
        <f>MEDIAN($D307)</f>
        <v>0</v>
      </c>
      <c r="R307" s="1">
        <f>MEDIAN($E307)</f>
        <v>0</v>
      </c>
      <c r="S307" s="1">
        <f>MEDIAN($G307)</f>
        <v>0</v>
      </c>
      <c r="T307" s="1">
        <f>MEDIAN($H307)</f>
        <v>0</v>
      </c>
      <c r="U307" s="1">
        <f>MAX($B307)</f>
        <v>0</v>
      </c>
      <c r="V307" s="1">
        <f>MAX($C307)</f>
        <v>0</v>
      </c>
      <c r="W307" s="1">
        <f>MAX($D307)</f>
        <v>0</v>
      </c>
      <c r="X307" s="1">
        <f>MAX($E307)</f>
        <v>0</v>
      </c>
      <c r="Y307" s="1">
        <f>MAX($G307)</f>
        <v>0</v>
      </c>
      <c r="Z307" s="1">
        <f>MAX($H307)</f>
        <v>0</v>
      </c>
    </row>
    <row r="308" spans="1:26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/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>
        <f>MIN($B308)</f>
        <v>0</v>
      </c>
      <c r="J308" s="1">
        <f>MIN($C308)</f>
        <v>0</v>
      </c>
      <c r="K308" s="1">
        <f>MIN($D308)</f>
        <v>0</v>
      </c>
      <c r="L308" s="1">
        <f>MIN($E308)</f>
        <v>0</v>
      </c>
      <c r="M308" s="1">
        <f>MIN($G308)</f>
        <v>0</v>
      </c>
      <c r="N308" s="1">
        <f>MIN($H308)</f>
        <v>0</v>
      </c>
      <c r="O308" s="1">
        <f>MEDIAN($B308)</f>
        <v>0</v>
      </c>
      <c r="P308" s="1">
        <f>MEDIAN($C308)</f>
        <v>0</v>
      </c>
      <c r="Q308" s="1">
        <f>MEDIAN($D308)</f>
        <v>0</v>
      </c>
      <c r="R308" s="1">
        <f>MEDIAN($E308)</f>
        <v>0</v>
      </c>
      <c r="S308" s="1">
        <f>MEDIAN($G308)</f>
        <v>0</v>
      </c>
      <c r="T308" s="1">
        <f>MEDIAN($H308)</f>
        <v>0</v>
      </c>
      <c r="U308" s="1">
        <f>MAX($B308)</f>
        <v>0</v>
      </c>
      <c r="V308" s="1">
        <f>MAX($C308)</f>
        <v>0</v>
      </c>
      <c r="W308" s="1">
        <f>MAX($D308)</f>
        <v>0</v>
      </c>
      <c r="X308" s="1">
        <f>MAX($E308)</f>
        <v>0</v>
      </c>
      <c r="Y308" s="1">
        <f>MAX($G308)</f>
        <v>0</v>
      </c>
      <c r="Z308" s="1">
        <f>MAX($H308)</f>
        <v>0</v>
      </c>
    </row>
    <row r="309" spans="1:26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/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>
        <f>MIN($B309)</f>
        <v>0</v>
      </c>
      <c r="J309" s="1">
        <f>MIN($C309)</f>
        <v>0</v>
      </c>
      <c r="K309" s="1">
        <f>MIN($D309)</f>
        <v>0</v>
      </c>
      <c r="L309" s="1">
        <f>MIN($E309)</f>
        <v>0</v>
      </c>
      <c r="M309" s="1">
        <f>MIN($G309)</f>
        <v>0</v>
      </c>
      <c r="N309" s="1">
        <f>MIN($H309)</f>
        <v>0</v>
      </c>
      <c r="O309" s="1">
        <f>MEDIAN($B309)</f>
        <v>0</v>
      </c>
      <c r="P309" s="1">
        <f>MEDIAN($C309)</f>
        <v>0</v>
      </c>
      <c r="Q309" s="1">
        <f>MEDIAN($D309)</f>
        <v>0</v>
      </c>
      <c r="R309" s="1">
        <f>MEDIAN($E309)</f>
        <v>0</v>
      </c>
      <c r="S309" s="1">
        <f>MEDIAN($G309)</f>
        <v>0</v>
      </c>
      <c r="T309" s="1">
        <f>MEDIAN($H309)</f>
        <v>0</v>
      </c>
      <c r="U309" s="1">
        <f>MAX($B309)</f>
        <v>0</v>
      </c>
      <c r="V309" s="1">
        <f>MAX($C309)</f>
        <v>0</v>
      </c>
      <c r="W309" s="1">
        <f>MAX($D309)</f>
        <v>0</v>
      </c>
      <c r="X309" s="1">
        <f>MAX($E309)</f>
        <v>0</v>
      </c>
      <c r="Y309" s="1">
        <f>MAX($G309)</f>
        <v>0</v>
      </c>
      <c r="Z309" s="1">
        <f>MAX($H309)</f>
        <v>0</v>
      </c>
    </row>
    <row r="310" spans="1:26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/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>
        <f>MIN($B310)</f>
        <v>0</v>
      </c>
      <c r="J310" s="1">
        <f>MIN($C310)</f>
        <v>0</v>
      </c>
      <c r="K310" s="1">
        <f>MIN($D310)</f>
        <v>0</v>
      </c>
      <c r="L310" s="1">
        <f>MIN($E310)</f>
        <v>0</v>
      </c>
      <c r="M310" s="1">
        <f>MIN($G310)</f>
        <v>0</v>
      </c>
      <c r="N310" s="1">
        <f>MIN($H310)</f>
        <v>0</v>
      </c>
      <c r="O310" s="1">
        <f>MEDIAN($B310)</f>
        <v>0</v>
      </c>
      <c r="P310" s="1">
        <f>MEDIAN($C310)</f>
        <v>0</v>
      </c>
      <c r="Q310" s="1">
        <f>MEDIAN($D310)</f>
        <v>0</v>
      </c>
      <c r="R310" s="1">
        <f>MEDIAN($E310)</f>
        <v>0</v>
      </c>
      <c r="S310" s="1">
        <f>MEDIAN($G310)</f>
        <v>0</v>
      </c>
      <c r="T310" s="1">
        <f>MEDIAN($H310)</f>
        <v>0</v>
      </c>
      <c r="U310" s="1">
        <f>MAX($B310)</f>
        <v>0</v>
      </c>
      <c r="V310" s="1">
        <f>MAX($C310)</f>
        <v>0</v>
      </c>
      <c r="W310" s="1">
        <f>MAX($D310)</f>
        <v>0</v>
      </c>
      <c r="X310" s="1">
        <f>MAX($E310)</f>
        <v>0</v>
      </c>
      <c r="Y310" s="1">
        <f>MAX($G310)</f>
        <v>0</v>
      </c>
      <c r="Z310" s="1">
        <f>MAX($H310)</f>
        <v>0</v>
      </c>
    </row>
    <row r="311" spans="1:26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/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>
        <f>MIN($B311)</f>
        <v>0</v>
      </c>
      <c r="J311" s="1">
        <f>MIN($C311)</f>
        <v>0</v>
      </c>
      <c r="K311" s="1">
        <f>MIN($D311)</f>
        <v>0</v>
      </c>
      <c r="L311" s="1">
        <f>MIN($E311)</f>
        <v>0</v>
      </c>
      <c r="M311" s="1">
        <f>MIN($G311)</f>
        <v>0</v>
      </c>
      <c r="N311" s="1">
        <f>MIN($H311)</f>
        <v>0</v>
      </c>
      <c r="O311" s="1">
        <f>MEDIAN($B311)</f>
        <v>0</v>
      </c>
      <c r="P311" s="1">
        <f>MEDIAN($C311)</f>
        <v>0</v>
      </c>
      <c r="Q311" s="1">
        <f>MEDIAN($D311)</f>
        <v>0</v>
      </c>
      <c r="R311" s="1">
        <f>MEDIAN($E311)</f>
        <v>0</v>
      </c>
      <c r="S311" s="1">
        <f>MEDIAN($G311)</f>
        <v>0</v>
      </c>
      <c r="T311" s="1">
        <f>MEDIAN($H311)</f>
        <v>0</v>
      </c>
      <c r="U311" s="1">
        <f>MAX($B311)</f>
        <v>0</v>
      </c>
      <c r="V311" s="1">
        <f>MAX($C311)</f>
        <v>0</v>
      </c>
      <c r="W311" s="1">
        <f>MAX($D311)</f>
        <v>0</v>
      </c>
      <c r="X311" s="1">
        <f>MAX($E311)</f>
        <v>0</v>
      </c>
      <c r="Y311" s="1">
        <f>MAX($G311)</f>
        <v>0</v>
      </c>
      <c r="Z311" s="1">
        <f>MAX($H311)</f>
        <v>0</v>
      </c>
    </row>
    <row r="312" spans="1:26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/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>
        <f>MIN($B312)</f>
        <v>0</v>
      </c>
      <c r="J312" s="1">
        <f>MIN($C312)</f>
        <v>0</v>
      </c>
      <c r="K312" s="1">
        <f>MIN($D312)</f>
        <v>0</v>
      </c>
      <c r="L312" s="1">
        <f>MIN($E312)</f>
        <v>0</v>
      </c>
      <c r="M312" s="1">
        <f>MIN($G312)</f>
        <v>0</v>
      </c>
      <c r="N312" s="1">
        <f>MIN($H312)</f>
        <v>0</v>
      </c>
      <c r="O312" s="1">
        <f>MEDIAN($B312)</f>
        <v>0</v>
      </c>
      <c r="P312" s="1">
        <f>MEDIAN($C312)</f>
        <v>0</v>
      </c>
      <c r="Q312" s="1">
        <f>MEDIAN($D312)</f>
        <v>0</v>
      </c>
      <c r="R312" s="1">
        <f>MEDIAN($E312)</f>
        <v>0</v>
      </c>
      <c r="S312" s="1">
        <f>MEDIAN($G312)</f>
        <v>0</v>
      </c>
      <c r="T312" s="1">
        <f>MEDIAN($H312)</f>
        <v>0</v>
      </c>
      <c r="U312" s="1">
        <f>MAX($B312)</f>
        <v>0</v>
      </c>
      <c r="V312" s="1">
        <f>MAX($C312)</f>
        <v>0</v>
      </c>
      <c r="W312" s="1">
        <f>MAX($D312)</f>
        <v>0</v>
      </c>
      <c r="X312" s="1">
        <f>MAX($E312)</f>
        <v>0</v>
      </c>
      <c r="Y312" s="1">
        <f>MAX($G312)</f>
        <v>0</v>
      </c>
      <c r="Z312" s="1">
        <f>MAX($H312)</f>
        <v>0</v>
      </c>
    </row>
    <row r="313" spans="1:26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/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>
        <f>MIN($B313)</f>
        <v>0</v>
      </c>
      <c r="J313" s="1">
        <f>MIN($C313)</f>
        <v>0</v>
      </c>
      <c r="K313" s="1">
        <f>MIN($D313)</f>
        <v>0</v>
      </c>
      <c r="L313" s="1">
        <f>MIN($E313)</f>
        <v>0</v>
      </c>
      <c r="M313" s="1">
        <f>MIN($G313)</f>
        <v>0</v>
      </c>
      <c r="N313" s="1">
        <f>MIN($H313)</f>
        <v>0</v>
      </c>
      <c r="O313" s="1">
        <f>MEDIAN($B313)</f>
        <v>0</v>
      </c>
      <c r="P313" s="1">
        <f>MEDIAN($C313)</f>
        <v>0</v>
      </c>
      <c r="Q313" s="1">
        <f>MEDIAN($D313)</f>
        <v>0</v>
      </c>
      <c r="R313" s="1">
        <f>MEDIAN($E313)</f>
        <v>0</v>
      </c>
      <c r="S313" s="1">
        <f>MEDIAN($G313)</f>
        <v>0</v>
      </c>
      <c r="T313" s="1">
        <f>MEDIAN($H313)</f>
        <v>0</v>
      </c>
      <c r="U313" s="1">
        <f>MAX($B313)</f>
        <v>0</v>
      </c>
      <c r="V313" s="1">
        <f>MAX($C313)</f>
        <v>0</v>
      </c>
      <c r="W313" s="1">
        <f>MAX($D313)</f>
        <v>0</v>
      </c>
      <c r="X313" s="1">
        <f>MAX($E313)</f>
        <v>0</v>
      </c>
      <c r="Y313" s="1">
        <f>MAX($G313)</f>
        <v>0</v>
      </c>
      <c r="Z313" s="1">
        <f>MAX($H313)</f>
        <v>0</v>
      </c>
    </row>
    <row r="314" spans="1:26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/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>
        <f>MIN($B314)</f>
        <v>0</v>
      </c>
      <c r="J314" s="1">
        <f>MIN($C314)</f>
        <v>0</v>
      </c>
      <c r="K314" s="1">
        <f>MIN($D314)</f>
        <v>0</v>
      </c>
      <c r="L314" s="1">
        <f>MIN($E314)</f>
        <v>0</v>
      </c>
      <c r="M314" s="1">
        <f>MIN($G314)</f>
        <v>0</v>
      </c>
      <c r="N314" s="1">
        <f>MIN($H314)</f>
        <v>0</v>
      </c>
      <c r="O314" s="1">
        <f>MEDIAN($B314)</f>
        <v>0</v>
      </c>
      <c r="P314" s="1">
        <f>MEDIAN($C314)</f>
        <v>0</v>
      </c>
      <c r="Q314" s="1">
        <f>MEDIAN($D314)</f>
        <v>0</v>
      </c>
      <c r="R314" s="1">
        <f>MEDIAN($E314)</f>
        <v>0</v>
      </c>
      <c r="S314" s="1">
        <f>MEDIAN($G314)</f>
        <v>0</v>
      </c>
      <c r="T314" s="1">
        <f>MEDIAN($H314)</f>
        <v>0</v>
      </c>
      <c r="U314" s="1">
        <f>MAX($B314)</f>
        <v>0</v>
      </c>
      <c r="V314" s="1">
        <f>MAX($C314)</f>
        <v>0</v>
      </c>
      <c r="W314" s="1">
        <f>MAX($D314)</f>
        <v>0</v>
      </c>
      <c r="X314" s="1">
        <f>MAX($E314)</f>
        <v>0</v>
      </c>
      <c r="Y314" s="1">
        <f>MAX($G314)</f>
        <v>0</v>
      </c>
      <c r="Z314" s="1">
        <f>MAX($H314)</f>
        <v>0</v>
      </c>
    </row>
    <row r="315" spans="1:26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/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>
        <f>MIN($B315)</f>
        <v>0</v>
      </c>
      <c r="J315" s="1">
        <f>MIN($C315)</f>
        <v>0</v>
      </c>
      <c r="K315" s="1">
        <f>MIN($D315)</f>
        <v>0</v>
      </c>
      <c r="L315" s="1">
        <f>MIN($E315)</f>
        <v>0</v>
      </c>
      <c r="M315" s="1">
        <f>MIN($G315)</f>
        <v>0</v>
      </c>
      <c r="N315" s="1">
        <f>MIN($H315)</f>
        <v>0</v>
      </c>
      <c r="O315" s="1">
        <f>MEDIAN($B315)</f>
        <v>0</v>
      </c>
      <c r="P315" s="1">
        <f>MEDIAN($C315)</f>
        <v>0</v>
      </c>
      <c r="Q315" s="1">
        <f>MEDIAN($D315)</f>
        <v>0</v>
      </c>
      <c r="R315" s="1">
        <f>MEDIAN($E315)</f>
        <v>0</v>
      </c>
      <c r="S315" s="1">
        <f>MEDIAN($G315)</f>
        <v>0</v>
      </c>
      <c r="T315" s="1">
        <f>MEDIAN($H315)</f>
        <v>0</v>
      </c>
      <c r="U315" s="1">
        <f>MAX($B315)</f>
        <v>0</v>
      </c>
      <c r="V315" s="1">
        <f>MAX($C315)</f>
        <v>0</v>
      </c>
      <c r="W315" s="1">
        <f>MAX($D315)</f>
        <v>0</v>
      </c>
      <c r="X315" s="1">
        <f>MAX($E315)</f>
        <v>0</v>
      </c>
      <c r="Y315" s="1">
        <f>MAX($G315)</f>
        <v>0</v>
      </c>
      <c r="Z315" s="1">
        <f>MAX($H315)</f>
        <v>0</v>
      </c>
    </row>
    <row r="316" spans="1:26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/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>
        <f>MIN($B316)</f>
        <v>0</v>
      </c>
      <c r="J316" s="1">
        <f>MIN($C316)</f>
        <v>0</v>
      </c>
      <c r="K316" s="1">
        <f>MIN($D316)</f>
        <v>0</v>
      </c>
      <c r="L316" s="1">
        <f>MIN($E316)</f>
        <v>0</v>
      </c>
      <c r="M316" s="1">
        <f>MIN($G316)</f>
        <v>0</v>
      </c>
      <c r="N316" s="1">
        <f>MIN($H316)</f>
        <v>0</v>
      </c>
      <c r="O316" s="1">
        <f>MEDIAN($B316)</f>
        <v>0</v>
      </c>
      <c r="P316" s="1">
        <f>MEDIAN($C316)</f>
        <v>0</v>
      </c>
      <c r="Q316" s="1">
        <f>MEDIAN($D316)</f>
        <v>0</v>
      </c>
      <c r="R316" s="1">
        <f>MEDIAN($E316)</f>
        <v>0</v>
      </c>
      <c r="S316" s="1">
        <f>MEDIAN($G316)</f>
        <v>0</v>
      </c>
      <c r="T316" s="1">
        <f>MEDIAN($H316)</f>
        <v>0</v>
      </c>
      <c r="U316" s="1">
        <f>MAX($B316)</f>
        <v>0</v>
      </c>
      <c r="V316" s="1">
        <f>MAX($C316)</f>
        <v>0</v>
      </c>
      <c r="W316" s="1">
        <f>MAX($D316)</f>
        <v>0</v>
      </c>
      <c r="X316" s="1">
        <f>MAX($E316)</f>
        <v>0</v>
      </c>
      <c r="Y316" s="1">
        <f>MAX($G316)</f>
        <v>0</v>
      </c>
      <c r="Z316" s="1">
        <f>MAX($H316)</f>
        <v>0</v>
      </c>
    </row>
    <row r="317" spans="1:26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/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>
        <f>MIN($B317)</f>
        <v>0</v>
      </c>
      <c r="J317" s="1">
        <f>MIN($C317)</f>
        <v>0</v>
      </c>
      <c r="K317" s="1">
        <f>MIN($D317)</f>
        <v>0</v>
      </c>
      <c r="L317" s="1">
        <f>MIN($E317)</f>
        <v>0</v>
      </c>
      <c r="M317" s="1">
        <f>MIN($G317)</f>
        <v>0</v>
      </c>
      <c r="N317" s="1">
        <f>MIN($H317)</f>
        <v>0</v>
      </c>
      <c r="O317" s="1">
        <f>MEDIAN($B317)</f>
        <v>0</v>
      </c>
      <c r="P317" s="1">
        <f>MEDIAN($C317)</f>
        <v>0</v>
      </c>
      <c r="Q317" s="1">
        <f>MEDIAN($D317)</f>
        <v>0</v>
      </c>
      <c r="R317" s="1">
        <f>MEDIAN($E317)</f>
        <v>0</v>
      </c>
      <c r="S317" s="1">
        <f>MEDIAN($G317)</f>
        <v>0</v>
      </c>
      <c r="T317" s="1">
        <f>MEDIAN($H317)</f>
        <v>0</v>
      </c>
      <c r="U317" s="1">
        <f>MAX($B317)</f>
        <v>0</v>
      </c>
      <c r="V317" s="1">
        <f>MAX($C317)</f>
        <v>0</v>
      </c>
      <c r="W317" s="1">
        <f>MAX($D317)</f>
        <v>0</v>
      </c>
      <c r="X317" s="1">
        <f>MAX($E317)</f>
        <v>0</v>
      </c>
      <c r="Y317" s="1">
        <f>MAX($G317)</f>
        <v>0</v>
      </c>
      <c r="Z317" s="1">
        <f>MAX($H317)</f>
        <v>0</v>
      </c>
    </row>
    <row r="318" spans="1:26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/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>
        <f>MIN($B318)</f>
        <v>0</v>
      </c>
      <c r="J318" s="1">
        <f>MIN($C318)</f>
        <v>0</v>
      </c>
      <c r="K318" s="1">
        <f>MIN($D318)</f>
        <v>0</v>
      </c>
      <c r="L318" s="1">
        <f>MIN($E318)</f>
        <v>0</v>
      </c>
      <c r="M318" s="1">
        <f>MIN($G318)</f>
        <v>0</v>
      </c>
      <c r="N318" s="1">
        <f>MIN($H318)</f>
        <v>0</v>
      </c>
      <c r="O318" s="1">
        <f>MEDIAN($B318)</f>
        <v>0</v>
      </c>
      <c r="P318" s="1">
        <f>MEDIAN($C318)</f>
        <v>0</v>
      </c>
      <c r="Q318" s="1">
        <f>MEDIAN($D318)</f>
        <v>0</v>
      </c>
      <c r="R318" s="1">
        <f>MEDIAN($E318)</f>
        <v>0</v>
      </c>
      <c r="S318" s="1">
        <f>MEDIAN($G318)</f>
        <v>0</v>
      </c>
      <c r="T318" s="1">
        <f>MEDIAN($H318)</f>
        <v>0</v>
      </c>
      <c r="U318" s="1">
        <f>MAX($B318)</f>
        <v>0</v>
      </c>
      <c r="V318" s="1">
        <f>MAX($C318)</f>
        <v>0</v>
      </c>
      <c r="W318" s="1">
        <f>MAX($D318)</f>
        <v>0</v>
      </c>
      <c r="X318" s="1">
        <f>MAX($E318)</f>
        <v>0</v>
      </c>
      <c r="Y318" s="1">
        <f>MAX($G318)</f>
        <v>0</v>
      </c>
      <c r="Z318" s="1">
        <f>MAX($H318)</f>
        <v>0</v>
      </c>
    </row>
    <row r="319" spans="1:26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/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>
        <f>MIN($B319)</f>
        <v>0</v>
      </c>
      <c r="J319" s="1">
        <f>MIN($C319)</f>
        <v>0</v>
      </c>
      <c r="K319" s="1">
        <f>MIN($D319)</f>
        <v>0</v>
      </c>
      <c r="L319" s="1">
        <f>MIN($E319)</f>
        <v>0</v>
      </c>
      <c r="M319" s="1">
        <f>MIN($G319)</f>
        <v>0</v>
      </c>
      <c r="N319" s="1">
        <f>MIN($H319)</f>
        <v>0</v>
      </c>
      <c r="O319" s="1">
        <f>MEDIAN($B319)</f>
        <v>0</v>
      </c>
      <c r="P319" s="1">
        <f>MEDIAN($C319)</f>
        <v>0</v>
      </c>
      <c r="Q319" s="1">
        <f>MEDIAN($D319)</f>
        <v>0</v>
      </c>
      <c r="R319" s="1">
        <f>MEDIAN($E319)</f>
        <v>0</v>
      </c>
      <c r="S319" s="1">
        <f>MEDIAN($G319)</f>
        <v>0</v>
      </c>
      <c r="T319" s="1">
        <f>MEDIAN($H319)</f>
        <v>0</v>
      </c>
      <c r="U319" s="1">
        <f>MAX($B319)</f>
        <v>0</v>
      </c>
      <c r="V319" s="1">
        <f>MAX($C319)</f>
        <v>0</v>
      </c>
      <c r="W319" s="1">
        <f>MAX($D319)</f>
        <v>0</v>
      </c>
      <c r="X319" s="1">
        <f>MAX($E319)</f>
        <v>0</v>
      </c>
      <c r="Y319" s="1">
        <f>MAX($G319)</f>
        <v>0</v>
      </c>
      <c r="Z319" s="1">
        <f>MAX($H319)</f>
        <v>0</v>
      </c>
    </row>
    <row r="320" spans="1:26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/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>
        <f>MIN($B320)</f>
        <v>0</v>
      </c>
      <c r="J320" s="1">
        <f>MIN($C320)</f>
        <v>0</v>
      </c>
      <c r="K320" s="1">
        <f>MIN($D320)</f>
        <v>0</v>
      </c>
      <c r="L320" s="1">
        <f>MIN($E320)</f>
        <v>0</v>
      </c>
      <c r="M320" s="1">
        <f>MIN($G320)</f>
        <v>0</v>
      </c>
      <c r="N320" s="1">
        <f>MIN($H320)</f>
        <v>0</v>
      </c>
      <c r="O320" s="1">
        <f>MEDIAN($B320)</f>
        <v>0</v>
      </c>
      <c r="P320" s="1">
        <f>MEDIAN($C320)</f>
        <v>0</v>
      </c>
      <c r="Q320" s="1">
        <f>MEDIAN($D320)</f>
        <v>0</v>
      </c>
      <c r="R320" s="1">
        <f>MEDIAN($E320)</f>
        <v>0</v>
      </c>
      <c r="S320" s="1">
        <f>MEDIAN($G320)</f>
        <v>0</v>
      </c>
      <c r="T320" s="1">
        <f>MEDIAN($H320)</f>
        <v>0</v>
      </c>
      <c r="U320" s="1">
        <f>MAX($B320)</f>
        <v>0</v>
      </c>
      <c r="V320" s="1">
        <f>MAX($C320)</f>
        <v>0</v>
      </c>
      <c r="W320" s="1">
        <f>MAX($D320)</f>
        <v>0</v>
      </c>
      <c r="X320" s="1">
        <f>MAX($E320)</f>
        <v>0</v>
      </c>
      <c r="Y320" s="1">
        <f>MAX($G320)</f>
        <v>0</v>
      </c>
      <c r="Z320" s="1">
        <f>MAX($H320)</f>
        <v>0</v>
      </c>
    </row>
    <row r="321" spans="1:26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/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>
        <f>MIN($B321)</f>
        <v>0</v>
      </c>
      <c r="J321" s="1">
        <f>MIN($C321)</f>
        <v>0</v>
      </c>
      <c r="K321" s="1">
        <f>MIN($D321)</f>
        <v>0</v>
      </c>
      <c r="L321" s="1">
        <f>MIN($E321)</f>
        <v>0</v>
      </c>
      <c r="M321" s="1">
        <f>MIN($G321)</f>
        <v>0</v>
      </c>
      <c r="N321" s="1">
        <f>MIN($H321)</f>
        <v>0</v>
      </c>
      <c r="O321" s="1">
        <f>MEDIAN($B321)</f>
        <v>0</v>
      </c>
      <c r="P321" s="1">
        <f>MEDIAN($C321)</f>
        <v>0</v>
      </c>
      <c r="Q321" s="1">
        <f>MEDIAN($D321)</f>
        <v>0</v>
      </c>
      <c r="R321" s="1">
        <f>MEDIAN($E321)</f>
        <v>0</v>
      </c>
      <c r="S321" s="1">
        <f>MEDIAN($G321)</f>
        <v>0</v>
      </c>
      <c r="T321" s="1">
        <f>MEDIAN($H321)</f>
        <v>0</v>
      </c>
      <c r="U321" s="1">
        <f>MAX($B321)</f>
        <v>0</v>
      </c>
      <c r="V321" s="1">
        <f>MAX($C321)</f>
        <v>0</v>
      </c>
      <c r="W321" s="1">
        <f>MAX($D321)</f>
        <v>0</v>
      </c>
      <c r="X321" s="1">
        <f>MAX($E321)</f>
        <v>0</v>
      </c>
      <c r="Y321" s="1">
        <f>MAX($G321)</f>
        <v>0</v>
      </c>
      <c r="Z321" s="1">
        <f>MAX($H321)</f>
        <v>0</v>
      </c>
    </row>
    <row r="322" spans="1:26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/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>
        <f>MIN($B322)</f>
        <v>0</v>
      </c>
      <c r="J322" s="1">
        <f>MIN($C322)</f>
        <v>0</v>
      </c>
      <c r="K322" s="1">
        <f>MIN($D322)</f>
        <v>0</v>
      </c>
      <c r="L322" s="1">
        <f>MIN($E322)</f>
        <v>0</v>
      </c>
      <c r="M322" s="1">
        <f>MIN($G322)</f>
        <v>0</v>
      </c>
      <c r="N322" s="1">
        <f>MIN($H322)</f>
        <v>0</v>
      </c>
      <c r="O322" s="1">
        <f>MEDIAN($B322)</f>
        <v>0</v>
      </c>
      <c r="P322" s="1">
        <f>MEDIAN($C322)</f>
        <v>0</v>
      </c>
      <c r="Q322" s="1">
        <f>MEDIAN($D322)</f>
        <v>0</v>
      </c>
      <c r="R322" s="1">
        <f>MEDIAN($E322)</f>
        <v>0</v>
      </c>
      <c r="S322" s="1">
        <f>MEDIAN($G322)</f>
        <v>0</v>
      </c>
      <c r="T322" s="1">
        <f>MEDIAN($H322)</f>
        <v>0</v>
      </c>
      <c r="U322" s="1">
        <f>MAX($B322)</f>
        <v>0</v>
      </c>
      <c r="V322" s="1">
        <f>MAX($C322)</f>
        <v>0</v>
      </c>
      <c r="W322" s="1">
        <f>MAX($D322)</f>
        <v>0</v>
      </c>
      <c r="X322" s="1">
        <f>MAX($E322)</f>
        <v>0</v>
      </c>
      <c r="Y322" s="1">
        <f>MAX($G322)</f>
        <v>0</v>
      </c>
      <c r="Z322" s="1">
        <f>MAX($H322)</f>
        <v>0</v>
      </c>
    </row>
    <row r="323" spans="1:26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/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>
        <f>MIN($B323)</f>
        <v>0</v>
      </c>
      <c r="J323" s="1">
        <f>MIN($C323)</f>
        <v>0</v>
      </c>
      <c r="K323" s="1">
        <f>MIN($D323)</f>
        <v>0</v>
      </c>
      <c r="L323" s="1">
        <f>MIN($E323)</f>
        <v>0</v>
      </c>
      <c r="M323" s="1">
        <f>MIN($G323)</f>
        <v>0</v>
      </c>
      <c r="N323" s="1">
        <f>MIN($H323)</f>
        <v>0</v>
      </c>
      <c r="O323" s="1">
        <f>MEDIAN($B323)</f>
        <v>0</v>
      </c>
      <c r="P323" s="1">
        <f>MEDIAN($C323)</f>
        <v>0</v>
      </c>
      <c r="Q323" s="1">
        <f>MEDIAN($D323)</f>
        <v>0</v>
      </c>
      <c r="R323" s="1">
        <f>MEDIAN($E323)</f>
        <v>0</v>
      </c>
      <c r="S323" s="1">
        <f>MEDIAN($G323)</f>
        <v>0</v>
      </c>
      <c r="T323" s="1">
        <f>MEDIAN($H323)</f>
        <v>0</v>
      </c>
      <c r="U323" s="1">
        <f>MAX($B323)</f>
        <v>0</v>
      </c>
      <c r="V323" s="1">
        <f>MAX($C323)</f>
        <v>0</v>
      </c>
      <c r="W323" s="1">
        <f>MAX($D323)</f>
        <v>0</v>
      </c>
      <c r="X323" s="1">
        <f>MAX($E323)</f>
        <v>0</v>
      </c>
      <c r="Y323" s="1">
        <f>MAX($G323)</f>
        <v>0</v>
      </c>
      <c r="Z323" s="1">
        <f>MAX($H323)</f>
        <v>0</v>
      </c>
    </row>
    <row r="324" spans="1:26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/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>
        <f>MIN($B324)</f>
        <v>0</v>
      </c>
      <c r="J324" s="1">
        <f>MIN($C324)</f>
        <v>0</v>
      </c>
      <c r="K324" s="1">
        <f>MIN($D324)</f>
        <v>0</v>
      </c>
      <c r="L324" s="1">
        <f>MIN($E324)</f>
        <v>0</v>
      </c>
      <c r="M324" s="1">
        <f>MIN($G324)</f>
        <v>0</v>
      </c>
      <c r="N324" s="1">
        <f>MIN($H324)</f>
        <v>0</v>
      </c>
      <c r="O324" s="1">
        <f>MEDIAN($B324)</f>
        <v>0</v>
      </c>
      <c r="P324" s="1">
        <f>MEDIAN($C324)</f>
        <v>0</v>
      </c>
      <c r="Q324" s="1">
        <f>MEDIAN($D324)</f>
        <v>0</v>
      </c>
      <c r="R324" s="1">
        <f>MEDIAN($E324)</f>
        <v>0</v>
      </c>
      <c r="S324" s="1">
        <f>MEDIAN($G324)</f>
        <v>0</v>
      </c>
      <c r="T324" s="1">
        <f>MEDIAN($H324)</f>
        <v>0</v>
      </c>
      <c r="U324" s="1">
        <f>MAX($B324)</f>
        <v>0</v>
      </c>
      <c r="V324" s="1">
        <f>MAX($C324)</f>
        <v>0</v>
      </c>
      <c r="W324" s="1">
        <f>MAX($D324)</f>
        <v>0</v>
      </c>
      <c r="X324" s="1">
        <f>MAX($E324)</f>
        <v>0</v>
      </c>
      <c r="Y324" s="1">
        <f>MAX($G324)</f>
        <v>0</v>
      </c>
      <c r="Z324" s="1">
        <f>MAX($H324)</f>
        <v>0</v>
      </c>
    </row>
    <row r="325" spans="1:26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/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>
        <f>MIN($B325)</f>
        <v>0</v>
      </c>
      <c r="J325" s="1">
        <f>MIN($C325)</f>
        <v>0</v>
      </c>
      <c r="K325" s="1">
        <f>MIN($D325)</f>
        <v>0</v>
      </c>
      <c r="L325" s="1">
        <f>MIN($E325)</f>
        <v>0</v>
      </c>
      <c r="M325" s="1">
        <f>MIN($G325)</f>
        <v>0</v>
      </c>
      <c r="N325" s="1">
        <f>MIN($H325)</f>
        <v>0</v>
      </c>
      <c r="O325" s="1">
        <f>MEDIAN($B325)</f>
        <v>0</v>
      </c>
      <c r="P325" s="1">
        <f>MEDIAN($C325)</f>
        <v>0</v>
      </c>
      <c r="Q325" s="1">
        <f>MEDIAN($D325)</f>
        <v>0</v>
      </c>
      <c r="R325" s="1">
        <f>MEDIAN($E325)</f>
        <v>0</v>
      </c>
      <c r="S325" s="1">
        <f>MEDIAN($G325)</f>
        <v>0</v>
      </c>
      <c r="T325" s="1">
        <f>MEDIAN($H325)</f>
        <v>0</v>
      </c>
      <c r="U325" s="1">
        <f>MAX($B325)</f>
        <v>0</v>
      </c>
      <c r="V325" s="1">
        <f>MAX($C325)</f>
        <v>0</v>
      </c>
      <c r="W325" s="1">
        <f>MAX($D325)</f>
        <v>0</v>
      </c>
      <c r="X325" s="1">
        <f>MAX($E325)</f>
        <v>0</v>
      </c>
      <c r="Y325" s="1">
        <f>MAX($G325)</f>
        <v>0</v>
      </c>
      <c r="Z325" s="1">
        <f>MAX($H325)</f>
        <v>0</v>
      </c>
    </row>
    <row r="326" spans="1:26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/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>
        <f>MIN($B326)</f>
        <v>0</v>
      </c>
      <c r="J326" s="1">
        <f>MIN($C326)</f>
        <v>0</v>
      </c>
      <c r="K326" s="1">
        <f>MIN($D326)</f>
        <v>0</v>
      </c>
      <c r="L326" s="1">
        <f>MIN($E326)</f>
        <v>0</v>
      </c>
      <c r="M326" s="1">
        <f>MIN($G326)</f>
        <v>0</v>
      </c>
      <c r="N326" s="1">
        <f>MIN($H326)</f>
        <v>0</v>
      </c>
      <c r="O326" s="1">
        <f>MEDIAN($B326)</f>
        <v>0</v>
      </c>
      <c r="P326" s="1">
        <f>MEDIAN($C326)</f>
        <v>0</v>
      </c>
      <c r="Q326" s="1">
        <f>MEDIAN($D326)</f>
        <v>0</v>
      </c>
      <c r="R326" s="1">
        <f>MEDIAN($E326)</f>
        <v>0</v>
      </c>
      <c r="S326" s="1">
        <f>MEDIAN($G326)</f>
        <v>0</v>
      </c>
      <c r="T326" s="1">
        <f>MEDIAN($H326)</f>
        <v>0</v>
      </c>
      <c r="U326" s="1">
        <f>MAX($B326)</f>
        <v>0</v>
      </c>
      <c r="V326" s="1">
        <f>MAX($C326)</f>
        <v>0</v>
      </c>
      <c r="W326" s="1">
        <f>MAX($D326)</f>
        <v>0</v>
      </c>
      <c r="X326" s="1">
        <f>MAX($E326)</f>
        <v>0</v>
      </c>
      <c r="Y326" s="1">
        <f>MAX($G326)</f>
        <v>0</v>
      </c>
      <c r="Z326" s="1">
        <f>MAX($H326)</f>
        <v>0</v>
      </c>
    </row>
    <row r="327" spans="1:26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/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>
        <f>MIN($B327)</f>
        <v>0</v>
      </c>
      <c r="J327" s="1">
        <f>MIN($C327)</f>
        <v>0</v>
      </c>
      <c r="K327" s="1">
        <f>MIN($D327)</f>
        <v>0</v>
      </c>
      <c r="L327" s="1">
        <f>MIN($E327)</f>
        <v>0</v>
      </c>
      <c r="M327" s="1">
        <f>MIN($G327)</f>
        <v>0</v>
      </c>
      <c r="N327" s="1">
        <f>MIN($H327)</f>
        <v>0</v>
      </c>
      <c r="O327" s="1">
        <f>MEDIAN($B327)</f>
        <v>0</v>
      </c>
      <c r="P327" s="1">
        <f>MEDIAN($C327)</f>
        <v>0</v>
      </c>
      <c r="Q327" s="1">
        <f>MEDIAN($D327)</f>
        <v>0</v>
      </c>
      <c r="R327" s="1">
        <f>MEDIAN($E327)</f>
        <v>0</v>
      </c>
      <c r="S327" s="1">
        <f>MEDIAN($G327)</f>
        <v>0</v>
      </c>
      <c r="T327" s="1">
        <f>MEDIAN($H327)</f>
        <v>0</v>
      </c>
      <c r="U327" s="1">
        <f>MAX($B327)</f>
        <v>0</v>
      </c>
      <c r="V327" s="1">
        <f>MAX($C327)</f>
        <v>0</v>
      </c>
      <c r="W327" s="1">
        <f>MAX($D327)</f>
        <v>0</v>
      </c>
      <c r="X327" s="1">
        <f>MAX($E327)</f>
        <v>0</v>
      </c>
      <c r="Y327" s="1">
        <f>MAX($G327)</f>
        <v>0</v>
      </c>
      <c r="Z327" s="1">
        <f>MAX($H327)</f>
        <v>0</v>
      </c>
    </row>
    <row r="328" spans="1:26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/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>
        <f>MIN($B328)</f>
        <v>0</v>
      </c>
      <c r="J328" s="1">
        <f>MIN($C328)</f>
        <v>0</v>
      </c>
      <c r="K328" s="1">
        <f>MIN($D328)</f>
        <v>0</v>
      </c>
      <c r="L328" s="1">
        <f>MIN($E328)</f>
        <v>0</v>
      </c>
      <c r="M328" s="1">
        <f>MIN($G328)</f>
        <v>0</v>
      </c>
      <c r="N328" s="1">
        <f>MIN($H328)</f>
        <v>0</v>
      </c>
      <c r="O328" s="1">
        <f>MEDIAN($B328)</f>
        <v>0</v>
      </c>
      <c r="P328" s="1">
        <f>MEDIAN($C328)</f>
        <v>0</v>
      </c>
      <c r="Q328" s="1">
        <f>MEDIAN($D328)</f>
        <v>0</v>
      </c>
      <c r="R328" s="1">
        <f>MEDIAN($E328)</f>
        <v>0</v>
      </c>
      <c r="S328" s="1">
        <f>MEDIAN($G328)</f>
        <v>0</v>
      </c>
      <c r="T328" s="1">
        <f>MEDIAN($H328)</f>
        <v>0</v>
      </c>
      <c r="U328" s="1">
        <f>MAX($B328)</f>
        <v>0</v>
      </c>
      <c r="V328" s="1">
        <f>MAX($C328)</f>
        <v>0</v>
      </c>
      <c r="W328" s="1">
        <f>MAX($D328)</f>
        <v>0</v>
      </c>
      <c r="X328" s="1">
        <f>MAX($E328)</f>
        <v>0</v>
      </c>
      <c r="Y328" s="1">
        <f>MAX($G328)</f>
        <v>0</v>
      </c>
      <c r="Z328" s="1">
        <f>MAX($H328)</f>
        <v>0</v>
      </c>
    </row>
    <row r="329" spans="1:26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/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>
        <f>MIN($B329)</f>
        <v>0</v>
      </c>
      <c r="J329" s="1">
        <f>MIN($C329)</f>
        <v>0</v>
      </c>
      <c r="K329" s="1">
        <f>MIN($D329)</f>
        <v>0</v>
      </c>
      <c r="L329" s="1">
        <f>MIN($E329)</f>
        <v>0</v>
      </c>
      <c r="M329" s="1">
        <f>MIN($G329)</f>
        <v>0</v>
      </c>
      <c r="N329" s="1">
        <f>MIN($H329)</f>
        <v>0</v>
      </c>
      <c r="O329" s="1">
        <f>MEDIAN($B329)</f>
        <v>0</v>
      </c>
      <c r="P329" s="1">
        <f>MEDIAN($C329)</f>
        <v>0</v>
      </c>
      <c r="Q329" s="1">
        <f>MEDIAN($D329)</f>
        <v>0</v>
      </c>
      <c r="R329" s="1">
        <f>MEDIAN($E329)</f>
        <v>0</v>
      </c>
      <c r="S329" s="1">
        <f>MEDIAN($G329)</f>
        <v>0</v>
      </c>
      <c r="T329" s="1">
        <f>MEDIAN($H329)</f>
        <v>0</v>
      </c>
      <c r="U329" s="1">
        <f>MAX($B329)</f>
        <v>0</v>
      </c>
      <c r="V329" s="1">
        <f>MAX($C329)</f>
        <v>0</v>
      </c>
      <c r="W329" s="1">
        <f>MAX($D329)</f>
        <v>0</v>
      </c>
      <c r="X329" s="1">
        <f>MAX($E329)</f>
        <v>0</v>
      </c>
      <c r="Y329" s="1">
        <f>MAX($G329)</f>
        <v>0</v>
      </c>
      <c r="Z329" s="1">
        <f>MAX($H329)</f>
        <v>0</v>
      </c>
    </row>
    <row r="330" spans="1:26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/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>
        <f>MIN($B330)</f>
        <v>0</v>
      </c>
      <c r="J330" s="1">
        <f>MIN($C330)</f>
        <v>0</v>
      </c>
      <c r="K330" s="1">
        <f>MIN($D330)</f>
        <v>0</v>
      </c>
      <c r="L330" s="1">
        <f>MIN($E330)</f>
        <v>0</v>
      </c>
      <c r="M330" s="1">
        <f>MIN($G330)</f>
        <v>0</v>
      </c>
      <c r="N330" s="1">
        <f>MIN($H330)</f>
        <v>0</v>
      </c>
      <c r="O330" s="1">
        <f>MEDIAN($B330)</f>
        <v>0</v>
      </c>
      <c r="P330" s="1">
        <f>MEDIAN($C330)</f>
        <v>0</v>
      </c>
      <c r="Q330" s="1">
        <f>MEDIAN($D330)</f>
        <v>0</v>
      </c>
      <c r="R330" s="1">
        <f>MEDIAN($E330)</f>
        <v>0</v>
      </c>
      <c r="S330" s="1">
        <f>MEDIAN($G330)</f>
        <v>0</v>
      </c>
      <c r="T330" s="1">
        <f>MEDIAN($H330)</f>
        <v>0</v>
      </c>
      <c r="U330" s="1">
        <f>MAX($B330)</f>
        <v>0</v>
      </c>
      <c r="V330" s="1">
        <f>MAX($C330)</f>
        <v>0</v>
      </c>
      <c r="W330" s="1">
        <f>MAX($D330)</f>
        <v>0</v>
      </c>
      <c r="X330" s="1">
        <f>MAX($E330)</f>
        <v>0</v>
      </c>
      <c r="Y330" s="1">
        <f>MAX($G330)</f>
        <v>0</v>
      </c>
      <c r="Z330" s="1">
        <f>MAX($H330)</f>
        <v>0</v>
      </c>
    </row>
    <row r="331" spans="1:26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/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>
        <f>MIN($B331)</f>
        <v>0</v>
      </c>
      <c r="J331" s="1">
        <f>MIN($C331)</f>
        <v>0</v>
      </c>
      <c r="K331" s="1">
        <f>MIN($D331)</f>
        <v>0</v>
      </c>
      <c r="L331" s="1">
        <f>MIN($E331)</f>
        <v>0</v>
      </c>
      <c r="M331" s="1">
        <f>MIN($G331)</f>
        <v>0</v>
      </c>
      <c r="N331" s="1">
        <f>MIN($H331)</f>
        <v>0</v>
      </c>
      <c r="O331" s="1">
        <f>MEDIAN($B331)</f>
        <v>0</v>
      </c>
      <c r="P331" s="1">
        <f>MEDIAN($C331)</f>
        <v>0</v>
      </c>
      <c r="Q331" s="1">
        <f>MEDIAN($D331)</f>
        <v>0</v>
      </c>
      <c r="R331" s="1">
        <f>MEDIAN($E331)</f>
        <v>0</v>
      </c>
      <c r="S331" s="1">
        <f>MEDIAN($G331)</f>
        <v>0</v>
      </c>
      <c r="T331" s="1">
        <f>MEDIAN($H331)</f>
        <v>0</v>
      </c>
      <c r="U331" s="1">
        <f>MAX($B331)</f>
        <v>0</v>
      </c>
      <c r="V331" s="1">
        <f>MAX($C331)</f>
        <v>0</v>
      </c>
      <c r="W331" s="1">
        <f>MAX($D331)</f>
        <v>0</v>
      </c>
      <c r="X331" s="1">
        <f>MAX($E331)</f>
        <v>0</v>
      </c>
      <c r="Y331" s="1">
        <f>MAX($G331)</f>
        <v>0</v>
      </c>
      <c r="Z331" s="1">
        <f>MAX($H331)</f>
        <v>0</v>
      </c>
    </row>
    <row r="332" spans="1:26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/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>
        <f>MIN($B332)</f>
        <v>0</v>
      </c>
      <c r="J332" s="1">
        <f>MIN($C332)</f>
        <v>0</v>
      </c>
      <c r="K332" s="1">
        <f>MIN($D332)</f>
        <v>0</v>
      </c>
      <c r="L332" s="1">
        <f>MIN($E332)</f>
        <v>0</v>
      </c>
      <c r="M332" s="1">
        <f>MIN($G332)</f>
        <v>0</v>
      </c>
      <c r="N332" s="1">
        <f>MIN($H332)</f>
        <v>0</v>
      </c>
      <c r="O332" s="1">
        <f>MEDIAN($B332)</f>
        <v>0</v>
      </c>
      <c r="P332" s="1">
        <f>MEDIAN($C332)</f>
        <v>0</v>
      </c>
      <c r="Q332" s="1">
        <f>MEDIAN($D332)</f>
        <v>0</v>
      </c>
      <c r="R332" s="1">
        <f>MEDIAN($E332)</f>
        <v>0</v>
      </c>
      <c r="S332" s="1">
        <f>MEDIAN($G332)</f>
        <v>0</v>
      </c>
      <c r="T332" s="1">
        <f>MEDIAN($H332)</f>
        <v>0</v>
      </c>
      <c r="U332" s="1">
        <f>MAX($B332)</f>
        <v>0</v>
      </c>
      <c r="V332" s="1">
        <f>MAX($C332)</f>
        <v>0</v>
      </c>
      <c r="W332" s="1">
        <f>MAX($D332)</f>
        <v>0</v>
      </c>
      <c r="X332" s="1">
        <f>MAX($E332)</f>
        <v>0</v>
      </c>
      <c r="Y332" s="1">
        <f>MAX($G332)</f>
        <v>0</v>
      </c>
      <c r="Z332" s="1">
        <f>MAX($H332)</f>
        <v>0</v>
      </c>
    </row>
    <row r="333" spans="1:26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/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>
        <f>MIN($B333)</f>
        <v>0</v>
      </c>
      <c r="J333" s="1">
        <f>MIN($C333)</f>
        <v>0</v>
      </c>
      <c r="K333" s="1">
        <f>MIN($D333)</f>
        <v>0</v>
      </c>
      <c r="L333" s="1">
        <f>MIN($E333)</f>
        <v>0</v>
      </c>
      <c r="M333" s="1">
        <f>MIN($G333)</f>
        <v>0</v>
      </c>
      <c r="N333" s="1">
        <f>MIN($H333)</f>
        <v>0</v>
      </c>
      <c r="O333" s="1">
        <f>MEDIAN($B333)</f>
        <v>0</v>
      </c>
      <c r="P333" s="1">
        <f>MEDIAN($C333)</f>
        <v>0</v>
      </c>
      <c r="Q333" s="1">
        <f>MEDIAN($D333)</f>
        <v>0</v>
      </c>
      <c r="R333" s="1">
        <f>MEDIAN($E333)</f>
        <v>0</v>
      </c>
      <c r="S333" s="1">
        <f>MEDIAN($G333)</f>
        <v>0</v>
      </c>
      <c r="T333" s="1">
        <f>MEDIAN($H333)</f>
        <v>0</v>
      </c>
      <c r="U333" s="1">
        <f>MAX($B333)</f>
        <v>0</v>
      </c>
      <c r="V333" s="1">
        <f>MAX($C333)</f>
        <v>0</v>
      </c>
      <c r="W333" s="1">
        <f>MAX($D333)</f>
        <v>0</v>
      </c>
      <c r="X333" s="1">
        <f>MAX($E333)</f>
        <v>0</v>
      </c>
      <c r="Y333" s="1">
        <f>MAX($G333)</f>
        <v>0</v>
      </c>
      <c r="Z333" s="1">
        <f>MAX($H333)</f>
        <v>0</v>
      </c>
    </row>
    <row r="334" spans="1:26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/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>
        <f>MIN($B334)</f>
        <v>0</v>
      </c>
      <c r="J334" s="1">
        <f>MIN($C334)</f>
        <v>0</v>
      </c>
      <c r="K334" s="1">
        <f>MIN($D334)</f>
        <v>0</v>
      </c>
      <c r="L334" s="1">
        <f>MIN($E334)</f>
        <v>0</v>
      </c>
      <c r="M334" s="1">
        <f>MIN($G334)</f>
        <v>0</v>
      </c>
      <c r="N334" s="1">
        <f>MIN($H334)</f>
        <v>0</v>
      </c>
      <c r="O334" s="1">
        <f>MEDIAN($B334)</f>
        <v>0</v>
      </c>
      <c r="P334" s="1">
        <f>MEDIAN($C334)</f>
        <v>0</v>
      </c>
      <c r="Q334" s="1">
        <f>MEDIAN($D334)</f>
        <v>0</v>
      </c>
      <c r="R334" s="1">
        <f>MEDIAN($E334)</f>
        <v>0</v>
      </c>
      <c r="S334" s="1">
        <f>MEDIAN($G334)</f>
        <v>0</v>
      </c>
      <c r="T334" s="1">
        <f>MEDIAN($H334)</f>
        <v>0</v>
      </c>
      <c r="U334" s="1">
        <f>MAX($B334)</f>
        <v>0</v>
      </c>
      <c r="V334" s="1">
        <f>MAX($C334)</f>
        <v>0</v>
      </c>
      <c r="W334" s="1">
        <f>MAX($D334)</f>
        <v>0</v>
      </c>
      <c r="X334" s="1">
        <f>MAX($E334)</f>
        <v>0</v>
      </c>
      <c r="Y334" s="1">
        <f>MAX($G334)</f>
        <v>0</v>
      </c>
      <c r="Z334" s="1">
        <f>MAX($H334)</f>
        <v>0</v>
      </c>
    </row>
    <row r="335" spans="1:26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/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>
        <f>MIN($B335)</f>
        <v>0</v>
      </c>
      <c r="J335" s="1">
        <f>MIN($C335)</f>
        <v>0</v>
      </c>
      <c r="K335" s="1">
        <f>MIN($D335)</f>
        <v>0</v>
      </c>
      <c r="L335" s="1">
        <f>MIN($E335)</f>
        <v>0</v>
      </c>
      <c r="M335" s="1">
        <f>MIN($G335)</f>
        <v>0</v>
      </c>
      <c r="N335" s="1">
        <f>MIN($H335)</f>
        <v>0</v>
      </c>
      <c r="O335" s="1">
        <f>MEDIAN($B335)</f>
        <v>0</v>
      </c>
      <c r="P335" s="1">
        <f>MEDIAN($C335)</f>
        <v>0</v>
      </c>
      <c r="Q335" s="1">
        <f>MEDIAN($D335)</f>
        <v>0</v>
      </c>
      <c r="R335" s="1">
        <f>MEDIAN($E335)</f>
        <v>0</v>
      </c>
      <c r="S335" s="1">
        <f>MEDIAN($G335)</f>
        <v>0</v>
      </c>
      <c r="T335" s="1">
        <f>MEDIAN($H335)</f>
        <v>0</v>
      </c>
      <c r="U335" s="1">
        <f>MAX($B335)</f>
        <v>0</v>
      </c>
      <c r="V335" s="1">
        <f>MAX($C335)</f>
        <v>0</v>
      </c>
      <c r="W335" s="1">
        <f>MAX($D335)</f>
        <v>0</v>
      </c>
      <c r="X335" s="1">
        <f>MAX($E335)</f>
        <v>0</v>
      </c>
      <c r="Y335" s="1">
        <f>MAX($G335)</f>
        <v>0</v>
      </c>
      <c r="Z335" s="1">
        <f>MAX($H335)</f>
        <v>0</v>
      </c>
    </row>
    <row r="336" spans="1:26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/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>
        <f>MIN($B336)</f>
        <v>0</v>
      </c>
      <c r="J336" s="1">
        <f>MIN($C336)</f>
        <v>0</v>
      </c>
      <c r="K336" s="1">
        <f>MIN($D336)</f>
        <v>0</v>
      </c>
      <c r="L336" s="1">
        <f>MIN($E336)</f>
        <v>0</v>
      </c>
      <c r="M336" s="1">
        <f>MIN($G336)</f>
        <v>0</v>
      </c>
      <c r="N336" s="1">
        <f>MIN($H336)</f>
        <v>0</v>
      </c>
      <c r="O336" s="1">
        <f>MEDIAN($B336)</f>
        <v>0</v>
      </c>
      <c r="P336" s="1">
        <f>MEDIAN($C336)</f>
        <v>0</v>
      </c>
      <c r="Q336" s="1">
        <f>MEDIAN($D336)</f>
        <v>0</v>
      </c>
      <c r="R336" s="1">
        <f>MEDIAN($E336)</f>
        <v>0</v>
      </c>
      <c r="S336" s="1">
        <f>MEDIAN($G336)</f>
        <v>0</v>
      </c>
      <c r="T336" s="1">
        <f>MEDIAN($H336)</f>
        <v>0</v>
      </c>
      <c r="U336" s="1">
        <f>MAX($B336)</f>
        <v>0</v>
      </c>
      <c r="V336" s="1">
        <f>MAX($C336)</f>
        <v>0</v>
      </c>
      <c r="W336" s="1">
        <f>MAX($D336)</f>
        <v>0</v>
      </c>
      <c r="X336" s="1">
        <f>MAX($E336)</f>
        <v>0</v>
      </c>
      <c r="Y336" s="1">
        <f>MAX($G336)</f>
        <v>0</v>
      </c>
      <c r="Z336" s="1">
        <f>MAX($H336)</f>
        <v>0</v>
      </c>
    </row>
    <row r="337" spans="1:26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/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>
        <f>MIN($B337)</f>
        <v>0</v>
      </c>
      <c r="J337" s="1">
        <f>MIN($C337)</f>
        <v>0</v>
      </c>
      <c r="K337" s="1">
        <f>MIN($D337)</f>
        <v>0</v>
      </c>
      <c r="L337" s="1">
        <f>MIN($E337)</f>
        <v>0</v>
      </c>
      <c r="M337" s="1">
        <f>MIN($G337)</f>
        <v>0</v>
      </c>
      <c r="N337" s="1">
        <f>MIN($H337)</f>
        <v>0</v>
      </c>
      <c r="O337" s="1">
        <f>MEDIAN($B337)</f>
        <v>0</v>
      </c>
      <c r="P337" s="1">
        <f>MEDIAN($C337)</f>
        <v>0</v>
      </c>
      <c r="Q337" s="1">
        <f>MEDIAN($D337)</f>
        <v>0</v>
      </c>
      <c r="R337" s="1">
        <f>MEDIAN($E337)</f>
        <v>0</v>
      </c>
      <c r="S337" s="1">
        <f>MEDIAN($G337)</f>
        <v>0</v>
      </c>
      <c r="T337" s="1">
        <f>MEDIAN($H337)</f>
        <v>0</v>
      </c>
      <c r="U337" s="1">
        <f>MAX($B337)</f>
        <v>0</v>
      </c>
      <c r="V337" s="1">
        <f>MAX($C337)</f>
        <v>0</v>
      </c>
      <c r="W337" s="1">
        <f>MAX($D337)</f>
        <v>0</v>
      </c>
      <c r="X337" s="1">
        <f>MAX($E337)</f>
        <v>0</v>
      </c>
      <c r="Y337" s="1">
        <f>MAX($G337)</f>
        <v>0</v>
      </c>
      <c r="Z337" s="1">
        <f>MAX($H337)</f>
        <v>0</v>
      </c>
    </row>
    <row r="338" spans="1:26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/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>
        <f>MIN($B338)</f>
        <v>0</v>
      </c>
      <c r="J338" s="1">
        <f>MIN($C338)</f>
        <v>0</v>
      </c>
      <c r="K338" s="1">
        <f>MIN($D338)</f>
        <v>0</v>
      </c>
      <c r="L338" s="1">
        <f>MIN($E338)</f>
        <v>0</v>
      </c>
      <c r="M338" s="1">
        <f>MIN($G338)</f>
        <v>0</v>
      </c>
      <c r="N338" s="1">
        <f>MIN($H338)</f>
        <v>0</v>
      </c>
      <c r="O338" s="1">
        <f>MEDIAN($B338)</f>
        <v>0</v>
      </c>
      <c r="P338" s="1">
        <f>MEDIAN($C338)</f>
        <v>0</v>
      </c>
      <c r="Q338" s="1">
        <f>MEDIAN($D338)</f>
        <v>0</v>
      </c>
      <c r="R338" s="1">
        <f>MEDIAN($E338)</f>
        <v>0</v>
      </c>
      <c r="S338" s="1">
        <f>MEDIAN($G338)</f>
        <v>0</v>
      </c>
      <c r="T338" s="1">
        <f>MEDIAN($H338)</f>
        <v>0</v>
      </c>
      <c r="U338" s="1">
        <f>MAX($B338)</f>
        <v>0</v>
      </c>
      <c r="V338" s="1">
        <f>MAX($C338)</f>
        <v>0</v>
      </c>
      <c r="W338" s="1">
        <f>MAX($D338)</f>
        <v>0</v>
      </c>
      <c r="X338" s="1">
        <f>MAX($E338)</f>
        <v>0</v>
      </c>
      <c r="Y338" s="1">
        <f>MAX($G338)</f>
        <v>0</v>
      </c>
      <c r="Z338" s="1">
        <f>MAX($H338)</f>
        <v>0</v>
      </c>
    </row>
    <row r="339" spans="1:26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/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>
        <f>MIN($B339)</f>
        <v>0</v>
      </c>
      <c r="J339" s="1">
        <f>MIN($C339)</f>
        <v>0</v>
      </c>
      <c r="K339" s="1">
        <f>MIN($D339)</f>
        <v>0</v>
      </c>
      <c r="L339" s="1">
        <f>MIN($E339)</f>
        <v>0</v>
      </c>
      <c r="M339" s="1">
        <f>MIN($G339)</f>
        <v>0</v>
      </c>
      <c r="N339" s="1">
        <f>MIN($H339)</f>
        <v>0</v>
      </c>
      <c r="O339" s="1">
        <f>MEDIAN($B339)</f>
        <v>0</v>
      </c>
      <c r="P339" s="1">
        <f>MEDIAN($C339)</f>
        <v>0</v>
      </c>
      <c r="Q339" s="1">
        <f>MEDIAN($D339)</f>
        <v>0</v>
      </c>
      <c r="R339" s="1">
        <f>MEDIAN($E339)</f>
        <v>0</v>
      </c>
      <c r="S339" s="1">
        <f>MEDIAN($G339)</f>
        <v>0</v>
      </c>
      <c r="T339" s="1">
        <f>MEDIAN($H339)</f>
        <v>0</v>
      </c>
      <c r="U339" s="1">
        <f>MAX($B339)</f>
        <v>0</v>
      </c>
      <c r="V339" s="1">
        <f>MAX($C339)</f>
        <v>0</v>
      </c>
      <c r="W339" s="1">
        <f>MAX($D339)</f>
        <v>0</v>
      </c>
      <c r="X339" s="1">
        <f>MAX($E339)</f>
        <v>0</v>
      </c>
      <c r="Y339" s="1">
        <f>MAX($G339)</f>
        <v>0</v>
      </c>
      <c r="Z339" s="1">
        <f>MAX($H339)</f>
        <v>0</v>
      </c>
    </row>
    <row r="340" spans="1:26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/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>
        <f>MIN($B340)</f>
        <v>0</v>
      </c>
      <c r="J340" s="1">
        <f>MIN($C340)</f>
        <v>0</v>
      </c>
      <c r="K340" s="1">
        <f>MIN($D340)</f>
        <v>0</v>
      </c>
      <c r="L340" s="1">
        <f>MIN($E340)</f>
        <v>0</v>
      </c>
      <c r="M340" s="1">
        <f>MIN($G340)</f>
        <v>0</v>
      </c>
      <c r="N340" s="1">
        <f>MIN($H340)</f>
        <v>0</v>
      </c>
      <c r="O340" s="1">
        <f>MEDIAN($B340)</f>
        <v>0</v>
      </c>
      <c r="P340" s="1">
        <f>MEDIAN($C340)</f>
        <v>0</v>
      </c>
      <c r="Q340" s="1">
        <f>MEDIAN($D340)</f>
        <v>0</v>
      </c>
      <c r="R340" s="1">
        <f>MEDIAN($E340)</f>
        <v>0</v>
      </c>
      <c r="S340" s="1">
        <f>MEDIAN($G340)</f>
        <v>0</v>
      </c>
      <c r="T340" s="1">
        <f>MEDIAN($H340)</f>
        <v>0</v>
      </c>
      <c r="U340" s="1">
        <f>MAX($B340)</f>
        <v>0</v>
      </c>
      <c r="V340" s="1">
        <f>MAX($C340)</f>
        <v>0</v>
      </c>
      <c r="W340" s="1">
        <f>MAX($D340)</f>
        <v>0</v>
      </c>
      <c r="X340" s="1">
        <f>MAX($E340)</f>
        <v>0</v>
      </c>
      <c r="Y340" s="1">
        <f>MAX($G340)</f>
        <v>0</v>
      </c>
      <c r="Z340" s="1">
        <f>MAX($H340)</f>
        <v>0</v>
      </c>
    </row>
    <row r="341" spans="1:26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/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>
        <f>MIN($B341)</f>
        <v>0</v>
      </c>
      <c r="J341" s="1">
        <f>MIN($C341)</f>
        <v>0</v>
      </c>
      <c r="K341" s="1">
        <f>MIN($D341)</f>
        <v>0</v>
      </c>
      <c r="L341" s="1">
        <f>MIN($E341)</f>
        <v>0</v>
      </c>
      <c r="M341" s="1">
        <f>MIN($G341)</f>
        <v>0</v>
      </c>
      <c r="N341" s="1">
        <f>MIN($H341)</f>
        <v>0</v>
      </c>
      <c r="O341" s="1">
        <f>MEDIAN($B341)</f>
        <v>0</v>
      </c>
      <c r="P341" s="1">
        <f>MEDIAN($C341)</f>
        <v>0</v>
      </c>
      <c r="Q341" s="1">
        <f>MEDIAN($D341)</f>
        <v>0</v>
      </c>
      <c r="R341" s="1">
        <f>MEDIAN($E341)</f>
        <v>0</v>
      </c>
      <c r="S341" s="1">
        <f>MEDIAN($G341)</f>
        <v>0</v>
      </c>
      <c r="T341" s="1">
        <f>MEDIAN($H341)</f>
        <v>0</v>
      </c>
      <c r="U341" s="1">
        <f>MAX($B341)</f>
        <v>0</v>
      </c>
      <c r="V341" s="1">
        <f>MAX($C341)</f>
        <v>0</v>
      </c>
      <c r="W341" s="1">
        <f>MAX($D341)</f>
        <v>0</v>
      </c>
      <c r="X341" s="1">
        <f>MAX($E341)</f>
        <v>0</v>
      </c>
      <c r="Y341" s="1">
        <f>MAX($G341)</f>
        <v>0</v>
      </c>
      <c r="Z341" s="1">
        <f>MAX($H341)</f>
        <v>0</v>
      </c>
    </row>
    <row r="342" spans="1:26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/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>
        <f>MIN($B342)</f>
        <v>0</v>
      </c>
      <c r="J342" s="1">
        <f>MIN($C342)</f>
        <v>0</v>
      </c>
      <c r="K342" s="1">
        <f>MIN($D342)</f>
        <v>0</v>
      </c>
      <c r="L342" s="1">
        <f>MIN($E342)</f>
        <v>0</v>
      </c>
      <c r="M342" s="1">
        <f>MIN($G342)</f>
        <v>0</v>
      </c>
      <c r="N342" s="1">
        <f>MIN($H342)</f>
        <v>0</v>
      </c>
      <c r="O342" s="1">
        <f>MEDIAN($B342)</f>
        <v>0</v>
      </c>
      <c r="P342" s="1">
        <f>MEDIAN($C342)</f>
        <v>0</v>
      </c>
      <c r="Q342" s="1">
        <f>MEDIAN($D342)</f>
        <v>0</v>
      </c>
      <c r="R342" s="1">
        <f>MEDIAN($E342)</f>
        <v>0</v>
      </c>
      <c r="S342" s="1">
        <f>MEDIAN($G342)</f>
        <v>0</v>
      </c>
      <c r="T342" s="1">
        <f>MEDIAN($H342)</f>
        <v>0</v>
      </c>
      <c r="U342" s="1">
        <f>MAX($B342)</f>
        <v>0</v>
      </c>
      <c r="V342" s="1">
        <f>MAX($C342)</f>
        <v>0</v>
      </c>
      <c r="W342" s="1">
        <f>MAX($D342)</f>
        <v>0</v>
      </c>
      <c r="X342" s="1">
        <f>MAX($E342)</f>
        <v>0</v>
      </c>
      <c r="Y342" s="1">
        <f>MAX($G342)</f>
        <v>0</v>
      </c>
      <c r="Z342" s="1">
        <f>MAX($H342)</f>
        <v>0</v>
      </c>
    </row>
    <row r="343" spans="1:26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/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>
        <f>MIN($B343)</f>
        <v>0</v>
      </c>
      <c r="J343" s="1">
        <f>MIN($C343)</f>
        <v>0</v>
      </c>
      <c r="K343" s="1">
        <f>MIN($D343)</f>
        <v>0</v>
      </c>
      <c r="L343" s="1">
        <f>MIN($E343)</f>
        <v>0</v>
      </c>
      <c r="M343" s="1">
        <f>MIN($G343)</f>
        <v>0</v>
      </c>
      <c r="N343" s="1">
        <f>MIN($H343)</f>
        <v>0</v>
      </c>
      <c r="O343" s="1">
        <f>MEDIAN($B343)</f>
        <v>0</v>
      </c>
      <c r="P343" s="1">
        <f>MEDIAN($C343)</f>
        <v>0</v>
      </c>
      <c r="Q343" s="1">
        <f>MEDIAN($D343)</f>
        <v>0</v>
      </c>
      <c r="R343" s="1">
        <f>MEDIAN($E343)</f>
        <v>0</v>
      </c>
      <c r="S343" s="1">
        <f>MEDIAN($G343)</f>
        <v>0</v>
      </c>
      <c r="T343" s="1">
        <f>MEDIAN($H343)</f>
        <v>0</v>
      </c>
      <c r="U343" s="1">
        <f>MAX($B343)</f>
        <v>0</v>
      </c>
      <c r="V343" s="1">
        <f>MAX($C343)</f>
        <v>0</v>
      </c>
      <c r="W343" s="1">
        <f>MAX($D343)</f>
        <v>0</v>
      </c>
      <c r="X343" s="1">
        <f>MAX($E343)</f>
        <v>0</v>
      </c>
      <c r="Y343" s="1">
        <f>MAX($G343)</f>
        <v>0</v>
      </c>
      <c r="Z343" s="1">
        <f>MAX($H343)</f>
        <v>0</v>
      </c>
    </row>
    <row r="344" spans="1:26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/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>
        <f>MIN($B344)</f>
        <v>0</v>
      </c>
      <c r="J344" s="1">
        <f>MIN($C344)</f>
        <v>0</v>
      </c>
      <c r="K344" s="1">
        <f>MIN($D344)</f>
        <v>0</v>
      </c>
      <c r="L344" s="1">
        <f>MIN($E344)</f>
        <v>0</v>
      </c>
      <c r="M344" s="1">
        <f>MIN($G344)</f>
        <v>0</v>
      </c>
      <c r="N344" s="1">
        <f>MIN($H344)</f>
        <v>0</v>
      </c>
      <c r="O344" s="1">
        <f>MEDIAN($B344)</f>
        <v>0</v>
      </c>
      <c r="P344" s="1">
        <f>MEDIAN($C344)</f>
        <v>0</v>
      </c>
      <c r="Q344" s="1">
        <f>MEDIAN($D344)</f>
        <v>0</v>
      </c>
      <c r="R344" s="1">
        <f>MEDIAN($E344)</f>
        <v>0</v>
      </c>
      <c r="S344" s="1">
        <f>MEDIAN($G344)</f>
        <v>0</v>
      </c>
      <c r="T344" s="1">
        <f>MEDIAN($H344)</f>
        <v>0</v>
      </c>
      <c r="U344" s="1">
        <f>MAX($B344)</f>
        <v>0</v>
      </c>
      <c r="V344" s="1">
        <f>MAX($C344)</f>
        <v>0</v>
      </c>
      <c r="W344" s="1">
        <f>MAX($D344)</f>
        <v>0</v>
      </c>
      <c r="X344" s="1">
        <f>MAX($E344)</f>
        <v>0</v>
      </c>
      <c r="Y344" s="1">
        <f>MAX($G344)</f>
        <v>0</v>
      </c>
      <c r="Z344" s="1">
        <f>MAX($H344)</f>
        <v>0</v>
      </c>
    </row>
    <row r="345" spans="1:26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/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>
        <f>MIN($B345)</f>
        <v>0</v>
      </c>
      <c r="J345" s="1">
        <f>MIN($C345)</f>
        <v>0</v>
      </c>
      <c r="K345" s="1">
        <f>MIN($D345)</f>
        <v>0</v>
      </c>
      <c r="L345" s="1">
        <f>MIN($E345)</f>
        <v>0</v>
      </c>
      <c r="M345" s="1">
        <f>MIN($G345)</f>
        <v>0</v>
      </c>
      <c r="N345" s="1">
        <f>MIN($H345)</f>
        <v>0</v>
      </c>
      <c r="O345" s="1">
        <f>MEDIAN($B345)</f>
        <v>0</v>
      </c>
      <c r="P345" s="1">
        <f>MEDIAN($C345)</f>
        <v>0</v>
      </c>
      <c r="Q345" s="1">
        <f>MEDIAN($D345)</f>
        <v>0</v>
      </c>
      <c r="R345" s="1">
        <f>MEDIAN($E345)</f>
        <v>0</v>
      </c>
      <c r="S345" s="1">
        <f>MEDIAN($G345)</f>
        <v>0</v>
      </c>
      <c r="T345" s="1">
        <f>MEDIAN($H345)</f>
        <v>0</v>
      </c>
      <c r="U345" s="1">
        <f>MAX($B345)</f>
        <v>0</v>
      </c>
      <c r="V345" s="1">
        <f>MAX($C345)</f>
        <v>0</v>
      </c>
      <c r="W345" s="1">
        <f>MAX($D345)</f>
        <v>0</v>
      </c>
      <c r="X345" s="1">
        <f>MAX($E345)</f>
        <v>0</v>
      </c>
      <c r="Y345" s="1">
        <f>MAX($G345)</f>
        <v>0</v>
      </c>
      <c r="Z345" s="1">
        <f>MAX($H345)</f>
        <v>0</v>
      </c>
    </row>
    <row r="346" spans="1:26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/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>
        <f>MIN($B346)</f>
        <v>0</v>
      </c>
      <c r="J346" s="1">
        <f>MIN($C346)</f>
        <v>0</v>
      </c>
      <c r="K346" s="1">
        <f>MIN($D346)</f>
        <v>0</v>
      </c>
      <c r="L346" s="1">
        <f>MIN($E346)</f>
        <v>0</v>
      </c>
      <c r="M346" s="1">
        <f>MIN($G346)</f>
        <v>0</v>
      </c>
      <c r="N346" s="1">
        <f>MIN($H346)</f>
        <v>0</v>
      </c>
      <c r="O346" s="1">
        <f>MEDIAN($B346)</f>
        <v>0</v>
      </c>
      <c r="P346" s="1">
        <f>MEDIAN($C346)</f>
        <v>0</v>
      </c>
      <c r="Q346" s="1">
        <f>MEDIAN($D346)</f>
        <v>0</v>
      </c>
      <c r="R346" s="1">
        <f>MEDIAN($E346)</f>
        <v>0</v>
      </c>
      <c r="S346" s="1">
        <f>MEDIAN($G346)</f>
        <v>0</v>
      </c>
      <c r="T346" s="1">
        <f>MEDIAN($H346)</f>
        <v>0</v>
      </c>
      <c r="U346" s="1">
        <f>MAX($B346)</f>
        <v>0</v>
      </c>
      <c r="V346" s="1">
        <f>MAX($C346)</f>
        <v>0</v>
      </c>
      <c r="W346" s="1">
        <f>MAX($D346)</f>
        <v>0</v>
      </c>
      <c r="X346" s="1">
        <f>MAX($E346)</f>
        <v>0</v>
      </c>
      <c r="Y346" s="1">
        <f>MAX($G346)</f>
        <v>0</v>
      </c>
      <c r="Z346" s="1">
        <f>MAX($H346)</f>
        <v>0</v>
      </c>
    </row>
    <row r="347" spans="1:26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/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>
        <f>MIN($B347)</f>
        <v>0</v>
      </c>
      <c r="J347" s="1">
        <f>MIN($C347)</f>
        <v>0</v>
      </c>
      <c r="K347" s="1">
        <f>MIN($D347)</f>
        <v>0</v>
      </c>
      <c r="L347" s="1">
        <f>MIN($E347)</f>
        <v>0</v>
      </c>
      <c r="M347" s="1">
        <f>MIN($G347)</f>
        <v>0</v>
      </c>
      <c r="N347" s="1">
        <f>MIN($H347)</f>
        <v>0</v>
      </c>
      <c r="O347" s="1">
        <f>MEDIAN($B347)</f>
        <v>0</v>
      </c>
      <c r="P347" s="1">
        <f>MEDIAN($C347)</f>
        <v>0</v>
      </c>
      <c r="Q347" s="1">
        <f>MEDIAN($D347)</f>
        <v>0</v>
      </c>
      <c r="R347" s="1">
        <f>MEDIAN($E347)</f>
        <v>0</v>
      </c>
      <c r="S347" s="1">
        <f>MEDIAN($G347)</f>
        <v>0</v>
      </c>
      <c r="T347" s="1">
        <f>MEDIAN($H347)</f>
        <v>0</v>
      </c>
      <c r="U347" s="1">
        <f>MAX($B347)</f>
        <v>0</v>
      </c>
      <c r="V347" s="1">
        <f>MAX($C347)</f>
        <v>0</v>
      </c>
      <c r="W347" s="1">
        <f>MAX($D347)</f>
        <v>0</v>
      </c>
      <c r="X347" s="1">
        <f>MAX($E347)</f>
        <v>0</v>
      </c>
      <c r="Y347" s="1">
        <f>MAX($G347)</f>
        <v>0</v>
      </c>
      <c r="Z347" s="1">
        <f>MAX($H347)</f>
        <v>0</v>
      </c>
    </row>
    <row r="348" spans="1:26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/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>
        <f>MIN($B348)</f>
        <v>0</v>
      </c>
      <c r="J348" s="1">
        <f>MIN($C348)</f>
        <v>0</v>
      </c>
      <c r="K348" s="1">
        <f>MIN($D348)</f>
        <v>0</v>
      </c>
      <c r="L348" s="1">
        <f>MIN($E348)</f>
        <v>0</v>
      </c>
      <c r="M348" s="1">
        <f>MIN($G348)</f>
        <v>0</v>
      </c>
      <c r="N348" s="1">
        <f>MIN($H348)</f>
        <v>0</v>
      </c>
      <c r="O348" s="1">
        <f>MEDIAN($B348)</f>
        <v>0</v>
      </c>
      <c r="P348" s="1">
        <f>MEDIAN($C348)</f>
        <v>0</v>
      </c>
      <c r="Q348" s="1">
        <f>MEDIAN($D348)</f>
        <v>0</v>
      </c>
      <c r="R348" s="1">
        <f>MEDIAN($E348)</f>
        <v>0</v>
      </c>
      <c r="S348" s="1">
        <f>MEDIAN($G348)</f>
        <v>0</v>
      </c>
      <c r="T348" s="1">
        <f>MEDIAN($H348)</f>
        <v>0</v>
      </c>
      <c r="U348" s="1">
        <f>MAX($B348)</f>
        <v>0</v>
      </c>
      <c r="V348" s="1">
        <f>MAX($C348)</f>
        <v>0</v>
      </c>
      <c r="W348" s="1">
        <f>MAX($D348)</f>
        <v>0</v>
      </c>
      <c r="X348" s="1">
        <f>MAX($E348)</f>
        <v>0</v>
      </c>
      <c r="Y348" s="1">
        <f>MAX($G348)</f>
        <v>0</v>
      </c>
      <c r="Z348" s="1">
        <f>MAX($H348)</f>
        <v>0</v>
      </c>
    </row>
    <row r="349" spans="1:26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/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>
        <f>MIN($B349)</f>
        <v>0</v>
      </c>
      <c r="J349" s="1">
        <f>MIN($C349)</f>
        <v>0</v>
      </c>
      <c r="K349" s="1">
        <f>MIN($D349)</f>
        <v>0</v>
      </c>
      <c r="L349" s="1">
        <f>MIN($E349)</f>
        <v>0</v>
      </c>
      <c r="M349" s="1">
        <f>MIN($G349)</f>
        <v>0</v>
      </c>
      <c r="N349" s="1">
        <f>MIN($H349)</f>
        <v>0</v>
      </c>
      <c r="O349" s="1">
        <f>MEDIAN($B349)</f>
        <v>0</v>
      </c>
      <c r="P349" s="1">
        <f>MEDIAN($C349)</f>
        <v>0</v>
      </c>
      <c r="Q349" s="1">
        <f>MEDIAN($D349)</f>
        <v>0</v>
      </c>
      <c r="R349" s="1">
        <f>MEDIAN($E349)</f>
        <v>0</v>
      </c>
      <c r="S349" s="1">
        <f>MEDIAN($G349)</f>
        <v>0</v>
      </c>
      <c r="T349" s="1">
        <f>MEDIAN($H349)</f>
        <v>0</v>
      </c>
      <c r="U349" s="1">
        <f>MAX($B349)</f>
        <v>0</v>
      </c>
      <c r="V349" s="1">
        <f>MAX($C349)</f>
        <v>0</v>
      </c>
      <c r="W349" s="1">
        <f>MAX($D349)</f>
        <v>0</v>
      </c>
      <c r="X349" s="1">
        <f>MAX($E349)</f>
        <v>0</v>
      </c>
      <c r="Y349" s="1">
        <f>MAX($G349)</f>
        <v>0</v>
      </c>
      <c r="Z349" s="1">
        <f>MAX($H349)</f>
        <v>0</v>
      </c>
    </row>
    <row r="350" spans="1:26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/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>
        <f>MIN($B350)</f>
        <v>0</v>
      </c>
      <c r="J350" s="1">
        <f>MIN($C350)</f>
        <v>0</v>
      </c>
      <c r="K350" s="1">
        <f>MIN($D350)</f>
        <v>0</v>
      </c>
      <c r="L350" s="1">
        <f>MIN($E350)</f>
        <v>0</v>
      </c>
      <c r="M350" s="1">
        <f>MIN($G350)</f>
        <v>0</v>
      </c>
      <c r="N350" s="1">
        <f>MIN($H350)</f>
        <v>0</v>
      </c>
      <c r="O350" s="1">
        <f>MEDIAN($B350)</f>
        <v>0</v>
      </c>
      <c r="P350" s="1">
        <f>MEDIAN($C350)</f>
        <v>0</v>
      </c>
      <c r="Q350" s="1">
        <f>MEDIAN($D350)</f>
        <v>0</v>
      </c>
      <c r="R350" s="1">
        <f>MEDIAN($E350)</f>
        <v>0</v>
      </c>
      <c r="S350" s="1">
        <f>MEDIAN($G350)</f>
        <v>0</v>
      </c>
      <c r="T350" s="1">
        <f>MEDIAN($H350)</f>
        <v>0</v>
      </c>
      <c r="U350" s="1">
        <f>MAX($B350)</f>
        <v>0</v>
      </c>
      <c r="V350" s="1">
        <f>MAX($C350)</f>
        <v>0</v>
      </c>
      <c r="W350" s="1">
        <f>MAX($D350)</f>
        <v>0</v>
      </c>
      <c r="X350" s="1">
        <f>MAX($E350)</f>
        <v>0</v>
      </c>
      <c r="Y350" s="1">
        <f>MAX($G350)</f>
        <v>0</v>
      </c>
      <c r="Z350" s="1">
        <f>MAX($H350)</f>
        <v>0</v>
      </c>
    </row>
    <row r="351" spans="1:26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/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>
        <f>MIN($B351)</f>
        <v>0</v>
      </c>
      <c r="J351" s="1">
        <f>MIN($C351)</f>
        <v>0</v>
      </c>
      <c r="K351" s="1">
        <f>MIN($D351)</f>
        <v>0</v>
      </c>
      <c r="L351" s="1">
        <f>MIN($E351)</f>
        <v>0</v>
      </c>
      <c r="M351" s="1">
        <f>MIN($G351)</f>
        <v>0</v>
      </c>
      <c r="N351" s="1">
        <f>MIN($H351)</f>
        <v>0</v>
      </c>
      <c r="O351" s="1">
        <f>MEDIAN($B351)</f>
        <v>0</v>
      </c>
      <c r="P351" s="1">
        <f>MEDIAN($C351)</f>
        <v>0</v>
      </c>
      <c r="Q351" s="1">
        <f>MEDIAN($D351)</f>
        <v>0</v>
      </c>
      <c r="R351" s="1">
        <f>MEDIAN($E351)</f>
        <v>0</v>
      </c>
      <c r="S351" s="1">
        <f>MEDIAN($G351)</f>
        <v>0</v>
      </c>
      <c r="T351" s="1">
        <f>MEDIAN($H351)</f>
        <v>0</v>
      </c>
      <c r="U351" s="1">
        <f>MAX($B351)</f>
        <v>0</v>
      </c>
      <c r="V351" s="1">
        <f>MAX($C351)</f>
        <v>0</v>
      </c>
      <c r="W351" s="1">
        <f>MAX($D351)</f>
        <v>0</v>
      </c>
      <c r="X351" s="1">
        <f>MAX($E351)</f>
        <v>0</v>
      </c>
      <c r="Y351" s="1">
        <f>MAX($G351)</f>
        <v>0</v>
      </c>
      <c r="Z351" s="1">
        <f>MAX($H351)</f>
        <v>0</v>
      </c>
    </row>
    <row r="352" spans="1:26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/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>
        <f>MIN($B352)</f>
        <v>0</v>
      </c>
      <c r="J352" s="1">
        <f>MIN($C352)</f>
        <v>0</v>
      </c>
      <c r="K352" s="1">
        <f>MIN($D352)</f>
        <v>0</v>
      </c>
      <c r="L352" s="1">
        <f>MIN($E352)</f>
        <v>0</v>
      </c>
      <c r="M352" s="1">
        <f>MIN($G352)</f>
        <v>0</v>
      </c>
      <c r="N352" s="1">
        <f>MIN($H352)</f>
        <v>0</v>
      </c>
      <c r="O352" s="1">
        <f>MEDIAN($B352)</f>
        <v>0</v>
      </c>
      <c r="P352" s="1">
        <f>MEDIAN($C352)</f>
        <v>0</v>
      </c>
      <c r="Q352" s="1">
        <f>MEDIAN($D352)</f>
        <v>0</v>
      </c>
      <c r="R352" s="1">
        <f>MEDIAN($E352)</f>
        <v>0</v>
      </c>
      <c r="S352" s="1">
        <f>MEDIAN($G352)</f>
        <v>0</v>
      </c>
      <c r="T352" s="1">
        <f>MEDIAN($H352)</f>
        <v>0</v>
      </c>
      <c r="U352" s="1">
        <f>MAX($B352)</f>
        <v>0</v>
      </c>
      <c r="V352" s="1">
        <f>MAX($C352)</f>
        <v>0</v>
      </c>
      <c r="W352" s="1">
        <f>MAX($D352)</f>
        <v>0</v>
      </c>
      <c r="X352" s="1">
        <f>MAX($E352)</f>
        <v>0</v>
      </c>
      <c r="Y352" s="1">
        <f>MAX($G352)</f>
        <v>0</v>
      </c>
      <c r="Z352" s="1">
        <f>MAX($H352)</f>
        <v>0</v>
      </c>
    </row>
    <row r="353" spans="1:26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/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>
        <f>MIN($B353)</f>
        <v>0</v>
      </c>
      <c r="J353" s="1">
        <f>MIN($C353)</f>
        <v>0</v>
      </c>
      <c r="K353" s="1">
        <f>MIN($D353)</f>
        <v>0</v>
      </c>
      <c r="L353" s="1">
        <f>MIN($E353)</f>
        <v>0</v>
      </c>
      <c r="M353" s="1">
        <f>MIN($G353)</f>
        <v>0</v>
      </c>
      <c r="N353" s="1">
        <f>MIN($H353)</f>
        <v>0</v>
      </c>
      <c r="O353" s="1">
        <f>MEDIAN($B353)</f>
        <v>0</v>
      </c>
      <c r="P353" s="1">
        <f>MEDIAN($C353)</f>
        <v>0</v>
      </c>
      <c r="Q353" s="1">
        <f>MEDIAN($D353)</f>
        <v>0</v>
      </c>
      <c r="R353" s="1">
        <f>MEDIAN($E353)</f>
        <v>0</v>
      </c>
      <c r="S353" s="1">
        <f>MEDIAN($G353)</f>
        <v>0</v>
      </c>
      <c r="T353" s="1">
        <f>MEDIAN($H353)</f>
        <v>0</v>
      </c>
      <c r="U353" s="1">
        <f>MAX($B353)</f>
        <v>0</v>
      </c>
      <c r="V353" s="1">
        <f>MAX($C353)</f>
        <v>0</v>
      </c>
      <c r="W353" s="1">
        <f>MAX($D353)</f>
        <v>0</v>
      </c>
      <c r="X353" s="1">
        <f>MAX($E353)</f>
        <v>0</v>
      </c>
      <c r="Y353" s="1">
        <f>MAX($G353)</f>
        <v>0</v>
      </c>
      <c r="Z353" s="1">
        <f>MAX($H353)</f>
        <v>0</v>
      </c>
    </row>
    <row r="354" spans="1:26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/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>
        <f>MIN($B354)</f>
        <v>0</v>
      </c>
      <c r="J354" s="1">
        <f>MIN($C354)</f>
        <v>0</v>
      </c>
      <c r="K354" s="1">
        <f>MIN($D354)</f>
        <v>0</v>
      </c>
      <c r="L354" s="1">
        <f>MIN($E354)</f>
        <v>0</v>
      </c>
      <c r="M354" s="1">
        <f>MIN($G354)</f>
        <v>0</v>
      </c>
      <c r="N354" s="1">
        <f>MIN($H354)</f>
        <v>0</v>
      </c>
      <c r="O354" s="1">
        <f>MEDIAN($B354)</f>
        <v>0</v>
      </c>
      <c r="P354" s="1">
        <f>MEDIAN($C354)</f>
        <v>0</v>
      </c>
      <c r="Q354" s="1">
        <f>MEDIAN($D354)</f>
        <v>0</v>
      </c>
      <c r="R354" s="1">
        <f>MEDIAN($E354)</f>
        <v>0</v>
      </c>
      <c r="S354" s="1">
        <f>MEDIAN($G354)</f>
        <v>0</v>
      </c>
      <c r="T354" s="1">
        <f>MEDIAN($H354)</f>
        <v>0</v>
      </c>
      <c r="U354" s="1">
        <f>MAX($B354)</f>
        <v>0</v>
      </c>
      <c r="V354" s="1">
        <f>MAX($C354)</f>
        <v>0</v>
      </c>
      <c r="W354" s="1">
        <f>MAX($D354)</f>
        <v>0</v>
      </c>
      <c r="X354" s="1">
        <f>MAX($E354)</f>
        <v>0</v>
      </c>
      <c r="Y354" s="1">
        <f>MAX($G354)</f>
        <v>0</v>
      </c>
      <c r="Z354" s="1">
        <f>MAX($H354)</f>
        <v>0</v>
      </c>
    </row>
    <row r="355" spans="1:26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/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>
        <f>MIN($B355)</f>
        <v>0</v>
      </c>
      <c r="J355" s="1">
        <f>MIN($C355)</f>
        <v>0</v>
      </c>
      <c r="K355" s="1">
        <f>MIN($D355)</f>
        <v>0</v>
      </c>
      <c r="L355" s="1">
        <f>MIN($E355)</f>
        <v>0</v>
      </c>
      <c r="M355" s="1">
        <f>MIN($G355)</f>
        <v>0</v>
      </c>
      <c r="N355" s="1">
        <f>MIN($H355)</f>
        <v>0</v>
      </c>
      <c r="O355" s="1">
        <f>MEDIAN($B355)</f>
        <v>0</v>
      </c>
      <c r="P355" s="1">
        <f>MEDIAN($C355)</f>
        <v>0</v>
      </c>
      <c r="Q355" s="1">
        <f>MEDIAN($D355)</f>
        <v>0</v>
      </c>
      <c r="R355" s="1">
        <f>MEDIAN($E355)</f>
        <v>0</v>
      </c>
      <c r="S355" s="1">
        <f>MEDIAN($G355)</f>
        <v>0</v>
      </c>
      <c r="T355" s="1">
        <f>MEDIAN($H355)</f>
        <v>0</v>
      </c>
      <c r="U355" s="1">
        <f>MAX($B355)</f>
        <v>0</v>
      </c>
      <c r="V355" s="1">
        <f>MAX($C355)</f>
        <v>0</v>
      </c>
      <c r="W355" s="1">
        <f>MAX($D355)</f>
        <v>0</v>
      </c>
      <c r="X355" s="1">
        <f>MAX($E355)</f>
        <v>0</v>
      </c>
      <c r="Y355" s="1">
        <f>MAX($G355)</f>
        <v>0</v>
      </c>
      <c r="Z355" s="1">
        <f>MAX($H355)</f>
        <v>0</v>
      </c>
    </row>
    <row r="356" spans="1:26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/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>
        <f>MIN($B356)</f>
        <v>0</v>
      </c>
      <c r="J356" s="1">
        <f>MIN($C356)</f>
        <v>0</v>
      </c>
      <c r="K356" s="1">
        <f>MIN($D356)</f>
        <v>0</v>
      </c>
      <c r="L356" s="1">
        <f>MIN($E356)</f>
        <v>0</v>
      </c>
      <c r="M356" s="1">
        <f>MIN($G356)</f>
        <v>0</v>
      </c>
      <c r="N356" s="1">
        <f>MIN($H356)</f>
        <v>0</v>
      </c>
      <c r="O356" s="1">
        <f>MEDIAN($B356)</f>
        <v>0</v>
      </c>
      <c r="P356" s="1">
        <f>MEDIAN($C356)</f>
        <v>0</v>
      </c>
      <c r="Q356" s="1">
        <f>MEDIAN($D356)</f>
        <v>0</v>
      </c>
      <c r="R356" s="1">
        <f>MEDIAN($E356)</f>
        <v>0</v>
      </c>
      <c r="S356" s="1">
        <f>MEDIAN($G356)</f>
        <v>0</v>
      </c>
      <c r="T356" s="1">
        <f>MEDIAN($H356)</f>
        <v>0</v>
      </c>
      <c r="U356" s="1">
        <f>MAX($B356)</f>
        <v>0</v>
      </c>
      <c r="V356" s="1">
        <f>MAX($C356)</f>
        <v>0</v>
      </c>
      <c r="W356" s="1">
        <f>MAX($D356)</f>
        <v>0</v>
      </c>
      <c r="X356" s="1">
        <f>MAX($E356)</f>
        <v>0</v>
      </c>
      <c r="Y356" s="1">
        <f>MAX($G356)</f>
        <v>0</v>
      </c>
      <c r="Z356" s="1">
        <f>MAX($H356)</f>
        <v>0</v>
      </c>
    </row>
    <row r="357" spans="1:26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/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>
        <f>MIN($B357)</f>
        <v>0</v>
      </c>
      <c r="J357" s="1">
        <f>MIN($C357)</f>
        <v>0</v>
      </c>
      <c r="K357" s="1">
        <f>MIN($D357)</f>
        <v>0</v>
      </c>
      <c r="L357" s="1">
        <f>MIN($E357)</f>
        <v>0</v>
      </c>
      <c r="M357" s="1">
        <f>MIN($G357)</f>
        <v>0</v>
      </c>
      <c r="N357" s="1">
        <f>MIN($H357)</f>
        <v>0</v>
      </c>
      <c r="O357" s="1">
        <f>MEDIAN($B357)</f>
        <v>0</v>
      </c>
      <c r="P357" s="1">
        <f>MEDIAN($C357)</f>
        <v>0</v>
      </c>
      <c r="Q357" s="1">
        <f>MEDIAN($D357)</f>
        <v>0</v>
      </c>
      <c r="R357" s="1">
        <f>MEDIAN($E357)</f>
        <v>0</v>
      </c>
      <c r="S357" s="1">
        <f>MEDIAN($G357)</f>
        <v>0</v>
      </c>
      <c r="T357" s="1">
        <f>MEDIAN($H357)</f>
        <v>0</v>
      </c>
      <c r="U357" s="1">
        <f>MAX($B357)</f>
        <v>0</v>
      </c>
      <c r="V357" s="1">
        <f>MAX($C357)</f>
        <v>0</v>
      </c>
      <c r="W357" s="1">
        <f>MAX($D357)</f>
        <v>0</v>
      </c>
      <c r="X357" s="1">
        <f>MAX($E357)</f>
        <v>0</v>
      </c>
      <c r="Y357" s="1">
        <f>MAX($G357)</f>
        <v>0</v>
      </c>
      <c r="Z357" s="1">
        <f>MAX($H357)</f>
        <v>0</v>
      </c>
    </row>
    <row r="358" spans="1:26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/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>
        <f>MIN($B358)</f>
        <v>0</v>
      </c>
      <c r="J358" s="1">
        <f>MIN($C358)</f>
        <v>0</v>
      </c>
      <c r="K358" s="1">
        <f>MIN($D358)</f>
        <v>0</v>
      </c>
      <c r="L358" s="1">
        <f>MIN($E358)</f>
        <v>0</v>
      </c>
      <c r="M358" s="1">
        <f>MIN($G358)</f>
        <v>0</v>
      </c>
      <c r="N358" s="1">
        <f>MIN($H358)</f>
        <v>0</v>
      </c>
      <c r="O358" s="1">
        <f>MEDIAN($B358)</f>
        <v>0</v>
      </c>
      <c r="P358" s="1">
        <f>MEDIAN($C358)</f>
        <v>0</v>
      </c>
      <c r="Q358" s="1">
        <f>MEDIAN($D358)</f>
        <v>0</v>
      </c>
      <c r="R358" s="1">
        <f>MEDIAN($E358)</f>
        <v>0</v>
      </c>
      <c r="S358" s="1">
        <f>MEDIAN($G358)</f>
        <v>0</v>
      </c>
      <c r="T358" s="1">
        <f>MEDIAN($H358)</f>
        <v>0</v>
      </c>
      <c r="U358" s="1">
        <f>MAX($B358)</f>
        <v>0</v>
      </c>
      <c r="V358" s="1">
        <f>MAX($C358)</f>
        <v>0</v>
      </c>
      <c r="W358" s="1">
        <f>MAX($D358)</f>
        <v>0</v>
      </c>
      <c r="X358" s="1">
        <f>MAX($E358)</f>
        <v>0</v>
      </c>
      <c r="Y358" s="1">
        <f>MAX($G358)</f>
        <v>0</v>
      </c>
      <c r="Z358" s="1">
        <f>MAX($H358)</f>
        <v>0</v>
      </c>
    </row>
    <row r="359" spans="1:26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/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>
        <f>MIN($B359)</f>
        <v>0</v>
      </c>
      <c r="J359" s="1">
        <f>MIN($C359)</f>
        <v>0</v>
      </c>
      <c r="K359" s="1">
        <f>MIN($D359)</f>
        <v>0</v>
      </c>
      <c r="L359" s="1">
        <f>MIN($E359)</f>
        <v>0</v>
      </c>
      <c r="M359" s="1">
        <f>MIN($G359)</f>
        <v>0</v>
      </c>
      <c r="N359" s="1">
        <f>MIN($H359)</f>
        <v>0</v>
      </c>
      <c r="O359" s="1">
        <f>MEDIAN($B359)</f>
        <v>0</v>
      </c>
      <c r="P359" s="1">
        <f>MEDIAN($C359)</f>
        <v>0</v>
      </c>
      <c r="Q359" s="1">
        <f>MEDIAN($D359)</f>
        <v>0</v>
      </c>
      <c r="R359" s="1">
        <f>MEDIAN($E359)</f>
        <v>0</v>
      </c>
      <c r="S359" s="1">
        <f>MEDIAN($G359)</f>
        <v>0</v>
      </c>
      <c r="T359" s="1">
        <f>MEDIAN($H359)</f>
        <v>0</v>
      </c>
      <c r="U359" s="1">
        <f>MAX($B359)</f>
        <v>0</v>
      </c>
      <c r="V359" s="1">
        <f>MAX($C359)</f>
        <v>0</v>
      </c>
      <c r="W359" s="1">
        <f>MAX($D359)</f>
        <v>0</v>
      </c>
      <c r="X359" s="1">
        <f>MAX($E359)</f>
        <v>0</v>
      </c>
      <c r="Y359" s="1">
        <f>MAX($G359)</f>
        <v>0</v>
      </c>
      <c r="Z359" s="1">
        <f>MAX($H359)</f>
        <v>0</v>
      </c>
    </row>
    <row r="360" spans="1:26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/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>
        <f>MIN($B360)</f>
        <v>0</v>
      </c>
      <c r="J360" s="1">
        <f>MIN($C360)</f>
        <v>0</v>
      </c>
      <c r="K360" s="1">
        <f>MIN($D360)</f>
        <v>0</v>
      </c>
      <c r="L360" s="1">
        <f>MIN($E360)</f>
        <v>0</v>
      </c>
      <c r="M360" s="1">
        <f>MIN($G360)</f>
        <v>0</v>
      </c>
      <c r="N360" s="1">
        <f>MIN($H360)</f>
        <v>0</v>
      </c>
      <c r="O360" s="1">
        <f>MEDIAN($B360)</f>
        <v>0</v>
      </c>
      <c r="P360" s="1">
        <f>MEDIAN($C360)</f>
        <v>0</v>
      </c>
      <c r="Q360" s="1">
        <f>MEDIAN($D360)</f>
        <v>0</v>
      </c>
      <c r="R360" s="1">
        <f>MEDIAN($E360)</f>
        <v>0</v>
      </c>
      <c r="S360" s="1">
        <f>MEDIAN($G360)</f>
        <v>0</v>
      </c>
      <c r="T360" s="1">
        <f>MEDIAN($H360)</f>
        <v>0</v>
      </c>
      <c r="U360" s="1">
        <f>MAX($B360)</f>
        <v>0</v>
      </c>
      <c r="V360" s="1">
        <f>MAX($C360)</f>
        <v>0</v>
      </c>
      <c r="W360" s="1">
        <f>MAX($D360)</f>
        <v>0</v>
      </c>
      <c r="X360" s="1">
        <f>MAX($E360)</f>
        <v>0</v>
      </c>
      <c r="Y360" s="1">
        <f>MAX($G360)</f>
        <v>0</v>
      </c>
      <c r="Z360" s="1">
        <f>MAX($H360)</f>
        <v>0</v>
      </c>
    </row>
    <row r="361" spans="1:26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/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>
        <f>MIN($B361)</f>
        <v>0</v>
      </c>
      <c r="J361" s="1">
        <f>MIN($C361)</f>
        <v>0</v>
      </c>
      <c r="K361" s="1">
        <f>MIN($D361)</f>
        <v>0</v>
      </c>
      <c r="L361" s="1">
        <f>MIN($E361)</f>
        <v>0</v>
      </c>
      <c r="M361" s="1">
        <f>MIN($G361)</f>
        <v>0</v>
      </c>
      <c r="N361" s="1">
        <f>MIN($H361)</f>
        <v>0</v>
      </c>
      <c r="O361" s="1">
        <f>MEDIAN($B361)</f>
        <v>0</v>
      </c>
      <c r="P361" s="1">
        <f>MEDIAN($C361)</f>
        <v>0</v>
      </c>
      <c r="Q361" s="1">
        <f>MEDIAN($D361)</f>
        <v>0</v>
      </c>
      <c r="R361" s="1">
        <f>MEDIAN($E361)</f>
        <v>0</v>
      </c>
      <c r="S361" s="1">
        <f>MEDIAN($G361)</f>
        <v>0</v>
      </c>
      <c r="T361" s="1">
        <f>MEDIAN($H361)</f>
        <v>0</v>
      </c>
      <c r="U361" s="1">
        <f>MAX($B361)</f>
        <v>0</v>
      </c>
      <c r="V361" s="1">
        <f>MAX($C361)</f>
        <v>0</v>
      </c>
      <c r="W361" s="1">
        <f>MAX($D361)</f>
        <v>0</v>
      </c>
      <c r="X361" s="1">
        <f>MAX($E361)</f>
        <v>0</v>
      </c>
      <c r="Y361" s="1">
        <f>MAX($G361)</f>
        <v>0</v>
      </c>
      <c r="Z361" s="1">
        <f>MAX($H361)</f>
        <v>0</v>
      </c>
    </row>
    <row r="362" spans="1:26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/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>
        <f>MIN($B362)</f>
        <v>0</v>
      </c>
      <c r="J362" s="1">
        <f>MIN($C362)</f>
        <v>0</v>
      </c>
      <c r="K362" s="1">
        <f>MIN($D362)</f>
        <v>0</v>
      </c>
      <c r="L362" s="1">
        <f>MIN($E362)</f>
        <v>0</v>
      </c>
      <c r="M362" s="1">
        <f>MIN($G362)</f>
        <v>0</v>
      </c>
      <c r="N362" s="1">
        <f>MIN($H362)</f>
        <v>0</v>
      </c>
      <c r="O362" s="1">
        <f>MEDIAN($B362)</f>
        <v>0</v>
      </c>
      <c r="P362" s="1">
        <f>MEDIAN($C362)</f>
        <v>0</v>
      </c>
      <c r="Q362" s="1">
        <f>MEDIAN($D362)</f>
        <v>0</v>
      </c>
      <c r="R362" s="1">
        <f>MEDIAN($E362)</f>
        <v>0</v>
      </c>
      <c r="S362" s="1">
        <f>MEDIAN($G362)</f>
        <v>0</v>
      </c>
      <c r="T362" s="1">
        <f>MEDIAN($H362)</f>
        <v>0</v>
      </c>
      <c r="U362" s="1">
        <f>MAX($B362)</f>
        <v>0</v>
      </c>
      <c r="V362" s="1">
        <f>MAX($C362)</f>
        <v>0</v>
      </c>
      <c r="W362" s="1">
        <f>MAX($D362)</f>
        <v>0</v>
      </c>
      <c r="X362" s="1">
        <f>MAX($E362)</f>
        <v>0</v>
      </c>
      <c r="Y362" s="1">
        <f>MAX($G362)</f>
        <v>0</v>
      </c>
      <c r="Z362" s="1">
        <f>MAX($H362)</f>
        <v>0</v>
      </c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/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>
        <f>SUM(L$3:L$362)</f>
        <v>0</v>
      </c>
      <c r="M364" s="1">
        <f>SUM(M$3:M$362)</f>
        <v>0</v>
      </c>
      <c r="N364" s="1">
        <f>SUM(N$3:N$362)</f>
        <v>0</v>
      </c>
      <c r="O364" s="1">
        <f>SUM(O$3:O$362)</f>
        <v>0</v>
      </c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</row>
    <row r="365" spans="1:26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/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>
        <f>AVERAGE(L$3:L$362)</f>
        <v>0</v>
      </c>
      <c r="M365" s="1">
        <f>AVERAGE(M$3:M$362)</f>
        <v>0</v>
      </c>
      <c r="N365" s="1">
        <f>AVERAGE(N$3:N$362)</f>
        <v>0</v>
      </c>
      <c r="O365" s="1">
        <f>AVERAGE(O$3:O$362)</f>
        <v>0</v>
      </c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</row>
    <row r="366" spans="1:26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/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>
        <f>STDEV(L$3:L$362)</f>
        <v>0</v>
      </c>
      <c r="M366" s="1">
        <f>STDEV(M$3:M$362)</f>
        <v>0</v>
      </c>
      <c r="N366" s="1">
        <f>STDEV(N$3:N$362)</f>
        <v>0</v>
      </c>
      <c r="O366" s="1">
        <f>STDEV(O$3:O$362)</f>
        <v>0</v>
      </c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</row>
    <row r="367" spans="1:26">
      <c r="A367" s="1" t="s">
        <v>363</v>
      </c>
      <c r="B367" s="1">
        <f>SUMPRODUCT(--(B$3:B$362-$I$3:$I$362)^2)^0.5</f>
        <v>0</v>
      </c>
      <c r="C367" s="1">
        <f>SUMPRODUCT(--(C$3:C$362-$J$3:$J$362)^2)^0.5</f>
        <v>0</v>
      </c>
      <c r="D367" s="1">
        <f>SUMPRODUCT(--(D$3:D$362-$K$3:$K$362)^2)^0.5</f>
        <v>0</v>
      </c>
      <c r="E367" s="1">
        <f>SUMPRODUCT(--(E$3:E$362-$L$3:$L$362)^2)^0.5</f>
        <v>0</v>
      </c>
      <c r="F367" s="1"/>
      <c r="G367" s="1">
        <f>SUMPRODUCT(--(G$3:G$362-$M$3:$M$362)^2)^0.5</f>
        <v>0</v>
      </c>
      <c r="H367" s="1">
        <f>SUMPRODUCT(--(H$3:H$362-$N$3:$N$362)^2)^0.5</f>
        <v>0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 t="s">
        <v>364</v>
      </c>
      <c r="B368" s="1">
        <f>SUMPRODUCT(NOT(ISBLANK(B$3:B$362))*(B$3:B$362=$I$3:$I$362))</f>
        <v>0</v>
      </c>
      <c r="C368" s="1">
        <f>SUMPRODUCT(NOT(ISBLANK(C$3:C$362))*(C$3:C$362=$J$3:$J$362))</f>
        <v>0</v>
      </c>
      <c r="D368" s="1">
        <f>SUMPRODUCT(NOT(ISBLANK(D$3:D$362))*(D$3:D$362=$K$3:$K$362))</f>
        <v>0</v>
      </c>
      <c r="E368" s="1">
        <f>SUMPRODUCT(NOT(ISBLANK(E$3:E$362))*(E$3:E$362=$L$3:$L$362))</f>
        <v>0</v>
      </c>
      <c r="F368" s="1"/>
      <c r="G368" s="1">
        <f>SUMPRODUCT(NOT(ISBLANK(G$3:G$362))*(G$3:G$362=$M$3:$M$362))</f>
        <v>0</v>
      </c>
      <c r="H368" s="1">
        <f>SUMPRODUCT(NOT(ISBLANK(H$3:H$362))*(H$3:H$362=$N$3:$N$362))</f>
        <v>0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 t="s">
        <v>365</v>
      </c>
      <c r="B369" s="1">
        <f>SUMPRODUCT(NOT(ISBLANK(B$3:B$362))*(B$3:B$362&lt;$O$3:$O$362))</f>
        <v>0</v>
      </c>
      <c r="C369" s="1">
        <f>SUMPRODUCT(NOT(ISBLANK(C$3:C$362))*(C$3:C$362&lt;$P$3:$P$362))</f>
        <v>0</v>
      </c>
      <c r="D369" s="1">
        <f>SUMPRODUCT(NOT(ISBLANK(D$3:D$362))*(D$3:D$362&lt;$Q$3:$Q$362))</f>
        <v>0</v>
      </c>
      <c r="E369" s="1">
        <f>SUMPRODUCT(NOT(ISBLANK(E$3:E$362))*(E$3:E$362&lt;$R$3:$R$362))</f>
        <v>0</v>
      </c>
      <c r="F369" s="1"/>
      <c r="G369" s="1">
        <f>SUMPRODUCT(NOT(ISBLANK(G$3:G$362))*(G$3:G$362&lt;$S$3:$S$362))</f>
        <v>0</v>
      </c>
      <c r="H369" s="1">
        <f>SUMPRODUCT(NOT(ISBLANK(H$3:H$362))*(H$3:H$362&lt;$T$3:$T$362))</f>
        <v>0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 t="s">
        <v>366</v>
      </c>
      <c r="B370" s="1">
        <f>SUMPRODUCT((NOT(ISBLANK(B$3:B$362))*(B$3:B$362&gt;$O$3:$O$362))+ISBLANK(B$3:B$362))</f>
        <v>0</v>
      </c>
      <c r="C370" s="1">
        <f>SUMPRODUCT((NOT(ISBLANK(C$3:C$362))*(C$3:C$362&gt;$P$3:$P$362))+ISBLANK(C$3:C$362))</f>
        <v>0</v>
      </c>
      <c r="D370" s="1">
        <f>SUMPRODUCT((NOT(ISBLANK(D$3:D$362))*(D$3:D$362&gt;$Q$3:$Q$362))+ISBLANK(D$3:D$362))</f>
        <v>0</v>
      </c>
      <c r="E370" s="1">
        <f>SUMPRODUCT((NOT(ISBLANK(E$3:E$362))*(E$3:E$362&gt;$R$3:$R$362))+ISBLANK(E$3:E$362))</f>
        <v>0</v>
      </c>
      <c r="F370" s="1"/>
      <c r="G370" s="1">
        <f>SUMPRODUCT((NOT(ISBLANK(G$3:G$362))*(G$3:G$362&gt;$S$3:$S$362))+ISBLANK(G$3:G$362))</f>
        <v>0</v>
      </c>
      <c r="H370" s="1">
        <f>SUMPRODUCT((NOT(ISBLANK(H$3:H$362))*(H$3:H$362&gt;$T$3:$T$362))+ISBLANK(H$3:H$362))</f>
        <v>0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 t="s">
        <v>367</v>
      </c>
      <c r="B371" s="1">
        <f>SUMPRODUCT((NOT(ISBLANK(B$3:B$362))*(B$3:B$362=$U$3:$U$362))+ISBLANK(B$3:B$362))</f>
        <v>0</v>
      </c>
      <c r="C371" s="1">
        <f>SUMPRODUCT((NOT(ISBLANK(C$3:C$362))*(C$3:C$362=$V$3:$V$362))+ISBLANK(C$3:C$362))</f>
        <v>0</v>
      </c>
      <c r="D371" s="1">
        <f>SUMPRODUCT((NOT(ISBLANK(D$3:D$362))*(D$3:D$362=$W$3:$W$362))+ISBLANK(D$3:D$362))</f>
        <v>0</v>
      </c>
      <c r="E371" s="1">
        <f>SUMPRODUCT((NOT(ISBLANK(E$3:E$362))*(E$3:E$362=$X$3:$X$362))+ISBLANK(E$3:E$362))</f>
        <v>0</v>
      </c>
      <c r="F371" s="1"/>
      <c r="G371" s="1">
        <f>SUMPRODUCT((NOT(ISBLANK(G$3:G$362))*(G$3:G$362=$Y$3:$Y$362))+ISBLANK(G$3:G$362))</f>
        <v>0</v>
      </c>
      <c r="H371" s="1">
        <f>SUMPRODUCT((NOT(ISBLANK(H$3:H$362))*(H$3:H$362=$Z$3:$Z$362))+ISBLANK(H$3:H$362))</f>
        <v>0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6" width="11.42578125" customWidth="1"/>
  </cols>
  <sheetData>
    <row r="1" spans="1:26">
      <c r="A1" s="1"/>
      <c r="B1" s="1" t="s">
        <v>368</v>
      </c>
      <c r="C1" s="1"/>
      <c r="D1" s="1"/>
      <c r="E1" s="1"/>
      <c r="F1" s="1"/>
      <c r="G1" s="1"/>
      <c r="H1" s="1"/>
      <c r="I1" s="1" t="s">
        <v>377</v>
      </c>
      <c r="J1" s="1"/>
      <c r="K1" s="1"/>
      <c r="L1" s="1"/>
      <c r="M1" s="1"/>
      <c r="N1" s="1"/>
      <c r="O1" s="1" t="s">
        <v>378</v>
      </c>
      <c r="P1" s="1"/>
      <c r="Q1" s="1"/>
      <c r="R1" s="1"/>
      <c r="S1" s="1"/>
      <c r="T1" s="1"/>
      <c r="U1" s="1" t="s">
        <v>379</v>
      </c>
      <c r="V1" s="1"/>
      <c r="W1" s="1"/>
      <c r="X1" s="1"/>
      <c r="Y1" s="1"/>
      <c r="Z1" s="1"/>
    </row>
    <row r="2" spans="1:26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375</v>
      </c>
      <c r="H2" s="1" t="s">
        <v>376</v>
      </c>
      <c r="I2" s="1" t="s">
        <v>369</v>
      </c>
      <c r="J2" s="1" t="s">
        <v>370</v>
      </c>
      <c r="K2" s="1" t="s">
        <v>371</v>
      </c>
      <c r="L2" s="1" t="s">
        <v>372</v>
      </c>
      <c r="M2" s="1" t="s">
        <v>375</v>
      </c>
      <c r="N2" s="1" t="s">
        <v>376</v>
      </c>
      <c r="O2" s="1" t="s">
        <v>369</v>
      </c>
      <c r="P2" s="1" t="s">
        <v>370</v>
      </c>
      <c r="Q2" s="1" t="s">
        <v>371</v>
      </c>
      <c r="R2" s="1" t="s">
        <v>372</v>
      </c>
      <c r="S2" s="1" t="s">
        <v>375</v>
      </c>
      <c r="T2" s="1" t="s">
        <v>376</v>
      </c>
      <c r="U2" s="1" t="s">
        <v>369</v>
      </c>
      <c r="V2" s="1" t="s">
        <v>370</v>
      </c>
      <c r="W2" s="1" t="s">
        <v>371</v>
      </c>
      <c r="X2" s="1" t="s">
        <v>372</v>
      </c>
      <c r="Y2" s="1" t="s">
        <v>375</v>
      </c>
      <c r="Z2" s="1" t="s">
        <v>376</v>
      </c>
    </row>
    <row r="3" spans="1:26">
      <c r="A3" s="1" t="s">
        <v>381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/>
      <c r="G3" s="1">
        <f>AVERAGE(Instances!G3:Instances!G38)</f>
        <v>0</v>
      </c>
      <c r="H3" s="1">
        <f>SUM(Instances!H3:Instances!H38)</f>
        <v>0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 t="s">
        <v>382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/>
      <c r="G4" s="1">
        <f>AVERAGE(Instances!G39:Instances!G74)</f>
        <v>0</v>
      </c>
      <c r="H4" s="1">
        <f>SUM(Instances!H39:Instances!H74)</f>
        <v>0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 t="s">
        <v>383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/>
      <c r="G5" s="1">
        <f>AVERAGE(Instances!G75:Instances!G110)</f>
        <v>0</v>
      </c>
      <c r="H5" s="1">
        <f>SUM(Instances!H75:Instances!H110)</f>
        <v>0</v>
      </c>
      <c r="I5" s="1">
        <f>MIN($B5)</f>
        <v>0</v>
      </c>
      <c r="J5" s="1">
        <f>MIN($C5)</f>
        <v>0</v>
      </c>
      <c r="K5" s="1">
        <f>MIN($D5)</f>
        <v>0</v>
      </c>
      <c r="L5" s="1">
        <f>MIN($E5)</f>
        <v>0</v>
      </c>
      <c r="M5" s="1">
        <f>MIN($G5)</f>
        <v>0</v>
      </c>
      <c r="N5" s="1">
        <f>MIN($H5)</f>
        <v>0</v>
      </c>
      <c r="O5" s="1">
        <f>MEDIAN($B5)</f>
        <v>0</v>
      </c>
      <c r="P5" s="1">
        <f>MEDIAN($C5)</f>
        <v>0</v>
      </c>
      <c r="Q5" s="1">
        <f>MEDIAN($D5)</f>
        <v>0</v>
      </c>
      <c r="R5" s="1">
        <f>MEDIAN($E5)</f>
        <v>0</v>
      </c>
      <c r="S5" s="1">
        <f>MEDIAN($G5)</f>
        <v>0</v>
      </c>
      <c r="T5" s="1">
        <f>MEDIAN($H5)</f>
        <v>0</v>
      </c>
      <c r="U5" s="1">
        <f>MAX($B5)</f>
        <v>0</v>
      </c>
      <c r="V5" s="1">
        <f>MAX($C5)</f>
        <v>0</v>
      </c>
      <c r="W5" s="1">
        <f>MAX($D5)</f>
        <v>0</v>
      </c>
      <c r="X5" s="1">
        <f>MAX($E5)</f>
        <v>0</v>
      </c>
      <c r="Y5" s="1">
        <f>MAX($G5)</f>
        <v>0</v>
      </c>
      <c r="Z5" s="1">
        <f>MAX($H5)</f>
        <v>0</v>
      </c>
    </row>
    <row r="6" spans="1:26">
      <c r="A6" s="1" t="s">
        <v>384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/>
      <c r="G6" s="1">
        <f>AVERAGE(Instances!G111:Instances!G146)</f>
        <v>0</v>
      </c>
      <c r="H6" s="1">
        <f>SUM(Instances!H111:Instances!H146)</f>
        <v>0</v>
      </c>
      <c r="I6" s="1">
        <f>MIN($B6)</f>
        <v>0</v>
      </c>
      <c r="J6" s="1">
        <f>MIN($C6)</f>
        <v>0</v>
      </c>
      <c r="K6" s="1">
        <f>MIN($D6)</f>
        <v>0</v>
      </c>
      <c r="L6" s="1">
        <f>MIN($E6)</f>
        <v>0</v>
      </c>
      <c r="M6" s="1">
        <f>MIN($G6)</f>
        <v>0</v>
      </c>
      <c r="N6" s="1">
        <f>MIN($H6)</f>
        <v>0</v>
      </c>
      <c r="O6" s="1">
        <f>MEDIAN($B6)</f>
        <v>0</v>
      </c>
      <c r="P6" s="1">
        <f>MEDIAN($C6)</f>
        <v>0</v>
      </c>
      <c r="Q6" s="1">
        <f>MEDIAN($D6)</f>
        <v>0</v>
      </c>
      <c r="R6" s="1">
        <f>MEDIAN($E6)</f>
        <v>0</v>
      </c>
      <c r="S6" s="1">
        <f>MEDIAN($G6)</f>
        <v>0</v>
      </c>
      <c r="T6" s="1">
        <f>MEDIAN($H6)</f>
        <v>0</v>
      </c>
      <c r="U6" s="1">
        <f>MAX($B6)</f>
        <v>0</v>
      </c>
      <c r="V6" s="1">
        <f>MAX($C6)</f>
        <v>0</v>
      </c>
      <c r="W6" s="1">
        <f>MAX($D6)</f>
        <v>0</v>
      </c>
      <c r="X6" s="1">
        <f>MAX($E6)</f>
        <v>0</v>
      </c>
      <c r="Y6" s="1">
        <f>MAX($G6)</f>
        <v>0</v>
      </c>
      <c r="Z6" s="1">
        <f>MAX($H6)</f>
        <v>0</v>
      </c>
    </row>
    <row r="7" spans="1:26">
      <c r="A7" s="1" t="s">
        <v>385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/>
      <c r="G7" s="1">
        <f>AVERAGE(Instances!G147:Instances!G182)</f>
        <v>0</v>
      </c>
      <c r="H7" s="1">
        <f>SUM(Instances!H147:Instances!H182)</f>
        <v>0</v>
      </c>
      <c r="I7" s="1">
        <f>MIN($B7)</f>
        <v>0</v>
      </c>
      <c r="J7" s="1">
        <f>MIN($C7)</f>
        <v>0</v>
      </c>
      <c r="K7" s="1">
        <f>MIN($D7)</f>
        <v>0</v>
      </c>
      <c r="L7" s="1">
        <f>MIN($E7)</f>
        <v>0</v>
      </c>
      <c r="M7" s="1">
        <f>MIN($G7)</f>
        <v>0</v>
      </c>
      <c r="N7" s="1">
        <f>MIN($H7)</f>
        <v>0</v>
      </c>
      <c r="O7" s="1">
        <f>MEDIAN($B7)</f>
        <v>0</v>
      </c>
      <c r="P7" s="1">
        <f>MEDIAN($C7)</f>
        <v>0</v>
      </c>
      <c r="Q7" s="1">
        <f>MEDIAN($D7)</f>
        <v>0</v>
      </c>
      <c r="R7" s="1">
        <f>MEDIAN($E7)</f>
        <v>0</v>
      </c>
      <c r="S7" s="1">
        <f>MEDIAN($G7)</f>
        <v>0</v>
      </c>
      <c r="T7" s="1">
        <f>MEDIAN($H7)</f>
        <v>0</v>
      </c>
      <c r="U7" s="1">
        <f>MAX($B7)</f>
        <v>0</v>
      </c>
      <c r="V7" s="1">
        <f>MAX($C7)</f>
        <v>0</v>
      </c>
      <c r="W7" s="1">
        <f>MAX($D7)</f>
        <v>0</v>
      </c>
      <c r="X7" s="1">
        <f>MAX($E7)</f>
        <v>0</v>
      </c>
      <c r="Y7" s="1">
        <f>MAX($G7)</f>
        <v>0</v>
      </c>
      <c r="Z7" s="1">
        <f>MAX($H7)</f>
        <v>0</v>
      </c>
    </row>
    <row r="8" spans="1:26">
      <c r="A8" s="1" t="s">
        <v>386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/>
      <c r="G8" s="1">
        <f>AVERAGE(Instances!G183:Instances!G218)</f>
        <v>0</v>
      </c>
      <c r="H8" s="1">
        <f>SUM(Instances!H183:Instances!H218)</f>
        <v>0</v>
      </c>
      <c r="I8" s="1">
        <f>MIN($B8)</f>
        <v>0</v>
      </c>
      <c r="J8" s="1">
        <f>MIN($C8)</f>
        <v>0</v>
      </c>
      <c r="K8" s="1">
        <f>MIN($D8)</f>
        <v>0</v>
      </c>
      <c r="L8" s="1">
        <f>MIN($E8)</f>
        <v>0</v>
      </c>
      <c r="M8" s="1">
        <f>MIN($G8)</f>
        <v>0</v>
      </c>
      <c r="N8" s="1">
        <f>MIN($H8)</f>
        <v>0</v>
      </c>
      <c r="O8" s="1">
        <f>MEDIAN($B8)</f>
        <v>0</v>
      </c>
      <c r="P8" s="1">
        <f>MEDIAN($C8)</f>
        <v>0</v>
      </c>
      <c r="Q8" s="1">
        <f>MEDIAN($D8)</f>
        <v>0</v>
      </c>
      <c r="R8" s="1">
        <f>MEDIAN($E8)</f>
        <v>0</v>
      </c>
      <c r="S8" s="1">
        <f>MEDIAN($G8)</f>
        <v>0</v>
      </c>
      <c r="T8" s="1">
        <f>MEDIAN($H8)</f>
        <v>0</v>
      </c>
      <c r="U8" s="1">
        <f>MAX($B8)</f>
        <v>0</v>
      </c>
      <c r="V8" s="1">
        <f>MAX($C8)</f>
        <v>0</v>
      </c>
      <c r="W8" s="1">
        <f>MAX($D8)</f>
        <v>0</v>
      </c>
      <c r="X8" s="1">
        <f>MAX($E8)</f>
        <v>0</v>
      </c>
      <c r="Y8" s="1">
        <f>MAX($G8)</f>
        <v>0</v>
      </c>
      <c r="Z8" s="1">
        <f>MAX($H8)</f>
        <v>0</v>
      </c>
    </row>
    <row r="9" spans="1:26">
      <c r="A9" s="1" t="s">
        <v>387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/>
      <c r="G9" s="1">
        <f>AVERAGE(Instances!G219:Instances!G254)</f>
        <v>0</v>
      </c>
      <c r="H9" s="1">
        <f>SUM(Instances!H219:Instances!H254)</f>
        <v>0</v>
      </c>
      <c r="I9" s="1">
        <f>MIN($B9)</f>
        <v>0</v>
      </c>
      <c r="J9" s="1">
        <f>MIN($C9)</f>
        <v>0</v>
      </c>
      <c r="K9" s="1">
        <f>MIN($D9)</f>
        <v>0</v>
      </c>
      <c r="L9" s="1">
        <f>MIN($E9)</f>
        <v>0</v>
      </c>
      <c r="M9" s="1">
        <f>MIN($G9)</f>
        <v>0</v>
      </c>
      <c r="N9" s="1">
        <f>MIN($H9)</f>
        <v>0</v>
      </c>
      <c r="O9" s="1">
        <f>MEDIAN($B9)</f>
        <v>0</v>
      </c>
      <c r="P9" s="1">
        <f>MEDIAN($C9)</f>
        <v>0</v>
      </c>
      <c r="Q9" s="1">
        <f>MEDIAN($D9)</f>
        <v>0</v>
      </c>
      <c r="R9" s="1">
        <f>MEDIAN($E9)</f>
        <v>0</v>
      </c>
      <c r="S9" s="1">
        <f>MEDIAN($G9)</f>
        <v>0</v>
      </c>
      <c r="T9" s="1">
        <f>MEDIAN($H9)</f>
        <v>0</v>
      </c>
      <c r="U9" s="1">
        <f>MAX($B9)</f>
        <v>0</v>
      </c>
      <c r="V9" s="1">
        <f>MAX($C9)</f>
        <v>0</v>
      </c>
      <c r="W9" s="1">
        <f>MAX($D9)</f>
        <v>0</v>
      </c>
      <c r="X9" s="1">
        <f>MAX($E9)</f>
        <v>0</v>
      </c>
      <c r="Y9" s="1">
        <f>MAX($G9)</f>
        <v>0</v>
      </c>
      <c r="Z9" s="1">
        <f>MAX($H9)</f>
        <v>0</v>
      </c>
    </row>
    <row r="10" spans="1:26">
      <c r="A10" s="1" t="s">
        <v>388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/>
      <c r="G10" s="1">
        <f>AVERAGE(Instances!G255:Instances!G290)</f>
        <v>0</v>
      </c>
      <c r="H10" s="1">
        <f>SUM(Instances!H255:Instances!H290)</f>
        <v>0</v>
      </c>
      <c r="I10" s="1">
        <f>MIN($B10)</f>
        <v>0</v>
      </c>
      <c r="J10" s="1">
        <f>MIN($C10)</f>
        <v>0</v>
      </c>
      <c r="K10" s="1">
        <f>MIN($D10)</f>
        <v>0</v>
      </c>
      <c r="L10" s="1">
        <f>MIN($E10)</f>
        <v>0</v>
      </c>
      <c r="M10" s="1">
        <f>MIN($G10)</f>
        <v>0</v>
      </c>
      <c r="N10" s="1">
        <f>MIN($H10)</f>
        <v>0</v>
      </c>
      <c r="O10" s="1">
        <f>MEDIAN($B10)</f>
        <v>0</v>
      </c>
      <c r="P10" s="1">
        <f>MEDIAN($C10)</f>
        <v>0</v>
      </c>
      <c r="Q10" s="1">
        <f>MEDIAN($D10)</f>
        <v>0</v>
      </c>
      <c r="R10" s="1">
        <f>MEDIAN($E10)</f>
        <v>0</v>
      </c>
      <c r="S10" s="1">
        <f>MEDIAN($G10)</f>
        <v>0</v>
      </c>
      <c r="T10" s="1">
        <f>MEDIAN($H10)</f>
        <v>0</v>
      </c>
      <c r="U10" s="1">
        <f>MAX($B10)</f>
        <v>0</v>
      </c>
      <c r="V10" s="1">
        <f>MAX($C10)</f>
        <v>0</v>
      </c>
      <c r="W10" s="1">
        <f>MAX($D10)</f>
        <v>0</v>
      </c>
      <c r="X10" s="1">
        <f>MAX($E10)</f>
        <v>0</v>
      </c>
      <c r="Y10" s="1">
        <f>MAX($G10)</f>
        <v>0</v>
      </c>
      <c r="Z10" s="1">
        <f>MAX($H10)</f>
        <v>0</v>
      </c>
    </row>
    <row r="11" spans="1:26">
      <c r="A11" s="1" t="s">
        <v>389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/>
      <c r="G11" s="1">
        <f>AVERAGE(Instances!G291:Instances!G326)</f>
        <v>0</v>
      </c>
      <c r="H11" s="1">
        <f>SUM(Instances!H291:Instances!H326)</f>
        <v>0</v>
      </c>
      <c r="I11" s="1">
        <f>MIN($B11)</f>
        <v>0</v>
      </c>
      <c r="J11" s="1">
        <f>MIN($C11)</f>
        <v>0</v>
      </c>
      <c r="K11" s="1">
        <f>MIN($D11)</f>
        <v>0</v>
      </c>
      <c r="L11" s="1">
        <f>MIN($E11)</f>
        <v>0</v>
      </c>
      <c r="M11" s="1">
        <f>MIN($G11)</f>
        <v>0</v>
      </c>
      <c r="N11" s="1">
        <f>MIN($H11)</f>
        <v>0</v>
      </c>
      <c r="O11" s="1">
        <f>MEDIAN($B11)</f>
        <v>0</v>
      </c>
      <c r="P11" s="1">
        <f>MEDIAN($C11)</f>
        <v>0</v>
      </c>
      <c r="Q11" s="1">
        <f>MEDIAN($D11)</f>
        <v>0</v>
      </c>
      <c r="R11" s="1">
        <f>MEDIAN($E11)</f>
        <v>0</v>
      </c>
      <c r="S11" s="1">
        <f>MEDIAN($G11)</f>
        <v>0</v>
      </c>
      <c r="T11" s="1">
        <f>MEDIAN($H11)</f>
        <v>0</v>
      </c>
      <c r="U11" s="1">
        <f>MAX($B11)</f>
        <v>0</v>
      </c>
      <c r="V11" s="1">
        <f>MAX($C11)</f>
        <v>0</v>
      </c>
      <c r="W11" s="1">
        <f>MAX($D11)</f>
        <v>0</v>
      </c>
      <c r="X11" s="1">
        <f>MAX($E11)</f>
        <v>0</v>
      </c>
      <c r="Y11" s="1">
        <f>MAX($G11)</f>
        <v>0</v>
      </c>
      <c r="Z11" s="1">
        <f>MAX($H11)</f>
        <v>0</v>
      </c>
    </row>
    <row r="12" spans="1:26">
      <c r="A12" s="1" t="s">
        <v>390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/>
      <c r="G12" s="1">
        <f>AVERAGE(Instances!G327:Instances!G362)</f>
        <v>0</v>
      </c>
      <c r="H12" s="1">
        <f>SUM(Instances!H327:Instances!H362)</f>
        <v>0</v>
      </c>
      <c r="I12" s="1">
        <f>MIN($B12)</f>
        <v>0</v>
      </c>
      <c r="J12" s="1">
        <f>MIN($C12)</f>
        <v>0</v>
      </c>
      <c r="K12" s="1">
        <f>MIN($D12)</f>
        <v>0</v>
      </c>
      <c r="L12" s="1">
        <f>MIN($E12)</f>
        <v>0</v>
      </c>
      <c r="M12" s="1">
        <f>MIN($G12)</f>
        <v>0</v>
      </c>
      <c r="N12" s="1">
        <f>MIN($H12)</f>
        <v>0</v>
      </c>
      <c r="O12" s="1">
        <f>MEDIAN($B12)</f>
        <v>0</v>
      </c>
      <c r="P12" s="1">
        <f>MEDIAN($C12)</f>
        <v>0</v>
      </c>
      <c r="Q12" s="1">
        <f>MEDIAN($D12)</f>
        <v>0</v>
      </c>
      <c r="R12" s="1">
        <f>MEDIAN($E12)</f>
        <v>0</v>
      </c>
      <c r="S12" s="1">
        <f>MEDIAN($G12)</f>
        <v>0</v>
      </c>
      <c r="T12" s="1">
        <f>MEDIAN($H12)</f>
        <v>0</v>
      </c>
      <c r="U12" s="1">
        <f>MAX($B12)</f>
        <v>0</v>
      </c>
      <c r="V12" s="1">
        <f>MAX($C12)</f>
        <v>0</v>
      </c>
      <c r="W12" s="1">
        <f>MAX($D12)</f>
        <v>0</v>
      </c>
      <c r="X12" s="1">
        <f>MAX($E12)</f>
        <v>0</v>
      </c>
      <c r="Y12" s="1">
        <f>MAX($G12)</f>
        <v>0</v>
      </c>
      <c r="Z12" s="1">
        <f>MAX($H12)</f>
        <v>0</v>
      </c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/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</row>
    <row r="15" spans="1:26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/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</row>
    <row r="16" spans="1:26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/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</row>
    <row r="17" spans="1:26">
      <c r="A17" s="1" t="s">
        <v>363</v>
      </c>
      <c r="B17" s="1">
        <f>SUMPRODUCT(--(B$3:B$12-$I$3:$I$12)^2)^0.5</f>
        <v>0</v>
      </c>
      <c r="C17" s="1">
        <f>SUMPRODUCT(--(C$3:C$12-$J$3:$J$12)^2)^0.5</f>
        <v>0</v>
      </c>
      <c r="D17" s="1">
        <f>SUMPRODUCT(--(D$3:D$12-$K$3:$K$12)^2)^0.5</f>
        <v>0</v>
      </c>
      <c r="E17" s="1">
        <f>SUMPRODUCT(--(E$3:E$12-$L$3:$L$12)^2)^0.5</f>
        <v>0</v>
      </c>
      <c r="F17" s="1"/>
      <c r="G17" s="1">
        <f>SUMPRODUCT(--(G$3:G$12-$M$3:$M$12)^2)^0.5</f>
        <v>0</v>
      </c>
      <c r="H17" s="1">
        <f>SUMPRODUCT(--(H$3:H$12-$N$3:$N$12)^2)^0.5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364</v>
      </c>
      <c r="B18" s="1">
        <f>SUMPRODUCT(NOT(ISBLANK(B$3:B$12))*(B$3:B$12=$I$3:$I$12))</f>
        <v>0</v>
      </c>
      <c r="C18" s="1">
        <f>SUMPRODUCT(NOT(ISBLANK(C$3:C$12))*(C$3:C$12=$J$3:$J$12))</f>
        <v>0</v>
      </c>
      <c r="D18" s="1">
        <f>SUMPRODUCT(NOT(ISBLANK(D$3:D$12))*(D$3:D$12=$K$3:$K$12))</f>
        <v>0</v>
      </c>
      <c r="E18" s="1">
        <f>SUMPRODUCT(NOT(ISBLANK(E$3:E$12))*(E$3:E$12=$L$3:$L$12))</f>
        <v>0</v>
      </c>
      <c r="F18" s="1"/>
      <c r="G18" s="1">
        <f>SUMPRODUCT(NOT(ISBLANK(G$3:G$12))*(G$3:G$12=$M$3:$M$12))</f>
        <v>0</v>
      </c>
      <c r="H18" s="1">
        <f>SUMPRODUCT(NOT(ISBLANK(H$3:H$12))*(H$3:H$12=$N$3:$N$12))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365</v>
      </c>
      <c r="B19" s="1">
        <f>SUMPRODUCT(NOT(ISBLANK(B$3:B$12))*(B$3:B$12&lt;$O$3:$O$12))</f>
        <v>0</v>
      </c>
      <c r="C19" s="1">
        <f>SUMPRODUCT(NOT(ISBLANK(C$3:C$12))*(C$3:C$12&lt;$P$3:$P$12))</f>
        <v>0</v>
      </c>
      <c r="D19" s="1">
        <f>SUMPRODUCT(NOT(ISBLANK(D$3:D$12))*(D$3:D$12&lt;$Q$3:$Q$12))</f>
        <v>0</v>
      </c>
      <c r="E19" s="1">
        <f>SUMPRODUCT(NOT(ISBLANK(E$3:E$12))*(E$3:E$12&lt;$R$3:$R$12))</f>
        <v>0</v>
      </c>
      <c r="F19" s="1"/>
      <c r="G19" s="1">
        <f>SUMPRODUCT(NOT(ISBLANK(G$3:G$12))*(G$3:G$12&lt;$S$3:$S$12))</f>
        <v>0</v>
      </c>
      <c r="H19" s="1">
        <f>SUMPRODUCT(NOT(ISBLANK(H$3:H$12))*(H$3:H$12&lt;$T$3:$T$12))</f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366</v>
      </c>
      <c r="B20" s="1">
        <f>SUMPRODUCT((NOT(ISBLANK(B$3:B$12))*(B$3:B$12&gt;$O$3:$O$12))+ISBLANK(B$3:B$12))</f>
        <v>0</v>
      </c>
      <c r="C20" s="1">
        <f>SUMPRODUCT((NOT(ISBLANK(C$3:C$12))*(C$3:C$12&gt;$P$3:$P$12))+ISBLANK(C$3:C$12))</f>
        <v>0</v>
      </c>
      <c r="D20" s="1">
        <f>SUMPRODUCT((NOT(ISBLANK(D$3:D$12))*(D$3:D$12&gt;$Q$3:$Q$12))+ISBLANK(D$3:D$12))</f>
        <v>0</v>
      </c>
      <c r="E20" s="1">
        <f>SUMPRODUCT((NOT(ISBLANK(E$3:E$12))*(E$3:E$12&gt;$R$3:$R$12))+ISBLANK(E$3:E$12))</f>
        <v>0</v>
      </c>
      <c r="F20" s="1"/>
      <c r="G20" s="1">
        <f>SUMPRODUCT((NOT(ISBLANK(G$3:G$12))*(G$3:G$12&gt;$S$3:$S$12))+ISBLANK(G$3:G$12))</f>
        <v>0</v>
      </c>
      <c r="H20" s="1">
        <f>SUMPRODUCT((NOT(ISBLANK(H$3:H$12))*(H$3:H$12&gt;$T$3:$T$12))+ISBLANK(H$3:H$12))</f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">
        <v>367</v>
      </c>
      <c r="B21" s="1">
        <f>SUMPRODUCT((NOT(ISBLANK(B$3:B$12))*(B$3:B$12=$U$3:$U$12))+ISBLANK(B$3:B$12))</f>
        <v>0</v>
      </c>
      <c r="C21" s="1">
        <f>SUMPRODUCT((NOT(ISBLANK(C$3:C$12))*(C$3:C$12=$V$3:$V$12))+ISBLANK(C$3:C$12))</f>
        <v>0</v>
      </c>
      <c r="D21" s="1">
        <f>SUMPRODUCT((NOT(ISBLANK(D$3:D$12))*(D$3:D$12=$W$3:$W$12))+ISBLANK(D$3:D$12))</f>
        <v>0</v>
      </c>
      <c r="E21" s="1">
        <f>SUMPRODUCT((NOT(ISBLANK(E$3:E$12))*(E$3:E$12=$X$3:$X$12))+ISBLANK(E$3:E$12))</f>
        <v>0</v>
      </c>
      <c r="F21" s="1"/>
      <c r="G21" s="1">
        <f>SUMPRODUCT((NOT(ISBLANK(G$3:G$12))*(G$3:G$12=$Y$3:$Y$12))+ISBLANK(G$3:G$12))</f>
        <v>0</v>
      </c>
      <c r="H21" s="1">
        <f>SUMPRODUCT((NOT(ISBLANK(H$3:H$12))*(H$3:H$12=$Z$3:$Z$12))+ISBLANK(H$3:H$12))</f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VLOOKUP(Charts!$F$3,A2:B7,2,FALSE)</f>
        <v>0</v>
      </c>
      <c r="K2">
        <f>E2</f>
        <v>0</v>
      </c>
      <c r="Q2">
        <f>VLOOKUP(Charts!$F$3,A2:B7,2,FALSE)</f>
        <v>0</v>
      </c>
    </row>
    <row r="3" spans="1:20">
      <c r="A3" t="s">
        <v>370</v>
      </c>
      <c r="B3">
        <v>2</v>
      </c>
      <c r="D3" t="s">
        <v>391</v>
      </c>
      <c r="E3">
        <f>Instances!B1</f>
        <v>0</v>
      </c>
      <c r="J3" t="s">
        <v>391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392</v>
      </c>
      <c r="E4" t="s">
        <v>396</v>
      </c>
      <c r="F4" t="s">
        <v>397</v>
      </c>
      <c r="H4" t="s">
        <v>398</v>
      </c>
      <c r="J4" t="s">
        <v>392</v>
      </c>
      <c r="K4" t="s">
        <v>396</v>
      </c>
      <c r="L4" t="s">
        <v>397</v>
      </c>
      <c r="N4" t="s">
        <v>398</v>
      </c>
      <c r="P4" t="s">
        <v>399</v>
      </c>
      <c r="Q4" t="s">
        <v>392</v>
      </c>
      <c r="R4" t="s">
        <v>397</v>
      </c>
      <c r="S4" t="s">
        <v>392</v>
      </c>
      <c r="T4" t="s">
        <v>398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375</v>
      </c>
      <c r="B6">
        <v>6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376</v>
      </c>
      <c r="B7">
        <v>7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393</v>
      </c>
      <c r="E366" t="s">
        <v>392</v>
      </c>
      <c r="F366" t="s">
        <v>397</v>
      </c>
      <c r="G366" t="s">
        <v>392</v>
      </c>
      <c r="H366" t="s">
        <v>398</v>
      </c>
      <c r="J366" t="s">
        <v>393</v>
      </c>
      <c r="K366" t="s">
        <v>392</v>
      </c>
      <c r="L366" t="s">
        <v>397</v>
      </c>
      <c r="M366" t="s">
        <v>392</v>
      </c>
      <c r="N366" t="s">
        <v>398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394</v>
      </c>
      <c r="E1089" t="s">
        <v>392</v>
      </c>
      <c r="F1089" t="s">
        <v>397</v>
      </c>
      <c r="G1089" t="s">
        <v>392</v>
      </c>
      <c r="H1089" t="s">
        <v>398</v>
      </c>
      <c r="J1089" t="s">
        <v>394</v>
      </c>
      <c r="K1089" t="s">
        <v>392</v>
      </c>
      <c r="L1089" t="s">
        <v>397</v>
      </c>
      <c r="M1089" t="s">
        <v>392</v>
      </c>
      <c r="N1089" t="s">
        <v>398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395</v>
      </c>
      <c r="E1811" t="s">
        <v>392</v>
      </c>
      <c r="F1811" t="s">
        <v>397</v>
      </c>
      <c r="G1811" t="s">
        <v>392</v>
      </c>
      <c r="H1811" t="s">
        <v>398</v>
      </c>
      <c r="J1811" t="s">
        <v>395</v>
      </c>
      <c r="K1811" t="s">
        <v>392</v>
      </c>
      <c r="L1811" t="s">
        <v>397</v>
      </c>
      <c r="M1811" t="s">
        <v>392</v>
      </c>
      <c r="N1811" t="s">
        <v>398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400</v>
      </c>
      <c r="F2" t="s">
        <v>402</v>
      </c>
    </row>
    <row r="3" spans="2:6">
      <c r="B3" s="2" t="s">
        <v>401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"error,mem,memout,par2,time,timeout"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2026-05-12T08:17:41Z</dcterms:created>
  <dcterms:modified xsi:type="dcterms:W3CDTF">2026-05-12T08:17:41Z</dcterms:modified>
</cp:coreProperties>
</file>